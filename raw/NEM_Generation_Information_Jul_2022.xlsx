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codeName="ThisWorkbook" defaultThemeVersion="166925"/>
  <xr:revisionPtr revIDLastSave="760" documentId="14_{5D4C6FCC-6321-4B7D-B3BA-A7E380C97028}" xr6:coauthVersionLast="47" xr6:coauthVersionMax="47" xr10:uidLastSave="{D328F692-A81F-4396-9267-F6EB4AC77F0A}"/>
  <workbookProtection workbookAlgorithmName="SHA-512" workbookHashValue="5a92pZctIigrFBEaGTnj6wNy6JcYnIt+6b5wwZnJbpn225fdPh0iDRRX5LtnAPDukD43186iFMDnCSF+rJ6hzg==" workbookSaltValue="/LYjgDJomi0/8E4ZNt1iWw==" workbookSpinCount="100000" lockStructure="1"/>
  <bookViews>
    <workbookView xWindow="-120" yWindow="-120" windowWidth="29040" windowHeight="15990" tabRatio="706" xr2:uid="{70CC9932-41D7-46E2-AB39-E15F6F7A916C}"/>
  </bookViews>
  <sheets>
    <sheet name="Summary" sheetId="9" r:id="rId1"/>
    <sheet name="Change Log" sheetId="14" r:id="rId2"/>
    <sheet name="Background Information" sheetId="10" r:id="rId3"/>
    <sheet name="How to filter" sheetId="27" r:id="rId4"/>
    <sheet name="ExistingGeneration&amp;NewDevs" sheetId="30" r:id="rId5"/>
    <sheet name="Scheduled Capacities" sheetId="29" r:id="rId6"/>
    <sheet name="Site name changes" sheetId="26" r:id="rId7"/>
  </sheets>
  <externalReferences>
    <externalReference r:id="rId8"/>
    <externalReference r:id="rId9"/>
  </externalReferences>
  <definedNames>
    <definedName name="_xlnm._FilterDatabase" localSheetId="6" hidden="1">'Site name changes'!$A$1:$C$97</definedName>
    <definedName name="ActivityStatusTable">'[1]Data Entry Lookup Tables'!$C$3:$C$6</definedName>
    <definedName name="ElecGenTechTypeTable">'[2]Data Entry Lookup Tables'!$E$3:$E$4</definedName>
    <definedName name="ExternalData_3" localSheetId="4" hidden="1">'ExistingGeneration&amp;NewDevs'!$A$2:$Y$1259</definedName>
    <definedName name="ExternalData_4" localSheetId="5" hidden="1">'Scheduled Capacities'!$A$2:$AX$340</definedName>
    <definedName name="KCIReceivedInUnderNERTable">'[1]Data Entry Lookup Tables'!$B$3:$B$8</definedName>
    <definedName name="NANP">'[2]Data Entry Lookup Tables'!$O$3:$O$4</definedName>
    <definedName name="_xlnm.Print_Area" localSheetId="2">'Background Information'!$A$1:$Q$135</definedName>
    <definedName name="_xlnm.Print_Area" localSheetId="1">'Change Log'!$A$1:$H$669</definedName>
    <definedName name="_xlnm.Print_Area" localSheetId="4">'ExistingGeneration&amp;NewDevs'!$A$1:$Y$1264</definedName>
    <definedName name="_xlnm.Print_Area" localSheetId="3">'How to filter'!$A$1:$O$246</definedName>
    <definedName name="_xlnm.Print_Area" localSheetId="5">'Scheduled Capacities'!$A$1:$AX$289</definedName>
    <definedName name="_xlnm.Print_Area" localSheetId="6">'Site name changes'!$A$1:$B$92</definedName>
    <definedName name="_xlnm.Print_Titles" localSheetId="1">'Change Log'!$5:$5</definedName>
    <definedName name="TechType">'[2]Data Entry Lookup Tables'!$F$3:$F$12</definedName>
    <definedName name="v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7" i="9" l="1" a="1"/>
  <c r="M47" i="9" s="1"/>
  <c r="L47" i="9" a="1"/>
  <c r="L47" i="9" s="1"/>
  <c r="K47" i="9" a="1"/>
  <c r="K47" i="9" s="1"/>
  <c r="J47" i="9" a="1"/>
  <c r="J47" i="9" s="1"/>
  <c r="I47" i="9" a="1"/>
  <c r="I47" i="9" s="1"/>
  <c r="H47" i="9" a="1"/>
  <c r="H47" i="9" s="1"/>
  <c r="G47" i="9" a="1"/>
  <c r="G47" i="9" s="1"/>
  <c r="F47" i="9" a="1"/>
  <c r="F47" i="9" s="1"/>
  <c r="E47" i="9" a="1"/>
  <c r="E47" i="9" s="1"/>
  <c r="D47" i="9" a="1"/>
  <c r="D47" i="9" s="1"/>
  <c r="M46" i="9" a="1"/>
  <c r="M46" i="9" s="1"/>
  <c r="L46" i="9" a="1"/>
  <c r="L46" i="9" s="1"/>
  <c r="K46" i="9" a="1"/>
  <c r="K46" i="9" s="1"/>
  <c r="J46" i="9" a="1"/>
  <c r="J46" i="9" s="1"/>
  <c r="I46" i="9" a="1"/>
  <c r="I46" i="9" s="1"/>
  <c r="H46" i="9" a="1"/>
  <c r="H46" i="9" s="1"/>
  <c r="G46" i="9" a="1"/>
  <c r="G46" i="9" s="1"/>
  <c r="F46" i="9" a="1"/>
  <c r="F46" i="9" s="1"/>
  <c r="E46" i="9" a="1"/>
  <c r="E46" i="9" s="1"/>
  <c r="D46" i="9" a="1"/>
  <c r="D46" i="9" s="1"/>
  <c r="M45" i="9" a="1"/>
  <c r="M45" i="9" s="1"/>
  <c r="L45" i="9" a="1"/>
  <c r="L45" i="9" s="1"/>
  <c r="K45" i="9" a="1"/>
  <c r="K45" i="9" s="1"/>
  <c r="J45" i="9" a="1"/>
  <c r="J45" i="9" s="1"/>
  <c r="I45" i="9" a="1"/>
  <c r="I45" i="9" s="1"/>
  <c r="H45" i="9" a="1"/>
  <c r="H45" i="9" s="1"/>
  <c r="G45" i="9" a="1"/>
  <c r="G45" i="9" s="1"/>
  <c r="F45" i="9" a="1"/>
  <c r="F45" i="9" s="1"/>
  <c r="E45" i="9" a="1"/>
  <c r="E45" i="9" s="1"/>
  <c r="D45" i="9" a="1"/>
  <c r="D45" i="9" s="1"/>
  <c r="M44" i="9" a="1"/>
  <c r="M44" i="9" s="1"/>
  <c r="L44" i="9" a="1"/>
  <c r="L44" i="9" s="1"/>
  <c r="K44" i="9" a="1"/>
  <c r="K44" i="9" s="1"/>
  <c r="J44" i="9" a="1"/>
  <c r="J44" i="9" s="1"/>
  <c r="I44" i="9" a="1"/>
  <c r="I44" i="9" s="1"/>
  <c r="H44" i="9" a="1"/>
  <c r="H44" i="9" s="1"/>
  <c r="G44" i="9" a="1"/>
  <c r="G44" i="9" s="1"/>
  <c r="F44" i="9" a="1"/>
  <c r="F44" i="9" s="1"/>
  <c r="E44" i="9" a="1"/>
  <c r="E44" i="9" s="1"/>
  <c r="D44" i="9" a="1"/>
  <c r="D44" i="9" s="1"/>
  <c r="M43" i="9" a="1"/>
  <c r="M43" i="9" s="1"/>
  <c r="L43" i="9" a="1"/>
  <c r="L43" i="9" s="1"/>
  <c r="K43" i="9" a="1"/>
  <c r="K43" i="9" s="1"/>
  <c r="J43" i="9" a="1"/>
  <c r="J43" i="9" s="1"/>
  <c r="I43" i="9" a="1"/>
  <c r="I43" i="9" s="1"/>
  <c r="H43" i="9" a="1"/>
  <c r="H43" i="9" s="1"/>
  <c r="G43" i="9" a="1"/>
  <c r="G43" i="9" s="1"/>
  <c r="F43" i="9" a="1"/>
  <c r="F43" i="9" s="1"/>
  <c r="E43" i="9" a="1"/>
  <c r="E43" i="9" s="1"/>
  <c r="D43" i="9" a="1"/>
  <c r="D43" i="9" s="1"/>
  <c r="M42" i="9" a="1"/>
  <c r="M42" i="9" s="1"/>
  <c r="L42" i="9" a="1"/>
  <c r="L42" i="9" s="1"/>
  <c r="K42" i="9" a="1"/>
  <c r="K42" i="9" s="1"/>
  <c r="J42" i="9" a="1"/>
  <c r="J42" i="9" s="1"/>
  <c r="I42" i="9" a="1"/>
  <c r="I42" i="9" s="1"/>
  <c r="H42" i="9" a="1"/>
  <c r="H42" i="9" s="1"/>
  <c r="G42" i="9" a="1"/>
  <c r="G42" i="9" s="1"/>
  <c r="F42" i="9" a="1"/>
  <c r="F42" i="9" s="1"/>
  <c r="E42" i="9" a="1"/>
  <c r="E42" i="9" s="1"/>
  <c r="D42" i="9" a="1"/>
  <c r="D42" i="9" s="1"/>
  <c r="M41" i="9" a="1"/>
  <c r="M41" i="9" s="1"/>
  <c r="L41" i="9" a="1"/>
  <c r="L41" i="9" s="1"/>
  <c r="K41" i="9" a="1"/>
  <c r="K41" i="9" s="1"/>
  <c r="J41" i="9" a="1"/>
  <c r="J41" i="9" s="1"/>
  <c r="I41" i="9" a="1"/>
  <c r="I41" i="9" s="1"/>
  <c r="H41" i="9" a="1"/>
  <c r="H41" i="9" s="1"/>
  <c r="G41" i="9" a="1"/>
  <c r="G41" i="9" s="1"/>
  <c r="F41" i="9" a="1"/>
  <c r="F41" i="9" s="1"/>
  <c r="E41" i="9" a="1"/>
  <c r="E41" i="9" s="1"/>
  <c r="D41" i="9" a="1"/>
  <c r="D41" i="9" s="1"/>
  <c r="I40" i="9" l="1"/>
  <c r="J40" i="9"/>
  <c r="N44" i="9"/>
  <c r="N42" i="9"/>
  <c r="F40" i="9"/>
  <c r="M40" i="9"/>
  <c r="E40" i="9"/>
  <c r="N46" i="9"/>
  <c r="N45" i="9"/>
  <c r="N43" i="9"/>
  <c r="L40" i="9"/>
  <c r="H40" i="9"/>
  <c r="K40" i="9"/>
  <c r="G40" i="9"/>
  <c r="N47" i="9"/>
  <c r="D40" i="9"/>
  <c r="N41" i="9"/>
  <c r="N40" i="9" l="1"/>
  <c r="B37" i="9" l="1"/>
  <c r="B15" i="9"/>
  <c r="A1"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<sst xmlns="http://schemas.openxmlformats.org/spreadsheetml/2006/main" count="24850" uniqueCount="4115">
  <si>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</si>
  <si>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</si>
  <si>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</si>
  <si>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</si>
  <si>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</si>
  <si>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</si>
  <si>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</si>
  <si>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NEM</t>
  </si>
  <si>
    <t>Dispatch Type</t>
  </si>
  <si>
    <t>S‚ SS &amp; NS</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</si>
  <si>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</si>
  <si>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</si>
  <si>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</si>
  <si>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</si>
  <si>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</si>
  <si>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</si>
  <si>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</si>
  <si>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</si>
  <si>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</si>
  <si>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</si>
  <si>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</si>
  <si>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</si>
  <si>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</si>
  <si>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</si>
  <si>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</si>
  <si>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</si>
  <si>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</si>
  <si>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</si>
  <si>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</si>
  <si>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</si>
  <si>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</si>
  <si>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</si>
  <si>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</si>
  <si>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</si>
  <si>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</si>
  <si>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</si>
  <si>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</si>
  <si>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</si>
  <si>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</si>
  <si>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</si>
  <si>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</si>
  <si>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t>
  </si>
  <si>
    <t>Owner</t>
  </si>
  <si>
    <t>DUID(s)</t>
  </si>
  <si>
    <t>Note</t>
  </si>
  <si>
    <t>Effective Date</t>
  </si>
  <si>
    <t>NSW1</t>
  </si>
  <si>
    <t>Informative note</t>
  </si>
  <si>
    <t>Dalton</t>
  </si>
  <si>
    <t>AGL Hydro Partnership</t>
  </si>
  <si>
    <t>Discontinued</t>
  </si>
  <si>
    <t>Project commitment</t>
  </si>
  <si>
    <t>Jemalong Solar</t>
  </si>
  <si>
    <t>Genex Power</t>
  </si>
  <si>
    <t>JEMALNG1</t>
  </si>
  <si>
    <t>In Service</t>
  </si>
  <si>
    <t>Port Kembla Power Station</t>
  </si>
  <si>
    <t>Australian Industrial Power</t>
  </si>
  <si>
    <t>UNSW C25</t>
  </si>
  <si>
    <t>Cogent Energy Pty Ltd</t>
  </si>
  <si>
    <t>Walgett Solar Farm</t>
  </si>
  <si>
    <t>Walgett Solar Pty Ltd</t>
  </si>
  <si>
    <t>QLD1</t>
  </si>
  <si>
    <t>Wandoan South Solar Stage 1</t>
  </si>
  <si>
    <t>Vena Evergy</t>
  </si>
  <si>
    <t>WANDSF1</t>
  </si>
  <si>
    <t>Wee Waa Solar Farm</t>
  </si>
  <si>
    <t>Overland Sun Farming</t>
  </si>
  <si>
    <t>Collinsville North Solar Project</t>
  </si>
  <si>
    <t>Vena Energy</t>
  </si>
  <si>
    <t>Comet Solar Farm</t>
  </si>
  <si>
    <t>Comet Solar Farm Pty Ltd</t>
  </si>
  <si>
    <t>Ipswich Regional Energy Hub - Storage</t>
  </si>
  <si>
    <t>SolarQ Pty Ltd</t>
  </si>
  <si>
    <t>Molendinar</t>
  </si>
  <si>
    <t>LMS Energy Pty Ltd</t>
  </si>
  <si>
    <t>Rochedale Renewable Energy Facility</t>
  </si>
  <si>
    <t>ROCHEDAL</t>
  </si>
  <si>
    <t>Wivenhoe Regional Energy Hub - Solar</t>
  </si>
  <si>
    <t>Wivenhoe Regional Energy Hub - Storage</t>
  </si>
  <si>
    <t>SA1</t>
  </si>
  <si>
    <t>Adelaide Desalination Plant</t>
  </si>
  <si>
    <t>South Australian Water Corporation</t>
  </si>
  <si>
    <t>ADPBA1G</t>
  </si>
  <si>
    <t>ADPPV1</t>
  </si>
  <si>
    <t>ADPPV2</t>
  </si>
  <si>
    <t>Bolivar Waste Water Treatment</t>
  </si>
  <si>
    <t>BOWWPV1</t>
  </si>
  <si>
    <t>Kanmantoo</t>
  </si>
  <si>
    <t xml:space="preserve">AGL SA Generation Pty Limited </t>
  </si>
  <si>
    <t>Mannum Adelaide Pumping Station No 2 - MAPL2 (Palmer)</t>
  </si>
  <si>
    <t>MAPS2PV1</t>
  </si>
  <si>
    <t>Mannum Adelaide Pumping Station No 3 - MAPL3 (Tungkillo)</t>
  </si>
  <si>
    <t>MAPS3PV1</t>
  </si>
  <si>
    <t>Committed*</t>
  </si>
  <si>
    <t>TAS1</t>
  </si>
  <si>
    <t>Tamar Valley Combined Cycle</t>
  </si>
  <si>
    <t>AETV Pty Ltd</t>
  </si>
  <si>
    <t>TVCC201</t>
  </si>
  <si>
    <t>Change from In Service - Announced Withdrawal (Permanent) to In Service</t>
  </si>
  <si>
    <t>VIC1</t>
  </si>
  <si>
    <t>Ben More</t>
  </si>
  <si>
    <t>Ratch Australia</t>
  </si>
  <si>
    <t>Kiamal Solar Farm - Stage 1</t>
  </si>
  <si>
    <t>KSF Project Nominees Pty Ltd ATF KSF Project Trust</t>
  </si>
  <si>
    <t>KIAMSF1</t>
  </si>
  <si>
    <t>Mallee Solar Farm</t>
  </si>
  <si>
    <t>juwi Renewable Energy Pty Ltd</t>
  </si>
  <si>
    <t>Sunraysia Solar Farm</t>
  </si>
  <si>
    <t>Sunraysia Solar Project Pty Ltd</t>
  </si>
  <si>
    <t>SUNRSF1</t>
  </si>
  <si>
    <t>Winton Solar Farm</t>
  </si>
  <si>
    <t>Winton Asset Co. Pty Ltd as Trustee of the Winton Asset Trust</t>
  </si>
  <si>
    <t>WINTSF1</t>
  </si>
  <si>
    <t>Orana BESS</t>
  </si>
  <si>
    <t>Akaysha Energy</t>
  </si>
  <si>
    <t>West Wyalong Solar Farm</t>
  </si>
  <si>
    <t>Lightsource Australia</t>
  </si>
  <si>
    <t>Wollar Solar Farm</t>
  </si>
  <si>
    <t>Wollar Solar Development Pty Ltd</t>
  </si>
  <si>
    <t>Ulinda Park BESS</t>
  </si>
  <si>
    <t>BOWWBA1G</t>
  </si>
  <si>
    <t>Christies Beach Wastewater Treatment Plant</t>
  </si>
  <si>
    <t>CBWWBA1G</t>
  </si>
  <si>
    <t>CBWWPV1</t>
  </si>
  <si>
    <t>Happy Valley Reservoir</t>
  </si>
  <si>
    <t>HVWABA1G</t>
  </si>
  <si>
    <t>HVWAPV1</t>
  </si>
  <si>
    <t>Lincoln Gap Wind Farm - stage 2</t>
  </si>
  <si>
    <t>Lincoln Gap Wind Farm Pty Ltd</t>
  </si>
  <si>
    <t>LGAPWF2</t>
  </si>
  <si>
    <t>In Commissioning</t>
  </si>
  <si>
    <t>Snapper Point Power Station</t>
  </si>
  <si>
    <t>Nexif</t>
  </si>
  <si>
    <t>SNAPPER1</t>
  </si>
  <si>
    <t>Tailem Bend Battery Project</t>
  </si>
  <si>
    <t>Tailem Bend Stage 2 Solar Project</t>
  </si>
  <si>
    <t xml:space="preserve">Wooreen Energy Storage System </t>
  </si>
  <si>
    <t>EnergyAustralia Holdings Limited</t>
  </si>
  <si>
    <t>Tallawarra  B</t>
  </si>
  <si>
    <t>EnergyAustralia Tallawarra Pty Ltd</t>
  </si>
  <si>
    <t>Expected Closure Year</t>
  </si>
  <si>
    <t>Bayswater</t>
  </si>
  <si>
    <t xml:space="preserve"> AGL Macquarie Pty Limited </t>
  </si>
  <si>
    <t>BW01, BW02, BW03, BW04</t>
  </si>
  <si>
    <t>Expected closure year changed to 2033 as per advice from AGL Energy</t>
  </si>
  <si>
    <t>Closure date</t>
  </si>
  <si>
    <t>Eraring</t>
  </si>
  <si>
    <t>Origin Energy Eraring Pty Ltd</t>
  </si>
  <si>
    <t>ER01, ER02, ER03, ER04</t>
  </si>
  <si>
    <t>Closure date changed to 19/08/2025 as per advice from Origin Energy</t>
  </si>
  <si>
    <t>Scheduled Capacity</t>
  </si>
  <si>
    <t>Kurri Kurri OCGT</t>
  </si>
  <si>
    <t xml:space="preserve"> Snowy Hydro Limited </t>
  </si>
  <si>
    <t>Scheduled capacity changed from 750 to 660 as per advice from the owner</t>
  </si>
  <si>
    <t>Loy Yang A Power Station</t>
  </si>
  <si>
    <t xml:space="preserve"> AGL Loy Yang Marketing Pty Ltd </t>
  </si>
  <si>
    <t>LYA1, LYA2, LYA3, LYA4</t>
  </si>
  <si>
    <t>Expected closure year changed to 2045 as per advice from AGL Energy</t>
  </si>
  <si>
    <t>Victorian Big Battery</t>
  </si>
  <si>
    <t>Victorian Big Battery Pty Ltd</t>
  </si>
  <si>
    <t>VBBG1</t>
  </si>
  <si>
    <t>Avonlie Solar Farm</t>
  </si>
  <si>
    <t>Iberdrola Australia Limited</t>
  </si>
  <si>
    <t>Crudine Ridge Wind Farm</t>
  </si>
  <si>
    <t>CRWF Nominees Pty Ltd as trustee of the CRWF Trust</t>
  </si>
  <si>
    <t>CRURWF1</t>
  </si>
  <si>
    <t>Nameplate capacity updated from 138.01 MW to 141.71 MW</t>
  </si>
  <si>
    <t>Goonumbla Solar Farm</t>
  </si>
  <si>
    <t>Goonumbla Asset Co Pty Ltd as trustee for the Goonumbla Asset Trust</t>
  </si>
  <si>
    <t>GOONSF1</t>
  </si>
  <si>
    <t xml:space="preserve">Gullen Range Wind Farm 2 _x000D_
</t>
  </si>
  <si>
    <t>BEIJING JINGNENG CLEAN ENERGY (AUSTRALIA) HOLDING PTY LTD</t>
  </si>
  <si>
    <t>GULLRWF2</t>
  </si>
  <si>
    <t>Hunter Valley GT</t>
  </si>
  <si>
    <t>AGL Energy</t>
  </si>
  <si>
    <t>HVGTS</t>
  </si>
  <si>
    <t>Quorn Park Solar Farm</t>
  </si>
  <si>
    <t>Quorn Park Solar Farm Pty Ltd</t>
  </si>
  <si>
    <t>Wagga North Solar Farm</t>
  </si>
  <si>
    <t>Wagga Wagga Operationsco Pty Ltd as trustree for Wagga Wagga Operations Trust</t>
  </si>
  <si>
    <t>WAGGNSF1</t>
  </si>
  <si>
    <t>The remaining 12 units of Wagga North Solar Farm become Committed</t>
  </si>
  <si>
    <t>Wallgrove Grid Battery project</t>
  </si>
  <si>
    <t>TransGrid</t>
  </si>
  <si>
    <t>WALGRVG1</t>
  </si>
  <si>
    <t>West Illawarra Leagues Club</t>
  </si>
  <si>
    <t>Western Suburbs Leagues Club</t>
  </si>
  <si>
    <t>WESTILL1</t>
  </si>
  <si>
    <t>Nameplate capacity updated from 0.99 MW to 1.43 MW</t>
  </si>
  <si>
    <t>Wyalong Solar Farm</t>
  </si>
  <si>
    <t>Wyalong Solar Farm Pty Ltd</t>
  </si>
  <si>
    <t>MacIntyre Wind Farm</t>
  </si>
  <si>
    <t>Macintyre Windfarm Pty Ltd and Arc Energy Macintyre Pty Ltd</t>
  </si>
  <si>
    <t>Mannum Adelaide Pumping Station No 3 - MAPL3 (Kanmantoo)</t>
  </si>
  <si>
    <t>MAPS3PV2</t>
  </si>
  <si>
    <t>Murray Bridge - Onkaparinga Pipeline Pump 2</t>
  </si>
  <si>
    <t>MBPS2PV1</t>
  </si>
  <si>
    <t>Port Augusta Renewable Energy Park - Solar</t>
  </si>
  <si>
    <t>PAREP 1 Pty Ltd</t>
  </si>
  <si>
    <t>Port Augusta Renewable Energy Park - Wind</t>
  </si>
  <si>
    <t>Temporary Generation South (Bolivar)</t>
  </si>
  <si>
    <t>Infigen Energy</t>
  </si>
  <si>
    <t>Epworth Hospital - East Melbourne - Freemasons</t>
  </si>
  <si>
    <t>Epworth Hospital Ltd</t>
  </si>
  <si>
    <t>Yatpool Solar Farm</t>
  </si>
  <si>
    <t>Yatpool Sun Farm Pty Ltd</t>
  </si>
  <si>
    <t>YATSF1</t>
  </si>
  <si>
    <t/>
  </si>
  <si>
    <t>RES Australia</t>
  </si>
  <si>
    <t>Collector</t>
  </si>
  <si>
    <t>COLWF01</t>
  </si>
  <si>
    <t>Cooma Solar Farm (Risen)</t>
  </si>
  <si>
    <t>Risen Energy Australia Pty Ltd</t>
  </si>
  <si>
    <t>Hillston Sun Farm</t>
  </si>
  <si>
    <t>Hillston Sun Farm Pty Ltd</t>
  </si>
  <si>
    <t>Liddell</t>
  </si>
  <si>
    <t>AGL Macquarie Pty Limited</t>
  </si>
  <si>
    <t>LD03, LD04</t>
  </si>
  <si>
    <t>Liddell Unit 3 has updated closure date from 1/04/2023 to 1/04/2022, Unit 4 has updated closure date from 1/04/2022 to 1/04/2023</t>
  </si>
  <si>
    <t>Rye Park Wind Farm</t>
  </si>
  <si>
    <t>Tilt Renewables Australia Pty Ltd</t>
  </si>
  <si>
    <t>Walla Walla Solar Farm</t>
  </si>
  <si>
    <t>FRV Australia (Walla Walla Asset Co Pty Ltd (ACN 634 728 868) as trustee for the Walla Walla Asset Trust)</t>
  </si>
  <si>
    <t>Wellington Solar Farm</t>
  </si>
  <si>
    <t>Lightsource Australia SPV 4 Pty Ltd</t>
  </si>
  <si>
    <t xml:space="preserve"> WELLSF1</t>
  </si>
  <si>
    <t>Yanco Solar Farm</t>
  </si>
  <si>
    <t>ib vogt / Sun Spot 6</t>
  </si>
  <si>
    <t>Dulacca Wind Farm</t>
  </si>
  <si>
    <t>Edenvale Solar Park</t>
  </si>
  <si>
    <t>Edenvale Solar Park Pty Ltd</t>
  </si>
  <si>
    <t>Kaban Green Power Hub - Wind Farm</t>
  </si>
  <si>
    <t>Kaban Wind Farm Pty Ltd as trustee for  Kaban Wind Farm Trust</t>
  </si>
  <si>
    <t>Kennedy Energy Park - Phase 1 - Solar</t>
  </si>
  <si>
    <t>Windlab / Eurus</t>
  </si>
  <si>
    <t>KEPSF1</t>
  </si>
  <si>
    <t>Kennedy Energy Park - Phase 1 - Storage</t>
  </si>
  <si>
    <t>Windlab/Eurus</t>
  </si>
  <si>
    <t>KEPBG1</t>
  </si>
  <si>
    <t>Kennedy Energy Park - Phase 1 - Wind</t>
  </si>
  <si>
    <t>KEPWF1</t>
  </si>
  <si>
    <t>Maryrorough Solar Farm</t>
  </si>
  <si>
    <t>Maryrorough Solar Pty Ltd</t>
  </si>
  <si>
    <t>MARYRSF1</t>
  </si>
  <si>
    <t>Moura Solar Farm</t>
  </si>
  <si>
    <t>Moura Solar Farm SPV Pty Ltd atf the ESCO Solar Farm 4 Trust</t>
  </si>
  <si>
    <t>Nameplate capacity</t>
  </si>
  <si>
    <t>Munna Creek Solar Farm</t>
  </si>
  <si>
    <t>Renewable Energy System Technologies Pty Ltd</t>
  </si>
  <si>
    <t>Changed from 143 MW to 154 MW</t>
  </si>
  <si>
    <t>Rodds Bay Solar Farm</t>
  </si>
  <si>
    <t>United Green</t>
  </si>
  <si>
    <t>From Anticipated to Publicly Announced</t>
  </si>
  <si>
    <t>Yarranlea Solar Farm</t>
  </si>
  <si>
    <t>Yarranlea Solar Pty Ltd</t>
  </si>
  <si>
    <t>YARANSF1</t>
  </si>
  <si>
    <t>Cultana Pumped Hydro Energy Storage</t>
  </si>
  <si>
    <t>ARUP Pty Ltd</t>
  </si>
  <si>
    <t>Torrens Island A</t>
  </si>
  <si>
    <t>TORRA1</t>
  </si>
  <si>
    <t xml:space="preserve">Withdrawn _x000D_
</t>
  </si>
  <si>
    <t>TORRA2, TORRA4</t>
  </si>
  <si>
    <t>Torrens Island A units TORRA2 and TORRA4 closure date of 30/09/2020 have been past for more than 12 months in Generation Information Page publication and hence these two units are dropped from this publication</t>
  </si>
  <si>
    <t>Torrens Island BESS</t>
  </si>
  <si>
    <t>TIPSCO</t>
  </si>
  <si>
    <t>Berrybank Wind Farm</t>
  </si>
  <si>
    <t>Berrbank Development Pty ltd</t>
  </si>
  <si>
    <t>BRYB1WF1</t>
  </si>
  <si>
    <t>Diapur Wind Farm</t>
  </si>
  <si>
    <t>Diapur Wind Farm Pty Ltd</t>
  </si>
  <si>
    <t>Stockyard Hill Wind Farm</t>
  </si>
  <si>
    <t>Stockyard Hill Wind Farm Pty Ltd</t>
  </si>
  <si>
    <t>STOCKYD1</t>
  </si>
  <si>
    <t>Wunghnu Solar Farm</t>
  </si>
  <si>
    <t>ib vogt GmbH / Sun Spot 3</t>
  </si>
  <si>
    <t>Correction</t>
  </si>
  <si>
    <t>Corowa Solar Farm</t>
  </si>
  <si>
    <t>Corowa Operationsco Pty Ltd as trustee for Corowa Operations Trust</t>
  </si>
  <si>
    <t>CRWASF1</t>
  </si>
  <si>
    <t>Committed. (Note that 04 May 2021 Change Log entry incorrectly listed "In Service", however, should have listed "Committed".)</t>
  </si>
  <si>
    <t>Gunnedah Solar Farm</t>
  </si>
  <si>
    <t>Gunnedah Solar Farm Pty Ltd</t>
  </si>
  <si>
    <t>Snowy Hydro Limited</t>
  </si>
  <si>
    <t>New England Solar Farm</t>
  </si>
  <si>
    <t>UPC Renewables Australia Pty Ltd</t>
  </si>
  <si>
    <t>Riverina Solar Farm</t>
  </si>
  <si>
    <t>Riverina Solar Pty Ltd</t>
  </si>
  <si>
    <t>Suntop Solar Farm</t>
  </si>
  <si>
    <t>Suntop Solar Farm Pty Ltd</t>
  </si>
  <si>
    <t>Bluegrass Solar Farm</t>
  </si>
  <si>
    <t>X-Elio Australia Pty Ltd</t>
  </si>
  <si>
    <t>CleanCo Wind Farm (Small Mac)</t>
  </si>
  <si>
    <t>ACCIONA Energy Australia Global Pty Ltd</t>
  </si>
  <si>
    <t>Duplicate Removed</t>
  </si>
  <si>
    <t>Columboola Solar Farm</t>
  </si>
  <si>
    <t>Luminous Energy</t>
  </si>
  <si>
    <t>Kaban Green Power Hub - BESS</t>
  </si>
  <si>
    <t>Neoen</t>
  </si>
  <si>
    <t>Discontinued.</t>
  </si>
  <si>
    <t>Mackay GT</t>
  </si>
  <si>
    <t>Stanwell Corporation Limited</t>
  </si>
  <si>
    <t>MACKAYGT</t>
  </si>
  <si>
    <t>Withdrawn - Permanent</t>
  </si>
  <si>
    <t>Wandoan South BESS</t>
  </si>
  <si>
    <t>Woolooga Solar Farm</t>
  </si>
  <si>
    <t>Woolooga Fund Pty Ltd</t>
  </si>
  <si>
    <t>From Committed to Anticipated</t>
  </si>
  <si>
    <t>Torrens Island B</t>
  </si>
  <si>
    <t>TORRB1</t>
  </si>
  <si>
    <t>AGL SA Generation Pty Ltd has advised that Torrens Island B Unit 1 (TORRB1) will be mothballed with six months minimum recall notice starting from October 2021 until September 2024.</t>
  </si>
  <si>
    <t>Bulgana Green Power Hub - Wind Farm</t>
  </si>
  <si>
    <t>Bulgana Wind Farm Pty Ltd</t>
  </si>
  <si>
    <t>BULGANA1</t>
  </si>
  <si>
    <t>Glenrowan West Sun Farm</t>
  </si>
  <si>
    <t>Glenrowan Sun Farm Pty Ltd</t>
  </si>
  <si>
    <t>GLRWNSF1</t>
  </si>
  <si>
    <t>Bango 973 Wind Farm</t>
  </si>
  <si>
    <t>BWF Nominees Pty Ltd as trustee for the BWF Trust</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</si>
  <si>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</si>
  <si>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</si>
  <si>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</si>
  <si>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</si>
  <si>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</si>
  <si>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</si>
  <si>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</si>
  <si>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</si>
  <si>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</si>
  <si>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</si>
  <si>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</si>
  <si>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</si>
  <si>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</si>
  <si>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</si>
  <si>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Metz Solar Farm</t>
  </si>
  <si>
    <t xml:space="preserve">Metz ProjectCo Pty Ltd as trustee for Metz ProjectCo Trust </t>
  </si>
  <si>
    <t>Molong Solar Farm</t>
  </si>
  <si>
    <t>Molong Property Co Pty Ltd as trustee for the Molong Property Trust</t>
  </si>
  <si>
    <t>MOLNGSF1</t>
  </si>
  <si>
    <t>Mugga Lane</t>
  </si>
  <si>
    <t>Nymboida</t>
  </si>
  <si>
    <t>Essential Energy</t>
  </si>
  <si>
    <t>Oaky</t>
  </si>
  <si>
    <t>Ruby Hills Wind Farm</t>
  </si>
  <si>
    <t>Walcha Energy Pty Ltd</t>
  </si>
  <si>
    <t>Teralba</t>
  </si>
  <si>
    <t>EDL (TT) Pty Ltd</t>
  </si>
  <si>
    <t>Kidston Pumped Storage Hydro Project 250MW</t>
  </si>
  <si>
    <t>Genex Power Ltd</t>
  </si>
  <si>
    <t>Middlemount Sun Farm</t>
  </si>
  <si>
    <t>Capricorn SF No1 Pty Ltd</t>
  </si>
  <si>
    <t>Roghan Road</t>
  </si>
  <si>
    <t>EDL LFG Qld Pty Ltd</t>
  </si>
  <si>
    <t>Morgan To Whyalla Pipeline No 1 PS And Water Filtration Plant</t>
  </si>
  <si>
    <t>MWPS1PV1</t>
  </si>
  <si>
    <t>Morgan To Whyalla Pipeline No 2 PS</t>
  </si>
  <si>
    <t>MWPS2PV1</t>
  </si>
  <si>
    <t>Morgan To Whyalla Pipeline No 4 PS</t>
  </si>
  <si>
    <t>MWPS4PV1</t>
  </si>
  <si>
    <t>Cattle Hill Wind Farm</t>
  </si>
  <si>
    <t>Wild Cattle Hill Pty Ltd</t>
  </si>
  <si>
    <t>CTHLWF1</t>
  </si>
  <si>
    <t>Elaine Wind Farm</t>
  </si>
  <si>
    <t>Northleaf /InfraRed/Macquarie Capital</t>
  </si>
  <si>
    <t>ELAINWF1</t>
  </si>
  <si>
    <t xml:space="preserve">In Commissioning </t>
  </si>
  <si>
    <t>Moorabool Wind Farm</t>
  </si>
  <si>
    <t>Moorabool Wind Farm Interface Company Pty Ltd</t>
  </si>
  <si>
    <t>MOORAWF1</t>
  </si>
  <si>
    <t>Biala Wind Farm</t>
  </si>
  <si>
    <t>Junee Solar Farm</t>
  </si>
  <si>
    <t>Junee Operationsco Pty Ltd as trustee for Junee Operations Trust</t>
  </si>
  <si>
    <t>Mt Piper</t>
  </si>
  <si>
    <t>EnergyAustralia NSW Pty Ltd</t>
  </si>
  <si>
    <t>MP1</t>
  </si>
  <si>
    <t>Upgrade now In Service</t>
  </si>
  <si>
    <t>Lightsource Australia SPV 4</t>
  </si>
  <si>
    <t>Cape York Battery Power Plant - Solar</t>
  </si>
  <si>
    <t>Lyon Solar</t>
  </si>
  <si>
    <t>Cape York Battery Power Plant - Storage</t>
  </si>
  <si>
    <t>Morgan To Whyalla Pipeline No 3 PS</t>
  </si>
  <si>
    <t>MWPS3PV1</t>
  </si>
  <si>
    <t>Loy Yang B</t>
  </si>
  <si>
    <t>Alinta</t>
  </si>
  <si>
    <t>LOYYB1</t>
  </si>
  <si>
    <t>Bango 999 Wind Farm</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</si>
  <si>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</si>
  <si>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</si>
  <si>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</si>
  <si>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</si>
  <si>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</si>
  <si>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</si>
  <si>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</si>
  <si>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</si>
  <si>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Solar Farm</t>
  </si>
  <si>
    <t>Sebastopol Asset Co</t>
  </si>
  <si>
    <t>Bowen Solar Farm</t>
  </si>
  <si>
    <t>Cloncurry Solar Farm</t>
  </si>
  <si>
    <t>Oakey 2 Solar Farm</t>
  </si>
  <si>
    <t>RE Oakey Pty Ltd</t>
  </si>
  <si>
    <t>OAKEY2SF</t>
  </si>
  <si>
    <t>In Commissioning. (Note that 22 July 2020 Change Log entry incorrectly listed "In Service", however, should have listed "In Commissioning".)</t>
  </si>
  <si>
    <t>Western Downs Green Power Hub</t>
  </si>
  <si>
    <t>Western Downs Green Power Hub Pty Ltd as trustee for Western Downs Green Power Hub Trust</t>
  </si>
  <si>
    <t>Western Downs Solar Farm</t>
  </si>
  <si>
    <t>N/A</t>
  </si>
  <si>
    <t>Duplicate removed</t>
  </si>
  <si>
    <t>Hornsdale Power Reserve Unit 1</t>
  </si>
  <si>
    <t>Hornsdale Power Reserve Pty Ltd</t>
  </si>
  <si>
    <t>HPRG1</t>
  </si>
  <si>
    <t>Lincoln Gap Wind Farm - stage 1</t>
  </si>
  <si>
    <t>LGAPWF1</t>
  </si>
  <si>
    <t>Temporary Generation South</t>
  </si>
  <si>
    <t>SATGS1</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</si>
  <si>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</si>
  <si>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</si>
  <si>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</si>
  <si>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</si>
  <si>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</si>
  <si>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Cherry Tree Wind Farm</t>
  </si>
  <si>
    <t>Cherry Tree Wind Farm Pty Limited A.T.F. Cherry Tree Project Trust</t>
  </si>
  <si>
    <t>CHYTWF1</t>
  </si>
  <si>
    <t>In Service. (Note that 22 July 2020 Change Log entry incorrectly listed "In Service", however, should have listed "In Commissioning".)</t>
  </si>
  <si>
    <t>Crowlands Wind Farm</t>
  </si>
  <si>
    <t>Pacific Hydro Crowlands Pty Ltd</t>
  </si>
  <si>
    <t>CROWLWF1</t>
  </si>
  <si>
    <t>Dundonnell Wind Farm</t>
  </si>
  <si>
    <t>Tilt Renewables</t>
  </si>
  <si>
    <t>DUNDWF1</t>
  </si>
  <si>
    <t>Murra Warra Wind Farm - stage 2</t>
  </si>
  <si>
    <t>Murra Warra Project Co Pty Ltd</t>
  </si>
  <si>
    <t>Maoneng Battery</t>
  </si>
  <si>
    <t>Maoneng Australia</t>
  </si>
  <si>
    <t>Corrected Region from SA1 to NSW1.</t>
  </si>
  <si>
    <t>LIMOSF11</t>
  </si>
  <si>
    <t>Upgrade now Committed</t>
  </si>
  <si>
    <t>Hallett GT</t>
  </si>
  <si>
    <t>EnergyAustralia Hallett Pty Ltd</t>
  </si>
  <si>
    <t>AGLHAL</t>
  </si>
  <si>
    <t>+35 MW increase in capacity now In Service</t>
  </si>
  <si>
    <t>Expansion now In Service</t>
  </si>
  <si>
    <t>Osborne</t>
  </si>
  <si>
    <t>Osborne Cogeneration Pty Ltd</t>
  </si>
  <si>
    <t>OSB-AG</t>
  </si>
  <si>
    <t>Origin Energy advises the closure date of the Osborne power station is 31/12/2023.</t>
  </si>
  <si>
    <t>SA Water PV Plant</t>
  </si>
  <si>
    <t>SA Water</t>
  </si>
  <si>
    <t>Nexif advises that it is in the process of completing necessary permits and other development works for moving the Temporary Generation North units to Snapper Point, as per the Agreement to Lease signed with the SA Government.</t>
  </si>
  <si>
    <t>AGL SA Generation Pty Ltd has advised that Torrens Island A unit TORRA4 will be available over winter 2020, whilst unit TORRA2 will remain mothballed, until the closure date of both units of 30/9/2020.</t>
  </si>
  <si>
    <t>Changed from Committed to Maturing</t>
  </si>
  <si>
    <t>Lincoln Gap Wind Farm - BESS</t>
  </si>
  <si>
    <t>Changed from Committed to Publicly Announced</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</si>
  <si>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</si>
  <si>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</si>
  <si>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</si>
  <si>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Callide C</t>
  </si>
  <si>
    <t xml:space="preserve">Joint Venture; Callide Energy Pty Ltd and IG Power (Callide) Ltd. </t>
  </si>
  <si>
    <t>CPP_3, CPP_4</t>
  </si>
  <si>
    <t>Corrected from 450 MW to 420 MW</t>
  </si>
  <si>
    <t>Gangarri Solar Farm</t>
  </si>
  <si>
    <t>Shell New Energies Australia Pty Ltd</t>
  </si>
  <si>
    <t>Oakey Power Station</t>
  </si>
  <si>
    <t>Oakey Power Holdings Pty Ltd</t>
  </si>
  <si>
    <t>OAKEY1, OAKEY2</t>
  </si>
  <si>
    <t>Corrected from 141 MW to 173 MW</t>
  </si>
  <si>
    <t>Mortlake</t>
  </si>
  <si>
    <t>Origin Energy Power Limited</t>
  </si>
  <si>
    <t>MORTLK11, MORTLK12</t>
  </si>
  <si>
    <t>Updated from 283 MW to 292 MW</t>
  </si>
  <si>
    <t>Bells Mountain</t>
  </si>
  <si>
    <t>AGL Energy Limited</t>
  </si>
  <si>
    <t>Duplicate removed.</t>
  </si>
  <si>
    <t>Finley Solar Farm</t>
  </si>
  <si>
    <t>Finley Solar Farm Pty Ltd as The trustee for Finley Solar Trust</t>
  </si>
  <si>
    <t>FINLYSF1</t>
  </si>
  <si>
    <t>Limondale Solar Farm 2</t>
  </si>
  <si>
    <t>LIMOSF21</t>
  </si>
  <si>
    <t>Coopers Gap Wind Farm</t>
  </si>
  <si>
    <t>PARF Company 6 Pty Limited</t>
  </si>
  <si>
    <t>COOPGWF1</t>
  </si>
  <si>
    <t>Haughton Solar Farm Stage 1</t>
  </si>
  <si>
    <t>Pacific Hydro Haughton Solar Farm Pty Ltd</t>
  </si>
  <si>
    <t>HAUGHT11</t>
  </si>
  <si>
    <t>Barker Inlet Power Station</t>
  </si>
  <si>
    <t>AGL Barker Inlet Pty Ltd</t>
  </si>
  <si>
    <t>BARKIPS1</t>
  </si>
  <si>
    <t>Yendon Wind Farm</t>
  </si>
  <si>
    <t>YENDWF1</t>
  </si>
  <si>
    <t>Correction to the Expected Closure Year value, due to a data system error.</t>
  </si>
  <si>
    <t>Eraring GT</t>
  </si>
  <si>
    <t>ERGT01</t>
  </si>
  <si>
    <t>Ladbroke Grove</t>
  </si>
  <si>
    <t>LADBROK1, LADBROK2</t>
  </si>
  <si>
    <t>Lake Bonney BESS1</t>
  </si>
  <si>
    <t>Lake Bonney BESS Pty Ltd</t>
  </si>
  <si>
    <t>LBBG1</t>
  </si>
  <si>
    <t>Quarantine</t>
  </si>
  <si>
    <t>QPS1, QPS2, QPS3, QPS4</t>
  </si>
  <si>
    <t xml:space="preserve">Changes in schedule capacity due to mothballed period. </t>
  </si>
  <si>
    <t>Various</t>
  </si>
  <si>
    <t>Full Commercial Use Date</t>
  </si>
  <si>
    <t>Full Commercial Use Date for some Committed projects have been delayed.</t>
  </si>
  <si>
    <t>Gippsland Power Pty Ltd ABN 30 077 851 079 / LYB Ventures Australia Pty Ltd ABN 57 055 984 499 / Traralgon Power Pty Ltd ABN 64 056 292 623 / Latrobe Power Pty Ltd ABN 42 055 983 563 / LYB Australia Limited ABN 87 055 563 785</t>
  </si>
  <si>
    <t>Changes in Winter 2020 scheduled capacity</t>
  </si>
  <si>
    <t>Corrected from 1000 MW to 1115 MW</t>
  </si>
  <si>
    <t>MortLK11, MortLK12</t>
  </si>
  <si>
    <t>MORTLK12</t>
  </si>
  <si>
    <t>Origin Energy expects to bring the unit back online by 20 December 2019, as specified here: https://www.originenergy.com.au/about/investors-media/media-centre/statement_on_mortlake_power_station.html</t>
  </si>
  <si>
    <t>Mt Gellibrand Wind Farm</t>
  </si>
  <si>
    <t>ACCIONA Energy</t>
  </si>
  <si>
    <t>MTGELWF1</t>
  </si>
  <si>
    <t>Correction of previous Commissioning note, plant is "In Commissioning".</t>
  </si>
  <si>
    <t>Changes in expected closure date.</t>
  </si>
  <si>
    <t>Changes in schedule capacity.</t>
  </si>
  <si>
    <t>Impact Investment Group</t>
  </si>
  <si>
    <t>Corrected from Proposed to Committed.</t>
  </si>
  <si>
    <t>South Johnstone Mill</t>
  </si>
  <si>
    <t>MSF Sugar</t>
  </si>
  <si>
    <t>Hallett Repower (expansion)</t>
  </si>
  <si>
    <t>Energy Australia</t>
  </si>
  <si>
    <t>Unit Status</t>
  </si>
  <si>
    <t>Willogoleche Wind Farm</t>
  </si>
  <si>
    <t>Willogoleche Power Pty Ltd</t>
  </si>
  <si>
    <t>WGWF1</t>
  </si>
  <si>
    <t>Corrected from In Service to In Commissioning.</t>
  </si>
  <si>
    <t>Bogong / Mackay</t>
  </si>
  <si>
    <t>AGL</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</si>
  <si>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</si>
  <si>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</si>
  <si>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</si>
  <si>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</si>
  <si>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</si>
  <si>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</si>
  <si>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</si>
  <si>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</si>
  <si>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</si>
  <si>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</si>
  <si>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</si>
  <si>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</si>
  <si>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</si>
  <si>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</si>
  <si>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</si>
  <si>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</si>
  <si>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</si>
  <si>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</si>
  <si>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Eastern Creek Energy from Waste Facility</t>
  </si>
  <si>
    <t>Next Generation NSW</t>
  </si>
  <si>
    <t>FINLEYSF1</t>
  </si>
  <si>
    <t>Changed from 133 MW to 162.36 MW (29.36 MW).</t>
  </si>
  <si>
    <t>Gloucester Gas Project</t>
  </si>
  <si>
    <t>Jupiter Wind Farm</t>
  </si>
  <si>
    <t>EPYC Pty Ltd</t>
  </si>
  <si>
    <t>Amp Power Pty Limited</t>
  </si>
  <si>
    <t>Committed.</t>
  </si>
  <si>
    <t>Smithfield Energy Facility</t>
  </si>
  <si>
    <t>Smithfield Power Generation Pty Ltd</t>
  </si>
  <si>
    <t xml:space="preserve">SITHE01   </t>
  </si>
  <si>
    <t>Changed from 170.9 MW to 185 MW (+14.1 MW).</t>
  </si>
  <si>
    <t>Snowy 2.0</t>
  </si>
  <si>
    <t>Snowy Hydro Ltd</t>
  </si>
  <si>
    <t>John Laing/Maoneng Group</t>
  </si>
  <si>
    <t>Changed from 200 MW to 228.8 MW (+28.8 MW).</t>
  </si>
  <si>
    <t>Tallawarra</t>
  </si>
  <si>
    <t xml:space="preserve">TALWA1    </t>
  </si>
  <si>
    <t>Changed from 435 MW to 440 MW (+5 MW).</t>
  </si>
  <si>
    <t>West Narrabri Electricity Generating Facility</t>
  </si>
  <si>
    <t>Woolbrook Wind Farm</t>
  </si>
  <si>
    <t>Newtricity</t>
  </si>
  <si>
    <t>Childers Solar Farm</t>
  </si>
  <si>
    <t>Childers Solar Pty Ltd</t>
  </si>
  <si>
    <t>CHILDSF1</t>
  </si>
  <si>
    <t>Clare Solar Farm</t>
  </si>
  <si>
    <t>Clare Asset Co Pty Ltd ATF Clare Asset Trust</t>
  </si>
  <si>
    <t xml:space="preserve">CLARESF1  </t>
  </si>
  <si>
    <t>Changed from 100 MW to 110.4 MW (+10.4 MW).</t>
  </si>
  <si>
    <t>Clermont Solar Farm</t>
  </si>
  <si>
    <t>Clermont Asset Co Pty Ltd as Trustee for Clerrmont Solar Unit Trust</t>
  </si>
  <si>
    <t>CLERMSF1</t>
  </si>
  <si>
    <t>Collinsville PV</t>
  </si>
  <si>
    <t xml:space="preserve">CSPVPS1   </t>
  </si>
  <si>
    <t>Darling Downs Solar Farm</t>
  </si>
  <si>
    <t>Darling Downs Solar Farm Pty Ltd</t>
  </si>
  <si>
    <t xml:space="preserve">DDSF1     </t>
  </si>
  <si>
    <t>Changed from 108.5 MW to 121 MW (+12.5 MW).</t>
  </si>
  <si>
    <t>Daydream Solar Farm</t>
  </si>
  <si>
    <t>The Daydream Solar Farm Trust</t>
  </si>
  <si>
    <t xml:space="preserve">DAYDSF1   </t>
  </si>
  <si>
    <t>Emerald Solar Park</t>
  </si>
  <si>
    <t>Lighthouse Infrastructure Management Limited</t>
  </si>
  <si>
    <t xml:space="preserve">EMERASF1  </t>
  </si>
  <si>
    <t>Group Linen - Princess Alexandra</t>
  </si>
  <si>
    <t>Group Linen</t>
  </si>
  <si>
    <t>Changed from 100 MW to 132.6 MW (+32.6 MW).</t>
  </si>
  <si>
    <t>Hayman Solar Farm</t>
  </si>
  <si>
    <t>The Hayman Solar Farm Trust</t>
  </si>
  <si>
    <t>HAYMSF1</t>
  </si>
  <si>
    <t xml:space="preserve">Impact Investment Group_x000D_
</t>
  </si>
  <si>
    <t>Mount Emerald</t>
  </si>
  <si>
    <t xml:space="preserve">MEWF1     </t>
  </si>
  <si>
    <t>Susan River Solar Farm</t>
  </si>
  <si>
    <t>Susan River Solar Pty Ltd</t>
  </si>
  <si>
    <t>SRSF1</t>
  </si>
  <si>
    <t>Teebar Solar One</t>
  </si>
  <si>
    <t>Teebar Clean Energy Pty Ltd</t>
  </si>
  <si>
    <t>Changed from Committed* to Publicly Announced.</t>
  </si>
  <si>
    <t>Windy Hill II</t>
  </si>
  <si>
    <t>Bungala One Solar Farm</t>
  </si>
  <si>
    <t>Enel Green Power</t>
  </si>
  <si>
    <t>BNGSF1</t>
  </si>
  <si>
    <t>Changed from 110 MW to 135 MW (+25 MW).</t>
  </si>
  <si>
    <t>Bungala Two Solar Farm</t>
  </si>
  <si>
    <t>BNGSF2</t>
  </si>
  <si>
    <t>Changed from Committed* to Emerging.</t>
  </si>
  <si>
    <t>Lincoln Gap Wind Farm PTY LTD</t>
  </si>
  <si>
    <t xml:space="preserve">LGAPWF1   </t>
  </si>
  <si>
    <t>Port Augusta Graphite Energy - CST</t>
  </si>
  <si>
    <t>Solastor Pty Ltd</t>
  </si>
  <si>
    <t>On hold.</t>
  </si>
  <si>
    <t>Port Augusta Graphite Energy - PV</t>
  </si>
  <si>
    <t xml:space="preserve">QPS1      </t>
  </si>
  <si>
    <t>Changed from 224 MW to 229 MW (+5 MW).</t>
  </si>
  <si>
    <t>SA Government Virtual Power Plant - stage 2</t>
  </si>
  <si>
    <t>Government of South Australia</t>
  </si>
  <si>
    <t>Simply Energy VPP</t>
  </si>
  <si>
    <t>Simply Energy</t>
  </si>
  <si>
    <t xml:space="preserve">WGWF1     </t>
  </si>
  <si>
    <t>Yorke Peninsula Biomass</t>
  </si>
  <si>
    <t>Kallis Family Trust</t>
  </si>
  <si>
    <t>Changed from 144 MW to 153.6 MW (+9.6 MW).</t>
  </si>
  <si>
    <t>G7 Generation</t>
  </si>
  <si>
    <t>Announced Withdrawal – Short Term Recall</t>
  </si>
  <si>
    <t>Tamar Valley CCGT</t>
  </si>
  <si>
    <t>AETV Pty Ltd advises that Tamar Valley combined-cycle gas turbine (CCGT) is not in regular service and may return to service at its discretion with less than three months’ lead time. .</t>
  </si>
  <si>
    <t>Bannerton Solar Park</t>
  </si>
  <si>
    <t>Foresight Solar Australia Pty Ltd</t>
  </si>
  <si>
    <t>BANN1</t>
  </si>
  <si>
    <t>Bulgana Green Power Hub - BESS</t>
  </si>
  <si>
    <t>Changed from 194 MW to 204.4 MW (+10.4 MW).</t>
  </si>
  <si>
    <t>Cohuna Solar Farm</t>
  </si>
  <si>
    <t>Cohuna Solar Farm Pty Ltd</t>
  </si>
  <si>
    <t>Changed from Committed to Committed*.</t>
  </si>
  <si>
    <t>Newport</t>
  </si>
  <si>
    <t>EnergyAustralia Ecogen Pty Ltd</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</si>
  <si>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</si>
  <si>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</si>
  <si>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</si>
  <si>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</si>
  <si>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</si>
  <si>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</si>
  <si>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</si>
  <si>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</si>
  <si>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</si>
  <si>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</si>
  <si>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Spring Hill Wind Farm</t>
  </si>
  <si>
    <t>BayWa r.e.</t>
  </si>
  <si>
    <t>Wemen Solar Farm</t>
  </si>
  <si>
    <t>Wemen Asset Co Pty Ltd as Trustee to Wemen Solar Unit Trust</t>
  </si>
  <si>
    <t>WEMENSF1</t>
  </si>
  <si>
    <t>West Kiewa</t>
  </si>
  <si>
    <t xml:space="preserve">WKIEWA1   </t>
  </si>
  <si>
    <t>Changed from 60 MW to 68 MW (+8 MW).</t>
  </si>
  <si>
    <t>Changed from 81 MW to 94 MW (+13 MW).</t>
  </si>
  <si>
    <t>Service commenced</t>
  </si>
  <si>
    <t xml:space="preserve">Crookwell 2 Wind Farm </t>
  </si>
  <si>
    <t>Crookwell Development Pty Ltd advises that Crookwell 2 Wind Farm (91 MW) is operational.</t>
  </si>
  <si>
    <t>Tailem Bend - Solar</t>
  </si>
  <si>
    <t>Vena Energy advises that Tailem Bend - Solar (108MW) is operational.</t>
  </si>
  <si>
    <t>Ballarat Energy Storage System</t>
  </si>
  <si>
    <t>AusNet Services advises that Ballarat Energy Storage System (30 MW) is operational.  .</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</si>
  <si>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</si>
  <si>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</si>
  <si>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</si>
  <si>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Karadoc Solar Farm</t>
  </si>
  <si>
    <t>Overland Sun Farming Pty Ltd advises that Karadoc Solar Farm (90 MW) is operational.</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</si>
  <si>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</si>
  <si>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</si>
  <si>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</si>
  <si>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</si>
  <si>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 xml:space="preserve"> Neoen advises that Numurkah Solar Farm (100MW) is undergoing commissioning testing.</t>
  </si>
  <si>
    <t>BayWa r.e. advises that Yatpool Solar Farm (81 MW) is now a committed project.</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</si>
  <si>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</si>
  <si>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</si>
  <si>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</si>
  <si>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</si>
  <si>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</si>
  <si>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</si>
  <si>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</si>
  <si>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</si>
  <si>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Hughenden Sun Farm</t>
  </si>
  <si>
    <t>BayWa r.e. advises that Hughenden Sun Farm (18 MW) is now a committed project.</t>
  </si>
  <si>
    <t>AEMO has revised the Summer Scheduled Capacities of Townsville Power Station in 201819, 201920 from 115 MW to 233 MW; AEMO has also revised the Winter Scheduled Capacities of Townsville Power Station in 2019, 2020 from 163 MW,161 MW to 245 MW, 243 MW.</t>
  </si>
  <si>
    <t>Warwick Solar Farm</t>
  </si>
  <si>
    <t>University of Queensland advises that Warwick Solar Farm (64.2 MW) is now a committed project.</t>
  </si>
  <si>
    <t>BHP Olympic Dam Backup Generation</t>
  </si>
  <si>
    <t>BHP Billiton advises that BHP Olympic Dam Backup Generation (30 MW) is installed for emergency back-up supplies to the Olympic Dam Plant and township of Roxby Downs.</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</si>
  <si>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</si>
  <si>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</si>
  <si>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</si>
  <si>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Pelican Point</t>
  </si>
  <si>
    <t>Pelican Point Power Limited advises that Pelican Point Nameplate capacity has been revised from 478 MW to 529 MW (+51 MW). The available capacity has been revised from 458 MW to 478 MW (+20 MW) in summer, and from 474 MW to 529 MW (+55 MW) in winter.</t>
  </si>
  <si>
    <t>Temporary Generation North and Temporary Generation South</t>
  </si>
  <si>
    <t>SA Power Networks advises that Temporary Generation North (154 MW) and Temporary Generation South (123.2 MW) has changed registration status from Scheduled to Non-Scheduled.</t>
  </si>
  <si>
    <t>AEMO advises that due to an error, the Nameplate Capacity of Willogoleche Wind Farm (previously 95-125 MW) has been corrected to Willogoleche Wind Farm (119.4 MW).</t>
  </si>
  <si>
    <t>AusNet Services advises that Ballarat Energy Storage System (30 MW) is operational.</t>
  </si>
  <si>
    <t>Bannerton Solar Farm</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</si>
  <si>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</si>
  <si>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</si>
  <si>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</si>
  <si>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</si>
  <si>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Gannawarra Energy Storage System</t>
  </si>
  <si>
    <t>GESS Co advises that Gannawarra Energy Storage System (25 MW/50 MWh) is undergoing commissioning testing.</t>
  </si>
  <si>
    <t>Gannawarra Solar Farm</t>
  </si>
  <si>
    <t>Gannawarra Solar Farm Pty Ltd advises that the nameplate capacity of Gannawarra Solar Farm (previously 50 MW) needs to be corrected to Gannawarra Solar Farm (55 MW).</t>
  </si>
  <si>
    <t>Northleaf /InfraRed/Macquarie Capital advises that Lal Lal Wind Energy Facility - Elaine end (83.6 MW) is now a committed project.</t>
  </si>
  <si>
    <t>Northleaf /InfraRed/Macquarie Capital advises that Lal Lal Wind Energy Facility - Yendon end (144.4 MW) is now a committed project.</t>
  </si>
  <si>
    <t>Neoen advises that Numurkah Solar Farm (100MW) is undergoing commissioning testing.</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</si>
  <si>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</si>
  <si>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Renew Estate advises that Bomen Solar Farm (120 MW) is now a committed project.</t>
  </si>
  <si>
    <t>Charlestown Square Cogeneration</t>
  </si>
  <si>
    <t>GPT RE Limited advises that Charlestown Square Cogeneration (2.8 MW) has been permanently decommissioned (withdrawn) since June 2018.</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</si>
  <si>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</si>
  <si>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</si>
  <si>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</si>
  <si>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</si>
  <si>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</si>
  <si>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</si>
  <si>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</si>
  <si>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</si>
  <si>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</si>
  <si>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</si>
  <si>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</si>
  <si>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</si>
  <si>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</si>
  <si>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</si>
  <si>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</si>
  <si>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</si>
  <si>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Solar Farm</t>
  </si>
  <si>
    <t>Ross River Operations Pty Ltd advises that Ross River Solar Farm (128 MW) is undergoing commissioning testing.</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</si>
  <si>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</si>
  <si>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</si>
  <si>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</si>
  <si>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</si>
  <si>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</si>
  <si>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</si>
  <si>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</si>
  <si>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</si>
  <si>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</si>
  <si>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</si>
  <si>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</si>
  <si>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</si>
  <si>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</si>
  <si>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</si>
  <si>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</si>
  <si>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</si>
  <si>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</si>
  <si>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</si>
  <si>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</si>
  <si>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</si>
  <si>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</si>
  <si>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</si>
  <si>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</si>
  <si>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</si>
  <si>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</si>
  <si>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</si>
  <si>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</si>
  <si>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</si>
  <si>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</si>
  <si>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</si>
  <si>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</si>
  <si>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</si>
  <si>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</si>
  <si>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</si>
  <si>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Alinta Energy is reviewing the Loy Yang B upgrade project, and will provide an update before the 2018-19 Summer season.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</si>
  <si>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</si>
  <si>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</si>
  <si>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</si>
  <si>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</si>
  <si>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</si>
  <si>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</si>
  <si>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</si>
  <si>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</si>
  <si>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</si>
  <si>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</si>
  <si>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</si>
  <si>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</si>
  <si>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Salt Creek Wind Farm</t>
  </si>
  <si>
    <t>Tilt Renewables advises that Salt Creek Wind Farm (54 MW) is now a committed project.</t>
  </si>
  <si>
    <t>AGL has advised Bayswater Power Station will increase capacity by 25 MW each Winter from 2019 to 2022.</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</si>
  <si>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</si>
  <si>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</si>
  <si>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</si>
  <si>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</si>
  <si>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</si>
  <si>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</si>
  <si>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</si>
  <si>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</si>
  <si>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</si>
  <si>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</si>
  <si>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</si>
  <si>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</si>
  <si>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</si>
  <si>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</si>
  <si>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</si>
  <si>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</si>
  <si>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</si>
  <si>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</si>
  <si>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</si>
  <si>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</si>
  <si>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</si>
  <si>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</si>
  <si>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</si>
  <si>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</si>
  <si>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</si>
  <si>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</si>
  <si>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</si>
  <si>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</si>
  <si>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</si>
  <si>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</si>
  <si>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</si>
  <si>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</si>
  <si>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</si>
  <si>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</si>
  <si>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</si>
  <si>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</si>
  <si>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</si>
  <si>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</si>
  <si>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</si>
  <si>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</si>
  <si>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</si>
  <si>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</si>
  <si>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</si>
  <si>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Swanbank E GT</t>
  </si>
  <si>
    <t>Stanwell Corporation Limited advises that Swanbank E GT (385 MW) has returned to service.</t>
  </si>
  <si>
    <t>Tableland Mill</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</si>
  <si>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</si>
  <si>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</si>
  <si>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</si>
  <si>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</si>
  <si>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</si>
  <si>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</si>
  <si>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</si>
  <si>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</si>
  <si>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</si>
  <si>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</si>
  <si>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</si>
  <si>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</si>
  <si>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</si>
  <si>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</si>
  <si>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Energy Pacific Vic Pty Ltd advises that Crowlands Wind Farm (80 MW) is now a committed project.</t>
  </si>
  <si>
    <t>Gannawarra Solar Farm Pty Ltd advises that Gannawarra Solar Farm has increased from 50 MW to 55 MW.</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</si>
  <si>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</si>
  <si>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</si>
  <si>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</si>
  <si>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</si>
  <si>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</si>
  <si>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</si>
  <si>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</si>
  <si>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</si>
  <si>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</si>
  <si>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</si>
  <si>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</si>
  <si>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</si>
  <si>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t>
  </si>
  <si>
    <t>Mugga Lane Solar Park Pty Ltd advises that Mugga Lane Solar Park (13 MW) is now an existing generator with full commercial operation having commenced in 2017.</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</si>
  <si>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</si>
  <si>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</si>
  <si>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</si>
  <si>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</si>
  <si>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</si>
  <si>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Grosvenor 1</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</si>
  <si>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</si>
  <si>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</si>
  <si>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</si>
  <si>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</si>
  <si>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</si>
  <si>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</si>
  <si>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</si>
  <si>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</si>
  <si>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</si>
  <si>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</si>
  <si>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</si>
  <si>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</si>
  <si>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</si>
  <si>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</si>
  <si>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</si>
  <si>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</si>
  <si>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</si>
  <si>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</si>
  <si>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</si>
  <si>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</si>
  <si>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</si>
  <si>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</si>
  <si>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</si>
  <si>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</si>
  <si>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</si>
  <si>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</si>
  <si>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</si>
  <si>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</si>
  <si>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</si>
  <si>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</si>
  <si>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Griffith Solar Farm</t>
  </si>
  <si>
    <t>Griffith Solar Farm Pty Ltd advises that Griffith Solar Farm (29 MW) is now a committed project.</t>
  </si>
  <si>
    <t>Parkes Solar Farm</t>
  </si>
  <si>
    <t>Parkes Solar Farm Pty Ltd advises that Parkes Solar Farm (55 MW) is now a committed project.</t>
  </si>
  <si>
    <t>Williamsdale Solar Farm</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</si>
  <si>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</si>
  <si>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</si>
  <si>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</si>
  <si>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</si>
  <si>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</si>
  <si>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</si>
  <si>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</si>
  <si>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</si>
  <si>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</si>
  <si>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Oaky Creek 2</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</si>
  <si>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</si>
  <si>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</si>
  <si>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</si>
  <si>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</si>
  <si>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</si>
  <si>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</si>
  <si>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</si>
  <si>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</si>
  <si>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</si>
  <si>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</si>
  <si>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</si>
  <si>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</si>
  <si>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</si>
  <si>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</si>
  <si>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</si>
  <si>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</si>
  <si>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</si>
  <si>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</si>
  <si>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</si>
  <si>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</si>
  <si>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</si>
  <si>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</si>
  <si>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</si>
  <si>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EDL OCI advises that Oaky Creek 2 (15MW) is a committed project.</t>
  </si>
  <si>
    <t>Angaston</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</si>
  <si>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</si>
  <si>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</si>
  <si>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</si>
  <si>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</si>
  <si>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</si>
  <si>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</si>
  <si>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</si>
  <si>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</si>
  <si>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</si>
  <si>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</si>
  <si>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</si>
  <si>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</si>
  <si>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</si>
  <si>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</si>
  <si>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</si>
  <si>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</si>
  <si>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</si>
  <si>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</si>
  <si>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</si>
  <si>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</si>
  <si>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</si>
  <si>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</si>
  <si>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</si>
  <si>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</si>
  <si>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</si>
  <si>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</si>
  <si>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</si>
  <si>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</si>
  <si>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</si>
  <si>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</si>
  <si>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</si>
  <si>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</si>
  <si>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</si>
  <si>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</si>
  <si>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</si>
  <si>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</si>
  <si>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</si>
  <si>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</si>
  <si>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</si>
  <si>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</si>
  <si>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</si>
  <si>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</si>
  <si>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</si>
  <si>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</si>
  <si>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</si>
  <si>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</si>
  <si>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</si>
  <si>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</si>
  <si>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</si>
  <si>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</si>
  <si>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</si>
  <si>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</si>
  <si>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</si>
  <si>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</si>
  <si>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</si>
  <si>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</si>
  <si>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</si>
  <si>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</si>
  <si>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</si>
  <si>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</si>
  <si>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</si>
  <si>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</si>
  <si>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</si>
  <si>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</si>
  <si>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</si>
  <si>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</si>
  <si>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</si>
  <si>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</si>
  <si>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</si>
  <si>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</si>
  <si>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</si>
  <si>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</si>
  <si>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</si>
  <si>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</si>
  <si>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</si>
  <si>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</si>
  <si>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</si>
  <si>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</si>
  <si>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</si>
  <si>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</si>
  <si>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</si>
  <si>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</si>
  <si>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</si>
  <si>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</si>
  <si>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</si>
  <si>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</si>
  <si>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</si>
  <si>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</si>
  <si>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</si>
  <si>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</si>
  <si>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</si>
  <si>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</si>
  <si>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</si>
  <si>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</si>
  <si>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</si>
  <si>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</si>
  <si>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</si>
  <si>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</si>
  <si>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</si>
  <si>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</si>
  <si>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</si>
  <si>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</si>
  <si>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</si>
  <si>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</si>
  <si>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</si>
  <si>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</si>
  <si>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</si>
  <si>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</si>
  <si>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</si>
  <si>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</si>
  <si>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</si>
  <si>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</si>
  <si>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</si>
  <si>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</si>
  <si>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</si>
  <si>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</si>
  <si>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</si>
  <si>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</si>
  <si>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</si>
  <si>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</si>
  <si>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</si>
  <si>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</si>
  <si>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</si>
  <si>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</si>
  <si>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</si>
  <si>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</si>
  <si>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</si>
  <si>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</si>
  <si>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</si>
  <si>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</si>
  <si>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</si>
  <si>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</si>
  <si>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</si>
  <si>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</si>
  <si>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</si>
  <si>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</si>
  <si>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</si>
  <si>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</si>
  <si>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</si>
  <si>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</si>
  <si>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</si>
  <si>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</si>
  <si>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</si>
  <si>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</si>
  <si>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</si>
  <si>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</si>
  <si>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</si>
  <si>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</si>
  <si>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</si>
  <si>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</si>
  <si>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</si>
  <si>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</si>
  <si>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Daandine Power Station</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</si>
  <si>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</si>
  <si>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</si>
  <si>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</si>
  <si>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</si>
  <si>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</si>
  <si>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</si>
  <si>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</si>
  <si>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</si>
  <si>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</si>
  <si>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</si>
  <si>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</si>
  <si>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</si>
  <si>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</si>
  <si>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</si>
  <si>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</si>
  <si>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</si>
  <si>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</si>
  <si>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</si>
  <si>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</si>
  <si>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</si>
  <si>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</si>
  <si>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</si>
  <si>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Broken Hill</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</si>
  <si>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</si>
  <si>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</si>
  <si>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</si>
  <si>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</si>
  <si>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</si>
  <si>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</si>
  <si>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</si>
  <si>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</si>
  <si>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</si>
  <si>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</si>
  <si>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</si>
  <si>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</si>
  <si>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</si>
  <si>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</si>
  <si>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</si>
  <si>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</si>
  <si>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</si>
  <si>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</si>
  <si>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</si>
  <si>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</si>
  <si>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</si>
  <si>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</si>
  <si>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</si>
  <si>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</si>
  <si>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</si>
  <si>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</si>
  <si>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</si>
  <si>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</si>
  <si>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</si>
  <si>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</si>
  <si>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</si>
  <si>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</si>
  <si>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</si>
  <si>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</si>
  <si>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</si>
  <si>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</si>
  <si>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</si>
  <si>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</si>
  <si>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</si>
  <si>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</si>
  <si>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</si>
  <si>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</si>
  <si>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</si>
  <si>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the upgrade to Unit 1 was completed and returned back to service on February 2013. The upgrade was a revamp of the unit where some efficiency gains are expected.</t>
  </si>
  <si>
    <t>Hydro-Electric Corporation advises an upgrade to Unit 2, a revamp of the existing unit where some efficiency gains are expected. The upgrade to be completed in November 2013.</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</si>
  <si>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</si>
  <si>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</si>
  <si>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</si>
  <si>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</si>
  <si>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</si>
  <si>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 Farm</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</si>
  <si>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</si>
  <si>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</si>
  <si>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Qenos Cogeneration Facility</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</si>
  <si>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</si>
  <si>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</si>
  <si>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</si>
  <si>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</si>
  <si>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</si>
  <si>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</si>
  <si>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</si>
  <si>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</si>
  <si>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</si>
  <si>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</si>
  <si>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</si>
  <si>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</si>
  <si>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</si>
  <si>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</si>
  <si>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</si>
  <si>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</si>
  <si>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TrustPower advises that the Snowtown 2 project is now in a Committed status. Snowtown Stage 2 project will consist of two separately.</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</si>
  <si>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</si>
  <si>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</si>
  <si>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</si>
  <si>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</si>
  <si>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</si>
  <si>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</si>
  <si>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</si>
  <si>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</si>
  <si>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</si>
  <si>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</si>
  <si>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</si>
  <si>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</si>
  <si>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</si>
  <si>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</si>
  <si>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</si>
  <si>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</si>
  <si>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</si>
  <si>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</si>
  <si>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</si>
  <si>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</si>
  <si>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</si>
  <si>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</si>
  <si>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</si>
  <si>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</si>
  <si>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</si>
  <si>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</si>
  <si>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</si>
  <si>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</si>
  <si>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</si>
  <si>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</si>
  <si>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</si>
  <si>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</si>
  <si>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</si>
  <si>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</si>
  <si>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</si>
  <si>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</si>
  <si>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</si>
  <si>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</si>
  <si>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</si>
  <si>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</si>
  <si>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</si>
  <si>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</si>
  <si>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</si>
  <si>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</si>
  <si>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</si>
  <si>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</si>
  <si>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</si>
  <si>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</si>
  <si>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</si>
  <si>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</si>
  <si>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</si>
  <si>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</si>
  <si>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</si>
  <si>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</si>
  <si>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</si>
  <si>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</si>
  <si>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</si>
  <si>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</si>
  <si>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</si>
  <si>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</si>
  <si>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</si>
  <si>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</si>
  <si>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</si>
  <si>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</si>
  <si>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</si>
  <si>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</si>
  <si>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</si>
  <si>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</si>
  <si>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</si>
  <si>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</si>
  <si>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</si>
  <si>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</si>
  <si>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</si>
  <si>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</si>
  <si>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</si>
  <si>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</si>
  <si>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</si>
  <si>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</si>
  <si>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</si>
  <si>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</si>
  <si>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</si>
  <si>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</si>
  <si>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</si>
  <si>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</si>
  <si>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</si>
  <si>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</si>
  <si>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</si>
  <si>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</si>
  <si>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</si>
  <si>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</si>
  <si>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</si>
  <si>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</si>
  <si>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</si>
  <si>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</si>
  <si>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</si>
  <si>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</si>
  <si>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</si>
  <si>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</si>
  <si>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</si>
  <si>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</si>
  <si>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</si>
  <si>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</si>
  <si>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</si>
  <si>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</si>
  <si>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</si>
  <si>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</si>
  <si>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</si>
  <si>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Projects that are highly likely to proceed, satisfying Land, Finance and Construction criteria plus either Planning or Components criteria. Progress towards meeting the final criteria is also evidenced and construction or installation has also commenced.  Typically, Committed* projects are included in sensitivity analysis for MLF calculations and in the base case for reliability assessments.</t>
  </si>
  <si>
    <t>Scheduled and semi-scheduled generation projects that are sufficiently progressed towards meeting at least three of the five commitment criteria are assigned a commitment status classification of anticipated for ISP purposes.  If a generation information survey has not been submitted by the project proponent in the previous six months the project will no longer be classified as anticipated.Typically, anticipated projects are included in integrated system planning, but not in reliability assessments.</t>
  </si>
  <si>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</si>
  <si>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</si>
  <si>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</si>
  <si>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</si>
  <si>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</si>
  <si>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</si>
  <si>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</si>
  <si>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</si>
  <si>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</si>
  <si>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</si>
  <si>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</si>
  <si>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</si>
  <si>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</si>
  <si>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</si>
  <si>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Notifiable Exemptions</t>
  </si>
  <si>
    <t>·         Note that a Generating System may operate unregistered for up to a 30-day period under a Notifiable Exemption as permitted under NER 2.2.1 &amp; 5.3.4.</t>
  </si>
  <si>
    <t>·         This requires special operating procedures to ensure the highest combined nameplate rating of the generating units simultaneously connected at any time is limited to less than 5 MW.</t>
  </si>
  <si>
    <t>·         The Generator may apply for a subsequent Notifiable Exemption period, to commence at the end of the preceding Notifiable Exemption period.</t>
  </si>
  <si>
    <t>·         Hence it is possible for any number of Generating Units &lt; 5MW within a Generating System, to be individually commissioned on-site before the Generating System is Registered in the NEM.</t>
  </si>
  <si>
    <t>·         Notifiable Exemptions are published in the NEM Registration and Exemption List within the “Exemption – Small Generation” worksheet.</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</si>
  <si>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</si>
  <si>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</si>
  <si>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</si>
  <si>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</si>
  <si>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One or more Generating Units with Aggregate Nameplate Capacity ≥ 30 MW</t>
  </si>
  <si>
    <t>Existing Plant</t>
  </si>
  <si>
    <t>A Hold Point Test ≥ 30MW has not yet been signed-off by AEMO Network Development.</t>
  </si>
  <si>
    <t>Successful completion / sign-off of the earliest Hold Point Test that is ≥ 30MW.
Note: This will be confirmed by AEMO Network Development.</t>
  </si>
  <si>
    <t>All Hold Point Tests completed / signed-off by AEMO Network Development.
Note: This will be confirmed by AEMO Network Development.</t>
  </si>
  <si>
    <t>A Generating Unit &lt; 30MW within an Existing Generating System ≥ 30MW</t>
  </si>
  <si>
    <r>
      <t xml:space="preserve">A Hold Point Test for 100% of the Generating Unit Nameplate Capacity </t>
    </r>
    <r>
      <rPr>
        <sz val="8"/>
        <color theme="1"/>
        <rFont val="Arial"/>
        <family val="2"/>
      </rPr>
      <t>has not yet been signed-off by AEMO Network Development.</t>
    </r>
  </si>
  <si>
    <t>All Hold Point Tests have been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</si>
  <si>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</si>
  <si>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</si>
  <si>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</si>
  <si>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</si>
  <si>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</si>
  <si>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</si>
  <si>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</si>
  <si>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</si>
  <si>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</si>
  <si>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</si>
  <si>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</si>
  <si>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</si>
  <si>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</si>
  <si>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</si>
  <si>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</si>
  <si>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</si>
  <si>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</si>
  <si>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</si>
  <si>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</si>
  <si>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</si>
  <si>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</si>
  <si>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Existing Generation and New Developments</t>
  </si>
  <si>
    <t>Site Name</t>
  </si>
  <si>
    <t>Technology Type</t>
  </si>
  <si>
    <t>Fuel Type</t>
  </si>
  <si>
    <t>Number of Units</t>
  </si>
  <si>
    <t>Nameplate Capacity (MW)</t>
  </si>
  <si>
    <t>Storage Capacity (MWh)</t>
  </si>
  <si>
    <t>Status Bucket Summary</t>
  </si>
  <si>
    <t>Fuel Bucket Summary</t>
  </si>
  <si>
    <t>Survey Version DateTime</t>
  </si>
  <si>
    <t>101 Miller Street</t>
  </si>
  <si>
    <t>Reciprocating Engine - Spark ignition</t>
  </si>
  <si>
    <t>Natural Gas Pipeline</t>
  </si>
  <si>
    <t>2.33</t>
  </si>
  <si>
    <t>NS</t>
  </si>
  <si>
    <t>Mar 2022</t>
  </si>
  <si>
    <t>133 Castlereagh St</t>
  </si>
  <si>
    <t>Reciprocating Engine - Compression ignition</t>
  </si>
  <si>
    <t>1</t>
  </si>
  <si>
    <t>20 Bond St</t>
  </si>
  <si>
    <t>0.6</t>
  </si>
  <si>
    <t>2022</t>
  </si>
  <si>
    <t>200 Victoria St</t>
  </si>
  <si>
    <t>0.386</t>
  </si>
  <si>
    <t>275 Kent St</t>
  </si>
  <si>
    <t>1.2</t>
  </si>
  <si>
    <t>2024</t>
  </si>
  <si>
    <t>321 Exhibition Street Trigen</t>
  </si>
  <si>
    <t>Cogent Energy</t>
  </si>
  <si>
    <t>2023</t>
  </si>
  <si>
    <t>40 Mount St</t>
  </si>
  <si>
    <t>0.8</t>
  </si>
  <si>
    <t>8 Chifley Place</t>
  </si>
  <si>
    <t>0.4</t>
  </si>
  <si>
    <t>2025</t>
  </si>
  <si>
    <t>990 Latrobe St</t>
  </si>
  <si>
    <t>2027</t>
  </si>
  <si>
    <t>Project</t>
  </si>
  <si>
    <t>Acacia SF</t>
  </si>
  <si>
    <t>Venn Artibir Group Pty Ltd</t>
  </si>
  <si>
    <t>Solar</t>
  </si>
  <si>
    <t>N00070</t>
  </si>
  <si>
    <t>ACT Renewables Battery Storage</t>
  </si>
  <si>
    <t>Storage - Battery</t>
  </si>
  <si>
    <t>12</t>
  </si>
  <si>
    <t>TBA</t>
  </si>
  <si>
    <t>N00010</t>
  </si>
  <si>
    <t>Sep 2021</t>
  </si>
  <si>
    <t>Adelaide Airport</t>
  </si>
  <si>
    <t>Adelaide Airport Ltd</t>
  </si>
  <si>
    <t>Solar PV - Fixed</t>
  </si>
  <si>
    <t>0.04</t>
  </si>
  <si>
    <t>Apr 2021</t>
  </si>
  <si>
    <t>0.96</t>
  </si>
  <si>
    <t>6.27</t>
  </si>
  <si>
    <t>S</t>
  </si>
  <si>
    <t>May 2022</t>
  </si>
  <si>
    <t>2041</t>
  </si>
  <si>
    <t>11</t>
  </si>
  <si>
    <t>SS</t>
  </si>
  <si>
    <t>13.72</t>
  </si>
  <si>
    <t>Jul 2022</t>
  </si>
  <si>
    <t>Adelaide Zoo Solar System</t>
  </si>
  <si>
    <t>0.1508</t>
  </si>
  <si>
    <t>Aeroten Leongatha Solar</t>
  </si>
  <si>
    <t>0.1996</t>
  </si>
  <si>
    <t>AGL VPP</t>
  </si>
  <si>
    <t>Storage - Virtual Power Plant</t>
  </si>
  <si>
    <t>5</t>
  </si>
  <si>
    <t>Alberton Wind Farm</t>
  </si>
  <si>
    <t>Synergy Wind Pty Ltd</t>
  </si>
  <si>
    <t>Wind Turbine - Onshore</t>
  </si>
  <si>
    <t>122.4</t>
  </si>
  <si>
    <t>Albury Renewable Energy Facility</t>
  </si>
  <si>
    <t>Landfill Gas</t>
  </si>
  <si>
    <t>1.123</t>
  </si>
  <si>
    <t>2037</t>
  </si>
  <si>
    <t>Aldi Brendale</t>
  </si>
  <si>
    <t>0.931</t>
  </si>
  <si>
    <t>Aldoga Solar Farm</t>
  </si>
  <si>
    <t>Acciona Energy Australia Global Pty Ltd</t>
  </si>
  <si>
    <t>Solar PV - Single axis tracking</t>
  </si>
  <si>
    <t>316.5</t>
  </si>
  <si>
    <t>Diesel</t>
  </si>
  <si>
    <t>ANGAST1</t>
  </si>
  <si>
    <t>20</t>
  </si>
  <si>
    <t>2070</t>
  </si>
  <si>
    <t>30</t>
  </si>
  <si>
    <t>Appin</t>
  </si>
  <si>
    <t>EDL CSM NSW Pty Ltd</t>
  </si>
  <si>
    <t>Waste Coal Mine Gas</t>
  </si>
  <si>
    <t>APPIN</t>
  </si>
  <si>
    <t>55.62</t>
  </si>
  <si>
    <t>2036</t>
  </si>
  <si>
    <t>Apsley BESS Project</t>
  </si>
  <si>
    <t>Acenergy</t>
  </si>
  <si>
    <t>N00063</t>
  </si>
  <si>
    <t>Aquila Wind Farm</t>
  </si>
  <si>
    <t>ACEN Australia Pty Ltd</t>
  </si>
  <si>
    <t>500</t>
  </si>
  <si>
    <t>Aramara Solar Farm</t>
  </si>
  <si>
    <t>Aramara Solar Pty Ltd</t>
  </si>
  <si>
    <t>101.4</t>
  </si>
  <si>
    <t>Mar 2024</t>
  </si>
  <si>
    <t>2048</t>
  </si>
  <si>
    <t>Jun 2022</t>
  </si>
  <si>
    <t>Ararat Wind Farm Pty Ltd</t>
  </si>
  <si>
    <t>ARWF1</t>
  </si>
  <si>
    <t>240</t>
  </si>
  <si>
    <t>2047</t>
  </si>
  <si>
    <t>Archer Point Wind Farm</t>
  </si>
  <si>
    <t>Wind Power Queensland Pty Ltd</t>
  </si>
  <si>
    <t>120</t>
  </si>
  <si>
    <t>Argyle Solar Farm</t>
  </si>
  <si>
    <t>Argyle Solar Farm Pty Ltd</t>
  </si>
  <si>
    <t>59.8</t>
  </si>
  <si>
    <t>Armidale BESS (150)</t>
  </si>
  <si>
    <t>Armidale BESS Project Pty Ltd</t>
  </si>
  <si>
    <t>N00057</t>
  </si>
  <si>
    <t>Armidale Pumped Hydro</t>
  </si>
  <si>
    <t>UPC Renewables</t>
  </si>
  <si>
    <t>Storage - Pumped hydro</t>
  </si>
  <si>
    <t>600</t>
  </si>
  <si>
    <t>Aurora Solar Energy Project - Phase 1</t>
  </si>
  <si>
    <t>SiliconAurora</t>
  </si>
  <si>
    <t>70 - 150</t>
  </si>
  <si>
    <t>2052</t>
  </si>
  <si>
    <t>AusNet Services Deakin University Victoria Geelong PV Plant</t>
  </si>
  <si>
    <t>AusNet Services Ltd</t>
  </si>
  <si>
    <t>7.25</t>
  </si>
  <si>
    <t>Australia Plains Solar Farm</t>
  </si>
  <si>
    <t>UPC-AC</t>
  </si>
  <si>
    <t>150</t>
  </si>
  <si>
    <t>Nov 2021</t>
  </si>
  <si>
    <t>254.1</t>
  </si>
  <si>
    <t>Oct 2023</t>
  </si>
  <si>
    <t>2058</t>
  </si>
  <si>
    <t>Awaba</t>
  </si>
  <si>
    <t>Landfill Methane / Landfill Gas</t>
  </si>
  <si>
    <t>Axedale Solar Farm</t>
  </si>
  <si>
    <t>UPC Renewables Australia</t>
  </si>
  <si>
    <t>50</t>
  </si>
  <si>
    <t>140</t>
  </si>
  <si>
    <t>Bairnsdale</t>
  </si>
  <si>
    <t>Alinta DEBO</t>
  </si>
  <si>
    <t>Turbine - OCGT</t>
  </si>
  <si>
    <t>BDL01</t>
  </si>
  <si>
    <t>47</t>
  </si>
  <si>
    <t>2042</t>
  </si>
  <si>
    <t>BDL02</t>
  </si>
  <si>
    <t>Bakers Maison</t>
  </si>
  <si>
    <t>0.2246</t>
  </si>
  <si>
    <t>Baking Board Solar Farm</t>
  </si>
  <si>
    <t>Solar Projects Australia Pty Ltd</t>
  </si>
  <si>
    <t>Q00018</t>
  </si>
  <si>
    <t>Baking Board Solar Farm Chinchilla</t>
  </si>
  <si>
    <t>Chinchilla Solar Pty Ltd</t>
  </si>
  <si>
    <t>BAKING1</t>
  </si>
  <si>
    <t>14.7</t>
  </si>
  <si>
    <t>Bald Hills Wind Farm</t>
  </si>
  <si>
    <t>Infrastructure Capital Group</t>
  </si>
  <si>
    <t>BALDHWF1</t>
  </si>
  <si>
    <t>106.6</t>
  </si>
  <si>
    <t>2040</t>
  </si>
  <si>
    <t>Ballarat</t>
  </si>
  <si>
    <t>LMS ENERGY Pty Ltd</t>
  </si>
  <si>
    <t>0.789</t>
  </si>
  <si>
    <t>Ballarat Base Hospital Plant</t>
  </si>
  <si>
    <t>Ballarat Health Services</t>
  </si>
  <si>
    <t>BBASEHOS</t>
  </si>
  <si>
    <t>1.6</t>
  </si>
  <si>
    <t>Ausnet Transmission Group Pty Ltd</t>
  </si>
  <si>
    <t>BALBG1</t>
  </si>
  <si>
    <t>2033</t>
  </si>
  <si>
    <t>Ballarat North BESS</t>
  </si>
  <si>
    <t xml:space="preserve">ACEnergy </t>
  </si>
  <si>
    <t>V00064</t>
  </si>
  <si>
    <t>Ballarat Renewable Energy Hub</t>
  </si>
  <si>
    <t>Equis Energy</t>
  </si>
  <si>
    <t>Solar PV</t>
  </si>
  <si>
    <t>V00072</t>
  </si>
  <si>
    <t>Storage</t>
  </si>
  <si>
    <t>Banana Range Wind Farm</t>
  </si>
  <si>
    <t>Orange Creek Energy Pty Ltd</t>
  </si>
  <si>
    <t>2050</t>
  </si>
  <si>
    <t>159</t>
  </si>
  <si>
    <t>2045</t>
  </si>
  <si>
    <t>BANGOWF2</t>
  </si>
  <si>
    <t>84.8</t>
  </si>
  <si>
    <t>Sep 2022</t>
  </si>
  <si>
    <t>Banimboola</t>
  </si>
  <si>
    <t>Hydro - Dam</t>
  </si>
  <si>
    <t>BAPS</t>
  </si>
  <si>
    <t>2.2</t>
  </si>
  <si>
    <t>2057</t>
  </si>
  <si>
    <t>10</t>
  </si>
  <si>
    <t>Bankstown Sports Club</t>
  </si>
  <si>
    <t>1.34</t>
  </si>
  <si>
    <t>100</t>
  </si>
  <si>
    <t>2049</t>
  </si>
  <si>
    <t>Baralaba Solar Farm</t>
  </si>
  <si>
    <t>FRV Services Australia Pty Ltd</t>
  </si>
  <si>
    <t>126</t>
  </si>
  <si>
    <t>Ergon Energy Queensland Pty Ltd</t>
  </si>
  <si>
    <t>BARCALDN</t>
  </si>
  <si>
    <t>37</t>
  </si>
  <si>
    <t>2034</t>
  </si>
  <si>
    <t>Barcaldine Remote Community Solar Farm Pty Ltd</t>
  </si>
  <si>
    <t>BARCSF1</t>
  </si>
  <si>
    <t>210</t>
  </si>
  <si>
    <t>2044</t>
  </si>
  <si>
    <t>Barn Hill</t>
  </si>
  <si>
    <t>Barn HIll Wind Farm Pty Ltd</t>
  </si>
  <si>
    <t>124 - 186</t>
  </si>
  <si>
    <t>Baroota Pumped Hydro Project</t>
  </si>
  <si>
    <t>UPC\AC Renewables Australia</t>
  </si>
  <si>
    <t>250</t>
  </si>
  <si>
    <t>Jun 2026</t>
  </si>
  <si>
    <t>2072</t>
  </si>
  <si>
    <t>Barron Gorge</t>
  </si>
  <si>
    <t>CleanCo Queensland Limited</t>
  </si>
  <si>
    <t>Hydro - Run of River</t>
  </si>
  <si>
    <t>BARRON-1</t>
  </si>
  <si>
    <t>33</t>
  </si>
  <si>
    <t>BARRON-2</t>
  </si>
  <si>
    <t>Barunggam Solar Battery Farm</t>
  </si>
  <si>
    <t>Ubergy Pty Ltd</t>
  </si>
  <si>
    <t>Q00020</t>
  </si>
  <si>
    <t>Bass Offshore Wind Energy Project</t>
  </si>
  <si>
    <t>Brookvale Energy Pty Ltd</t>
  </si>
  <si>
    <t>T00010</t>
  </si>
  <si>
    <t>Bass Strait</t>
  </si>
  <si>
    <t>GEP Developments Pty Ltd</t>
  </si>
  <si>
    <t>Wind Turbine - Offshore</t>
  </si>
  <si>
    <t>5000</t>
  </si>
  <si>
    <t>Jun 2021</t>
  </si>
  <si>
    <t>Bastyan</t>
  </si>
  <si>
    <t>Hydro-Electric Corporation</t>
  </si>
  <si>
    <t>BASTYAN</t>
  </si>
  <si>
    <t>79.9</t>
  </si>
  <si>
    <t>2100</t>
  </si>
  <si>
    <t>Battery of the Nation - Stage 1</t>
  </si>
  <si>
    <t>Hydro Tasmania</t>
  </si>
  <si>
    <t>750</t>
  </si>
  <si>
    <t>Battery of the Nation - Stage 2a</t>
  </si>
  <si>
    <t>Battery of the Nation - Stage 2b</t>
  </si>
  <si>
    <t>Battery of the Nation - Stage 3a</t>
  </si>
  <si>
    <t>Battery of the Nation - Stage 3b</t>
  </si>
  <si>
    <t>Turbine - Steam Sub Critical</t>
  </si>
  <si>
    <t>Black Coal</t>
  </si>
  <si>
    <t>BW01</t>
  </si>
  <si>
    <t>660</t>
  </si>
  <si>
    <t>0</t>
  </si>
  <si>
    <t>Committed Upgrade</t>
  </si>
  <si>
    <t>Jun 2023</t>
  </si>
  <si>
    <t>BW02</t>
  </si>
  <si>
    <t>25</t>
  </si>
  <si>
    <t>Jul 2021</t>
  </si>
  <si>
    <t>BW03</t>
  </si>
  <si>
    <t>BW04</t>
  </si>
  <si>
    <t>685</t>
  </si>
  <si>
    <t>Bayswood Timber Hallam VIC</t>
  </si>
  <si>
    <t>Bayswood Timber</t>
  </si>
  <si>
    <t>0.1502</t>
  </si>
  <si>
    <t>Beaconhills College Berwick</t>
  </si>
  <si>
    <t>0.2002</t>
  </si>
  <si>
    <t>Beelbee Solar Farm</t>
  </si>
  <si>
    <t>200</t>
  </si>
  <si>
    <t>Bell Bay Three</t>
  </si>
  <si>
    <t>BBTHREE1</t>
  </si>
  <si>
    <t>40</t>
  </si>
  <si>
    <t>BBTHREE2</t>
  </si>
  <si>
    <t>BBTHREE3</t>
  </si>
  <si>
    <t>250 - 500</t>
  </si>
  <si>
    <t>Bendigo</t>
  </si>
  <si>
    <t>0.5</t>
  </si>
  <si>
    <t>Berrimal Wind Farm</t>
  </si>
  <si>
    <t>Acciona Energy Australia Global</t>
  </si>
  <si>
    <t>72</t>
  </si>
  <si>
    <t>109.2</t>
  </si>
  <si>
    <t>Aug 2022</t>
  </si>
  <si>
    <t>180.6</t>
  </si>
  <si>
    <t>Berwick</t>
  </si>
  <si>
    <t>EDL LFG Vic Pty Ltd</t>
  </si>
  <si>
    <t>0.45</t>
  </si>
  <si>
    <t>4.12</t>
  </si>
  <si>
    <t>BERYLSF1</t>
  </si>
  <si>
    <t>98.4</t>
  </si>
  <si>
    <t>BHP Billiton</t>
  </si>
  <si>
    <t>Big-T Project</t>
  </si>
  <si>
    <t>BE Power</t>
  </si>
  <si>
    <t>400</t>
  </si>
  <si>
    <t>Birkdale</t>
  </si>
  <si>
    <t>Birkins Solar Farm</t>
  </si>
  <si>
    <t>FRV Services Australia</t>
  </si>
  <si>
    <t>Hydrogen</t>
  </si>
  <si>
    <t>V00049</t>
  </si>
  <si>
    <t>V00047</t>
  </si>
  <si>
    <t>V00048</t>
  </si>
  <si>
    <t>Blackmores</t>
  </si>
  <si>
    <t>0.772</t>
  </si>
  <si>
    <t>Blair Athol Solar Power Station</t>
  </si>
  <si>
    <t>TerraCom Ltd</t>
  </si>
  <si>
    <t>60</t>
  </si>
  <si>
    <t>Blayney</t>
  </si>
  <si>
    <t>Blaney and Crookwell WindFarm Pty Ltd</t>
  </si>
  <si>
    <t>9.9</t>
  </si>
  <si>
    <t>2030</t>
  </si>
  <si>
    <t xml:space="preserve">Blenheim Solar Farm </t>
  </si>
  <si>
    <t xml:space="preserve">Gatton Solar Farm Pty Ltd </t>
  </si>
  <si>
    <t>Q00025</t>
  </si>
  <si>
    <t>Blind Creek Solar Farm</t>
  </si>
  <si>
    <t>Ms BCSF Holdings Pty Ltd as trustee for the Blind Creek Solar Farm Trust</t>
  </si>
  <si>
    <t>300</t>
  </si>
  <si>
    <t>321.2</t>
  </si>
  <si>
    <t>Blowering</t>
  </si>
  <si>
    <t>BLOWERNG</t>
  </si>
  <si>
    <t>80</t>
  </si>
  <si>
    <t>Blue Lake Milling Power Plant</t>
  </si>
  <si>
    <t>Vibe Energy Pty Ltd</t>
  </si>
  <si>
    <t>0.505</t>
  </si>
  <si>
    <t>BLUEGSF1</t>
  </si>
  <si>
    <t>148</t>
  </si>
  <si>
    <t>Dec 2022</t>
  </si>
  <si>
    <t>Bluff Solar Farm</t>
  </si>
  <si>
    <t>Iberdrola Australia Development Pty Ltd</t>
  </si>
  <si>
    <t>1 - 85</t>
  </si>
  <si>
    <t>Blyth West BESS</t>
  </si>
  <si>
    <t>Neoen Australia Pty Ltd</t>
  </si>
  <si>
    <t>S00021</t>
  </si>
  <si>
    <t>South Pacific Power Pty Ltd</t>
  </si>
  <si>
    <t>BOCOROC2</t>
  </si>
  <si>
    <t>79.5</t>
  </si>
  <si>
    <t>2046</t>
  </si>
  <si>
    <t>BOCORWF1</t>
  </si>
  <si>
    <t>14.4</t>
  </si>
  <si>
    <t>98.6</t>
  </si>
  <si>
    <t>BODWF1</t>
  </si>
  <si>
    <t>113.19</t>
  </si>
  <si>
    <t>160.02</t>
  </si>
  <si>
    <t>Bolivar Power Station</t>
  </si>
  <si>
    <t>BOLIVPS1</t>
  </si>
  <si>
    <t>BOLIVAR1</t>
  </si>
  <si>
    <t>7.5</t>
  </si>
  <si>
    <t>2.46</t>
  </si>
  <si>
    <t>11.25</t>
  </si>
  <si>
    <t>Boma Solar Farm</t>
  </si>
  <si>
    <t>Solis Industria</t>
  </si>
  <si>
    <t>15</t>
  </si>
  <si>
    <t>121</t>
  </si>
  <si>
    <t>Bonshaw Solar Farm</t>
  </si>
  <si>
    <t>GAIA Australia Pty Ltd</t>
  </si>
  <si>
    <t>2053</t>
  </si>
  <si>
    <t>Bordertown Power Station Gen</t>
  </si>
  <si>
    <t>Boronia Mini Hydro</t>
  </si>
  <si>
    <t>0.11</t>
  </si>
  <si>
    <t>Borumba</t>
  </si>
  <si>
    <t>Powerlink Queensland</t>
  </si>
  <si>
    <t>1500</t>
  </si>
  <si>
    <t>Jun 2030</t>
  </si>
  <si>
    <t>Boulder Creek Wind Farm</t>
  </si>
  <si>
    <t>Epuron Projects Pty Ltd</t>
  </si>
  <si>
    <t>372</t>
  </si>
  <si>
    <t>Bouldercombe Battery project</t>
  </si>
  <si>
    <t>Genex Power Limited</t>
  </si>
  <si>
    <t>Bouldercombe Solar Farm</t>
  </si>
  <si>
    <t>EEW Eco Energy World Ltd</t>
  </si>
  <si>
    <t>Bouldercombe Solar Farm + BESS</t>
  </si>
  <si>
    <t>ENEL Green Power Australia Pty Ltd</t>
  </si>
  <si>
    <t>Q00024</t>
  </si>
  <si>
    <t>Bowmans Creek Wind Farm</t>
  </si>
  <si>
    <t>346.64</t>
  </si>
  <si>
    <t>Braemar</t>
  </si>
  <si>
    <t>Braemar Power Project Pty Ltd</t>
  </si>
  <si>
    <t>Coal Seam Methane</t>
  </si>
  <si>
    <t>BRAEMAR1</t>
  </si>
  <si>
    <t>173</t>
  </si>
  <si>
    <t>BRAEMAR2</t>
  </si>
  <si>
    <t>188</t>
  </si>
  <si>
    <t>BRAEMAR3</t>
  </si>
  <si>
    <t>Braemar 2 Power Station</t>
  </si>
  <si>
    <t>NewGen Braemar 2 Partnership comprising Arrow Braemar 2 Pty Ltd and Arrow Southern Generation Pty Ltd</t>
  </si>
  <si>
    <t>BRAEMAR5</t>
  </si>
  <si>
    <t>BRAEMAR6</t>
  </si>
  <si>
    <t>BRAEMAR7</t>
  </si>
  <si>
    <t>Brewongle Solar Farm</t>
  </si>
  <si>
    <t>Photon Energy</t>
  </si>
  <si>
    <t>Confidential - Confidential</t>
  </si>
  <si>
    <t>112</t>
  </si>
  <si>
    <t>Bridgewater</t>
  </si>
  <si>
    <t>Ceramet</t>
  </si>
  <si>
    <t>1.3</t>
  </si>
  <si>
    <t>Bridgewater BESS</t>
  </si>
  <si>
    <t>Edify Energy Pty Ltd</t>
  </si>
  <si>
    <t>T00009</t>
  </si>
  <si>
    <t>Bridle Track Solar Project</t>
  </si>
  <si>
    <t>2051</t>
  </si>
  <si>
    <t>Broadlea Solar Farm</t>
  </si>
  <si>
    <t>EEW Eco Energy World</t>
  </si>
  <si>
    <t>90</t>
  </si>
  <si>
    <t>Broadmeadows</t>
  </si>
  <si>
    <t>BROADMDW</t>
  </si>
  <si>
    <t>6.18</t>
  </si>
  <si>
    <t>2029</t>
  </si>
  <si>
    <t>Broadsound Solar Farm</t>
  </si>
  <si>
    <t>Broadsound Solar Farm Pty Ltd</t>
  </si>
  <si>
    <t>355</t>
  </si>
  <si>
    <t>Broadwater</t>
  </si>
  <si>
    <t>Cape Byron Management PTY LTD</t>
  </si>
  <si>
    <t>BWTR1</t>
  </si>
  <si>
    <t>38</t>
  </si>
  <si>
    <t>Brocklehurst Solar Farm</t>
  </si>
  <si>
    <t>29</t>
  </si>
  <si>
    <t>Broken Hill Energy Storage Centre</t>
  </si>
  <si>
    <t>A-CAES NSW</t>
  </si>
  <si>
    <t>N00067</t>
  </si>
  <si>
    <t>Broken Hill GT</t>
  </si>
  <si>
    <t>GB01</t>
  </si>
  <si>
    <t>2026</t>
  </si>
  <si>
    <t>BROKENH1</t>
  </si>
  <si>
    <t>53</t>
  </si>
  <si>
    <t>2043</t>
  </si>
  <si>
    <t>Brooklyn</t>
  </si>
  <si>
    <t>BROOKLYN</t>
  </si>
  <si>
    <t>0.65</t>
  </si>
  <si>
    <t>1.03</t>
  </si>
  <si>
    <t>1.15</t>
  </si>
  <si>
    <t>Brown Mountain Hydro Power Station</t>
  </si>
  <si>
    <t>Cochrane Dam Pty Ltd</t>
  </si>
  <si>
    <t>BROWNMT</t>
  </si>
  <si>
    <t>Browns Plains</t>
  </si>
  <si>
    <t>EDL LFG (Qld) Pty Ltd</t>
  </si>
  <si>
    <t>BPLANDF1</t>
  </si>
  <si>
    <t>BULBESG1</t>
  </si>
  <si>
    <t>204.4</t>
  </si>
  <si>
    <t>Bulli Creek Solar Farm – Future Stages</t>
  </si>
  <si>
    <t>Solar Choice Pty Ltd</t>
  </si>
  <si>
    <t>1025</t>
  </si>
  <si>
    <t>Bulli Creek Solar Farm – Stage 1</t>
  </si>
  <si>
    <t>475</t>
  </si>
  <si>
    <t>Bungala BESS</t>
  </si>
  <si>
    <t>Enel Green Power Australia Pty Ltd</t>
  </si>
  <si>
    <t>S00019</t>
  </si>
  <si>
    <t>135</t>
  </si>
  <si>
    <t>Bungala Three Solar Power Plant</t>
  </si>
  <si>
    <t>Reach Solar Management Co</t>
  </si>
  <si>
    <t>79.989</t>
  </si>
  <si>
    <t>Bungama Solar</t>
  </si>
  <si>
    <t>EPS Energy</t>
  </si>
  <si>
    <t>280</t>
  </si>
  <si>
    <t>Bunurong 260 kW Solar PV Bangholme</t>
  </si>
  <si>
    <t>0.26</t>
  </si>
  <si>
    <t>Burdekin Solar Farm</t>
  </si>
  <si>
    <t>Ace Power</t>
  </si>
  <si>
    <t>Q00035</t>
  </si>
  <si>
    <t>Burrendong</t>
  </si>
  <si>
    <t>BDONGHYD</t>
  </si>
  <si>
    <t>19</t>
  </si>
  <si>
    <t>Burrendong Wind Farm</t>
  </si>
  <si>
    <t>649.95</t>
  </si>
  <si>
    <t>Burrinjuck</t>
  </si>
  <si>
    <t>GSP Energy Pty Ltd</t>
  </si>
  <si>
    <t>BURRIN</t>
  </si>
  <si>
    <t>2060</t>
  </si>
  <si>
    <t>14</t>
  </si>
  <si>
    <t>Butlers Gorge</t>
  </si>
  <si>
    <t>BUTLERSG</t>
  </si>
  <si>
    <t>12.2</t>
  </si>
  <si>
    <t>Callide B</t>
  </si>
  <si>
    <t>CS Energy</t>
  </si>
  <si>
    <t>CALL_B_1</t>
  </si>
  <si>
    <t>350</t>
  </si>
  <si>
    <t>2028</t>
  </si>
  <si>
    <t>CALL_B_2</t>
  </si>
  <si>
    <t>Turbine - Steam Super Critical</t>
  </si>
  <si>
    <t>CPP_3</t>
  </si>
  <si>
    <t>420</t>
  </si>
  <si>
    <t>CPP_4</t>
  </si>
  <si>
    <t>Callide Wind Farm</t>
  </si>
  <si>
    <t>DP Green Energy Pty Ltd</t>
  </si>
  <si>
    <t>Q00016</t>
  </si>
  <si>
    <t>Campbells Forest Solar Farm</t>
  </si>
  <si>
    <t>4067 Pyramid Development Pty Ltd</t>
  </si>
  <si>
    <t>205</t>
  </si>
  <si>
    <t>2054</t>
  </si>
  <si>
    <t>Canunda</t>
  </si>
  <si>
    <t>Canunda Power Pty Ltd</t>
  </si>
  <si>
    <t>CNUNDAWF</t>
  </si>
  <si>
    <t>46</t>
  </si>
  <si>
    <t>2035</t>
  </si>
  <si>
    <t>Capital 2 Wind Farm</t>
  </si>
  <si>
    <t>Capital Wind Farm 2 Pty Ltd</t>
  </si>
  <si>
    <t>70.4 - 134.4</t>
  </si>
  <si>
    <t>Capital Battery</t>
  </si>
  <si>
    <t xml:space="preserve"> Neoen Australia Pty Ltd _x000D_
		</t>
  </si>
  <si>
    <t>Oct 2022</t>
  </si>
  <si>
    <t>IBERDROLA AUSTRALIA HOLDINGS PTY LIMITED</t>
  </si>
  <si>
    <t>CESF1</t>
  </si>
  <si>
    <t>2</t>
  </si>
  <si>
    <t>Capital Wind Farm</t>
  </si>
  <si>
    <t>Renewable Power Ventures Pty Ltd</t>
  </si>
  <si>
    <t>CAPTL_WF</t>
  </si>
  <si>
    <t>140.7</t>
  </si>
  <si>
    <t>Carag Solar Farm</t>
  </si>
  <si>
    <t>Enerparc Australia Pty Ltd</t>
  </si>
  <si>
    <t>Cardinia Creek Mini-Hydro</t>
  </si>
  <si>
    <t>0.09</t>
  </si>
  <si>
    <t>CARINA WEST H2E</t>
  </si>
  <si>
    <t>Bagasse</t>
  </si>
  <si>
    <t>3.1</t>
  </si>
  <si>
    <t>Carisbrook Solar Farm</t>
  </si>
  <si>
    <t>ib vogt GmbH / Sun Spot 5</t>
  </si>
  <si>
    <t>74</t>
  </si>
  <si>
    <t>Carmodys Hill Wind Farm</t>
  </si>
  <si>
    <t>Georgetown Hills Renewable Energy Pty Ltd</t>
  </si>
  <si>
    <t>180 - 297</t>
  </si>
  <si>
    <t>Carrick Solar Farm</t>
  </si>
  <si>
    <t>144</t>
  </si>
  <si>
    <t>Carwarp Solar Farm - Stage I</t>
  </si>
  <si>
    <t>Canadian Solar (Australia) Pty Ltd</t>
  </si>
  <si>
    <t>Carwarp Solar Farm - Stage II</t>
  </si>
  <si>
    <t>Catagunya / Liapootah / Wayatinah</t>
  </si>
  <si>
    <t>LI_WY_CA</t>
  </si>
  <si>
    <t>24</t>
  </si>
  <si>
    <t>27</t>
  </si>
  <si>
    <t>31.5</t>
  </si>
  <si>
    <t>55.8</t>
  </si>
  <si>
    <t>38.4</t>
  </si>
  <si>
    <t>Cathedral Rocks</t>
  </si>
  <si>
    <t>JV Cathedral Rock Investments Pty Ltd  - Acciona Energy Australia Global Pty Ltd and EnergyAustralia Pty Ltd</t>
  </si>
  <si>
    <t>CATHROCK</t>
  </si>
  <si>
    <t>66</t>
  </si>
  <si>
    <t>Cedar Meats Solar Geelong</t>
  </si>
  <si>
    <t>Cedar Meats</t>
  </si>
  <si>
    <t>0.1998</t>
  </si>
  <si>
    <t>Central Renewable Energy Zone BESS</t>
  </si>
  <si>
    <t>Stanwell Corporation Ltd</t>
  </si>
  <si>
    <t>Dec 2024</t>
  </si>
  <si>
    <t>Central West Pumped Hydro</t>
  </si>
  <si>
    <t>ATCO Australia Pumped Hydro Pty Ltd</t>
  </si>
  <si>
    <t>N00054</t>
  </si>
  <si>
    <t>Cethana</t>
  </si>
  <si>
    <t>CETHANA</t>
  </si>
  <si>
    <t>85</t>
  </si>
  <si>
    <t>Chaff Mill (Mintaro) Solar Farm</t>
  </si>
  <si>
    <t>S00006</t>
  </si>
  <si>
    <t>Challicum Hills</t>
  </si>
  <si>
    <t>Pacific Hydro Challicum Hills Pty Ltd</t>
  </si>
  <si>
    <t>CHALLHWF</t>
  </si>
  <si>
    <t>52.5</t>
  </si>
  <si>
    <t>Chalumbin Wind Farm</t>
  </si>
  <si>
    <t>658</t>
  </si>
  <si>
    <t>Chances Plain Solar Farm</t>
  </si>
  <si>
    <t>Chepstowe Wind Farm - VIC</t>
  </si>
  <si>
    <t>Chepstowe Wind Farm Pty Ltd</t>
  </si>
  <si>
    <t>CHPSTWF1</t>
  </si>
  <si>
    <t>6.15</t>
  </si>
  <si>
    <t>57.6</t>
  </si>
  <si>
    <t>55.87</t>
  </si>
  <si>
    <t>Chillamurra</t>
  </si>
  <si>
    <t>4.77</t>
  </si>
  <si>
    <t>Chillamurra Solar Farm</t>
  </si>
  <si>
    <t>Chillamurra Solar Pty Ltd</t>
  </si>
  <si>
    <t>3.6</t>
  </si>
  <si>
    <t>Chinchilla Solar Farm - First Solar</t>
  </si>
  <si>
    <t>First Solar Australia Pty Ltd</t>
  </si>
  <si>
    <t>113.16</t>
  </si>
  <si>
    <t>Chipping Norton Waste to Energy</t>
  </si>
  <si>
    <t>Benedict Industries P/L</t>
  </si>
  <si>
    <t>8</t>
  </si>
  <si>
    <t>2.09</t>
  </si>
  <si>
    <t>4.8</t>
  </si>
  <si>
    <t>Churchill Abattoir</t>
  </si>
  <si>
    <t>0.9072</t>
  </si>
  <si>
    <t>CLARESF1</t>
  </si>
  <si>
    <t>110.4</t>
  </si>
  <si>
    <t>Clarke Creek Solar Farm</t>
  </si>
  <si>
    <t>Pacific Hydro Australia Development Pty Ltd.</t>
  </si>
  <si>
    <t>100 - 350</t>
  </si>
  <si>
    <t>Clarke Creek Wind and Solar Farm - Solar</t>
  </si>
  <si>
    <t>Lacour Energy</t>
  </si>
  <si>
    <t>Clarke Creek Wind Farm</t>
  </si>
  <si>
    <t>CLARKE CREEK ENERGY PTY LTD</t>
  </si>
  <si>
    <t>CLRKCWF1</t>
  </si>
  <si>
    <t>346.5</t>
  </si>
  <si>
    <t>Aug 2024</t>
  </si>
  <si>
    <t>CLRKCWF2</t>
  </si>
  <si>
    <t>103.5</t>
  </si>
  <si>
    <t>Clayton</t>
  </si>
  <si>
    <t>CLAYTON</t>
  </si>
  <si>
    <t>Clements Gap - BESS</t>
  </si>
  <si>
    <t>Pacific Hydro Clements Gap Pty Ltd</t>
  </si>
  <si>
    <t>Clements Gap Wind Farm</t>
  </si>
  <si>
    <t>CLEMGPWF</t>
  </si>
  <si>
    <t>56.7</t>
  </si>
  <si>
    <t>2039</t>
  </si>
  <si>
    <t>92.5</t>
  </si>
  <si>
    <t>Clover</t>
  </si>
  <si>
    <t>CLOVER</t>
  </si>
  <si>
    <t>Club Merrylands</t>
  </si>
  <si>
    <t>Other - Other</t>
  </si>
  <si>
    <t>Cluny</t>
  </si>
  <si>
    <t>CLUNY</t>
  </si>
  <si>
    <t>Codrington Wind Farm</t>
  </si>
  <si>
    <t>Energy Pacific (Vic) Pty Ltd</t>
  </si>
  <si>
    <t>CODRNGTON</t>
  </si>
  <si>
    <t>18.2</t>
  </si>
  <si>
    <t>COHUNSF1</t>
  </si>
  <si>
    <t>26.98</t>
  </si>
  <si>
    <t>COLEASF1</t>
  </si>
  <si>
    <t>150.3</t>
  </si>
  <si>
    <t>2038</t>
  </si>
  <si>
    <t>226.8</t>
  </si>
  <si>
    <t>Collinsville Coal Fired Power Station Project</t>
  </si>
  <si>
    <t>Shine Energy</t>
  </si>
  <si>
    <t>Q00017</t>
  </si>
  <si>
    <t>Collinsville North Battery Project</t>
  </si>
  <si>
    <t>TBSOL</t>
  </si>
  <si>
    <t>CSPVPS1</t>
  </si>
  <si>
    <t>42.5</t>
  </si>
  <si>
    <t>Colongra</t>
  </si>
  <si>
    <t>CG1</t>
  </si>
  <si>
    <t>181</t>
  </si>
  <si>
    <t>CG2</t>
  </si>
  <si>
    <t>CG3</t>
  </si>
  <si>
    <t>CG4</t>
  </si>
  <si>
    <t>217.25</t>
  </si>
  <si>
    <t>Nov 2022</t>
  </si>
  <si>
    <t>Condamine A</t>
  </si>
  <si>
    <t>QGC Sales QLD Pty Ltd</t>
  </si>
  <si>
    <t>CPSA</t>
  </si>
  <si>
    <t>57</t>
  </si>
  <si>
    <t>Turbine - CCGT</t>
  </si>
  <si>
    <t>87.4</t>
  </si>
  <si>
    <t>Condong</t>
  </si>
  <si>
    <t>CONDONG1</t>
  </si>
  <si>
    <t>Connewarren BESS</t>
  </si>
  <si>
    <t>Vena Energy Services (Australia) Pty Ltd</t>
  </si>
  <si>
    <t>V00054</t>
  </si>
  <si>
    <t>Conroys Gap</t>
  </si>
  <si>
    <t>Cooba Solar Farm</t>
  </si>
  <si>
    <t>Venn Artibit Group Pty Ltd</t>
  </si>
  <si>
    <t>V00058</t>
  </si>
  <si>
    <t>Cooma Solar Farm</t>
  </si>
  <si>
    <t>BE PRO CM pty ltd</t>
  </si>
  <si>
    <t>260</t>
  </si>
  <si>
    <t>Cooma Solar Farm (Lightsource)</t>
  </si>
  <si>
    <t>Lightsource Development Services Australia Pty Ltd</t>
  </si>
  <si>
    <t>N00009</t>
  </si>
  <si>
    <t>Coonooer Bridge Wind Farm Pty Ltd</t>
  </si>
  <si>
    <t>CBWF1</t>
  </si>
  <si>
    <t>19.8</t>
  </si>
  <si>
    <t>Coopers Co-gen</t>
  </si>
  <si>
    <t>4.4</t>
  </si>
  <si>
    <t>122.56</t>
  </si>
  <si>
    <t>Apr 2022</t>
  </si>
  <si>
    <t>330.33</t>
  </si>
  <si>
    <t>Copeton</t>
  </si>
  <si>
    <t>COPTNHYD</t>
  </si>
  <si>
    <t>Coppabella Wind Farm</t>
  </si>
  <si>
    <t>Coppabella Wind Farm Pty Ltd</t>
  </si>
  <si>
    <t>285</t>
  </si>
  <si>
    <t>Corio</t>
  </si>
  <si>
    <t>CORIO1</t>
  </si>
  <si>
    <t>35.992</t>
  </si>
  <si>
    <t>Cranbourne BESS (Macquarie)</t>
  </si>
  <si>
    <t>Macquarie Corporate Holdings Pty Ltd</t>
  </si>
  <si>
    <t>V00035</t>
  </si>
  <si>
    <t>Cranbourne BESS (Maoneng)</t>
  </si>
  <si>
    <t>Maoneng Australia Pty Ltd</t>
  </si>
  <si>
    <t>V00014</t>
  </si>
  <si>
    <t>Crookwell</t>
  </si>
  <si>
    <t>CROOKWF2</t>
  </si>
  <si>
    <t>96.04</t>
  </si>
  <si>
    <t>Crookwell 3 Wind Farm</t>
  </si>
  <si>
    <t>Crookwell 3 Development Pty Ltd</t>
  </si>
  <si>
    <t>88.09</t>
  </si>
  <si>
    <t>Cross Roads Energy Solar Farm</t>
  </si>
  <si>
    <t>Crossroads Energy Pty Ltd</t>
  </si>
  <si>
    <t>Q00011</t>
  </si>
  <si>
    <t>79.95</t>
  </si>
  <si>
    <t>Crown Melbourne</t>
  </si>
  <si>
    <t>Crown Resorts</t>
  </si>
  <si>
    <t>5.58</t>
  </si>
  <si>
    <t>141.71</t>
  </si>
  <si>
    <t>Crystal Brook Energy Park - BESS</t>
  </si>
  <si>
    <t>130</t>
  </si>
  <si>
    <t>Crystal Brook Energy Park - Solar</t>
  </si>
  <si>
    <t>100 - 150</t>
  </si>
  <si>
    <t>Crystal Brook Energy Park - Wind</t>
  </si>
  <si>
    <t>100 - 125</t>
  </si>
  <si>
    <t>Cullerin Range Wind Farm</t>
  </si>
  <si>
    <t>Cullerin Range Wind Farm Pty Ltd</t>
  </si>
  <si>
    <t>CULLRGWF</t>
  </si>
  <si>
    <t>Cultana Solar Farm</t>
  </si>
  <si>
    <t>Cultana Solar Project Company Pty Ltd as trustee for the Cultana Solar Farm Trust</t>
  </si>
  <si>
    <t>357.448</t>
  </si>
  <si>
    <t>Mar 2025</t>
  </si>
  <si>
    <t>Currawarra Solar Farm</t>
  </si>
  <si>
    <t>RES Australia Pty Ltd</t>
  </si>
  <si>
    <t>195</t>
  </si>
  <si>
    <t>APT Petroleum Pipeline Holdings Pty Ltd.</t>
  </si>
  <si>
    <t>33.143</t>
  </si>
  <si>
    <t>Dalby Solar Farm</t>
  </si>
  <si>
    <t>4.99</t>
  </si>
  <si>
    <t>Dalrymple BESS</t>
  </si>
  <si>
    <t>ElectraNet</t>
  </si>
  <si>
    <t>DALNTH01</t>
  </si>
  <si>
    <t>Darling Downs</t>
  </si>
  <si>
    <t>DDPS1</t>
  </si>
  <si>
    <t>364.5</t>
  </si>
  <si>
    <t>Darling Downs Battery</t>
  </si>
  <si>
    <t>Origin Energy Electricity Limited</t>
  </si>
  <si>
    <t>DDSF1</t>
  </si>
  <si>
    <t>Darlington Point Energy Storage System</t>
  </si>
  <si>
    <t>Jul 2023</t>
  </si>
  <si>
    <t>274.968</t>
  </si>
  <si>
    <t>2055</t>
  </si>
  <si>
    <t>Darlington Wind Farm</t>
  </si>
  <si>
    <t>Global Power Generation Australia Pty Ltd</t>
  </si>
  <si>
    <t>Daroobalgie Solar Farm</t>
  </si>
  <si>
    <t>Pacific Hydro Australia Developments Pty Ltd</t>
  </si>
  <si>
    <t>80 - 100</t>
  </si>
  <si>
    <t>Pacific Hydro Pty Ltd</t>
  </si>
  <si>
    <t>N00034</t>
  </si>
  <si>
    <t>Dartmouth</t>
  </si>
  <si>
    <t>DARTM1</t>
  </si>
  <si>
    <t>185</t>
  </si>
  <si>
    <t>DAYDSF1</t>
  </si>
  <si>
    <t>167.75</t>
  </si>
  <si>
    <t>De Bortoli Wines</t>
  </si>
  <si>
    <t>0.23</t>
  </si>
  <si>
    <t>Dederang BESS</t>
  </si>
  <si>
    <t>V00069</t>
  </si>
  <si>
    <t>Deer Park BESS</t>
  </si>
  <si>
    <t>Total Eren</t>
  </si>
  <si>
    <t>Delburn Wind Farm</t>
  </si>
  <si>
    <t>Delburn Wind Farm Pty Ltd</t>
  </si>
  <si>
    <t>204.6 - 217.8</t>
  </si>
  <si>
    <t>Derwent Valley Wind Farm</t>
  </si>
  <si>
    <t>West Coast Renewable Energy</t>
  </si>
  <si>
    <t>T00012</t>
  </si>
  <si>
    <t>Devils Gate</t>
  </si>
  <si>
    <t>DEVILS_G</t>
  </si>
  <si>
    <t>DHL6 Solar Horsley Park</t>
  </si>
  <si>
    <t>0.1</t>
  </si>
  <si>
    <t>Oct 2021</t>
  </si>
  <si>
    <t>Dinawan Energy Hub</t>
  </si>
  <si>
    <t>Spark Renewables Pty Ltd</t>
  </si>
  <si>
    <t>1020 - 1700</t>
  </si>
  <si>
    <t>Dingo Solar Farm</t>
  </si>
  <si>
    <t>ESCO Pacific</t>
  </si>
  <si>
    <t>Drayton's Family Wines Solar</t>
  </si>
  <si>
    <t>0.2</t>
  </si>
  <si>
    <t>Dry Creek GT</t>
  </si>
  <si>
    <t>Synergen Power Pty Ltd</t>
  </si>
  <si>
    <t>DRYCGT1</t>
  </si>
  <si>
    <t>52</t>
  </si>
  <si>
    <t>DRYCGT2</t>
  </si>
  <si>
    <t>DRYCGT3</t>
  </si>
  <si>
    <t>Dulacca Solar Farm</t>
  </si>
  <si>
    <t>84</t>
  </si>
  <si>
    <t>Dulacca Energy Project Co Pty Ltd</t>
  </si>
  <si>
    <t>172.989</t>
  </si>
  <si>
    <t>Aug 2023</t>
  </si>
  <si>
    <t>Dumaresq Solar Farm</t>
  </si>
  <si>
    <t>Dumaresq Solar Farm Pty Limited</t>
  </si>
  <si>
    <t>190</t>
  </si>
  <si>
    <t>Dunblane Solar Pty Ltd</t>
  </si>
  <si>
    <t>7.2</t>
  </si>
  <si>
    <t>168</t>
  </si>
  <si>
    <t>DUNDWF2</t>
  </si>
  <si>
    <t>46.2</t>
  </si>
  <si>
    <t>DUNDWF3</t>
  </si>
  <si>
    <t>121.8</t>
  </si>
  <si>
    <t>Dunedoo Solar Farm</t>
  </si>
  <si>
    <t>ib vogt GmbH / Sun Spot 4</t>
  </si>
  <si>
    <t>55</t>
  </si>
  <si>
    <t>Dungowan 3,000 MWH PHES</t>
  </si>
  <si>
    <t>Dysart Solar Farm RED</t>
  </si>
  <si>
    <t>Earthpower Technologies Sydney</t>
  </si>
  <si>
    <t>3.9</t>
  </si>
  <si>
    <t>East Shepparton Renewable Energy Hub</t>
  </si>
  <si>
    <t>V00066</t>
  </si>
  <si>
    <t>Eastern Creek</t>
  </si>
  <si>
    <t>EASTCRK</t>
  </si>
  <si>
    <t>5.056</t>
  </si>
  <si>
    <t>Eastern Creek 2 Gas Utilisation Facility</t>
  </si>
  <si>
    <t>6.738</t>
  </si>
  <si>
    <t>Eden Offshore Wind Farm</t>
  </si>
  <si>
    <t>OceanEx Energy</t>
  </si>
  <si>
    <t>2000</t>
  </si>
  <si>
    <t>Jan 2034</t>
  </si>
  <si>
    <t>180</t>
  </si>
  <si>
    <t>Feb 2024</t>
  </si>
  <si>
    <t>Eildon</t>
  </si>
  <si>
    <t>EILDON1</t>
  </si>
  <si>
    <t>EILDON2</t>
  </si>
  <si>
    <t>Eildon Pondage Power Station (EPPS)</t>
  </si>
  <si>
    <t>Pacific Hydro Investments Pty Ltd</t>
  </si>
  <si>
    <t>EILDON3</t>
  </si>
  <si>
    <t>4.5</t>
  </si>
  <si>
    <t>EIWA Bundaberg Solar Farm</t>
  </si>
  <si>
    <t>EIWA Bundaberg Solar Pty Ltd</t>
  </si>
  <si>
    <t>78</t>
  </si>
  <si>
    <t>Elaine Battery Energy Storage System</t>
  </si>
  <si>
    <t>Acenergy Pty Ltd on behalf of Energy Storage Project No 3 Pty Ltd</t>
  </si>
  <si>
    <t>V00011</t>
  </si>
  <si>
    <t>Elaine Solar Farm &amp; BESS Hybrid</t>
  </si>
  <si>
    <t>Elgin Energy Pty Ltd</t>
  </si>
  <si>
    <t>V00080</t>
  </si>
  <si>
    <t>83.6</t>
  </si>
  <si>
    <t>EMERASF1</t>
  </si>
  <si>
    <t>1.76</t>
  </si>
  <si>
    <t>Epworth Hospital - Geelong - Waurn Ponds</t>
  </si>
  <si>
    <t>3</t>
  </si>
  <si>
    <t>ER01</t>
  </si>
  <si>
    <t>720</t>
  </si>
  <si>
    <t>In Service - Announced Withdrawal (Permanent)</t>
  </si>
  <si>
    <t>ER02</t>
  </si>
  <si>
    <t>ER03</t>
  </si>
  <si>
    <t>ER04</t>
  </si>
  <si>
    <t>Eraring Big Battery – Stage 1</t>
  </si>
  <si>
    <t>460</t>
  </si>
  <si>
    <t>Nov 2023</t>
  </si>
  <si>
    <t>Eraring Big Battery – Stage 2</t>
  </si>
  <si>
    <t>Eraring Big Battery – Stage 3</t>
  </si>
  <si>
    <t>41.5</t>
  </si>
  <si>
    <t>2032</t>
  </si>
  <si>
    <t>Erskine Park</t>
  </si>
  <si>
    <t>Exmoor</t>
  </si>
  <si>
    <t>Acciona Energy</t>
  </si>
  <si>
    <t>Ferguson South Wind Farm</t>
  </si>
  <si>
    <t>Ferguson Wind Farm Pty Ltd</t>
  </si>
  <si>
    <t>Ferguson Wind Farm</t>
  </si>
  <si>
    <t>FNWF1</t>
  </si>
  <si>
    <t>162.36</t>
  </si>
  <si>
    <t>Finley Solar Project</t>
  </si>
  <si>
    <t>Fisher</t>
  </si>
  <si>
    <t>FISHER</t>
  </si>
  <si>
    <t>43.2</t>
  </si>
  <si>
    <t>Flavorite Marketing</t>
  </si>
  <si>
    <t>0.1494</t>
  </si>
  <si>
    <t>Flyers Creek Wind Farm</t>
  </si>
  <si>
    <t>Flyers Creek Wind Farm Pty Ltd</t>
  </si>
  <si>
    <t>145.54</t>
  </si>
  <si>
    <t>Forbes Solar Farm</t>
  </si>
  <si>
    <t>Forbes Solar Farm Pty Ltd</t>
  </si>
  <si>
    <t>N00060</t>
  </si>
  <si>
    <t>Forsayth Wind Farm</t>
  </si>
  <si>
    <t>Forsayth Wind Farm Pty Ltd</t>
  </si>
  <si>
    <t>75 - 165</t>
  </si>
  <si>
    <t>Fosterville SF and BESS</t>
  </si>
  <si>
    <t>V00073</t>
  </si>
  <si>
    <t>FPC Green Energy</t>
  </si>
  <si>
    <t>FPC 30 Limited as Trustee for FPC Green Fund Trust</t>
  </si>
  <si>
    <t>Green and air dried wood</t>
  </si>
  <si>
    <t>Fraser Coast Community Solar Farm</t>
  </si>
  <si>
    <t>Wide Bay Water Corporation</t>
  </si>
  <si>
    <t>0.401</t>
  </si>
  <si>
    <t>Fraser Coast Solar Park</t>
  </si>
  <si>
    <t>FRASER COAST SOLAR PARK PTY LTD</t>
  </si>
  <si>
    <t>Frasers Solar Farm</t>
  </si>
  <si>
    <t>Frasers Lane Development Pty Ltd</t>
  </si>
  <si>
    <t>77</t>
  </si>
  <si>
    <t>Fulham Solar Farm</t>
  </si>
  <si>
    <t>Fulham Solar Farm Pty Ltd</t>
  </si>
  <si>
    <t>GANGARR1</t>
  </si>
  <si>
    <t>162</t>
  </si>
  <si>
    <t>GESS ProjectCo</t>
  </si>
  <si>
    <t>GANNBG1</t>
  </si>
  <si>
    <t>25.33</t>
  </si>
  <si>
    <t>Gannawarra Solar Farm Pty Ltd</t>
  </si>
  <si>
    <t>GANNSF1</t>
  </si>
  <si>
    <t>George Town Solar</t>
  </si>
  <si>
    <t>George Town Wind Farm</t>
  </si>
  <si>
    <t>West Coast Renewables</t>
  </si>
  <si>
    <t>T00008</t>
  </si>
  <si>
    <t>German Creek</t>
  </si>
  <si>
    <t>EDL CSM Qld Pty Ltd</t>
  </si>
  <si>
    <t>GERMCRK</t>
  </si>
  <si>
    <t>13.2</t>
  </si>
  <si>
    <t>31.808</t>
  </si>
  <si>
    <t>Gidginbung</t>
  </si>
  <si>
    <t>Epho</t>
  </si>
  <si>
    <t>V00051</t>
  </si>
  <si>
    <t>Girgarre Solar Farm</t>
  </si>
  <si>
    <t>Leeson Group</t>
  </si>
  <si>
    <t>TBA - TBA</t>
  </si>
  <si>
    <t>118</t>
  </si>
  <si>
    <t>Gladstone</t>
  </si>
  <si>
    <t>Gladstone Power Station Participants</t>
  </si>
  <si>
    <t>GSTONE1</t>
  </si>
  <si>
    <t>GSTONE2</t>
  </si>
  <si>
    <t>GSTONE3</t>
  </si>
  <si>
    <t>GSTONE4</t>
  </si>
  <si>
    <t>GSTONE5</t>
  </si>
  <si>
    <t>GSTONE6</t>
  </si>
  <si>
    <t>Glen Innes Wind Farm</t>
  </si>
  <si>
    <t>Glen Innes WindPower Pty Ltd</t>
  </si>
  <si>
    <t>Glenbawn</t>
  </si>
  <si>
    <t>Glenbrae BESS</t>
  </si>
  <si>
    <t>V00065</t>
  </si>
  <si>
    <t>Glenellen Solar Farm</t>
  </si>
  <si>
    <t>Glenellen Solar Farm Pty Ltd</t>
  </si>
  <si>
    <t>N00012</t>
  </si>
  <si>
    <t>Glenmaggie Hydro</t>
  </si>
  <si>
    <t>GLENMAG1</t>
  </si>
  <si>
    <t>1.9</t>
  </si>
  <si>
    <t>Glennies Creek</t>
  </si>
  <si>
    <t>EDL OCI Pty Ltd</t>
  </si>
  <si>
    <t>GLENNCRK</t>
  </si>
  <si>
    <t>12.78</t>
  </si>
  <si>
    <t>Glenorchy</t>
  </si>
  <si>
    <t>Sustainable Energy Infrastructure Trust</t>
  </si>
  <si>
    <t>3.38</t>
  </si>
  <si>
    <t>Glenrowan Solar Farm</t>
  </si>
  <si>
    <t>Glenrowan West Solar Farm</t>
  </si>
  <si>
    <t>132</t>
  </si>
  <si>
    <t>Gnarwarre BESS Facility</t>
  </si>
  <si>
    <t>ACEnergy Pty Ltd</t>
  </si>
  <si>
    <t>290</t>
  </si>
  <si>
    <t>Goat Hill Pumped Hydro</t>
  </si>
  <si>
    <t>Altura Group</t>
  </si>
  <si>
    <t>230</t>
  </si>
  <si>
    <t>Golden Plains Wind Farm East</t>
  </si>
  <si>
    <t>Golden Plains Wind Farm Management Pty Ltd</t>
  </si>
  <si>
    <t>756.4</t>
  </si>
  <si>
    <t>V00061</t>
  </si>
  <si>
    <t>Golden Plains Wind Farm West</t>
  </si>
  <si>
    <t>WestWind Energy</t>
  </si>
  <si>
    <t>576.6</t>
  </si>
  <si>
    <t>V00004</t>
  </si>
  <si>
    <t>Goldwind battery</t>
  </si>
  <si>
    <t>Goldwind</t>
  </si>
  <si>
    <t>Goldwind reciprocating engine</t>
  </si>
  <si>
    <t>Natural Gas</t>
  </si>
  <si>
    <t>69.75</t>
  </si>
  <si>
    <t>Goorambat BESS</t>
  </si>
  <si>
    <t>V00074</t>
  </si>
  <si>
    <t>Gordon</t>
  </si>
  <si>
    <t>GORDON</t>
  </si>
  <si>
    <t>432</t>
  </si>
  <si>
    <t>Goulburn Bioenergy</t>
  </si>
  <si>
    <t>SM Project Company Pty Ltd as truestee for SM Project Trust</t>
  </si>
  <si>
    <t>Goulburn River BESS</t>
  </si>
  <si>
    <t>Lightsource Development Services Australia</t>
  </si>
  <si>
    <t>N00052</t>
  </si>
  <si>
    <t>Goulburn River SF</t>
  </si>
  <si>
    <t>N00051</t>
  </si>
  <si>
    <t>Goyder South Hub - BESS</t>
  </si>
  <si>
    <t>900</t>
  </si>
  <si>
    <t>Goyder South Hub - Solar</t>
  </si>
  <si>
    <t>Goyder South Hub - Wind</t>
  </si>
  <si>
    <t>412.5 - 465</t>
  </si>
  <si>
    <t>Grange Avenue</t>
  </si>
  <si>
    <t>GRANGEAV</t>
  </si>
  <si>
    <t>1.26</t>
  </si>
  <si>
    <t>Granite Hills Wind Farm</t>
  </si>
  <si>
    <t>Granite Hills Wind Farm Pty Ltd</t>
  </si>
  <si>
    <t>Granville Harbour Operations Pty Ltd as trustee for Granville Harbour Operations Trust</t>
  </si>
  <si>
    <t>GRANWF1</t>
  </si>
  <si>
    <t>111.6</t>
  </si>
  <si>
    <t>Great Western Battery Project</t>
  </si>
  <si>
    <t>NEOEN Australia</t>
  </si>
  <si>
    <t>Greater Gippsland Offshore Wind</t>
  </si>
  <si>
    <t>BlueFloat Energy / Energy Estate</t>
  </si>
  <si>
    <t>1300</t>
  </si>
  <si>
    <t>Gregadoo Solar Farm</t>
  </si>
  <si>
    <t>Gregadoo Solar Farm Pty Ltd</t>
  </si>
  <si>
    <t>45</t>
  </si>
  <si>
    <t>Griffith Solar Farm Pty Ltd</t>
  </si>
  <si>
    <t>GRIFSF1</t>
  </si>
  <si>
    <t>29.999</t>
  </si>
  <si>
    <t>EDL Projects Australia Pty Ltd</t>
  </si>
  <si>
    <t>GROSV1</t>
  </si>
  <si>
    <t>21</t>
  </si>
  <si>
    <t>Grosvenor 2 Waste Coal Mine Gas Power Station</t>
  </si>
  <si>
    <t>15.205</t>
  </si>
  <si>
    <t>Group Linen - Maryborough</t>
  </si>
  <si>
    <t>0.165</t>
  </si>
  <si>
    <t>Group Linen - Prince Charles</t>
  </si>
  <si>
    <t>0.33</t>
  </si>
  <si>
    <t>Guildford Wind Farm</t>
  </si>
  <si>
    <t>Gulgong Solar Project</t>
  </si>
  <si>
    <t>New Gullen Range Wind Farm Pty Ltd</t>
  </si>
  <si>
    <t>GULLRSF1</t>
  </si>
  <si>
    <t>GULLRWF1</t>
  </si>
  <si>
    <t>25.5</t>
  </si>
  <si>
    <t>Gullen Range Wind Farm 2</t>
  </si>
  <si>
    <t>110.67</t>
  </si>
  <si>
    <t>2120</t>
  </si>
  <si>
    <t xml:space="preserve">GNNDHSF1_x000D_
		</t>
  </si>
  <si>
    <t>110</t>
  </si>
  <si>
    <t>2056</t>
  </si>
  <si>
    <t>Gunning Solar Farm (Canadian)</t>
  </si>
  <si>
    <t>Canadian Solar</t>
  </si>
  <si>
    <t>N00045</t>
  </si>
  <si>
    <t>Gunning Solar Farm (Photon)</t>
  </si>
  <si>
    <t>Gunning Wind Farm</t>
  </si>
  <si>
    <t>Gunning Wind Energy Developments</t>
  </si>
  <si>
    <t>GUNNING1</t>
  </si>
  <si>
    <t>46.5</t>
  </si>
  <si>
    <t>Guthega</t>
  </si>
  <si>
    <t>GUTHEGA</t>
  </si>
  <si>
    <t>GV Community Energy</t>
  </si>
  <si>
    <t>Gympie Regional Energy Hub - Stage 1</t>
  </si>
  <si>
    <t>Gympie Regional Energy Hub - Stage 2</t>
  </si>
  <si>
    <t>1000</t>
  </si>
  <si>
    <t>Gympie Regional Energy Hub - Stage 3</t>
  </si>
  <si>
    <t>650</t>
  </si>
  <si>
    <t>Hallam Road</t>
  </si>
  <si>
    <t>HALAMRD1</t>
  </si>
  <si>
    <t>8.984</t>
  </si>
  <si>
    <t>Brown Hill North Pty Ltd</t>
  </si>
  <si>
    <t>NBHWF1</t>
  </si>
  <si>
    <t>132.3</t>
  </si>
  <si>
    <t>Hallett 5 The Bluff WF</t>
  </si>
  <si>
    <t>Eurus Energy</t>
  </si>
  <si>
    <t>BLUFF1</t>
  </si>
  <si>
    <t>18</t>
  </si>
  <si>
    <t>21.76</t>
  </si>
  <si>
    <t>25.6</t>
  </si>
  <si>
    <t>37.2</t>
  </si>
  <si>
    <t>37.8</t>
  </si>
  <si>
    <t>68</t>
  </si>
  <si>
    <t>Palisade Investment Partner Limited</t>
  </si>
  <si>
    <t>HALLWF1</t>
  </si>
  <si>
    <t>94.5</t>
  </si>
  <si>
    <t>Hallett Stage 2 Hallett Hill</t>
  </si>
  <si>
    <t>Infrastructure Capital Group Limited</t>
  </si>
  <si>
    <t>HALLWF2</t>
  </si>
  <si>
    <t>71.4</t>
  </si>
  <si>
    <t>Halys to Chinchilla Dedicated Connection Asset (DCA): Battery</t>
  </si>
  <si>
    <t xml:space="preserve">UGL Pty Ltd </t>
  </si>
  <si>
    <t>Q00019</t>
  </si>
  <si>
    <t>Hamilton Solar Farm Pty Ltd</t>
  </si>
  <si>
    <t>HAMISF1</t>
  </si>
  <si>
    <t>57.5</t>
  </si>
  <si>
    <t>4.41</t>
  </si>
  <si>
    <t>8.34</t>
  </si>
  <si>
    <t>Harlin Solar Farm</t>
  </si>
  <si>
    <t>Harlin Solar Pty Ltd</t>
  </si>
  <si>
    <t>800</t>
  </si>
  <si>
    <t>Hastings Generation Site</t>
  </si>
  <si>
    <t>Esso Australia Pty Ltd and BHP Petroleum (Bass Strait) Pty Ltd</t>
  </si>
  <si>
    <t>41.85</t>
  </si>
  <si>
    <t>Haughton BESS</t>
  </si>
  <si>
    <t>132.597</t>
  </si>
  <si>
    <t>Haunted Gully BESS</t>
  </si>
  <si>
    <t>V00053</t>
  </si>
  <si>
    <t>Hawkesdale Wind Farm</t>
  </si>
  <si>
    <t>Ryan Corner Development Pty Ltd</t>
  </si>
  <si>
    <t>Hay Sun Farm</t>
  </si>
  <si>
    <t>Overland Sun Farming Pty Ltd</t>
  </si>
  <si>
    <t>57.75</t>
  </si>
  <si>
    <t>Hazelwood Battery Energy Storage System Facility</t>
  </si>
  <si>
    <t>International Power (Energy) Pty Ltd</t>
  </si>
  <si>
    <t>V00007</t>
  </si>
  <si>
    <t>Heathgate Resources Beverley mine - BESS</t>
  </si>
  <si>
    <t>SunSHIFT</t>
  </si>
  <si>
    <t>Hellyer Wind Farm</t>
  </si>
  <si>
    <t>220</t>
  </si>
  <si>
    <t>Hexham</t>
  </si>
  <si>
    <t>Wind Prospect WA Pty Ltd</t>
  </si>
  <si>
    <t>Heywood Terminal Station BESS</t>
  </si>
  <si>
    <t>V00052</t>
  </si>
  <si>
    <t>High Road</t>
  </si>
  <si>
    <t>66.6 - 84.6</t>
  </si>
  <si>
    <t>Highbury Pumped Hydro Energy Storage</t>
  </si>
  <si>
    <t>Hills of Gold Wind Farm</t>
  </si>
  <si>
    <t>Wind Energy Partners</t>
  </si>
  <si>
    <t>Hobart</t>
  </si>
  <si>
    <t xml:space="preserve">SUSTAINABLE ENERGY INFRASTRUCTURE </t>
  </si>
  <si>
    <t>Holbrook SF</t>
  </si>
  <si>
    <t>N00069</t>
  </si>
  <si>
    <t>HWF 1 Pty Ltd</t>
  </si>
  <si>
    <t>HDWF1</t>
  </si>
  <si>
    <t>102.4</t>
  </si>
  <si>
    <t>HWF 2 Pty Ltd</t>
  </si>
  <si>
    <t>HDWF2</t>
  </si>
  <si>
    <t>HWF 3 Pty Ltd</t>
  </si>
  <si>
    <t>HDWF3</t>
  </si>
  <si>
    <t>Horsham Solar Farm</t>
  </si>
  <si>
    <t>Hughenden Solar Pty Ltd as Trustee for Hughenden Solar Trust</t>
  </si>
  <si>
    <t>HUGSF1</t>
  </si>
  <si>
    <t>Hume BESS</t>
  </si>
  <si>
    <t>Hume Dam NSW</t>
  </si>
  <si>
    <t>GSPOWER</t>
  </si>
  <si>
    <t>HUMENSW</t>
  </si>
  <si>
    <t>Hume Dam VIC</t>
  </si>
  <si>
    <t>HUMEV</t>
  </si>
  <si>
    <t>Hunter Coast Offshore Wind</t>
  </si>
  <si>
    <t>Bluefloat Energy / Energy Estate</t>
  </si>
  <si>
    <t>1400</t>
  </si>
  <si>
    <t>Hunter EconomicZone</t>
  </si>
  <si>
    <t>28.8</t>
  </si>
  <si>
    <t>HYMIVC06 Belgrave-Hallam Rd Micro Hydro</t>
  </si>
  <si>
    <t>South East Water Corporation</t>
  </si>
  <si>
    <t>HLMSEW01</t>
  </si>
  <si>
    <t>0.25</t>
  </si>
  <si>
    <t>Illawarra Offshore Wind Farm</t>
  </si>
  <si>
    <t>Jan 2031</t>
  </si>
  <si>
    <t>Inkerman Mill</t>
  </si>
  <si>
    <t>Wilmar Sugar Australia Limited</t>
  </si>
  <si>
    <t>2.5</t>
  </si>
  <si>
    <t>Innes Park Solar Farm</t>
  </si>
  <si>
    <t>Inverleigh Solar Farm</t>
  </si>
  <si>
    <t>22</t>
  </si>
  <si>
    <t>Inverleigh Wind Farm</t>
  </si>
  <si>
    <t>Inverleigh Wind Farm Pty Ltd</t>
  </si>
  <si>
    <t>88 - 96</t>
  </si>
  <si>
    <t>Inverliegh Wind Farm Storage</t>
  </si>
  <si>
    <t>1 - 12</t>
  </si>
  <si>
    <t>Invicta Mill</t>
  </si>
  <si>
    <t>Haughton Sugar Company Pty Limited</t>
  </si>
  <si>
    <t>INVICTA</t>
  </si>
  <si>
    <t>2031</t>
  </si>
  <si>
    <t>9</t>
  </si>
  <si>
    <t>38.8</t>
  </si>
  <si>
    <t>Ipswich Regional Energy Hub - Solar</t>
  </si>
  <si>
    <t>Iron Leaf Wind Farm</t>
  </si>
  <si>
    <t>Q00009</t>
  </si>
  <si>
    <t>ISIS Central Sugar Mill Co-generation Plant</t>
  </si>
  <si>
    <t>ICSM</t>
  </si>
  <si>
    <t>Jacks Gully</t>
  </si>
  <si>
    <t>JACKSGUL</t>
  </si>
  <si>
    <t>2.3</t>
  </si>
  <si>
    <t>Jeeralang A</t>
  </si>
  <si>
    <t>EnergyAustralia Ecogen Py Ltd</t>
  </si>
  <si>
    <t>JLA01</t>
  </si>
  <si>
    <t>JLA02</t>
  </si>
  <si>
    <t>JLA03</t>
  </si>
  <si>
    <t>JLA04</t>
  </si>
  <si>
    <t>Jeeralang B</t>
  </si>
  <si>
    <t>JLB01</t>
  </si>
  <si>
    <t>76</t>
  </si>
  <si>
    <t>JLB02</t>
  </si>
  <si>
    <t>JLB03</t>
  </si>
  <si>
    <t>Jeremiah WF</t>
  </si>
  <si>
    <t>Jeremiah Wind Farm Pty Ltd</t>
  </si>
  <si>
    <t>N00068</t>
  </si>
  <si>
    <t>Jessica Way Truganina Solar</t>
  </si>
  <si>
    <t>0.365</t>
  </si>
  <si>
    <t>Jindabyne</t>
  </si>
  <si>
    <t>JNDABNE1</t>
  </si>
  <si>
    <t>1.1</t>
  </si>
  <si>
    <t>JL King &amp; Co 150kW- Solar-</t>
  </si>
  <si>
    <t>0.15</t>
  </si>
  <si>
    <t>John Butters</t>
  </si>
  <si>
    <t>JBUTTERS</t>
  </si>
  <si>
    <t>Jounama</t>
  </si>
  <si>
    <t>JOUNAMA1</t>
  </si>
  <si>
    <t>JUNEESF1</t>
  </si>
  <si>
    <t>36.014</t>
  </si>
  <si>
    <t>Dec 2021</t>
  </si>
  <si>
    <t>156.8</t>
  </si>
  <si>
    <t>Mar 2023</t>
  </si>
  <si>
    <t>Kalamia Mill</t>
  </si>
  <si>
    <t>Kanowna Solar Farm</t>
  </si>
  <si>
    <t>Kanowna Solar Pty Ltd</t>
  </si>
  <si>
    <t>4.998</t>
  </si>
  <si>
    <t>Iraak Sun Farm Pty Ltd</t>
  </si>
  <si>
    <t>KARSF1</t>
  </si>
  <si>
    <t>104.5</t>
  </si>
  <si>
    <t>Karara</t>
  </si>
  <si>
    <t>CLEANCO</t>
  </si>
  <si>
    <t>102.6</t>
  </si>
  <si>
    <t>Apr 2025</t>
  </si>
  <si>
    <t>Kareeya</t>
  </si>
  <si>
    <t>KAREEYA1</t>
  </si>
  <si>
    <t>21.6</t>
  </si>
  <si>
    <t>KAREEYA2</t>
  </si>
  <si>
    <t>KAREEYA3</t>
  </si>
  <si>
    <t>KAREEYA4</t>
  </si>
  <si>
    <t>Kareeya 5</t>
  </si>
  <si>
    <t>KAREEYA5</t>
  </si>
  <si>
    <t>7</t>
  </si>
  <si>
    <t>Keepit</t>
  </si>
  <si>
    <t>KEEPIT</t>
  </si>
  <si>
    <t>Kelsey Creek Solar Farm</t>
  </si>
  <si>
    <t>BayWa r.e. Solar Project Pty Ltd</t>
  </si>
  <si>
    <t>Kennedy Energy Park - Phase 2 - Wind</t>
  </si>
  <si>
    <t>Windlab Developments</t>
  </si>
  <si>
    <t>Kentbruck Green Power Hub</t>
  </si>
  <si>
    <t>942</t>
  </si>
  <si>
    <t>Kerang East Storage System</t>
  </si>
  <si>
    <t>Kerang BESS Pty Ltd</t>
  </si>
  <si>
    <t>V00067</t>
  </si>
  <si>
    <t>Kerang Solar Farm</t>
  </si>
  <si>
    <t>53.314</t>
  </si>
  <si>
    <t>Kerang Solar Farm Green Switch</t>
  </si>
  <si>
    <t>Kerang Solar Plant Pty Ltd</t>
  </si>
  <si>
    <t>29.9</t>
  </si>
  <si>
    <t>Kerrs Creek Wind Farm</t>
  </si>
  <si>
    <t>N00049</t>
  </si>
  <si>
    <t>Keyneton Wind Farm</t>
  </si>
  <si>
    <t>Pacific Hydro Developments Australia</t>
  </si>
  <si>
    <t>105 - 175.98</t>
  </si>
  <si>
    <t>199.95</t>
  </si>
  <si>
    <t>Kiamal Solar Farm - Stage 2</t>
  </si>
  <si>
    <t>KSF2 Project Nominees Pty Ltd ATF KSF2 Project Trust</t>
  </si>
  <si>
    <t>150.04</t>
  </si>
  <si>
    <t>Kiata Wind Farm Pty Ltd</t>
  </si>
  <si>
    <t>KiataWF1</t>
  </si>
  <si>
    <t>31.05</t>
  </si>
  <si>
    <t>Feb 2025</t>
  </si>
  <si>
    <t>2105</t>
  </si>
  <si>
    <t>Kidston Solar Project Phase One 50MW</t>
  </si>
  <si>
    <t>KSP1</t>
  </si>
  <si>
    <t>Kidston Solar Project Phase Two 270MW</t>
  </si>
  <si>
    <t>270</t>
  </si>
  <si>
    <t>Kidston Stage 3 Wind Project</t>
  </si>
  <si>
    <t>Kingaroy Solar Farm</t>
  </si>
  <si>
    <t>Kingaroy Operationsco Pty Ltd</t>
  </si>
  <si>
    <t>39.996</t>
  </si>
  <si>
    <t>Kingfisher Solar Storage - Solar</t>
  </si>
  <si>
    <t>Kingfisher Solar Storage - Storage</t>
  </si>
  <si>
    <t>Kingscote Power Station</t>
  </si>
  <si>
    <t>SA Power Networks</t>
  </si>
  <si>
    <t>Koberinga Solar Farm</t>
  </si>
  <si>
    <t>Kogan Battery Energy Storage System (BESS)</t>
  </si>
  <si>
    <t>CS Energy Ltd</t>
  </si>
  <si>
    <t>Q00032</t>
  </si>
  <si>
    <t>Kogan Creek</t>
  </si>
  <si>
    <t>KPP_1</t>
  </si>
  <si>
    <t>744</t>
  </si>
  <si>
    <t>Kumbarilla Renewable Energy Park (K-REP)</t>
  </si>
  <si>
    <t>Elecseed Pty Ltd</t>
  </si>
  <si>
    <t>Committed¹</t>
  </si>
  <si>
    <t>Dec 2023</t>
  </si>
  <si>
    <t>LADBROK1</t>
  </si>
  <si>
    <t>LADBROK2</t>
  </si>
  <si>
    <t>Lake Bonney 1 Wind Farm</t>
  </si>
  <si>
    <t>Lake Bonney Wind Power Pty Ltd</t>
  </si>
  <si>
    <t>LKBONNY1</t>
  </si>
  <si>
    <t>80.5</t>
  </si>
  <si>
    <t>Lake Bonney 2 Wind Farm</t>
  </si>
  <si>
    <t>LKBONNY2</t>
  </si>
  <si>
    <t>Lake Bonney 3 Wind Farm</t>
  </si>
  <si>
    <t>LKBONNY3</t>
  </si>
  <si>
    <t>39</t>
  </si>
  <si>
    <t xml:space="preserve">Lake Bonney BESS Pty Limited </t>
  </si>
  <si>
    <t>Lake Echo</t>
  </si>
  <si>
    <t>LK_ECHO</t>
  </si>
  <si>
    <t>32.4</t>
  </si>
  <si>
    <t>Lake Margaret</t>
  </si>
  <si>
    <t>8.4</t>
  </si>
  <si>
    <t>Seqwater</t>
  </si>
  <si>
    <t>4.3</t>
  </si>
  <si>
    <t>Lakeland 2</t>
  </si>
  <si>
    <t>Lakeland Solar and Storage Pty Ltd</t>
  </si>
  <si>
    <t>Lakeland Solar and Storage</t>
  </si>
  <si>
    <t>Lakeland Solar and Storage Pty Limited</t>
  </si>
  <si>
    <t>12.504</t>
  </si>
  <si>
    <t>Lakeland Wind Farm</t>
  </si>
  <si>
    <t>Lakeland Wind Farm Pty Ltd</t>
  </si>
  <si>
    <t>73.1</t>
  </si>
  <si>
    <t>Latitude Solar Farm</t>
  </si>
  <si>
    <t>Kentucky Solar Pty Ltd</t>
  </si>
  <si>
    <t>Latrobe Solar Farm</t>
  </si>
  <si>
    <t>V00009</t>
  </si>
  <si>
    <t>LaTrobe Valley BESS</t>
  </si>
  <si>
    <t>Laverton North</t>
  </si>
  <si>
    <t>LNGS1</t>
  </si>
  <si>
    <t>156</t>
  </si>
  <si>
    <t>LNGS2</t>
  </si>
  <si>
    <t>Leigh Creek Energy Project</t>
  </si>
  <si>
    <t>Leigh Creek Energy</t>
  </si>
  <si>
    <t>Gaseous fossil fuels - other</t>
  </si>
  <si>
    <t>Lemonthyme / Wilmot</t>
  </si>
  <si>
    <t>LEM_WIL</t>
  </si>
  <si>
    <t>30.6</t>
  </si>
  <si>
    <t>51</t>
  </si>
  <si>
    <t>Leonards Hill</t>
  </si>
  <si>
    <t>Hepburn Community Wind Park Co-operative Limited</t>
  </si>
  <si>
    <t>HEPWIND1</t>
  </si>
  <si>
    <t>4.1</t>
  </si>
  <si>
    <t>LD01</t>
  </si>
  <si>
    <t>LD02</t>
  </si>
  <si>
    <t>LD03</t>
  </si>
  <si>
    <t>LD04</t>
  </si>
  <si>
    <t>Lilyvale Asset Co Pty Ltd ATF Lilyvale Asset Trust</t>
  </si>
  <si>
    <t>LILYSF1</t>
  </si>
  <si>
    <t>118.4</t>
  </si>
  <si>
    <t>Jan 2022</t>
  </si>
  <si>
    <t xml:space="preserve">LIMOSF11 </t>
  </si>
  <si>
    <t>28.98</t>
  </si>
  <si>
    <t>86.4</t>
  </si>
  <si>
    <t>Feb 2022</t>
  </si>
  <si>
    <t>Lincoln Gap Wind Farm stage 3</t>
  </si>
  <si>
    <t>Nexif Energy Australia Pty Ltd</t>
  </si>
  <si>
    <t>312</t>
  </si>
  <si>
    <t>Lismore BESS</t>
  </si>
  <si>
    <t>N00037</t>
  </si>
  <si>
    <t>Little River BESS</t>
  </si>
  <si>
    <t>V00075</t>
  </si>
  <si>
    <t>Little River Solar Farm</t>
  </si>
  <si>
    <t>Clean Technology Partners</t>
  </si>
  <si>
    <t>V00008</t>
  </si>
  <si>
    <t>Liverpool Range Wind Farm</t>
  </si>
  <si>
    <t>Liverpool Range Wind Farm Pty Ltd</t>
  </si>
  <si>
    <t>1338</t>
  </si>
  <si>
    <t>Jun 2027</t>
  </si>
  <si>
    <t>Llewellyn Motors</t>
  </si>
  <si>
    <t>Llewellyn Land Pty Ltd ATF Llewellyn Land Unit Trust</t>
  </si>
  <si>
    <t>0.336</t>
  </si>
  <si>
    <t>LMCC - Works Depot Power Station</t>
  </si>
  <si>
    <t>0.0788</t>
  </si>
  <si>
    <t>Lockyer Energy Management BESS and Generation Facility</t>
  </si>
  <si>
    <t>Lockyer Energy Management Pty</t>
  </si>
  <si>
    <t>Q00042</t>
  </si>
  <si>
    <t>Lockyer Valley Energy Project - Phase 1</t>
  </si>
  <si>
    <t>Quinbrook Asset Management as Trustee for The Australian Clean Power Trust</t>
  </si>
  <si>
    <t>117.2 - 120</t>
  </si>
  <si>
    <t>801.52</t>
  </si>
  <si>
    <t>Longford Gas Plant</t>
  </si>
  <si>
    <t>46.4</t>
  </si>
  <si>
    <t>Longreach Asset Company</t>
  </si>
  <si>
    <t>LRSF1</t>
  </si>
  <si>
    <t>Lonsdale</t>
  </si>
  <si>
    <t>Lumo Generation SA Pty Ltd</t>
  </si>
  <si>
    <t>LONSDALE</t>
  </si>
  <si>
    <t>20.7</t>
  </si>
  <si>
    <t>Lotus Creek Wind Farm</t>
  </si>
  <si>
    <t>341</t>
  </si>
  <si>
    <t>Lovely Banks Renewable Energy Hub</t>
  </si>
  <si>
    <t>Syncline Energy Pty Ltd</t>
  </si>
  <si>
    <t>V00002</t>
  </si>
  <si>
    <t>Low Head Wind Farm</t>
  </si>
  <si>
    <t>Low Head Wind Farm Pty Ltd</t>
  </si>
  <si>
    <t>42</t>
  </si>
  <si>
    <t>Lower Lake Margaret</t>
  </si>
  <si>
    <t>3.2</t>
  </si>
  <si>
    <t>AGL Loy Yang Marketing Pty Ltd</t>
  </si>
  <si>
    <t>Brown Coal</t>
  </si>
  <si>
    <t>LYA1</t>
  </si>
  <si>
    <t>560</t>
  </si>
  <si>
    <t>LYA2</t>
  </si>
  <si>
    <t>530</t>
  </si>
  <si>
    <t>Anticipated Upgrade</t>
  </si>
  <si>
    <t>Sep 2025</t>
  </si>
  <si>
    <t>LYA3</t>
  </si>
  <si>
    <t>LYA4</t>
  </si>
  <si>
    <t>580</t>
  </si>
  <si>
    <t>LOYYB2</t>
  </si>
  <si>
    <t>Loy Yang BESS</t>
  </si>
  <si>
    <t xml:space="preserve"> AGL Energy Ltd </t>
  </si>
  <si>
    <t>V00038</t>
  </si>
  <si>
    <t>Lubeck Wind Farm</t>
  </si>
  <si>
    <t>Wind Prospect Pty Ltd</t>
  </si>
  <si>
    <t>V00042</t>
  </si>
  <si>
    <t>Lucas Heights 2</t>
  </si>
  <si>
    <t>LUCAS2S2</t>
  </si>
  <si>
    <t>17.25</t>
  </si>
  <si>
    <t>Lucas Heights I</t>
  </si>
  <si>
    <t>3.09</t>
  </si>
  <si>
    <t>LYA BESS</t>
  </si>
  <si>
    <t>LOYYANGA</t>
  </si>
  <si>
    <t>Macarthur Wind Farm Pty Ltd and Meridian Wind Macarthur Pty Ltd</t>
  </si>
  <si>
    <t>MACARTH1</t>
  </si>
  <si>
    <t>486 - 923.4</t>
  </si>
  <si>
    <t>34</t>
  </si>
  <si>
    <t>Mackintosh</t>
  </si>
  <si>
    <t>MACKNTSH</t>
  </si>
  <si>
    <t>Macknade Mill</t>
  </si>
  <si>
    <t>Wilmar Sugar Australia LImited</t>
  </si>
  <si>
    <t>Manildra Solar Farm</t>
  </si>
  <si>
    <t>Manildra Prop Pty Ltd as trustee for the Manildra Asset Trust</t>
  </si>
  <si>
    <t>MANSLR1</t>
  </si>
  <si>
    <t>16.8</t>
  </si>
  <si>
    <t>12.36</t>
  </si>
  <si>
    <t>Mannum BESS</t>
  </si>
  <si>
    <t>S00016</t>
  </si>
  <si>
    <t>Mannum Solar Farm</t>
  </si>
  <si>
    <t>Mannum Solar Farm Pty Ltd</t>
  </si>
  <si>
    <t>4.95</t>
  </si>
  <si>
    <t>Mansfield Solar Farm</t>
  </si>
  <si>
    <t>Biscon Energy Australia Pty Ltd</t>
  </si>
  <si>
    <t>V00036</t>
  </si>
  <si>
    <t>Maroona Wind Farm</t>
  </si>
  <si>
    <t>Myamba Developments Pty Ltd</t>
  </si>
  <si>
    <t>MAROOWF1</t>
  </si>
  <si>
    <t>Marulan - OCGT/CCGT</t>
  </si>
  <si>
    <t>EnergyAustralia Marulan Pty Ltd</t>
  </si>
  <si>
    <t>Turbine - Other</t>
  </si>
  <si>
    <t>250 - 350</t>
  </si>
  <si>
    <t>250 - 450</t>
  </si>
  <si>
    <t>Maryborough Mill</t>
  </si>
  <si>
    <t>3.5</t>
  </si>
  <si>
    <t>4</t>
  </si>
  <si>
    <t>34.5</t>
  </si>
  <si>
    <t>Maryvale Solar Farm</t>
  </si>
  <si>
    <t>125</t>
  </si>
  <si>
    <t>Matthew Flinders College Senior</t>
  </si>
  <si>
    <t>Matthew Flinders Anglican College</t>
  </si>
  <si>
    <t>0.198</t>
  </si>
  <si>
    <t>Maxwell Solar Farm</t>
  </si>
  <si>
    <t>Malabar Coal</t>
  </si>
  <si>
    <t>McNamee Partners</t>
  </si>
  <si>
    <t>McNamee Partners Pty Ltd</t>
  </si>
  <si>
    <t>0.256</t>
  </si>
  <si>
    <t>Meadow Creek Solar Farm</t>
  </si>
  <si>
    <t>V00057</t>
  </si>
  <si>
    <t>Meadowbank</t>
  </si>
  <si>
    <t>MEADOWBK</t>
  </si>
  <si>
    <t>Melbourne Renewable Energy Complex</t>
  </si>
  <si>
    <t>V00060</t>
  </si>
  <si>
    <t>Melbourne Solar Farm</t>
  </si>
  <si>
    <t>Emergent Technologies</t>
  </si>
  <si>
    <t>V00024</t>
  </si>
  <si>
    <t>Melton Renewable Energy Hub</t>
  </si>
  <si>
    <t>MREH Pty Ltd as trustee for MREH Asset Trust</t>
  </si>
  <si>
    <t>1200</t>
  </si>
  <si>
    <t>2065</t>
  </si>
  <si>
    <t>Meredith Wind Farm</t>
  </si>
  <si>
    <t>Acciona Solar Pty Ltd</t>
  </si>
  <si>
    <t>V00020</t>
  </si>
  <si>
    <t>Merriwa SF</t>
  </si>
  <si>
    <t>Midgar Solar Project Pty Ltd</t>
  </si>
  <si>
    <t>N00072</t>
  </si>
  <si>
    <t>METZSF1</t>
  </si>
  <si>
    <t>Middleback Ranges Pumped Hydro</t>
  </si>
  <si>
    <t>Zen Energy</t>
  </si>
  <si>
    <t>Middlebrook SF &amp; BESS</t>
  </si>
  <si>
    <t>Middlebrook Solar Farm Pty Ltd</t>
  </si>
  <si>
    <t>N00071</t>
  </si>
  <si>
    <t>Middlemount Solar Farm</t>
  </si>
  <si>
    <t>MIDDLSF1</t>
  </si>
  <si>
    <t>26</t>
  </si>
  <si>
    <t>Midland Highway Orrvale</t>
  </si>
  <si>
    <t>0.509</t>
  </si>
  <si>
    <t>Midlands Hydro</t>
  </si>
  <si>
    <t>6</t>
  </si>
  <si>
    <t>9.6</t>
  </si>
  <si>
    <t>Miles Solar Project</t>
  </si>
  <si>
    <t>Millmerran Power Plant</t>
  </si>
  <si>
    <t>Millmerran Power Partners</t>
  </si>
  <si>
    <t>MPP_1</t>
  </si>
  <si>
    <t>426</t>
  </si>
  <si>
    <t>MPP_2</t>
  </si>
  <si>
    <t>Mintaro GT</t>
  </si>
  <si>
    <t>MINTARO</t>
  </si>
  <si>
    <t>Mirani Solar Farm</t>
  </si>
  <si>
    <t>Moah Creek Wind Farm</t>
  </si>
  <si>
    <t>Q00040</t>
  </si>
  <si>
    <t>Moama Solar Farm</t>
  </si>
  <si>
    <t>Moama Operationsco Pty Ltd as trustee for Moama Operations Trust</t>
  </si>
  <si>
    <t>Moira Solar Farm</t>
  </si>
  <si>
    <t>Mokoan Solar Farm</t>
  </si>
  <si>
    <t>Lightsource Australia SPV 1 Pty Ltd</t>
  </si>
  <si>
    <t>36.08</t>
  </si>
  <si>
    <t>Monaro Solar Farm</t>
  </si>
  <si>
    <t>Terrain Solar Pty Ltd</t>
  </si>
  <si>
    <t>N00036</t>
  </si>
  <si>
    <t>Monash BESS</t>
  </si>
  <si>
    <t>Progressive Green Pty Ltd</t>
  </si>
  <si>
    <t>Monash Solar Farm</t>
  </si>
  <si>
    <t>1265 Warnecke Rd Pty Ltd</t>
  </si>
  <si>
    <t>S00001</t>
  </si>
  <si>
    <t>Moonah Solar Farm</t>
  </si>
  <si>
    <t>V00056</t>
  </si>
  <si>
    <t>Moorambilla Solar Farm</t>
  </si>
  <si>
    <t>Moorambilla Solar Pty Ltd</t>
  </si>
  <si>
    <t>Moranbah Generation Project</t>
  </si>
  <si>
    <t>MORANBAH</t>
  </si>
  <si>
    <t>12.56</t>
  </si>
  <si>
    <t>Moranbah North</t>
  </si>
  <si>
    <t>MBAHNTH</t>
  </si>
  <si>
    <t>63.84</t>
  </si>
  <si>
    <t>Moranbah Workers Solar</t>
  </si>
  <si>
    <t>0.2138</t>
  </si>
  <si>
    <t>Moree Solar Farm Pty Ltd</t>
  </si>
  <si>
    <t>MOREESF1</t>
  </si>
  <si>
    <t>56</t>
  </si>
  <si>
    <t>6.12</t>
  </si>
  <si>
    <t>5.88</t>
  </si>
  <si>
    <t>7.38</t>
  </si>
  <si>
    <t>Mornington Waste Disposal Facility</t>
  </si>
  <si>
    <t>MORNW</t>
  </si>
  <si>
    <t>Confidential</t>
  </si>
  <si>
    <t>MORTLK11</t>
  </si>
  <si>
    <t>292</t>
  </si>
  <si>
    <t>Mortlake Battery</t>
  </si>
  <si>
    <t xml:space="preserve">Origin Energy Electricity Limited </t>
  </si>
  <si>
    <t>Mortlake Energy Hub</t>
  </si>
  <si>
    <t>brightnightpower_NR</t>
  </si>
  <si>
    <t>465.34</t>
  </si>
  <si>
    <t>V00077</t>
  </si>
  <si>
    <t>Mortlake South Wind Farm</t>
  </si>
  <si>
    <t>Mortlake South Wind Farm Pty Ltd</t>
  </si>
  <si>
    <t>157.5</t>
  </si>
  <si>
    <t>Mortons Lane Windfarm Pty Ltd</t>
  </si>
  <si>
    <t>MLWF1</t>
  </si>
  <si>
    <t>19.5</t>
  </si>
  <si>
    <t>Morwell Battery Energy Storage System</t>
  </si>
  <si>
    <t>V00012</t>
  </si>
  <si>
    <t>Morwell Solar</t>
  </si>
  <si>
    <t>Ratch Australia Corporation</t>
  </si>
  <si>
    <t>66 - 82.5</t>
  </si>
  <si>
    <t>MEWF1</t>
  </si>
  <si>
    <t>180.518</t>
  </si>
  <si>
    <t>Mount Fyans</t>
  </si>
  <si>
    <t>Woolnorth Wind Farm Holding</t>
  </si>
  <si>
    <t>340 - 459</t>
  </si>
  <si>
    <t>Mount Majura</t>
  </si>
  <si>
    <t>Mount Majura Solar Holdings Pty Ltd</t>
  </si>
  <si>
    <t>Mount Sheridan Plaza</t>
  </si>
  <si>
    <t>0.2995</t>
  </si>
  <si>
    <t>Mount Waverley Mini Hydro</t>
  </si>
  <si>
    <t>0.355</t>
  </si>
  <si>
    <t>99</t>
  </si>
  <si>
    <t>Mt Cotton Biomass Cogeneration Power Station</t>
  </si>
  <si>
    <t>Darwalla Milling Co Pty Ltd</t>
  </si>
  <si>
    <t>Wood Waste</t>
  </si>
  <si>
    <t>7.6</t>
  </si>
  <si>
    <t>Mt Fox Energy Park</t>
  </si>
  <si>
    <t>Mount Fox Energy Park Pty Ltd</t>
  </si>
  <si>
    <t>Q00008</t>
  </si>
  <si>
    <t>138.6</t>
  </si>
  <si>
    <t>Mt Mercer Windfarm Pty Ltd</t>
  </si>
  <si>
    <t>MERCER01</t>
  </si>
  <si>
    <t>131.2</t>
  </si>
  <si>
    <t>Mt Millar Wind Farm</t>
  </si>
  <si>
    <t>MT MILLAR WIND FARM PTY LTD</t>
  </si>
  <si>
    <t>MTMILLAR</t>
  </si>
  <si>
    <t>72.275</t>
  </si>
  <si>
    <t>730</t>
  </si>
  <si>
    <t>MP2</t>
  </si>
  <si>
    <t>Mt Rawdon Pumped Hydro Energy Storage Project</t>
  </si>
  <si>
    <t>ICA Partners Pty Ltd</t>
  </si>
  <si>
    <t>Q00015</t>
  </si>
  <si>
    <t>Mt Stuart</t>
  </si>
  <si>
    <t>Origin Energy Mt Stuart</t>
  </si>
  <si>
    <t>MSTUART1</t>
  </si>
  <si>
    <t>146</t>
  </si>
  <si>
    <t>MSTUART2</t>
  </si>
  <si>
    <t>MSTUART3</t>
  </si>
  <si>
    <t>131.5</t>
  </si>
  <si>
    <t>Mugga Lane Solar Park Pty Ltd</t>
  </si>
  <si>
    <t>MLSP1</t>
  </si>
  <si>
    <t>13.6</t>
  </si>
  <si>
    <t>Mulgrave Central Mill</t>
  </si>
  <si>
    <t>Mulwala Solar Farm</t>
  </si>
  <si>
    <t>Mulwala Solar Farm Pty Ltd</t>
  </si>
  <si>
    <t>Mumbil Solar Farm</t>
  </si>
  <si>
    <t>154</t>
  </si>
  <si>
    <t>Apr 2024</t>
  </si>
  <si>
    <t>Murra Warra Solar Farm</t>
  </si>
  <si>
    <t>MUWAWF1</t>
  </si>
  <si>
    <t>225.7</t>
  </si>
  <si>
    <t>Murra Warra II Project Co Pty Ltd as Trustee for the Murra Warra II Project Trust</t>
  </si>
  <si>
    <t>MUWAWF2</t>
  </si>
  <si>
    <t>209</t>
  </si>
  <si>
    <t>Murray 1</t>
  </si>
  <si>
    <t>MURRAY</t>
  </si>
  <si>
    <t>950</t>
  </si>
  <si>
    <t>Murray 2</t>
  </si>
  <si>
    <t>552</t>
  </si>
  <si>
    <t>13.74</t>
  </si>
  <si>
    <t>Murray Bridge Hahndorf Pumping Station 2 Solar</t>
  </si>
  <si>
    <t xml:space="preserve">South Australia Water Corporation (SA Water) Pty Ltd </t>
  </si>
  <si>
    <t>S00012</t>
  </si>
  <si>
    <t>Musselroe Wind Farm Pty Ltd</t>
  </si>
  <si>
    <t>MUSSELR1</t>
  </si>
  <si>
    <t>Naring Solar Farm</t>
  </si>
  <si>
    <t>Lightsource</t>
  </si>
  <si>
    <t>Naroghid</t>
  </si>
  <si>
    <t>Alinta Energy Retail Sales Pty Ltd</t>
  </si>
  <si>
    <t>Narrabri Solar Farm</t>
  </si>
  <si>
    <t>Narrabri Power Pty Ltd</t>
  </si>
  <si>
    <t>N00059</t>
  </si>
  <si>
    <t>Narrabri South Solar Farm</t>
  </si>
  <si>
    <t>Narromine Solar Farm</t>
  </si>
  <si>
    <t>Dubbo Solar Hub Pty Ltd</t>
  </si>
  <si>
    <t>NASF1</t>
  </si>
  <si>
    <t>Navarre Wind Farm</t>
  </si>
  <si>
    <t>Neon Australia Pty Ltd</t>
  </si>
  <si>
    <t>V00013</t>
  </si>
  <si>
    <t>NAWMA - LFG - SOLAR</t>
  </si>
  <si>
    <t>Northern Adelaide Waste Management Authority</t>
  </si>
  <si>
    <t>Other - Solar + methane</t>
  </si>
  <si>
    <t>2.393</t>
  </si>
  <si>
    <t>NAWMA Balefill Site Uleybury</t>
  </si>
  <si>
    <t>LMS Energy</t>
  </si>
  <si>
    <t>104.64</t>
  </si>
  <si>
    <t>UPC\AC Renewables Australia Pty Ltd</t>
  </si>
  <si>
    <t>319.902</t>
  </si>
  <si>
    <t>471.456</t>
  </si>
  <si>
    <t>May 2023</t>
  </si>
  <si>
    <t>New England Solar Farm BESS</t>
  </si>
  <si>
    <t>Newcastle Gas Peaker</t>
  </si>
  <si>
    <t>Newcastle Offshore Wind</t>
  </si>
  <si>
    <t>Newcastle Offshore Wind Energy Pty Ltd</t>
  </si>
  <si>
    <t>10000</t>
  </si>
  <si>
    <t>Newhaven College</t>
  </si>
  <si>
    <t>0.2432</t>
  </si>
  <si>
    <t>NPS</t>
  </si>
  <si>
    <t>Newport Battery Energy Storage System</t>
  </si>
  <si>
    <t>Energy Australia Pty Ltd</t>
  </si>
  <si>
    <t>V00015</t>
  </si>
  <si>
    <t xml:space="preserve">Nine Network Willoughby_x000D_
</t>
  </si>
  <si>
    <t>TCN Channel Nine Pty Ltd</t>
  </si>
  <si>
    <t>NINEWIL1</t>
  </si>
  <si>
    <t>1.28</t>
  </si>
  <si>
    <t>Normanton Solar Farm</t>
  </si>
  <si>
    <t>4.96</t>
  </si>
  <si>
    <t>North Qld Bio-Energy Plant</t>
  </si>
  <si>
    <t>North Queensland Bio-Energy Corporation Limited</t>
  </si>
  <si>
    <t>4 - 40</t>
  </si>
  <si>
    <t>2084</t>
  </si>
  <si>
    <t>11 - 110</t>
  </si>
  <si>
    <t>2085</t>
  </si>
  <si>
    <t>North West Bend Substation</t>
  </si>
  <si>
    <t>North West Bend Solar Project Pty Ltd</t>
  </si>
  <si>
    <t>S00014</t>
  </si>
  <si>
    <t>Novocastrian Offshore Wind Farm</t>
  </si>
  <si>
    <t>Nowingi Solar Storage - Solar</t>
  </si>
  <si>
    <t>Nowingi Solar Storage - Storage</t>
  </si>
  <si>
    <t>NSW Energy Cluster</t>
  </si>
  <si>
    <t>NSW Gas Peaker</t>
  </si>
  <si>
    <t>NUMURSF1</t>
  </si>
  <si>
    <t>36.48</t>
  </si>
  <si>
    <t>NYNGAN1</t>
  </si>
  <si>
    <t>102.025</t>
  </si>
  <si>
    <t>Oakey1 Asset Co Pty Ltd</t>
  </si>
  <si>
    <t>OAKEY1SF</t>
  </si>
  <si>
    <t>55.64</t>
  </si>
  <si>
    <t>OAKEY1</t>
  </si>
  <si>
    <t>OAKEY2</t>
  </si>
  <si>
    <t>Oaklands Hill Wind Farm</t>
  </si>
  <si>
    <t>Oaklands Hill Wind farm pty ltd</t>
  </si>
  <si>
    <t>OAKLAND1</t>
  </si>
  <si>
    <t>67.2</t>
  </si>
  <si>
    <t>Oaky Creek</t>
  </si>
  <si>
    <t>OAKYCREK</t>
  </si>
  <si>
    <t>6.088</t>
  </si>
  <si>
    <t>14.91</t>
  </si>
  <si>
    <t>EDL OCI PTY LTD</t>
  </si>
  <si>
    <t>OAKY2</t>
  </si>
  <si>
    <t>Jan 2025</t>
  </si>
  <si>
    <t>Orange Grove Sun Farm</t>
  </si>
  <si>
    <t>62</t>
  </si>
  <si>
    <t>Oven Mountain Pumped Storage</t>
  </si>
  <si>
    <t>Oxley Solar Farm</t>
  </si>
  <si>
    <t>Oxley Solar Development Pty Ltd</t>
  </si>
  <si>
    <t>Solar PV -</t>
  </si>
  <si>
    <t>Paling Yards Wind Farm</t>
  </si>
  <si>
    <t>231</t>
  </si>
  <si>
    <t>Pallamana Solar Farm</t>
  </si>
  <si>
    <t>176</t>
  </si>
  <si>
    <t>294</t>
  </si>
  <si>
    <t>Palmerston Battery Energy Storage System - Akaysha</t>
  </si>
  <si>
    <t>Akaysha Energy Pty Ltd</t>
  </si>
  <si>
    <t>T00014</t>
  </si>
  <si>
    <t>Palmerston Big Battery</t>
  </si>
  <si>
    <t>T00013</t>
  </si>
  <si>
    <t>Paloona</t>
  </si>
  <si>
    <t>PALOONA</t>
  </si>
  <si>
    <t>28</t>
  </si>
  <si>
    <t>Para Substation/Gould Creek BESS</t>
  </si>
  <si>
    <t>S00013</t>
  </si>
  <si>
    <t>Parkes Shire Council STP</t>
  </si>
  <si>
    <t>0.1074</t>
  </si>
  <si>
    <t>Parkes Shire Council WTP</t>
  </si>
  <si>
    <t>Parkes Solar Farm Pty Ltd</t>
  </si>
  <si>
    <t>PARSF1</t>
  </si>
  <si>
    <t>Pedler Creek</t>
  </si>
  <si>
    <t>EDL LFG SA Pty Ltd</t>
  </si>
  <si>
    <t>Pelican Point Power Limited</t>
  </si>
  <si>
    <t>PPCCGT</t>
  </si>
  <si>
    <t>171</t>
  </si>
  <si>
    <t>358</t>
  </si>
  <si>
    <t>Pelican Point S2</t>
  </si>
  <si>
    <t>320</t>
  </si>
  <si>
    <t>Penfield BESS</t>
  </si>
  <si>
    <t>BESS PENFIELD PTY LTD</t>
  </si>
  <si>
    <t>Penrith RSL Solar</t>
  </si>
  <si>
    <t>0.1999</t>
  </si>
  <si>
    <t>Penshurst</t>
  </si>
  <si>
    <t>198.052</t>
  </si>
  <si>
    <t>Perry Bridge Solar Farm</t>
  </si>
  <si>
    <t>Perry Bridge Solar Farm Pty Ltd</t>
  </si>
  <si>
    <t>Peterborough Solar Farm</t>
  </si>
  <si>
    <t>Renew Power Group Pty Ltd</t>
  </si>
  <si>
    <t>4.9</t>
  </si>
  <si>
    <t>Photon Energy Leeton</t>
  </si>
  <si>
    <t>Pindari</t>
  </si>
  <si>
    <t>PINDARI</t>
  </si>
  <si>
    <t>5.772</t>
  </si>
  <si>
    <t>Pine Lodge BESS</t>
  </si>
  <si>
    <t>ACEnergy</t>
  </si>
  <si>
    <t>Pioneer Sugar Mill</t>
  </si>
  <si>
    <t>Pioneer Sugar Mills P/L</t>
  </si>
  <si>
    <t>30.9</t>
  </si>
  <si>
    <t>36.9</t>
  </si>
  <si>
    <t>Plane Creek Mill</t>
  </si>
  <si>
    <t>Planet Ark Power and Schneider Electric - PV and Battery Microgrid</t>
  </si>
  <si>
    <t>Planet Ark Power and Schneider Electric</t>
  </si>
  <si>
    <t>Poatina</t>
  </si>
  <si>
    <t>POAT110</t>
  </si>
  <si>
    <t>POAT220</t>
  </si>
  <si>
    <t>79.2</t>
  </si>
  <si>
    <t>Port Kembla/Wollongong Offshore Wind</t>
  </si>
  <si>
    <t>3000</t>
  </si>
  <si>
    <t>Port Latta Wind Farm</t>
  </si>
  <si>
    <t>Nekon Pty Ltd</t>
  </si>
  <si>
    <t>T00006</t>
  </si>
  <si>
    <t>Port Lincoln GT</t>
  </si>
  <si>
    <t>POR01</t>
  </si>
  <si>
    <t>POR03</t>
  </si>
  <si>
    <t>23.5</t>
  </si>
  <si>
    <t>Port Stanvac 1</t>
  </si>
  <si>
    <t>PTSTAN1</t>
  </si>
  <si>
    <t>Portland Wind Farm</t>
  </si>
  <si>
    <t>Pacific Hydro Portland Wind Farm Pty Ltd</t>
  </si>
  <si>
    <t>59.45</t>
  </si>
  <si>
    <t>92.25</t>
  </si>
  <si>
    <t>Powerlink Teebar Creek Substation</t>
  </si>
  <si>
    <t xml:space="preserve">Fraser Coast Solar Park Pty Ltd (FCSP) </t>
  </si>
  <si>
    <t>Q00002</t>
  </si>
  <si>
    <t>Prairie Solar Farm</t>
  </si>
  <si>
    <t>100 - 250</t>
  </si>
  <si>
    <t>Proserpine</t>
  </si>
  <si>
    <t>Wimar Sugar Proserpine Pty Ltd</t>
  </si>
  <si>
    <t>Proten - Farm 60</t>
  </si>
  <si>
    <t>0.3588</t>
  </si>
  <si>
    <t>Proten - Farm 61</t>
  </si>
  <si>
    <t>0.3567</t>
  </si>
  <si>
    <t>Proten - Farm 74</t>
  </si>
  <si>
    <t>0.2499</t>
  </si>
  <si>
    <t>Proten - Farm 75 - 79</t>
  </si>
  <si>
    <t>1.211</t>
  </si>
  <si>
    <t>SUSTAINABLE ENERGY INFRASTRUCTURE</t>
  </si>
  <si>
    <t>QLS Offshore Wind Energy</t>
  </si>
  <si>
    <t>165</t>
  </si>
  <si>
    <t>Publicly Announced Upgrade</t>
  </si>
  <si>
    <t>QPS1</t>
  </si>
  <si>
    <t>QPS2</t>
  </si>
  <si>
    <t>QPS3</t>
  </si>
  <si>
    <t>QPS4</t>
  </si>
  <si>
    <t>QPS5</t>
  </si>
  <si>
    <t>128</t>
  </si>
  <si>
    <t>Queanbeyan BESS (Global Power)</t>
  </si>
  <si>
    <t>Sep 2023</t>
  </si>
  <si>
    <t>Racecourse Mill</t>
  </si>
  <si>
    <t>Mackay Sugar Ltd</t>
  </si>
  <si>
    <t>RACOMIL1</t>
  </si>
  <si>
    <t>37.25</t>
  </si>
  <si>
    <t>Raglan Solar Farm</t>
  </si>
  <si>
    <t>234</t>
  </si>
  <si>
    <t>Rangoon Wind Farm</t>
  </si>
  <si>
    <t>Meridian Energy Australia</t>
  </si>
  <si>
    <t>114</t>
  </si>
  <si>
    <t>Redbank</t>
  </si>
  <si>
    <t>Verdant Earth Technologies Limited</t>
  </si>
  <si>
    <t>REDBANK1</t>
  </si>
  <si>
    <t>128 - 151</t>
  </si>
  <si>
    <t>Redcliffs Solar &amp; BESS</t>
  </si>
  <si>
    <t>ACE Power</t>
  </si>
  <si>
    <t>V00055</t>
  </si>
  <si>
    <t>Redmud Green Energy 10</t>
  </si>
  <si>
    <t>0.212</t>
  </si>
  <si>
    <t>Redmud Green Energy 11</t>
  </si>
  <si>
    <t>Redmud Green Energy 12</t>
  </si>
  <si>
    <t>Redmud Green Energy 13</t>
  </si>
  <si>
    <t>Redmud Green Energy 14</t>
  </si>
  <si>
    <t>Redmud Green Energy 4</t>
  </si>
  <si>
    <t>Redmud Green Energy 5</t>
  </si>
  <si>
    <t>Redmud Green Energy 6</t>
  </si>
  <si>
    <t>Redmud Green Energy 7</t>
  </si>
  <si>
    <t>Redmud Green Energy 8</t>
  </si>
  <si>
    <t>Redmud Green Energy 9</t>
  </si>
  <si>
    <t>Reece</t>
  </si>
  <si>
    <t>REECE1</t>
  </si>
  <si>
    <t>115.6</t>
  </si>
  <si>
    <t>REECE2</t>
  </si>
  <si>
    <t>Reeves Plains OCGT - stage 1</t>
  </si>
  <si>
    <t>Alinta Energy Reeves Plains Pty Ltd</t>
  </si>
  <si>
    <t>Reeves Plains OCGT - stage 2</t>
  </si>
  <si>
    <t>Remount Power Station</t>
  </si>
  <si>
    <t>REMOUNT</t>
  </si>
  <si>
    <t>Renewable Power Australia Limited</t>
  </si>
  <si>
    <t>Renewable Power Australia Limited as Trustee for FPC Green Fund Trust</t>
  </si>
  <si>
    <t>RPCG</t>
  </si>
  <si>
    <t>Repulse</t>
  </si>
  <si>
    <t>REPULSE</t>
  </si>
  <si>
    <t>Revesby Workers Club</t>
  </si>
  <si>
    <t>REWASTE WOLLERT</t>
  </si>
  <si>
    <t>Reciprocating engine - Spark ignition</t>
  </si>
  <si>
    <t>1.06</t>
  </si>
  <si>
    <t>Rifle Butts Wind Farm </t>
  </si>
  <si>
    <t>NewEn</t>
  </si>
  <si>
    <t>Riverina Energy Storage System 1</t>
  </si>
  <si>
    <t>Riverina Energy Storage System 2</t>
  </si>
  <si>
    <t>65</t>
  </si>
  <si>
    <t>Apr 2023</t>
  </si>
  <si>
    <t>Riverland Solar Storage - Solar</t>
  </si>
  <si>
    <t>253.062</t>
  </si>
  <si>
    <t>Riverland Solar Storage - Storage</t>
  </si>
  <si>
    <t>Robbins Island Wind Farm</t>
  </si>
  <si>
    <t>4.492</t>
  </si>
  <si>
    <t>RBSF NewCo Pty Ltd</t>
  </si>
  <si>
    <t>411.413 - 497.75</t>
  </si>
  <si>
    <t>Rolleston Solar Farm</t>
  </si>
  <si>
    <t>Rollingstone Solar Farm</t>
  </si>
  <si>
    <t>117.4</t>
  </si>
  <si>
    <t>Roma</t>
  </si>
  <si>
    <t>ROMA_7</t>
  </si>
  <si>
    <t>ROMA_8</t>
  </si>
  <si>
    <t>Rosedale SF</t>
  </si>
  <si>
    <t>Lightsource BP</t>
  </si>
  <si>
    <t>N00040</t>
  </si>
  <si>
    <t>Ross River Operations Pty Ltd as the Trustee for the Ross River Operations Trust</t>
  </si>
  <si>
    <t>RRSF1</t>
  </si>
  <si>
    <t>Rowallan</t>
  </si>
  <si>
    <t>ROWALLAN</t>
  </si>
  <si>
    <t>10.5</t>
  </si>
  <si>
    <t>Rowallan Pumped Hydro Option</t>
  </si>
  <si>
    <t>T00002</t>
  </si>
  <si>
    <t>Royalla Asset Pty Ltd ATF Royalla Asset Trust</t>
  </si>
  <si>
    <t>ROYALLA1</t>
  </si>
  <si>
    <t>Rubicon Mountain Streams</t>
  </si>
  <si>
    <t>RUBICON</t>
  </si>
  <si>
    <t>13.5</t>
  </si>
  <si>
    <t>Ruby Hills Wind Farm 700MW</t>
  </si>
  <si>
    <t>700</t>
  </si>
  <si>
    <t>Adani Rugby Run Pty Ltd</t>
  </si>
  <si>
    <t>RUGBYR1</t>
  </si>
  <si>
    <t>Ryan Corner Wind Farm</t>
  </si>
  <si>
    <t>235.2</t>
  </si>
  <si>
    <t>396</t>
  </si>
  <si>
    <t>May 2024</t>
  </si>
  <si>
    <t>SA Aquatic &amp; Leasure Centre</t>
  </si>
  <si>
    <t>0.512</t>
  </si>
  <si>
    <t>SA Government Virtual Power Plant - stage 1</t>
  </si>
  <si>
    <t>SA Government Virtual Power Plant - stage 3</t>
  </si>
  <si>
    <t>245</t>
  </si>
  <si>
    <t>SALE HOSPITAL - SOLAR</t>
  </si>
  <si>
    <t>0.2636</t>
  </si>
  <si>
    <t>Salisbury BESS</t>
  </si>
  <si>
    <t>Salisbury East Solar 350MW</t>
  </si>
  <si>
    <t>Salisbury West Solar 350MW</t>
  </si>
  <si>
    <t>Salt Creek Wind Farm Pty Ltd</t>
  </si>
  <si>
    <t>SALTCRK1</t>
  </si>
  <si>
    <t>54</t>
  </si>
  <si>
    <t>Sandigo Solar Farm</t>
  </si>
  <si>
    <t>1 - 500</t>
  </si>
  <si>
    <t>N00023</t>
  </si>
  <si>
    <t xml:space="preserve">Sapphire Solar Farm </t>
  </si>
  <si>
    <t>CWP Renewables Pty Ltd</t>
  </si>
  <si>
    <t>Sapphire Wind Farm</t>
  </si>
  <si>
    <t>SWF1 Operations Holdings Pty Ltd as trustee for SWF1 Hold Trust</t>
  </si>
  <si>
    <t>SAPHWF1</t>
  </si>
  <si>
    <t>SCS Shepparton</t>
  </si>
  <si>
    <t>0.3</t>
  </si>
  <si>
    <t>Seacliff Mini Hydro</t>
  </si>
  <si>
    <t>1.35</t>
  </si>
  <si>
    <t>SEBSF1</t>
  </si>
  <si>
    <t>Seymour Wind Farm</t>
  </si>
  <si>
    <t>Fera Australia Pty Ltd</t>
  </si>
  <si>
    <t>V00062</t>
  </si>
  <si>
    <t>Shamic Sheetmetal</t>
  </si>
  <si>
    <t>0.3052</t>
  </si>
  <si>
    <t>Shepparton</t>
  </si>
  <si>
    <t>Municipal Solid Waste</t>
  </si>
  <si>
    <t>0.78</t>
  </si>
  <si>
    <t>Shepparton Wastewater Treatment Facility</t>
  </si>
  <si>
    <t>Diamond Energy Pty Ltd</t>
  </si>
  <si>
    <t>Biogas</t>
  </si>
  <si>
    <t>SHEP1</t>
  </si>
  <si>
    <t>Shoalhaven</t>
  </si>
  <si>
    <t>SHGEN</t>
  </si>
  <si>
    <t>160</t>
  </si>
  <si>
    <t>Shoalhaven Expansion</t>
  </si>
  <si>
    <t>Origin Energy</t>
  </si>
  <si>
    <t>CONFIDENTIAL - CONFIDENTIAL</t>
  </si>
  <si>
    <t>Shoalhaven Starches Cogeneration Plant</t>
  </si>
  <si>
    <t>Shoalhaven Starches Pty Ltd</t>
  </si>
  <si>
    <t>62 - 74.8</t>
  </si>
  <si>
    <t>Silver City Energy Storage</t>
  </si>
  <si>
    <t>A-CAES NSW PTY LTD</t>
  </si>
  <si>
    <t>PARF Company 8 Pty Ltd as trustee for the Silverton Project Trust</t>
  </si>
  <si>
    <t>STWF1</t>
  </si>
  <si>
    <t>198.94</t>
  </si>
  <si>
    <t>SIPS Staypylton Industrial Power Station</t>
  </si>
  <si>
    <t>SITHE01</t>
  </si>
  <si>
    <t>39.749</t>
  </si>
  <si>
    <t>83.484</t>
  </si>
  <si>
    <t>SITHE04</t>
  </si>
  <si>
    <t>61.766</t>
  </si>
  <si>
    <t>Smoky Creek Solar Farm</t>
  </si>
  <si>
    <t>Edify Energy</t>
  </si>
  <si>
    <t>450</t>
  </si>
  <si>
    <t>Port Adelaide Energy Pty Ltd</t>
  </si>
  <si>
    <t>Snowtown North Solar Farm</t>
  </si>
  <si>
    <t>44</t>
  </si>
  <si>
    <t>Snowtown North Solar Farm - BESS</t>
  </si>
  <si>
    <t>Snowtown S2 Wind Farm</t>
  </si>
  <si>
    <t>Snowtown Wind Farm Stage 2 Pty Ltd</t>
  </si>
  <si>
    <t>SNOWNTH1</t>
  </si>
  <si>
    <t>SNOWSTH1</t>
  </si>
  <si>
    <t>Snowtown Wind Farm</t>
  </si>
  <si>
    <t>Snowtown Wind Farm Pty Ltd</t>
  </si>
  <si>
    <t>SNOWTWN1</t>
  </si>
  <si>
    <t>98.7</t>
  </si>
  <si>
    <t>Dec 2026</t>
  </si>
  <si>
    <t>Snuggery</t>
  </si>
  <si>
    <t>SNUG1</t>
  </si>
  <si>
    <t>63</t>
  </si>
  <si>
    <t>SNUGNL1</t>
  </si>
  <si>
    <t>Somerset Dam</t>
  </si>
  <si>
    <t>AGLSOM</t>
  </si>
  <si>
    <t>170</t>
  </si>
  <si>
    <t>7.8</t>
  </si>
  <si>
    <t>28.5</t>
  </si>
  <si>
    <t>South Johnstone Mill (expansion)</t>
  </si>
  <si>
    <t>32</t>
  </si>
  <si>
    <t>South Keswick Solar Farm</t>
  </si>
  <si>
    <t>SKSF1</t>
  </si>
  <si>
    <t>South Morang Battery Energy Storage System</t>
  </si>
  <si>
    <t>V00010</t>
  </si>
  <si>
    <t>South Pine Battery Energy Storage System</t>
  </si>
  <si>
    <t>Q00037</t>
  </si>
  <si>
    <t>Southbank Institute of Technology Unit 1 Plant</t>
  </si>
  <si>
    <t>Southbank Institute of Technology</t>
  </si>
  <si>
    <t>STHBKTEC</t>
  </si>
  <si>
    <t>Southern Ocean</t>
  </si>
  <si>
    <t>Specimen Hill Wind Farm</t>
  </si>
  <si>
    <t>336</t>
  </si>
  <si>
    <t>Springdale Solar Farm</t>
  </si>
  <si>
    <t>Renew Estate</t>
  </si>
  <si>
    <t>110 - 121</t>
  </si>
  <si>
    <t>Springdale Wind Farm</t>
  </si>
  <si>
    <t>Q00038</t>
  </si>
  <si>
    <t>Springvale</t>
  </si>
  <si>
    <t>SVALE1</t>
  </si>
  <si>
    <t>4.2</t>
  </si>
  <si>
    <t>SSE Whyalla Solar Farm</t>
  </si>
  <si>
    <t>SSE Australia Pty Ltd</t>
  </si>
  <si>
    <t xml:space="preserve">St George Leagues Club_x000D_
</t>
  </si>
  <si>
    <t>St George Leagues Club Limited</t>
  </si>
  <si>
    <t>1.48</t>
  </si>
  <si>
    <t>St Patrick's College Launceston</t>
  </si>
  <si>
    <t>0.2646</t>
  </si>
  <si>
    <t>St Patricks Plains Wind Farm</t>
  </si>
  <si>
    <t>Epuron</t>
  </si>
  <si>
    <t>St Ursula's College Yeppoon</t>
  </si>
  <si>
    <t>0.1738</t>
  </si>
  <si>
    <t>Stanhope BESS Project</t>
  </si>
  <si>
    <t>Globird Energy Pty Ltd</t>
  </si>
  <si>
    <t>Stanwell</t>
  </si>
  <si>
    <t>STAN-1</t>
  </si>
  <si>
    <t>365</t>
  </si>
  <si>
    <t>STAN-2</t>
  </si>
  <si>
    <t>STAN-3</t>
  </si>
  <si>
    <t>STAN-4</t>
  </si>
  <si>
    <t>Stanwell Energy Park - BESS connected to Stanwell Substation</t>
  </si>
  <si>
    <t>Q00023</t>
  </si>
  <si>
    <t>Stapylton Renewable Energy Facility</t>
  </si>
  <si>
    <t>4.24</t>
  </si>
  <si>
    <t>Star of The South</t>
  </si>
  <si>
    <t>Star of the South Wind Farm Pty Ltd as trustee for the Star of the South Trust</t>
  </si>
  <si>
    <t>Starfish Hill</t>
  </si>
  <si>
    <t>STARHLWF</t>
  </si>
  <si>
    <t>Stockland Development Wetherill Park</t>
  </si>
  <si>
    <t>0.9248</t>
  </si>
  <si>
    <t>64.6</t>
  </si>
  <si>
    <t>456.96</t>
  </si>
  <si>
    <t>Stonehaven Gas Turbines</t>
  </si>
  <si>
    <t>APA Power Holdings Pty Ltd</t>
  </si>
  <si>
    <t>Turbine</t>
  </si>
  <si>
    <t>V00029</t>
  </si>
  <si>
    <t>Stony Gap</t>
  </si>
  <si>
    <t>EnergyAustralia</t>
  </si>
  <si>
    <t>119</t>
  </si>
  <si>
    <t>Stubbo Solar Farm</t>
  </si>
  <si>
    <t>2073</t>
  </si>
  <si>
    <t>Summer Hill</t>
  </si>
  <si>
    <t>2.246</t>
  </si>
  <si>
    <t>Summerfield</t>
  </si>
  <si>
    <t>CI SUMMERFIELD BESS PTY LTD AS TRUSTEE FOR THE CI SUMMERFIELD BESS TRUST</t>
  </si>
  <si>
    <t>S00022</t>
  </si>
  <si>
    <t>Summerhill Solar Farm</t>
  </si>
  <si>
    <t>City of Newcastle</t>
  </si>
  <si>
    <t>Summerville Solar Farm</t>
  </si>
  <si>
    <t>ESCO Pacific Holdings</t>
  </si>
  <si>
    <t>4.2 - 90</t>
  </si>
  <si>
    <t>Sun Metals Corporation Solar Farm</t>
  </si>
  <si>
    <t>Sun Metals Corporation Pty Ltd</t>
  </si>
  <si>
    <t>SMCSF1</t>
  </si>
  <si>
    <t>143</t>
  </si>
  <si>
    <t>Sundown SF(Canadian Solar)</t>
  </si>
  <si>
    <t>N00048</t>
  </si>
  <si>
    <t>Sundown Solar Farm</t>
  </si>
  <si>
    <t>228.8</t>
  </si>
  <si>
    <t>Sunshine Coast Regional Council</t>
  </si>
  <si>
    <t>VALDORA1</t>
  </si>
  <si>
    <t>Sunshine Energy Solar Farm</t>
  </si>
  <si>
    <t>Sunshine Energy</t>
  </si>
  <si>
    <t>SUNTPSF1</t>
  </si>
  <si>
    <t>85.26</t>
  </si>
  <si>
    <t>Swan Hill Solar Farm 1 Unit 1</t>
  </si>
  <si>
    <t>Solar Powerstations Victoria Pty Ltd</t>
  </si>
  <si>
    <t>Swan Hill Solar Farm 2 Unit 1</t>
  </si>
  <si>
    <t>SWAN_E</t>
  </si>
  <si>
    <t>385</t>
  </si>
  <si>
    <t>Swanbank JV</t>
  </si>
  <si>
    <t>0.364</t>
  </si>
  <si>
    <t>Symex</t>
  </si>
  <si>
    <t>Symex Holding Ltd</t>
  </si>
  <si>
    <t>Tahmoor</t>
  </si>
  <si>
    <t>EDL TT Pty Ltd</t>
  </si>
  <si>
    <t>TAHMOOR1</t>
  </si>
  <si>
    <t>7.455</t>
  </si>
  <si>
    <t>TBSF1</t>
  </si>
  <si>
    <t>108</t>
  </si>
  <si>
    <t>50.8</t>
  </si>
  <si>
    <t>105</t>
  </si>
  <si>
    <t>TALWA1</t>
  </si>
  <si>
    <t>440</t>
  </si>
  <si>
    <t>Tallawarra B</t>
  </si>
  <si>
    <t xml:space="preserve">EnergyAustralia Tallawarra Pty Ltd </t>
  </si>
  <si>
    <t>Tamar Valley BESS</t>
  </si>
  <si>
    <t>HYDROTAS</t>
  </si>
  <si>
    <t>70</t>
  </si>
  <si>
    <t>TVPP104</t>
  </si>
  <si>
    <t>58</t>
  </si>
  <si>
    <t>Tamworth BESS</t>
  </si>
  <si>
    <t>Tamworth BESS Project Pty Ltd</t>
  </si>
  <si>
    <t>N00058</t>
  </si>
  <si>
    <t>Tamworth Solar Farm</t>
  </si>
  <si>
    <t>Tamworth Solar Farm Pty Ltd</t>
  </si>
  <si>
    <t>Tara Springs Wind Farm</t>
  </si>
  <si>
    <t>N00003</t>
  </si>
  <si>
    <t>Energy Pacific Vic Pty Ltd</t>
  </si>
  <si>
    <t>TARALGA1</t>
  </si>
  <si>
    <t>Tarleigh Park Solar Farm</t>
  </si>
  <si>
    <t>Tarong</t>
  </si>
  <si>
    <t>TARONG#1</t>
  </si>
  <si>
    <t>TARONG#2</t>
  </si>
  <si>
    <t>TARONG#3</t>
  </si>
  <si>
    <t>TARONG#4</t>
  </si>
  <si>
    <t>Tarong GT</t>
  </si>
  <si>
    <t>Fuel Oil</t>
  </si>
  <si>
    <t>Tarong North</t>
  </si>
  <si>
    <t>TNPS1</t>
  </si>
  <si>
    <t>Taronga Western Plains Zoo</t>
  </si>
  <si>
    <t>0.9976</t>
  </si>
  <si>
    <t>Tarraleah</t>
  </si>
  <si>
    <t>TARRALEA</t>
  </si>
  <si>
    <t>Tarraleah Redevelopment</t>
  </si>
  <si>
    <t>60.666</t>
  </si>
  <si>
    <t>121.334</t>
  </si>
  <si>
    <t>Tarrone GT</t>
  </si>
  <si>
    <t>500 - 600</t>
  </si>
  <si>
    <t>Tarrone Wind Farm</t>
  </si>
  <si>
    <t>Tatiara Meats</t>
  </si>
  <si>
    <t>TATIARA1</t>
  </si>
  <si>
    <t>Tatura Biomass Generator</t>
  </si>
  <si>
    <t>TATURA01</t>
  </si>
  <si>
    <t>Templers BESS</t>
  </si>
  <si>
    <t>Res Australia</t>
  </si>
  <si>
    <t>115</t>
  </si>
  <si>
    <t>Templers BESS(GreenPower)</t>
  </si>
  <si>
    <t>GreenPower Investment Pty Ltd</t>
  </si>
  <si>
    <t>S00009</t>
  </si>
  <si>
    <t>123.2</t>
  </si>
  <si>
    <t>Tenterfield Solar Farm</t>
  </si>
  <si>
    <t>29.3</t>
  </si>
  <si>
    <t xml:space="preserve">Terang Battery Energy Storage System </t>
  </si>
  <si>
    <t>Acenergy Pty Ltd</t>
  </si>
  <si>
    <t>V00006</t>
  </si>
  <si>
    <t>Terang Battery Energy Storage System (Tilt Renewables)</t>
  </si>
  <si>
    <t>V00022</t>
  </si>
  <si>
    <t>Terminal Storage MinI Hydro</t>
  </si>
  <si>
    <t>Lofty Ranges Power PTY LTD &amp; SA Water Corporation</t>
  </si>
  <si>
    <t>Hydro - Other</t>
  </si>
  <si>
    <t>1.86</t>
  </si>
  <si>
    <t>The Drop</t>
  </si>
  <si>
    <t>THEDROP1</t>
  </si>
  <si>
    <t>The Solar River Project - Stage 1</t>
  </si>
  <si>
    <t>The Solar River Project Pty Ltd</t>
  </si>
  <si>
    <t>The Solar River Project - Stage 2</t>
  </si>
  <si>
    <t>Theodore Solar Farm</t>
  </si>
  <si>
    <t>Thunderbolt Energy Hub</t>
  </si>
  <si>
    <t>N00066</t>
  </si>
  <si>
    <t>Ti Tree Bioenergy</t>
  </si>
  <si>
    <t>TITREE</t>
  </si>
  <si>
    <t>2069</t>
  </si>
  <si>
    <t>Tieri Solar Farm</t>
  </si>
  <si>
    <t>FRV Service Australia Pty Ltd</t>
  </si>
  <si>
    <t>Tilbuster Solar Farm</t>
  </si>
  <si>
    <t>248.824</t>
  </si>
  <si>
    <t>Timboon West Wind Farm</t>
  </si>
  <si>
    <t>Epic Energy South Australia Pty Ltd</t>
  </si>
  <si>
    <t>TIMWEST</t>
  </si>
  <si>
    <t>Todae Solar - DHP 1MW</t>
  </si>
  <si>
    <t>0.9541</t>
  </si>
  <si>
    <t>Todae Solar – La Trobe University Bendigo</t>
  </si>
  <si>
    <t>0.3498</t>
  </si>
  <si>
    <t>Todae Solar – La Trobe University Wodonga</t>
  </si>
  <si>
    <t>0.223</t>
  </si>
  <si>
    <t>Todae Solar - Nillumbik</t>
  </si>
  <si>
    <t>0.1245</t>
  </si>
  <si>
    <t xml:space="preserve">Todae Solar CSU </t>
  </si>
  <si>
    <t>1.7691</t>
  </si>
  <si>
    <t>Todae Solar PE - Llandilo</t>
  </si>
  <si>
    <t>0.795</t>
  </si>
  <si>
    <t>Todae Solar- PF Minchinbury</t>
  </si>
  <si>
    <t>0.3204</t>
  </si>
  <si>
    <t>Todae Solar SV - Eltham</t>
  </si>
  <si>
    <t>0.1842</t>
  </si>
  <si>
    <t>Todae Solar SV - Holy Spirit Northside</t>
  </si>
  <si>
    <t>0.3932</t>
  </si>
  <si>
    <t>Todae Solar SV - Mater Clinic</t>
  </si>
  <si>
    <t>0.1302</t>
  </si>
  <si>
    <t>Todae Solar SV - Mater Hospital</t>
  </si>
  <si>
    <t>0.2801</t>
  </si>
  <si>
    <t>Todae Solar SV - Mitchelton</t>
  </si>
  <si>
    <t>0.1746</t>
  </si>
  <si>
    <t>Todae Solar SV - Private Brisbane</t>
  </si>
  <si>
    <t>0.1705</t>
  </si>
  <si>
    <t>Todae Solar SV - Toowoomba</t>
  </si>
  <si>
    <t>0.2601</t>
  </si>
  <si>
    <t>Todae Solar SV Lourdes</t>
  </si>
  <si>
    <t>0.2637</t>
  </si>
  <si>
    <t>Tods Corner</t>
  </si>
  <si>
    <t>Tong Park - Agricultural Waste</t>
  </si>
  <si>
    <t>1.228</t>
  </si>
  <si>
    <t>Toora</t>
  </si>
  <si>
    <t>TOORAWF</t>
  </si>
  <si>
    <t>TORRA3</t>
  </si>
  <si>
    <t>TORRB2</t>
  </si>
  <si>
    <t>TORRB3</t>
  </si>
  <si>
    <t>TORRB4</t>
  </si>
  <si>
    <t>250.7</t>
  </si>
  <si>
    <t>Tower</t>
  </si>
  <si>
    <t>TOWER</t>
  </si>
  <si>
    <t>41.2</t>
  </si>
  <si>
    <t>RATCH-Australia</t>
  </si>
  <si>
    <t>YABULU</t>
  </si>
  <si>
    <t>YABULU2</t>
  </si>
  <si>
    <t>Trevallyn</t>
  </si>
  <si>
    <t>TREVALLN</t>
  </si>
  <si>
    <t>Triabunna Wind Farm</t>
  </si>
  <si>
    <t>T00007</t>
  </si>
  <si>
    <t>Tribute</t>
  </si>
  <si>
    <t>TRIBUTE</t>
  </si>
  <si>
    <t>82.8</t>
  </si>
  <si>
    <t>Tribute Pumped Hydro Option</t>
  </si>
  <si>
    <t>T00003</t>
  </si>
  <si>
    <t>Tulkara Wind Farm</t>
  </si>
  <si>
    <t>V00043</t>
  </si>
  <si>
    <t>Tumut 3</t>
  </si>
  <si>
    <t>TUMUT3</t>
  </si>
  <si>
    <t>Tumut Pulp and Paper Mill</t>
  </si>
  <si>
    <t>Visy</t>
  </si>
  <si>
    <t>Tungatinah</t>
  </si>
  <si>
    <t>TUNGATIN</t>
  </si>
  <si>
    <t>Twin Creek Wind Farm</t>
  </si>
  <si>
    <t>151.2 - 277.2</t>
  </si>
  <si>
    <t>Ulinda Park ProjectCo Pty Ltd in its capacity as trustee for the Ulinda Park Project Trust</t>
  </si>
  <si>
    <t>Jan 2024</t>
  </si>
  <si>
    <t>2063</t>
  </si>
  <si>
    <t>Ulladulla Offshore Wind Farm</t>
  </si>
  <si>
    <t>Jan 2035</t>
  </si>
  <si>
    <t>UniSA Solar project</t>
  </si>
  <si>
    <t>University of South Australia</t>
  </si>
  <si>
    <t>1.8</t>
  </si>
  <si>
    <t>University of Melbourne Archives Brunswick</t>
  </si>
  <si>
    <t>0.0916</t>
  </si>
  <si>
    <t>University of Melbourne McCoy Carlton</t>
  </si>
  <si>
    <t>0.0733</t>
  </si>
  <si>
    <t>University of Melbourne Performing Arts Centre Southbank</t>
  </si>
  <si>
    <t>0.1365</t>
  </si>
  <si>
    <t>University of Melbourne Peter Hall Parkville</t>
  </si>
  <si>
    <t>0.0478</t>
  </si>
  <si>
    <t>University of Melbourne Sports Centre Parkville</t>
  </si>
  <si>
    <t>0.1608</t>
  </si>
  <si>
    <t>University of Melbourne The Spot Carlton</t>
  </si>
  <si>
    <t>0.0588</t>
  </si>
  <si>
    <t>University of Southern Queensland Toowoomba</t>
  </si>
  <si>
    <t>1.09</t>
  </si>
  <si>
    <t>Upper Burdekin Wind Farm</t>
  </si>
  <si>
    <t>wind</t>
  </si>
  <si>
    <t>Q00039</t>
  </si>
  <si>
    <t>Upper Hunter Energy Park - Solar</t>
  </si>
  <si>
    <t>Upper Hunter Energy Park Pty Ltd</t>
  </si>
  <si>
    <t>7 - 35</t>
  </si>
  <si>
    <t>Upper Hunter Energy Park - Wind</t>
  </si>
  <si>
    <t>51.1 - 100</t>
  </si>
  <si>
    <t>Upper Tumut</t>
  </si>
  <si>
    <t>UPPTUMUT</t>
  </si>
  <si>
    <t>288</t>
  </si>
  <si>
    <t>328</t>
  </si>
  <si>
    <t>Uranquinty</t>
  </si>
  <si>
    <t>Origin Energy Uranquinty Power Pty Ltd</t>
  </si>
  <si>
    <t>URANQ11</t>
  </si>
  <si>
    <t>166</t>
  </si>
  <si>
    <t>URANQ12</t>
  </si>
  <si>
    <t>URANQ13</t>
  </si>
  <si>
    <t>URANQ14</t>
  </si>
  <si>
    <t>Uungula Wind Farm</t>
  </si>
  <si>
    <t>Uungula Wind Farm Pty Ltd</t>
  </si>
  <si>
    <t>399.894 - 649.89</t>
  </si>
  <si>
    <t>N00073</t>
  </si>
  <si>
    <t>Vales Point B</t>
  </si>
  <si>
    <t>Delta Electricity</t>
  </si>
  <si>
    <t>VP5</t>
  </si>
  <si>
    <t>VP6</t>
  </si>
  <si>
    <t>Vales Point Solar</t>
  </si>
  <si>
    <t>Valley Power</t>
  </si>
  <si>
    <t>VPGS1</t>
  </si>
  <si>
    <t>VPGS2</t>
  </si>
  <si>
    <t>VPGS3</t>
  </si>
  <si>
    <t>VPGS4</t>
  </si>
  <si>
    <t>VPGS5</t>
  </si>
  <si>
    <t>VPGS6</t>
  </si>
  <si>
    <t>Vawdrey Manufacturing</t>
  </si>
  <si>
    <t>0.7526</t>
  </si>
  <si>
    <t>Victoria Mill</t>
  </si>
  <si>
    <t>Sucrogen (Herbet) Pty Ltd</t>
  </si>
  <si>
    <t>Vulcan Yatala</t>
  </si>
  <si>
    <t>0.1966</t>
  </si>
  <si>
    <t>19.644</t>
  </si>
  <si>
    <t>Wagga North Solar Farm BESS</t>
  </si>
  <si>
    <t>Wagga Wagga Operationsco Pty Ltd as trustee for the Wagga Wagga Operations Trust</t>
  </si>
  <si>
    <t>N00062</t>
  </si>
  <si>
    <t>Wagga Wagga Solar Project</t>
  </si>
  <si>
    <t>Walcha Energy Project - Brackendale North Wind Farm</t>
  </si>
  <si>
    <t>Walcha Energy Project - Brackendale South Wind Farm</t>
  </si>
  <si>
    <t>Walcha Energy Project - Kangaroo Hills Wind Farm</t>
  </si>
  <si>
    <t>Walcha Energy Project - St Leonards Wind Farm</t>
  </si>
  <si>
    <t>Walcha Energy Project - Tia Wind Farm</t>
  </si>
  <si>
    <t>Walcha Energy Project - Woolbrook Wind Farm</t>
  </si>
  <si>
    <t>342 - 380</t>
  </si>
  <si>
    <t>Wallaroo Solar Farm</t>
  </si>
  <si>
    <t>New Energy development and Univergy Solar Joint venture (SPV) Wallaroo Solar Farm Pty Ltd</t>
  </si>
  <si>
    <t>Wallerawang BESS</t>
  </si>
  <si>
    <t>Greenspot Wallerawang Pty Ltd as trustee for the Greenspot Wallerawang Unit Trust</t>
  </si>
  <si>
    <t>Wambo Wind Farm</t>
  </si>
  <si>
    <t>Cubico Sustainable Investments Australia Pty Ltd</t>
  </si>
  <si>
    <t>Q00028</t>
  </si>
  <si>
    <t>WANDBG1</t>
  </si>
  <si>
    <t>Wandoona Solar Farm</t>
  </si>
  <si>
    <t>N00002</t>
  </si>
  <si>
    <t>Wangaratta Solar Farm</t>
  </si>
  <si>
    <t>Wangaratta Solar Farm Pty Ltd</t>
  </si>
  <si>
    <t>26.4</t>
  </si>
  <si>
    <t>Wantirna Mini Hydro</t>
  </si>
  <si>
    <t>0.132</t>
  </si>
  <si>
    <t>Warracknabeal Wind Farm</t>
  </si>
  <si>
    <t>WestWind Energy Pty Ltd</t>
  </si>
  <si>
    <t>1240</t>
  </si>
  <si>
    <t>The University of Queensland</t>
  </si>
  <si>
    <t>WARWSF1</t>
  </si>
  <si>
    <t>32.104</t>
  </si>
  <si>
    <t>WARWSF2</t>
  </si>
  <si>
    <t>Waterloo Wind Farm</t>
  </si>
  <si>
    <t>Waterloo Windfarm Pty Ltd</t>
  </si>
  <si>
    <t>WATERLWF</t>
  </si>
  <si>
    <t>111</t>
  </si>
  <si>
    <t>Watta Wella Power Station</t>
  </si>
  <si>
    <t>RES Australia Pty Limited</t>
  </si>
  <si>
    <t>V00034</t>
  </si>
  <si>
    <t>Wattle Point</t>
  </si>
  <si>
    <t>WPWF</t>
  </si>
  <si>
    <t>90.75</t>
  </si>
  <si>
    <t>Waubra</t>
  </si>
  <si>
    <t>Pyrenees Wind Energy Developments</t>
  </si>
  <si>
    <t>WAUBRAWF</t>
  </si>
  <si>
    <t>192</t>
  </si>
  <si>
    <t>Waubra North Wind Farm</t>
  </si>
  <si>
    <t>Acciona</t>
  </si>
  <si>
    <t>V00046</t>
  </si>
  <si>
    <t>Wellington BESS</t>
  </si>
  <si>
    <t>Ampyr Australia Pty Ltd</t>
  </si>
  <si>
    <t>N00055</t>
  </si>
  <si>
    <t>Wellington North BESS</t>
  </si>
  <si>
    <t>N00050</t>
  </si>
  <si>
    <t xml:space="preserve">Wellington North Solar Farm (AGL) _x000D_
</t>
  </si>
  <si>
    <t>198 - 300</t>
  </si>
  <si>
    <t>WELLSF1</t>
  </si>
  <si>
    <t>216.084</t>
  </si>
  <si>
    <t>97.5</t>
  </si>
  <si>
    <t>Wesley Vale Solar</t>
  </si>
  <si>
    <t>12.5</t>
  </si>
  <si>
    <t>1.43</t>
  </si>
  <si>
    <t>WKIEWA1</t>
  </si>
  <si>
    <t>WKIEWA2</t>
  </si>
  <si>
    <t>West Mokoan Solar Farm</t>
  </si>
  <si>
    <t>West Nowra Landfill Gas Power Generation Facility</t>
  </si>
  <si>
    <t>Nowra Council</t>
  </si>
  <si>
    <t>AGLNOW1</t>
  </si>
  <si>
    <t>105.27</t>
  </si>
  <si>
    <t>Western Downs Battery Connection</t>
  </si>
  <si>
    <t>200 - 1000</t>
  </si>
  <si>
    <t>Western Downs Gas Peaking Plant</t>
  </si>
  <si>
    <t>PowerGen P51 Pty Ltd</t>
  </si>
  <si>
    <t>Q00033</t>
  </si>
  <si>
    <t>Western Downs Green Power Hub Pty Ltd</t>
  </si>
  <si>
    <t>WDGPH1</t>
  </si>
  <si>
    <t>Jan 2023</t>
  </si>
  <si>
    <t>Western Plains Wind Farm</t>
  </si>
  <si>
    <t>40.001</t>
  </si>
  <si>
    <t>Western Suburbs Leagues Club - Campbelltown, NSW</t>
  </si>
  <si>
    <t>WESTCBT1</t>
  </si>
  <si>
    <t>1.32</t>
  </si>
  <si>
    <t>Western Sydney Energy &amp; Resource Recovery Centre</t>
  </si>
  <si>
    <t xml:space="preserve">Western Sydney Energy &amp; Resource Recovery Centre </t>
  </si>
  <si>
    <t>N00042</t>
  </si>
  <si>
    <t>White Rock Wind Farm Pty Ltd</t>
  </si>
  <si>
    <t>WRSF1</t>
  </si>
  <si>
    <t>White Rock Wind Farm - Stage 1</t>
  </si>
  <si>
    <t>CECEP Wind Power Australia Pty Ltd</t>
  </si>
  <si>
    <t>WRWF1</t>
  </si>
  <si>
    <t>172.48</t>
  </si>
  <si>
    <t>White Rock Wind Farm - Stage 2</t>
  </si>
  <si>
    <t>211.5</t>
  </si>
  <si>
    <t>Whitsunday Solar Farm Pty Ltd</t>
  </si>
  <si>
    <t>WHITSF1</t>
  </si>
  <si>
    <t>Whitwood Road</t>
  </si>
  <si>
    <t>WHIT1</t>
  </si>
  <si>
    <t>Whyalla</t>
  </si>
  <si>
    <t>Adani</t>
  </si>
  <si>
    <t>Whyalla Solar Farm</t>
  </si>
  <si>
    <t>Wilga Park Power Station A</t>
  </si>
  <si>
    <t>Santos</t>
  </si>
  <si>
    <t>WILGAPK</t>
  </si>
  <si>
    <t>WILGB01</t>
  </si>
  <si>
    <t>Willatook</t>
  </si>
  <si>
    <t>William Hovel</t>
  </si>
  <si>
    <t>WILLHOV1</t>
  </si>
  <si>
    <t>OneSun Capital 10MW Operting Pty Ltd</t>
  </si>
  <si>
    <t>7.566</t>
  </si>
  <si>
    <t>27.44</t>
  </si>
  <si>
    <t>91.92</t>
  </si>
  <si>
    <t>Wimmera Plains Wind Farm</t>
  </si>
  <si>
    <t>Wimmera Plains Energy Facility Pty Ltd</t>
  </si>
  <si>
    <t>V00059</t>
  </si>
  <si>
    <t>Winchelsea Gas Turbines</t>
  </si>
  <si>
    <t>V00028</t>
  </si>
  <si>
    <t>Windy Hill</t>
  </si>
  <si>
    <t>WHILL1</t>
  </si>
  <si>
    <t>Wingfield 1</t>
  </si>
  <si>
    <t>WINGF1_1</t>
  </si>
  <si>
    <t>Wingfield 2</t>
  </si>
  <si>
    <t>WINGF2_1</t>
  </si>
  <si>
    <t>Winterbourne Wind Farm</t>
  </si>
  <si>
    <t>WinterbourneWind Pty Ltd</t>
  </si>
  <si>
    <t>705.6 - 756</t>
  </si>
  <si>
    <t>Winton Energy Reserve 1</t>
  </si>
  <si>
    <t>Lochard Energy</t>
  </si>
  <si>
    <t xml:space="preserve">Lochard Energy </t>
  </si>
  <si>
    <t>V00041</t>
  </si>
  <si>
    <t>Wivenhoe</t>
  </si>
  <si>
    <t>W/HOE#1</t>
  </si>
  <si>
    <t>W/HOE#2</t>
  </si>
  <si>
    <t>Wivenhoe Small Hydro</t>
  </si>
  <si>
    <t>WIVENSH</t>
  </si>
  <si>
    <t>Woakwine Wind Farm</t>
  </si>
  <si>
    <t>Woakwine Wind Farm Pty Ltd</t>
  </si>
  <si>
    <t>228 - 304</t>
  </si>
  <si>
    <t>Wodonga Solar Farm</t>
  </si>
  <si>
    <t xml:space="preserve">Wodonga Solar Power </t>
  </si>
  <si>
    <t>Wollert</t>
  </si>
  <si>
    <t>WOLLERT1</t>
  </si>
  <si>
    <t>7.861</t>
  </si>
  <si>
    <t>Wollert Gas Turbine</t>
  </si>
  <si>
    <t>V00023</t>
  </si>
  <si>
    <t>Wollongong Offshore Wind</t>
  </si>
  <si>
    <t>1600</t>
  </si>
  <si>
    <t>Wonthaggi Wind Farm</t>
  </si>
  <si>
    <t>Vision Super Pty Ltd</t>
  </si>
  <si>
    <t>WONWP</t>
  </si>
  <si>
    <t>Woodlawn Bioreactor Energy Generation</t>
  </si>
  <si>
    <t>Veolia Environmental Services Aust P/L</t>
  </si>
  <si>
    <t>WDLNGN01</t>
  </si>
  <si>
    <t>Woodlawn Wind Farm</t>
  </si>
  <si>
    <t>Woodlawn Wind Pty Ltd</t>
  </si>
  <si>
    <t>WOODLWN1</t>
  </si>
  <si>
    <t>48.3</t>
  </si>
  <si>
    <t>Woolcock Centre</t>
  </si>
  <si>
    <t>0.2956</t>
  </si>
  <si>
    <t>Woolnorth Studland Bay / Bluff Point</t>
  </si>
  <si>
    <t>Woolnorth Wind Farm Finance Pty Ltd</t>
  </si>
  <si>
    <t>WOOLNTH1</t>
  </si>
  <si>
    <t>75</t>
  </si>
  <si>
    <t>64.75</t>
  </si>
  <si>
    <t>222.5</t>
  </si>
  <si>
    <t>Woolsthorpe Wind Farm</t>
  </si>
  <si>
    <t>Woolsthorpe Wind Farm Pty Ltd</t>
  </si>
  <si>
    <t>73</t>
  </si>
  <si>
    <t>Dec 2025</t>
  </si>
  <si>
    <t>62.32</t>
  </si>
  <si>
    <t>Wyangala A</t>
  </si>
  <si>
    <t>Hydro Power Pty Ltd</t>
  </si>
  <si>
    <t>WYANGALA</t>
  </si>
  <si>
    <t>Wyangala B</t>
  </si>
  <si>
    <t>WYANGALB</t>
  </si>
  <si>
    <t>Wyndham Renewable Energy Facility</t>
  </si>
  <si>
    <t>WYNDW</t>
  </si>
  <si>
    <t>Wyong</t>
  </si>
  <si>
    <t>Yabulu Battery Energy Storage Systems</t>
  </si>
  <si>
    <t>Q00003</t>
  </si>
  <si>
    <t>Yabulu Solar Fram</t>
  </si>
  <si>
    <t>Q00034</t>
  </si>
  <si>
    <t>Yallourn 220kV Connection Gas Turbine</t>
  </si>
  <si>
    <t>V00016</t>
  </si>
  <si>
    <t>Yallourn 500kV Connection Gas Turbine</t>
  </si>
  <si>
    <t>V00017</t>
  </si>
  <si>
    <t>Yallourn W</t>
  </si>
  <si>
    <t>EnergyAustralia Yallourn Pty Ltd</t>
  </si>
  <si>
    <t>YWPS1</t>
  </si>
  <si>
    <t>YWPS2</t>
  </si>
  <si>
    <t>YWPS3</t>
  </si>
  <si>
    <t>375</t>
  </si>
  <si>
    <t>YWPS4</t>
  </si>
  <si>
    <t>Yaloak South Wind Farm</t>
  </si>
  <si>
    <t>Pacific Hydro Yaloak South Pty Ltd</t>
  </si>
  <si>
    <t>YSWF1</t>
  </si>
  <si>
    <t>28.7</t>
  </si>
  <si>
    <t>Yalumba Winery Solar system (Angaston)</t>
  </si>
  <si>
    <t>1.14</t>
  </si>
  <si>
    <t>Yalumba Winery Solar system (Oxford Landing)</t>
  </si>
  <si>
    <t>Yambuk</t>
  </si>
  <si>
    <t>YAMBUKWF</t>
  </si>
  <si>
    <t>Sun Spot 6 Pty Ltd</t>
  </si>
  <si>
    <t>Yarrabee Solar Power Project</t>
  </si>
  <si>
    <t>584.43</t>
  </si>
  <si>
    <t>102.96</t>
  </si>
  <si>
    <t>Yarrawonga</t>
  </si>
  <si>
    <t>YWNGAHYD</t>
  </si>
  <si>
    <t>9.5</t>
  </si>
  <si>
    <t>Yarwun 1</t>
  </si>
  <si>
    <t>RTA Yarwun Pty Ltd</t>
  </si>
  <si>
    <t>YARWUN_1</t>
  </si>
  <si>
    <t>Yass Solar Farm</t>
  </si>
  <si>
    <t>Tetris Energy Pty Ltd</t>
  </si>
  <si>
    <t>N00013</t>
  </si>
  <si>
    <t>Yawong Wind Farm</t>
  </si>
  <si>
    <t>YAWWF1</t>
  </si>
  <si>
    <t>144.4</t>
  </si>
  <si>
    <t>YES Sunlands</t>
  </si>
  <si>
    <t>Yates Electrical Services</t>
  </si>
  <si>
    <t>Yorke Peninsula Wind Farm</t>
  </si>
  <si>
    <t>Senvion Australia</t>
  </si>
  <si>
    <t>635.8</t>
  </si>
  <si>
    <t>Yuleba North Solar Project</t>
  </si>
  <si>
    <t>Zilzie Winery Solar System</t>
  </si>
  <si>
    <t>0.1134</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</si>
  <si>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</si>
  <si>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</si>
  <si>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</si>
  <si>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</si>
  <si>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Kurri Kurri OCGT - Unit Status - Reflects the Commonwealth Government commitment to construct the Kurri Kurri OCGT project.</t>
  </si>
  <si>
    <t>Winter 2022</t>
  </si>
  <si>
    <t>Summer Typical 2022-23</t>
  </si>
  <si>
    <t>Summer Peak 2022-23</t>
  </si>
  <si>
    <t>Winter 2023</t>
  </si>
  <si>
    <t>Summer Typical 2023-24</t>
  </si>
  <si>
    <t>Summer Peak 2023-24</t>
  </si>
  <si>
    <t>Winter 2024</t>
  </si>
  <si>
    <t>Summer Typical 2024-25</t>
  </si>
  <si>
    <t>Summer Peak 2024-25</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</si>
  <si>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</si>
  <si>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</si>
  <si>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</si>
  <si>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</si>
  <si>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</si>
  <si>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</si>
  <si>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</si>
  <si>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</si>
  <si>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</si>
  <si>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</si>
  <si>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</si>
  <si>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</si>
  <si>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</si>
  <si>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</si>
  <si>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</si>
  <si>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</si>
  <si>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</si>
  <si>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</si>
  <si>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</si>
  <si>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</si>
  <si>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</si>
  <si>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StatusBucketSummary</t>
  </si>
  <si>
    <t>FuelBucketSummary</t>
  </si>
  <si>
    <t xml:space="preserve">Gullen Range Wind Farm 2 		</t>
  </si>
  <si>
    <t>*Please note Summer Typical capacities are not collected for Tasmanian generators, instead Summer Peak capacities apply throughout summer.</t>
  </si>
  <si>
    <t>Previous Site Name</t>
  </si>
  <si>
    <t>Updated Site Name</t>
  </si>
  <si>
    <t>Effective from Publication Date</t>
  </si>
  <si>
    <t>Kentucky Solar Farm</t>
  </si>
  <si>
    <t>Bolivar Power Stataion</t>
  </si>
  <si>
    <t>Bouldercombe Battery</t>
  </si>
  <si>
    <t>Deer Park Battery Energy Storage System</t>
  </si>
  <si>
    <t>Jeeralang battery</t>
  </si>
  <si>
    <t>Nhill Wind Farm</t>
  </si>
  <si>
    <t>Bulli Creek Solar Farm</t>
  </si>
  <si>
    <t>Bulli Creek Solar Farm – Stage 1/Bulli Creek Solar Farm – Future Stages</t>
  </si>
  <si>
    <t>Guunedah Solar Farm</t>
  </si>
  <si>
    <t>Channel Nine - Willoughby, NSW</t>
  </si>
  <si>
    <t>Nine Network Willoughby</t>
  </si>
  <si>
    <t>Ferguson North Wind Farm</t>
  </si>
  <si>
    <t>Gilgandara Solar Farm</t>
  </si>
  <si>
    <t>Gilgandra Solar Farm</t>
  </si>
  <si>
    <t>Walcha Energy Project - Salisbury BESS</t>
  </si>
  <si>
    <t>Walcha Energy Project - Salisbury East Solar</t>
  </si>
  <si>
    <t>Walcha Energy Project - Salisbury West Solar</t>
  </si>
  <si>
    <t>Walcha Energy Project Storage - Dungowan PHES</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</si>
  <si>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</si>
  <si>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</si>
  <si>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</si>
  <si>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</si>
  <si>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</si>
  <si>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</si>
  <si>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</si>
  <si>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</si>
  <si>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</si>
  <si>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</si>
  <si>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</si>
  <si>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Oakey Solar Farm</t>
  </si>
  <si>
    <t>Ballarat Base Hospital</t>
  </si>
  <si>
    <t>Battery of the Nation - Stage 2</t>
  </si>
  <si>
    <t>Battery of the Nation - Stage 3</t>
  </si>
  <si>
    <t>Battery of the Nation - Stage 4</t>
  </si>
  <si>
    <t>Battery of the Nation - Stage 5</t>
  </si>
  <si>
    <t>Berrybank Wind Farm - Stage 1</t>
  </si>
  <si>
    <t>Berrybank Wind Farm - Stage 2</t>
  </si>
  <si>
    <t>Beryl/Gulgong Solar Project</t>
  </si>
  <si>
    <t xml:space="preserve">Bordertown Power Station Gen </t>
  </si>
  <si>
    <t>Vibe Energy - Bordertown Power Station Gen - Bordertown, SA</t>
  </si>
  <si>
    <t>Broadwater and Condong Co-generation plants</t>
  </si>
  <si>
    <t>Chepstowe Wind Farm</t>
  </si>
  <si>
    <t>Codrington</t>
  </si>
  <si>
    <t>Collinsville North Solar</t>
  </si>
  <si>
    <t>Columboola</t>
  </si>
  <si>
    <t>Dalby</t>
  </si>
  <si>
    <t>Delga Solar Farm</t>
  </si>
  <si>
    <t>Eildon Small Hydro</t>
  </si>
  <si>
    <t>Finley/Canalla Solar Project</t>
  </si>
  <si>
    <t>Hallet Repower</t>
  </si>
  <si>
    <t>Hallet GT</t>
  </si>
  <si>
    <t>Hume NSW</t>
  </si>
  <si>
    <t>Hume VIC</t>
  </si>
  <si>
    <t>Inverleigh Storage</t>
  </si>
  <si>
    <t>Inverleigh Wind Farm Storage</t>
  </si>
  <si>
    <t>Keyneton</t>
  </si>
  <si>
    <t>Limondale Solar Plant 1</t>
  </si>
  <si>
    <t>Limondale Solar Plant 2</t>
  </si>
  <si>
    <t>Mallee Solar Park</t>
  </si>
  <si>
    <t>McIntyre</t>
  </si>
  <si>
    <t xml:space="preserve">MacIntyre Wind Farm </t>
  </si>
  <si>
    <t>Mortlake expansion</t>
  </si>
  <si>
    <t>Mortlake South</t>
  </si>
  <si>
    <t>Mt Gellibrand</t>
  </si>
  <si>
    <t>Quarantine expansion</t>
  </si>
  <si>
    <t>Spencer Gulf Pumped Storage Hydro</t>
  </si>
  <si>
    <t>St George Leagues Club</t>
  </si>
  <si>
    <t>St George Leagues Club - Kogarah, NSW</t>
  </si>
  <si>
    <t>Vibe Energy - Tatiara Meat Gen, Bordertown, SA</t>
  </si>
  <si>
    <t>Walcha Energy Project - Solar</t>
  </si>
  <si>
    <t>Walcha Energy Project - Storage</t>
  </si>
  <si>
    <t>Walcha Energy Project Storage - Salisbury BESS</t>
  </si>
  <si>
    <t>Walcha Energy Project - Wind</t>
  </si>
  <si>
    <t>Walcha Energy Project - Ruby Hills Wind Farm</t>
  </si>
  <si>
    <t>Western Suburbs League Club Campbelltown</t>
  </si>
  <si>
    <t>N00001</t>
  </si>
  <si>
    <t>N00004</t>
  </si>
  <si>
    <t>N00005</t>
  </si>
  <si>
    <t>N00011</t>
  </si>
  <si>
    <t>N00015</t>
  </si>
  <si>
    <t>N00016</t>
  </si>
  <si>
    <t>N00017</t>
  </si>
  <si>
    <t>N00018</t>
  </si>
  <si>
    <t>N00019</t>
  </si>
  <si>
    <t>N00021</t>
  </si>
  <si>
    <t>N00025</t>
  </si>
  <si>
    <t>N00027</t>
  </si>
  <si>
    <t>N00028</t>
  </si>
  <si>
    <t>N00029</t>
  </si>
  <si>
    <t>N00032</t>
  </si>
  <si>
    <t>N00035</t>
  </si>
  <si>
    <t>N00038</t>
  </si>
  <si>
    <t>N00043</t>
  </si>
  <si>
    <t>N00044</t>
  </si>
  <si>
    <t>N00064</t>
  </si>
  <si>
    <t>N00065</t>
  </si>
  <si>
    <t>N00079</t>
  </si>
  <si>
    <t>N00080</t>
  </si>
  <si>
    <t>N00085</t>
  </si>
  <si>
    <t>T00004</t>
  </si>
  <si>
    <t>T00005</t>
  </si>
  <si>
    <t>T00011</t>
  </si>
  <si>
    <t>T00015</t>
  </si>
  <si>
    <t>T00018</t>
  </si>
  <si>
    <t>S00002</t>
  </si>
  <si>
    <t>S00003</t>
  </si>
  <si>
    <t>S00005</t>
  </si>
  <si>
    <t>S00010</t>
  </si>
  <si>
    <t>S00011</t>
  </si>
  <si>
    <t>S00015</t>
  </si>
  <si>
    <t>S00017</t>
  </si>
  <si>
    <t>S00020</t>
  </si>
  <si>
    <t>S00023</t>
  </si>
  <si>
    <t>Q00001</t>
  </si>
  <si>
    <t>Q00004</t>
  </si>
  <si>
    <t>Queanbeyan Battery</t>
  </si>
  <si>
    <t>Q00006</t>
  </si>
  <si>
    <t>Q00007</t>
  </si>
  <si>
    <t>Q00010</t>
  </si>
  <si>
    <t>Q00012</t>
  </si>
  <si>
    <t>Q00013</t>
  </si>
  <si>
    <t>Q00014</t>
  </si>
  <si>
    <t>Q00021</t>
  </si>
  <si>
    <t>Q00031</t>
  </si>
  <si>
    <t>Q00036</t>
  </si>
  <si>
    <t>Q00041</t>
  </si>
  <si>
    <t>Q00051</t>
  </si>
  <si>
    <t>S00008</t>
  </si>
  <si>
    <t>S00025</t>
  </si>
  <si>
    <t>N00075</t>
  </si>
  <si>
    <t>T00001</t>
  </si>
  <si>
    <t>N00041</t>
  </si>
  <si>
    <t>Q00043</t>
  </si>
  <si>
    <t>V00001</t>
  </si>
  <si>
    <t>V00018</t>
  </si>
  <si>
    <t>V00019</t>
  </si>
  <si>
    <t>V00021</t>
  </si>
  <si>
    <t>V00025</t>
  </si>
  <si>
    <t>V00027</t>
  </si>
  <si>
    <t>V00031</t>
  </si>
  <si>
    <t>V00033</t>
  </si>
  <si>
    <t>V00039</t>
  </si>
  <si>
    <t>V00040</t>
  </si>
  <si>
    <t>V00044</t>
  </si>
  <si>
    <t>V00045</t>
  </si>
  <si>
    <t>V00050</t>
  </si>
  <si>
    <t>V00063</t>
  </si>
  <si>
    <t xml:space="preserve">Bonshaw Hybrid Solar Farm </t>
  </si>
  <si>
    <t>Wind Turbine</t>
  </si>
  <si>
    <t>Molong System Strength Battery Pilot</t>
  </si>
  <si>
    <t>The Trustee for Transgrid Services Trust</t>
  </si>
  <si>
    <t>Ridgey Creek BESS</t>
  </si>
  <si>
    <t>Ridgey Creek BESS Pty Ltd</t>
  </si>
  <si>
    <t>Munmorah BESS</t>
  </si>
  <si>
    <t>Wagga Wagga Renewable Project</t>
  </si>
  <si>
    <t>Gundary Solar Farm</t>
  </si>
  <si>
    <t>Baldon Wind Farm</t>
  </si>
  <si>
    <t>Goldwind Australia Pty Ltd</t>
  </si>
  <si>
    <t>Donnybrook project</t>
  </si>
  <si>
    <t>Merino Solar Farm</t>
  </si>
  <si>
    <t>Merino Solar Farm Pty Ltd as trustee for Merino Solar Farm Trust</t>
  </si>
  <si>
    <t>Territory Battery</t>
  </si>
  <si>
    <t xml:space="preserve">CleanCo Wind Farm (Small Mac) </t>
  </si>
  <si>
    <t>Isaac Wind Farm</t>
  </si>
  <si>
    <t>Isaac Wind and Solar Energy Pty Ltd</t>
  </si>
  <si>
    <t>Greenbank BESS</t>
  </si>
  <si>
    <t>Captains Mountain Wind Farm</t>
  </si>
  <si>
    <t>Vestas</t>
  </si>
  <si>
    <t>Bungaban Wind Farm</t>
  </si>
  <si>
    <t>Windlab Developments Pty Ltd</t>
  </si>
  <si>
    <t>Brooyer BESS</t>
  </si>
  <si>
    <t>RES Group</t>
  </si>
  <si>
    <t>Port Pirie</t>
  </si>
  <si>
    <t>Trafigura Hydrogen Australia</t>
  </si>
  <si>
    <t>Emeroo BESS (Bungala)</t>
  </si>
  <si>
    <t>George Town Battery System</t>
  </si>
  <si>
    <t>Hydro Tasmania Pty ltd</t>
  </si>
  <si>
    <t>Joel BESS</t>
  </si>
  <si>
    <t xml:space="preserve">Thomastown Terminal Station </t>
  </si>
  <si>
    <t>Mondo Power Pty Ltd</t>
  </si>
  <si>
    <t>Koorangie Energy Storage System</t>
  </si>
  <si>
    <t>Birdwood Energy Reserve</t>
  </si>
  <si>
    <t>Birdwood Energy Reserve Pty Ltd (ACN 658 507 441) as Trustee for Birdwood Energy Reserve Trust</t>
  </si>
  <si>
    <t>N00008</t>
  </si>
  <si>
    <t>N00031</t>
  </si>
  <si>
    <t>N00061</t>
  </si>
  <si>
    <t>N00074</t>
  </si>
  <si>
    <t>N00076</t>
  </si>
  <si>
    <t>N00077</t>
  </si>
  <si>
    <t>N00078</t>
  </si>
  <si>
    <t>N00081</t>
  </si>
  <si>
    <t>N00082</t>
  </si>
  <si>
    <t>N00083</t>
  </si>
  <si>
    <t>N00084</t>
  </si>
  <si>
    <t>N00086</t>
  </si>
  <si>
    <t>Q00005</t>
  </si>
  <si>
    <t>Q00044</t>
  </si>
  <si>
    <t>Q00045</t>
  </si>
  <si>
    <t>Q00046</t>
  </si>
  <si>
    <t>Q00049</t>
  </si>
  <si>
    <t>Q00050</t>
  </si>
  <si>
    <t>S00024</t>
  </si>
  <si>
    <t>S00026</t>
  </si>
  <si>
    <t>T00016</t>
  </si>
  <si>
    <t>V00030</t>
  </si>
  <si>
    <t>V00076</t>
  </si>
  <si>
    <t>V00078</t>
  </si>
  <si>
    <t>V00079</t>
  </si>
  <si>
    <t>V00083</t>
  </si>
  <si>
    <t>N00030</t>
  </si>
  <si>
    <t xml:space="preserve">Kidston Wind Farm </t>
  </si>
  <si>
    <t>Kidston (Wind Farm) Pty Ltd</t>
  </si>
  <si>
    <t>Kariboe Wind Farm</t>
  </si>
  <si>
    <t>BayWa</t>
  </si>
  <si>
    <t>Blackwater Solar Farm</t>
  </si>
  <si>
    <t>Cethana Pumped Hydro Option</t>
  </si>
  <si>
    <t>George Town Solar Farm</t>
  </si>
  <si>
    <t>Sun Spot 9 Pty Ltd</t>
  </si>
  <si>
    <t>Vic Offshore Windfarm Pty Ltd</t>
  </si>
  <si>
    <t>Greater Southern Offshore Wind</t>
  </si>
  <si>
    <t>Greater Southern Offshore Wind Farm Project Co Pty Ltd</t>
  </si>
  <si>
    <t>Hydro</t>
  </si>
  <si>
    <t>Q00047</t>
  </si>
  <si>
    <t>Q00048</t>
  </si>
  <si>
    <t>T00017</t>
  </si>
  <si>
    <t>V00081</t>
  </si>
  <si>
    <t>V00082</t>
  </si>
  <si>
    <t>Armidale BESS (100)</t>
  </si>
  <si>
    <t>Risen Energy (Australia) Pty Ltd</t>
  </si>
  <si>
    <t>N00026</t>
  </si>
  <si>
    <t>Armidale BESS (300)</t>
  </si>
  <si>
    <t>Risen Energy</t>
  </si>
  <si>
    <t>N00039</t>
  </si>
  <si>
    <t>Bungama BESS</t>
  </si>
  <si>
    <t>S00004</t>
  </si>
  <si>
    <t>Coleambally BESS</t>
  </si>
  <si>
    <t>N00024</t>
  </si>
  <si>
    <t>Darlington Point BESS</t>
  </si>
  <si>
    <t>N00053</t>
  </si>
  <si>
    <t>Eglington Solar Farm</t>
  </si>
  <si>
    <t>N00020</t>
  </si>
  <si>
    <t>Geranium Plains Solar and BESS</t>
  </si>
  <si>
    <t>S00018</t>
  </si>
  <si>
    <t>Haughton Solar Farm - Stage 2</t>
  </si>
  <si>
    <t>Pacific Hydro Australia Pty Ltd</t>
  </si>
  <si>
    <t>Q00030</t>
  </si>
  <si>
    <t xml:space="preserve">Harlin Solar Pty Ltd </t>
  </si>
  <si>
    <t>Q00026</t>
  </si>
  <si>
    <t>Jeeralang BESS (Maoneng)</t>
  </si>
  <si>
    <t>V00026</t>
  </si>
  <si>
    <t>Gilgandra Solar Pty Ltd</t>
  </si>
  <si>
    <t>50 - 60</t>
  </si>
  <si>
    <t>Mornington BESS</t>
  </si>
  <si>
    <t>V00003</t>
  </si>
  <si>
    <t>Wellington North Solar Farm (Lightsource)</t>
  </si>
  <si>
    <t>N00047</t>
  </si>
  <si>
    <t>Berrybank 2 Asset Pty Ltd (GPG)</t>
  </si>
  <si>
    <t>PORTWF</t>
  </si>
  <si>
    <t>Temporary Generation North</t>
  </si>
  <si>
    <t>SATGN1</t>
  </si>
  <si>
    <t>2020</t>
  </si>
  <si>
    <t>Stanwell Energy Park - BESS connected to Tarong Substation</t>
  </si>
  <si>
    <t>Q00022</t>
  </si>
  <si>
    <t>Shepparton Solar Farm</t>
  </si>
  <si>
    <t>Suntown Renewable Energy Facility</t>
  </si>
  <si>
    <t>Tomago GT</t>
  </si>
  <si>
    <t>Project discontinued</t>
  </si>
  <si>
    <t>N00046</t>
  </si>
  <si>
    <t>V00005</t>
  </si>
  <si>
    <t>Woolooga Battery Energy Storage System (BESS)</t>
  </si>
  <si>
    <t>LightsourceBP</t>
  </si>
  <si>
    <t>Q00029</t>
  </si>
  <si>
    <t>Project removed from publication, as the developer has advised it is a duplicate of Mannum Adelaide Pumping Station No 3 – MAPL3 (Tungkillo)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</si>
</sst>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_-* #,##0_-;\-* #,##0_-;_-* &quot;-&quot;??_-;_-@_-"/>
    <numFmt numFmtId="165" formatCode="_-* #,##0.0_-;\-* #,##0.0_-;_-* &quot;-&quot;??_-;_-@_-"/>
    <numFmt numFmtId="166" formatCode="0_ ;\-0\ "/>
    <numFmt numFmtId="167" formatCode="mmm\ yyyy"/>
    <numFmt numFmtId="168" formatCode="dd/mm/yyyy"/>
    <numFmt numFmtId="169" formatCode="d/mm/yyyy;@"/>
    <numFmt numFmtId="170" formatCode="0.0"/>
  </numFmts>
  <fonts count="66">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8"/>
      <color theme="1"/>
      <name val="Calibri"/>
      <family val="2"/>
      <scheme val="minor"/>
    </font>
    <font>
      <sz val="10"/>
      <color theme="1"/>
      <name val="Calibri"/>
      <family val="2"/>
      <scheme val="minor"/>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color theme="0"/>
      <name val="Arial"/>
      <family val="2"/>
    </font>
    <font>
      <sz val="8"/>
      <name val="Calibri"/>
      <family val="2"/>
      <scheme val="minor"/>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sz val="8"/>
      <color rgb="FFFFFFFF"/>
      <name val="Arial"/>
      <family val="2"/>
    </font>
    <font>
      <sz val="8"/>
      <color rgb="FF000000"/>
      <name val="Arial"/>
      <family val="2"/>
    </font>
    <font>
      <sz val="8"/>
      <color theme="1"/>
      <name val="Arial"/>
      <family val="2"/>
    </font>
    <font>
      <sz val="8"/>
      <color theme="0"/>
      <name val="Arial"/>
      <family val="2"/>
    </font>
    <font>
      <sz val="8"/>
      <color rgb="FF000000"/>
      <name val="Arial"/>
      <family val="2"/>
    </font>
    <font>
      <sz val="8"/>
      <color rgb="FFFFFFFF"/>
      <name val="Arial"/>
      <family val="2"/>
    </font>
    <font>
      <b/>
      <sz val="8"/>
      <name val="Arial"/>
      <family val="2"/>
    </font>
  </fonts>
  <fills count="31">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s>
  <borders count="66">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
      <left style="thin">
        <color theme="0"/>
      </left>
      <right style="thin">
        <color theme="0"/>
      </right>
      <top style="thin">
        <color theme="9" tint="0.39997558519241921"/>
      </top>
      <bottom style="thin">
        <color theme="9" tint="0.39997558519241921"/>
      </bottom>
      <diagonal/>
    </border>
    <border>
      <left style="thin">
        <color theme="0"/>
      </left>
      <right style="thin">
        <color rgb="FFFFFFFF"/>
      </right>
      <top style="thin">
        <color theme="9" tint="0.39997558519241921"/>
      </top>
      <bottom style="thin">
        <color theme="9" tint="0.39997558519241921"/>
      </bottom>
      <diagonal/>
    </border>
    <border>
      <left style="thin">
        <color rgb="FFFFFFFF"/>
      </left>
      <right style="medium">
        <color rgb="FFFFFFFF"/>
      </right>
      <top style="thin">
        <color theme="9" tint="0.39997558519241921"/>
      </top>
      <bottom style="thin">
        <color theme="9" tint="0.39997558519241921"/>
      </bottom>
      <diagonal/>
    </border>
    <border>
      <left/>
      <right/>
      <top style="thin">
        <color theme="9" tint="0.39997558519241921"/>
      </top>
      <bottom style="thin">
        <color theme="0" tint="-0.24994659260841701"/>
      </bottom>
      <diagonal/>
    </border>
  </borders>
  <cellStyleXfs count="21">
    <xf numFmtId="0" fontId="0" fillId="0" borderId="0"/>
    <xf numFmtId="0" fontId="4" fillId="0" borderId="0" applyNumberFormat="0" applyFill="0" applyBorder="0" applyAlignment="0" applyProtection="0"/>
    <xf numFmtId="0" fontId="9" fillId="0" borderId="0"/>
    <xf numFmtId="43"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43" fontId="20" fillId="0" borderId="0" applyFont="0" applyFill="0" applyBorder="0" applyAlignment="0" applyProtection="0"/>
    <xf numFmtId="0" fontId="55" fillId="0" borderId="0"/>
    <xf numFmtId="0" fontId="56" fillId="25" borderId="0" applyNumberFormat="0" applyBorder="0" applyAlignment="0" applyProtection="0"/>
    <xf numFmtId="0" fontId="57" fillId="24" borderId="0" applyNumberFormat="0" applyBorder="0" applyAlignment="0" applyProtection="0"/>
    <xf numFmtId="0" fontId="55" fillId="0" borderId="0"/>
    <xf numFmtId="165" fontId="55" fillId="0" borderId="38" applyNumberFormat="0" applyAlignment="0">
      <alignment horizontal="center"/>
    </xf>
    <xf numFmtId="165" fontId="55" fillId="26" borderId="38" applyNumberFormat="0" applyAlignment="0">
      <alignment horizontal="center"/>
    </xf>
    <xf numFmtId="0" fontId="1" fillId="15" borderId="0" applyNumberFormat="0" applyFill="0" applyBorder="0" applyAlignment="0" applyProtection="0"/>
    <xf numFmtId="0" fontId="34" fillId="15" borderId="0"/>
    <xf numFmtId="0" fontId="39" fillId="15" borderId="0" applyNumberFormat="0" applyFill="0" applyBorder="0" applyAlignment="0" applyProtection="0"/>
    <xf numFmtId="0" fontId="58" fillId="0" borderId="0"/>
    <xf numFmtId="43" fontId="5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356">
    <xf numFmtId="0" fontId="0" fillId="0" borderId="0" xfId="0"/>
    <xf numFmtId="0" fontId="40"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25" fillId="0" borderId="0" xfId="0" applyFont="1" applyProtection="1">
      <protection locked="0"/>
    </xf>
    <xf numFmtId="0" fontId="0" fillId="15" borderId="0" xfId="0" applyFill="1" applyAlignment="1">
      <alignment horizontal="left" wrapText="1"/>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30" fillId="15" borderId="0" xfId="2" applyFont="1" applyFill="1" applyAlignment="1">
      <alignment vertical="center"/>
    </xf>
    <xf numFmtId="0" fontId="31" fillId="15" borderId="0" xfId="2" applyFont="1" applyFill="1" applyAlignment="1">
      <alignment vertical="center"/>
    </xf>
    <xf numFmtId="0" fontId="32" fillId="15" borderId="0" xfId="2" applyFont="1" applyFill="1"/>
    <xf numFmtId="0" fontId="2" fillId="0" borderId="0" xfId="0" applyFont="1" applyProtection="1">
      <protection locked="0"/>
    </xf>
    <xf numFmtId="0" fontId="26" fillId="2" borderId="0" xfId="2" applyFont="1" applyFill="1" applyProtection="1">
      <protection locked="0"/>
    </xf>
    <xf numFmtId="0" fontId="27" fillId="2" borderId="0" xfId="2" applyFont="1" applyFill="1" applyProtection="1">
      <protection locked="0"/>
    </xf>
    <xf numFmtId="0" fontId="23" fillId="2" borderId="0" xfId="2" applyFont="1" applyFill="1" applyProtection="1">
      <protection locked="0"/>
    </xf>
    <xf numFmtId="0" fontId="26"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7" fillId="15" borderId="0" xfId="2" applyFont="1" applyFill="1" applyAlignment="1">
      <alignment horizontal="left" indent="1"/>
    </xf>
    <xf numFmtId="0" fontId="37" fillId="15" borderId="0" xfId="2" applyFont="1" applyFill="1" applyAlignment="1">
      <alignment vertical="center"/>
    </xf>
    <xf numFmtId="0" fontId="27"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50"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4"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4" fillId="15" borderId="0" xfId="0" applyFont="1" applyFill="1" applyAlignment="1">
      <alignment vertical="center"/>
    </xf>
    <xf numFmtId="0" fontId="17" fillId="4" borderId="18" xfId="0" applyFont="1" applyFill="1" applyBorder="1" applyAlignment="1">
      <alignment vertical="center" wrapText="1"/>
    </xf>
    <xf numFmtId="0" fontId="51"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9"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8" fillId="10" borderId="38" xfId="2" applyFont="1" applyFill="1" applyBorder="1" applyAlignment="1">
      <alignment horizontal="left" vertical="top" wrapText="1"/>
    </xf>
    <xf numFmtId="0" fontId="35" fillId="15" borderId="0" xfId="0" applyFont="1" applyFill="1" applyAlignment="1">
      <alignment horizontal="left" indent="2"/>
    </xf>
    <xf numFmtId="0" fontId="35"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35" fillId="15" borderId="0" xfId="0" applyFont="1" applyFill="1" applyAlignment="1">
      <alignment vertical="center"/>
    </xf>
    <xf numFmtId="0" fontId="23" fillId="15" borderId="0" xfId="2" applyFont="1" applyFill="1" applyAlignment="1">
      <alignment horizontal="left" vertical="top" wrapText="1"/>
    </xf>
    <xf numFmtId="0" fontId="16" fillId="3" borderId="57" xfId="2" applyFont="1" applyFill="1" applyBorder="1" applyAlignment="1">
      <alignment vertical="center" wrapText="1"/>
    </xf>
    <xf numFmtId="0" fontId="26" fillId="9" borderId="0" xfId="2" applyFont="1" applyFill="1"/>
    <xf numFmtId="0" fontId="26" fillId="9" borderId="23" xfId="2" applyFont="1" applyFill="1" applyBorder="1"/>
    <xf numFmtId="0" fontId="35" fillId="15" borderId="0" xfId="0" applyFont="1" applyFill="1" applyAlignment="1">
      <alignment horizontal="left" vertical="center" indent="3"/>
    </xf>
    <xf numFmtId="0" fontId="6" fillId="15" borderId="0" xfId="2" applyFont="1" applyFill="1"/>
    <xf numFmtId="165" fontId="23" fillId="10" borderId="22" xfId="3" applyNumberFormat="1" applyFont="1" applyFill="1" applyBorder="1" applyAlignment="1" applyProtection="1">
      <alignment horizontal="left" vertical="top"/>
    </xf>
    <xf numFmtId="0" fontId="26"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6"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41" fillId="14" borderId="0" xfId="0" applyFont="1" applyFill="1" applyAlignment="1">
      <alignment horizontal="left"/>
    </xf>
    <xf numFmtId="0" fontId="43" fillId="14" borderId="0" xfId="0" applyFont="1" applyFill="1" applyAlignment="1">
      <alignment horizontal="left" vertical="center"/>
    </xf>
    <xf numFmtId="0" fontId="33" fillId="14" borderId="0" xfId="0" applyFont="1" applyFill="1"/>
    <xf numFmtId="0" fontId="42"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4"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4" fontId="23" fillId="7" borderId="9" xfId="3" applyNumberFormat="1" applyFont="1" applyFill="1" applyBorder="1" applyAlignment="1" applyProtection="1">
      <alignment horizontal="center" vertical="center"/>
    </xf>
    <xf numFmtId="164"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4"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2" fillId="15" borderId="0" xfId="2" applyFont="1" applyFill="1" applyAlignment="1">
      <alignment horizontal="left" vertical="top" inden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165" fontId="23" fillId="10" borderId="22" xfId="3" applyNumberFormat="1" applyFont="1" applyFill="1" applyBorder="1" applyAlignment="1" applyProtection="1">
      <alignment horizontal="left" vertical="top" wrapText="1"/>
    </xf>
    <xf numFmtId="165" fontId="23" fillId="10" borderId="22" xfId="3" applyNumberFormat="1" applyFont="1" applyFill="1" applyBorder="1" applyAlignment="1" applyProtection="1">
      <alignment horizontal="center" vertical="top"/>
    </xf>
    <xf numFmtId="0" fontId="16" fillId="5" borderId="19" xfId="0" applyFont="1" applyFill="1" applyBorder="1" applyAlignment="1">
      <alignment horizontal="center" vertical="top" wrapText="1"/>
    </xf>
    <xf numFmtId="0" fontId="22" fillId="0" borderId="0" xfId="0" applyFont="1" applyAlignment="1">
      <alignment horizontal="left" vertical="center" wrapText="1"/>
    </xf>
    <xf numFmtId="165" fontId="23" fillId="0" borderId="0" xfId="3" applyNumberFormat="1" applyFont="1" applyFill="1" applyBorder="1" applyAlignment="1" applyProtection="1">
      <alignment horizontal="left" vertical="center"/>
    </xf>
    <xf numFmtId="0" fontId="1" fillId="0" borderId="0" xfId="0" applyFont="1" applyProtection="1">
      <protection locked="0"/>
    </xf>
    <xf numFmtId="15" fontId="23" fillId="10" borderId="22" xfId="3" applyNumberFormat="1" applyFont="1" applyFill="1" applyBorder="1" applyAlignment="1" applyProtection="1">
      <alignment horizontal="left" vertical="top"/>
    </xf>
    <xf numFmtId="0" fontId="35" fillId="13" borderId="23" xfId="0" applyFont="1" applyFill="1" applyBorder="1" applyAlignment="1">
      <alignment horizontal="left" vertical="top" wrapText="1"/>
    </xf>
    <xf numFmtId="0" fontId="35" fillId="13" borderId="22" xfId="0" applyFont="1" applyFill="1" applyBorder="1" applyAlignment="1">
      <alignment horizontal="left" vertical="top" wrapText="1"/>
    </xf>
    <xf numFmtId="0" fontId="35" fillId="13" borderId="24" xfId="0" applyFont="1" applyFill="1" applyBorder="1" applyAlignment="1">
      <alignment horizontal="left" vertical="top" wrapText="1"/>
    </xf>
    <xf numFmtId="168" fontId="23" fillId="10" borderId="0" xfId="2" applyNumberFormat="1" applyFont="1" applyFill="1" applyAlignment="1">
      <alignment horizontal="left" vertical="top"/>
    </xf>
    <xf numFmtId="0" fontId="23" fillId="10" borderId="0" xfId="2" applyFont="1" applyFill="1" applyAlignment="1">
      <alignment horizontal="left" vertical="top"/>
    </xf>
    <xf numFmtId="0" fontId="23" fillId="10" borderId="0" xfId="2" applyFont="1" applyFill="1" applyAlignment="1">
      <alignment vertical="top" wrapText="1"/>
    </xf>
    <xf numFmtId="0" fontId="23" fillId="9" borderId="0" xfId="2" applyFont="1" applyFill="1" applyAlignment="1">
      <alignment horizontal="left" vertical="top" wrapText="1"/>
    </xf>
    <xf numFmtId="14" fontId="23" fillId="10" borderId="0" xfId="3" applyNumberFormat="1" applyFont="1" applyFill="1" applyBorder="1" applyAlignment="1" applyProtection="1">
      <alignment horizontal="left" vertical="top"/>
    </xf>
    <xf numFmtId="14" fontId="23" fillId="10" borderId="0" xfId="2" applyNumberFormat="1" applyFont="1" applyFill="1" applyAlignment="1">
      <alignment horizontal="left" vertical="top"/>
    </xf>
    <xf numFmtId="165" fontId="23" fillId="10" borderId="23" xfId="3" applyNumberFormat="1" applyFont="1" applyFill="1" applyBorder="1" applyAlignment="1" applyProtection="1">
      <alignment horizontal="center" vertical="top"/>
    </xf>
    <xf numFmtId="0" fontId="23" fillId="10" borderId="0" xfId="2" applyFont="1" applyFill="1" applyAlignment="1">
      <alignment horizontal="left" vertical="top" wrapText="1"/>
    </xf>
    <xf numFmtId="165" fontId="23" fillId="0" borderId="0" xfId="3" applyNumberFormat="1" applyFont="1" applyFill="1" applyBorder="1" applyAlignment="1" applyProtection="1">
      <alignment horizontal="left" vertical="center" wrapText="1"/>
    </xf>
    <xf numFmtId="0" fontId="18" fillId="23" borderId="43" xfId="2" applyFont="1" applyFill="1" applyBorder="1" applyAlignment="1">
      <alignment horizontal="center" vertical="center" wrapText="1"/>
    </xf>
    <xf numFmtId="0" fontId="23" fillId="9" borderId="0" xfId="2" quotePrefix="1" applyFont="1" applyFill="1" applyAlignment="1">
      <alignment horizontal="left" vertical="top" wrapText="1"/>
    </xf>
    <xf numFmtId="0" fontId="54"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23" fillId="10" borderId="23" xfId="0" applyFont="1" applyFill="1" applyBorder="1" applyAlignment="1">
      <alignment horizontal="center" vertical="top" wrapText="1"/>
    </xf>
    <xf numFmtId="165" fontId="23" fillId="10" borderId="22" xfId="3" applyNumberFormat="1" applyFont="1" applyFill="1" applyBorder="1" applyAlignment="1">
      <alignment horizontal="left" vertical="top"/>
    </xf>
    <xf numFmtId="0" fontId="18" fillId="28" borderId="43" xfId="2" applyFont="1" applyFill="1" applyBorder="1" applyAlignment="1">
      <alignment horizontal="center" vertical="center" wrapText="1"/>
    </xf>
    <xf numFmtId="165" fontId="23" fillId="0" borderId="0" xfId="3" applyNumberFormat="1" applyFont="1" applyAlignment="1">
      <alignment horizontal="left" vertical="center"/>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4" fillId="13" borderId="8" xfId="0" applyFont="1" applyFill="1" applyBorder="1" applyAlignment="1">
      <alignment horizontal="center" vertical="center" wrapText="1"/>
    </xf>
    <xf numFmtId="0" fontId="27" fillId="15" borderId="0" xfId="2" applyFont="1" applyFill="1" applyAlignment="1">
      <alignment horizontal="left" vertical="top" wrapText="1" indent="2"/>
    </xf>
    <xf numFmtId="0" fontId="28" fillId="15" borderId="0" xfId="2" applyFont="1" applyFill="1" applyAlignment="1">
      <alignment horizontal="left" vertical="center" wrapText="1"/>
    </xf>
    <xf numFmtId="0" fontId="29"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horizontal="left" vertical="center" indent="5"/>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0" fontId="23" fillId="9" borderId="22" xfId="0" applyFont="1" applyFill="1" applyBorder="1" applyAlignment="1">
      <alignment horizontal="center" vertical="top"/>
    </xf>
    <xf numFmtId="49" fontId="23" fillId="10" borderId="22" xfId="3" applyNumberFormat="1" applyFont="1" applyFill="1" applyBorder="1" applyAlignment="1" applyProtection="1">
      <alignment horizontal="center" vertical="top"/>
    </xf>
    <xf numFmtId="165" fontId="23" fillId="10" borderId="22" xfId="3" applyNumberFormat="1" applyFont="1" applyFill="1" applyBorder="1" applyAlignment="1" applyProtection="1">
      <alignment vertical="center"/>
    </xf>
    <xf numFmtId="165" fontId="22" fillId="4" borderId="22" xfId="0" applyNumberFormat="1" applyFont="1" applyFill="1" applyBorder="1" applyAlignment="1">
      <alignment horizontal="left" vertical="top" wrapText="1"/>
    </xf>
    <xf numFmtId="165" fontId="16" fillId="5" borderId="22" xfId="0" applyNumberFormat="1" applyFont="1" applyFill="1" applyBorder="1" applyAlignment="1">
      <alignment horizontal="left" vertical="top" wrapText="1"/>
    </xf>
    <xf numFmtId="165" fontId="23" fillId="9" borderId="22" xfId="0" applyNumberFormat="1" applyFont="1" applyFill="1" applyBorder="1" applyAlignment="1">
      <alignment horizontal="left" vertical="top"/>
    </xf>
    <xf numFmtId="165" fontId="23" fillId="9" borderId="22" xfId="3" applyNumberFormat="1" applyFont="1" applyFill="1" applyBorder="1" applyAlignment="1" applyProtection="1">
      <alignment horizontal="left" vertical="top"/>
    </xf>
    <xf numFmtId="165" fontId="23" fillId="9" borderId="22" xfId="3" applyNumberFormat="1" applyFont="1" applyFill="1" applyBorder="1" applyAlignment="1" applyProtection="1">
      <alignment horizontal="right" vertical="top"/>
    </xf>
    <xf numFmtId="165" fontId="23" fillId="10" borderId="22" xfId="0" applyNumberFormat="1" applyFont="1" applyFill="1" applyBorder="1" applyAlignment="1">
      <alignment horizontal="left" vertical="top"/>
    </xf>
    <xf numFmtId="0" fontId="16" fillId="5" borderId="24" xfId="0" applyFont="1" applyFill="1" applyBorder="1" applyAlignment="1">
      <alignment horizontal="center" vertical="top" wrapText="1"/>
    </xf>
    <xf numFmtId="14" fontId="23" fillId="10" borderId="24" xfId="0" applyNumberFormat="1" applyFont="1" applyFill="1" applyBorder="1" applyAlignment="1">
      <alignment horizontal="left" vertical="top"/>
    </xf>
    <xf numFmtId="0" fontId="16" fillId="13" borderId="23" xfId="0" applyFont="1" applyFill="1" applyBorder="1" applyAlignment="1">
      <alignment horizontal="center" vertical="top" wrapText="1"/>
    </xf>
    <xf numFmtId="0" fontId="18" fillId="5" borderId="22" xfId="0" applyFont="1" applyFill="1" applyBorder="1" applyAlignment="1">
      <alignment horizontal="center" vertical="top" wrapText="1"/>
    </xf>
    <xf numFmtId="164" fontId="24" fillId="27" borderId="22" xfId="4" applyNumberFormat="1" applyFont="1" applyFill="1" applyBorder="1" applyAlignment="1" applyProtection="1">
      <alignment horizontal="right" vertical="top"/>
    </xf>
    <xf numFmtId="164" fontId="24" fillId="28" borderId="22" xfId="6" applyNumberFormat="1" applyFont="1" applyFill="1" applyBorder="1" applyAlignment="1" applyProtection="1">
      <alignment horizontal="right" vertical="top"/>
    </xf>
    <xf numFmtId="165" fontId="23" fillId="9" borderId="22" xfId="3" applyNumberFormat="1" applyFont="1" applyFill="1" applyBorder="1" applyAlignment="1" applyProtection="1">
      <alignment vertical="center"/>
    </xf>
    <xf numFmtId="167" fontId="23" fillId="9" borderId="22" xfId="3" applyNumberFormat="1" applyFont="1" applyFill="1" applyBorder="1" applyAlignment="1" applyProtection="1">
      <alignment horizontal="center" vertical="top"/>
    </xf>
    <xf numFmtId="166" fontId="23" fillId="10" borderId="22" xfId="3" applyNumberFormat="1" applyFont="1" applyFill="1" applyBorder="1" applyAlignment="1" applyProtection="1">
      <alignment horizontal="center" vertical="top"/>
    </xf>
    <xf numFmtId="15" fontId="23" fillId="9" borderId="22" xfId="3" applyNumberFormat="1" applyFont="1" applyFill="1" applyBorder="1" applyAlignment="1" applyProtection="1">
      <alignment horizontal="center" vertical="top"/>
    </xf>
    <xf numFmtId="165" fontId="23" fillId="9" borderId="22" xfId="3" applyNumberFormat="1" applyFont="1" applyFill="1" applyBorder="1" applyAlignment="1" applyProtection="1">
      <alignment vertical="top"/>
    </xf>
    <xf numFmtId="0" fontId="23" fillId="10" borderId="22" xfId="0" applyFont="1" applyFill="1" applyBorder="1" applyAlignment="1">
      <alignment horizontal="left" vertical="center"/>
    </xf>
    <xf numFmtId="167" fontId="23" fillId="9" borderId="22" xfId="3" quotePrefix="1" applyNumberFormat="1" applyFont="1" applyFill="1" applyBorder="1" applyAlignment="1" applyProtection="1">
      <alignment horizontal="center" vertical="top"/>
    </xf>
    <xf numFmtId="165" fontId="23" fillId="10" borderId="22" xfId="3" applyNumberFormat="1" applyFont="1" applyFill="1" applyBorder="1" applyAlignment="1" applyProtection="1">
      <alignment vertical="center" wrapText="1"/>
    </xf>
    <xf numFmtId="0" fontId="18" fillId="5" borderId="23" xfId="0" applyFont="1" applyFill="1" applyBorder="1" applyAlignment="1">
      <alignment horizontal="center" vertical="top" wrapText="1"/>
    </xf>
    <xf numFmtId="164" fontId="24" fillId="27" borderId="23" xfId="4" applyNumberFormat="1" applyFont="1" applyFill="1" applyBorder="1" applyAlignment="1" applyProtection="1">
      <alignment horizontal="right" vertical="top"/>
    </xf>
    <xf numFmtId="165" fontId="23" fillId="10" borderId="23" xfId="3" applyNumberFormat="1" applyFont="1" applyFill="1" applyBorder="1" applyAlignment="1" applyProtection="1">
      <alignment horizontal="left" vertical="top"/>
    </xf>
    <xf numFmtId="0" fontId="18" fillId="5" borderId="61" xfId="0" applyFont="1" applyFill="1" applyBorder="1" applyAlignment="1">
      <alignment horizontal="center" vertical="top" wrapText="1"/>
    </xf>
    <xf numFmtId="164" fontId="24" fillId="23" borderId="61" xfId="5" applyNumberFormat="1" applyFont="1" applyFill="1" applyBorder="1" applyAlignment="1" applyProtection="1">
      <alignment horizontal="right" vertical="top"/>
    </xf>
    <xf numFmtId="0" fontId="22" fillId="0" borderId="0" xfId="0" applyFont="1" applyProtection="1">
      <protection locked="0"/>
    </xf>
    <xf numFmtId="0" fontId="34" fillId="13" borderId="20" xfId="0" applyFont="1" applyFill="1" applyBorder="1" applyAlignment="1">
      <alignment horizontal="center" vertical="center" wrapText="1"/>
    </xf>
    <xf numFmtId="15" fontId="23" fillId="0" borderId="0" xfId="3" applyNumberFormat="1" applyFont="1" applyFill="1" applyBorder="1" applyAlignment="1">
      <alignment horizontal="center" vertical="center"/>
    </xf>
    <xf numFmtId="15" fontId="1" fillId="0" borderId="17" xfId="0" applyNumberFormat="1" applyFont="1" applyBorder="1" applyAlignment="1" applyProtection="1">
      <alignment horizontal="center"/>
      <protection locked="0"/>
    </xf>
    <xf numFmtId="0" fontId="0" fillId="29" borderId="32" xfId="0" applyFill="1" applyBorder="1"/>
    <xf numFmtId="0" fontId="0" fillId="30" borderId="32" xfId="0" applyFill="1" applyBorder="1"/>
    <xf numFmtId="0" fontId="34" fillId="13" borderId="14" xfId="0" applyFont="1" applyFill="1" applyBorder="1" applyAlignment="1">
      <alignment horizontal="center" vertical="center" wrapText="1"/>
    </xf>
    <xf numFmtId="0" fontId="52" fillId="4" borderId="0" xfId="2" applyFont="1" applyFill="1" applyAlignment="1">
      <alignment horizontal="left" vertical="top" wrapText="1"/>
    </xf>
    <xf numFmtId="165" fontId="23" fillId="10" borderId="22" xfId="3" applyNumberFormat="1" applyFont="1" applyFill="1" applyBorder="1" applyAlignment="1">
      <alignment horizontal="center" vertical="top"/>
    </xf>
    <xf numFmtId="165" fontId="23" fillId="9" borderId="22" xfId="3" applyNumberFormat="1" applyFont="1" applyFill="1" applyBorder="1" applyAlignment="1">
      <alignment horizontal="left" vertical="top"/>
    </xf>
    <xf numFmtId="164" fontId="0" fillId="2" borderId="0" xfId="0" applyNumberFormat="1" applyFill="1" applyProtection="1">
      <protection locked="0"/>
    </xf>
    <xf numFmtId="169" fontId="23" fillId="9" borderId="22" xfId="3" applyNumberFormat="1" applyFont="1" applyFill="1" applyBorder="1" applyAlignment="1" applyProtection="1">
      <alignment horizontal="left" vertical="top"/>
    </xf>
    <xf numFmtId="169" fontId="0" fillId="15" borderId="0" xfId="0" applyNumberFormat="1" applyFill="1"/>
    <xf numFmtId="169" fontId="16" fillId="5" borderId="22" xfId="0" applyNumberFormat="1" applyFont="1" applyFill="1" applyBorder="1" applyAlignment="1">
      <alignment horizontal="center" vertical="top" wrapText="1"/>
    </xf>
    <xf numFmtId="169" fontId="23" fillId="10" borderId="24" xfId="0" applyNumberFormat="1" applyFont="1" applyFill="1" applyBorder="1" applyAlignment="1">
      <alignment horizontal="left" vertical="top"/>
    </xf>
    <xf numFmtId="169" fontId="23" fillId="9" borderId="22" xfId="0" applyNumberFormat="1" applyFont="1" applyFill="1" applyBorder="1" applyAlignment="1">
      <alignment horizontal="left" vertical="top"/>
    </xf>
    <xf numFmtId="169" fontId="0" fillId="0" borderId="0" xfId="0" applyNumberFormat="1" applyProtection="1">
      <protection locked="0"/>
    </xf>
    <xf numFmtId="165" fontId="16" fillId="5" borderId="23" xfId="0" applyNumberFormat="1" applyFont="1" applyFill="1" applyBorder="1" applyAlignment="1">
      <alignment horizontal="left" vertical="top"/>
    </xf>
    <xf numFmtId="165" fontId="16" fillId="5" borderId="22" xfId="0" applyNumberFormat="1" applyFont="1" applyFill="1" applyBorder="1" applyAlignment="1">
      <alignment horizontal="left" vertical="top"/>
    </xf>
    <xf numFmtId="164" fontId="24" fillId="27" borderId="23" xfId="4" applyNumberFormat="1" applyFont="1" applyFill="1" applyBorder="1" applyAlignment="1">
      <alignment horizontal="right" vertical="top"/>
    </xf>
    <xf numFmtId="164" fontId="24" fillId="27" borderId="22" xfId="4" applyNumberFormat="1" applyFont="1" applyFill="1" applyBorder="1" applyAlignment="1">
      <alignment horizontal="right" vertical="top"/>
    </xf>
    <xf numFmtId="164" fontId="24" fillId="28" borderId="22" xfId="6" applyNumberFormat="1" applyFont="1" applyFill="1" applyBorder="1" applyAlignment="1">
      <alignment horizontal="right" vertical="top"/>
    </xf>
    <xf numFmtId="164" fontId="24" fillId="23" borderId="61" xfId="5" applyNumberFormat="1" applyFont="1" applyFill="1" applyBorder="1" applyAlignment="1">
      <alignment horizontal="right" vertical="top"/>
    </xf>
    <xf numFmtId="165" fontId="23" fillId="10" borderId="23" xfId="3" applyNumberFormat="1" applyFont="1" applyFill="1" applyBorder="1" applyAlignment="1">
      <alignment horizontal="left" vertical="top"/>
    </xf>
    <xf numFmtId="166" fontId="23" fillId="10" borderId="22" xfId="3" applyNumberFormat="1" applyFont="1" applyFill="1" applyBorder="1" applyAlignment="1">
      <alignment horizontal="center" vertical="top"/>
    </xf>
    <xf numFmtId="167" fontId="23" fillId="9" borderId="22" xfId="3" applyNumberFormat="1" applyFont="1" applyFill="1" applyBorder="1" applyAlignment="1">
      <alignment horizontal="center" vertical="top"/>
    </xf>
    <xf numFmtId="165" fontId="23" fillId="9" borderId="22" xfId="3" applyNumberFormat="1" applyFont="1" applyFill="1" applyBorder="1" applyAlignment="1">
      <alignment vertical="center"/>
    </xf>
    <xf numFmtId="165" fontId="23" fillId="10" borderId="22" xfId="3" applyNumberFormat="1" applyFont="1" applyFill="1" applyBorder="1" applyAlignment="1">
      <alignment vertical="center"/>
    </xf>
    <xf numFmtId="165" fontId="23" fillId="9" borderId="22" xfId="3" applyNumberFormat="1" applyFont="1" applyFill="1" applyBorder="1" applyAlignment="1">
      <alignment vertical="top"/>
    </xf>
    <xf numFmtId="165" fontId="22" fillId="4" borderId="22" xfId="3" applyNumberFormat="1" applyFont="1" applyFill="1" applyBorder="1" applyAlignment="1" applyProtection="1">
      <alignment horizontal="left" vertical="top"/>
    </xf>
    <xf numFmtId="165" fontId="23" fillId="9" borderId="0" xfId="0" applyNumberFormat="1" applyFont="1" applyFill="1" applyAlignment="1">
      <alignment horizontal="left" vertical="top"/>
    </xf>
    <xf numFmtId="0" fontId="23" fillId="9" borderId="22" xfId="2" applyFont="1" applyFill="1" applyBorder="1" applyAlignment="1">
      <alignment horizontal="left" vertical="top" wrapText="1"/>
    </xf>
    <xf numFmtId="164" fontId="0" fillId="2" borderId="0" xfId="0" quotePrefix="1" applyNumberFormat="1" applyFill="1" applyProtection="1">
      <protection locked="0"/>
    </xf>
    <xf numFmtId="0" fontId="23" fillId="9" borderId="22" xfId="0" applyFont="1" applyFill="1" applyBorder="1" applyAlignment="1">
      <alignment horizontal="left" vertical="top"/>
    </xf>
    <xf numFmtId="3" fontId="23" fillId="9" borderId="22" xfId="0" applyNumberFormat="1" applyFont="1" applyFill="1" applyBorder="1" applyAlignment="1">
      <alignment horizontal="left" vertical="top"/>
    </xf>
    <xf numFmtId="167" fontId="0" fillId="0" borderId="0" xfId="0" applyNumberFormat="1" applyProtection="1">
      <protection locked="0"/>
    </xf>
    <xf numFmtId="167" fontId="0" fillId="15" borderId="0" xfId="0" applyNumberFormat="1" applyFill="1"/>
    <xf numFmtId="167" fontId="16" fillId="5" borderId="24" xfId="0" applyNumberFormat="1" applyFont="1" applyFill="1" applyBorder="1" applyAlignment="1">
      <alignment horizontal="center" vertical="top" wrapText="1"/>
    </xf>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0" fontId="23" fillId="9" borderId="22" xfId="0" quotePrefix="1" applyFont="1" applyFill="1" applyBorder="1" applyAlignment="1">
      <alignment horizontal="left" vertical="top"/>
    </xf>
    <xf numFmtId="164" fontId="23" fillId="8" borderId="9" xfId="3" applyNumberFormat="1" applyFont="1" applyFill="1" applyBorder="1" applyAlignment="1">
      <alignment horizontal="center" vertical="center"/>
    </xf>
    <xf numFmtId="164" fontId="23" fillId="7" borderId="9" xfId="3" applyNumberFormat="1" applyFont="1" applyFill="1" applyBorder="1" applyAlignment="1">
      <alignment horizontal="center" vertical="center"/>
    </xf>
    <xf numFmtId="0" fontId="59" fillId="0" borderId="0" xfId="0" applyFont="1" applyAlignment="1">
      <alignment horizontal="left" vertical="center" wrapText="1"/>
    </xf>
    <xf numFmtId="165" fontId="60" fillId="0" borderId="0" xfId="3" applyNumberFormat="1" applyFont="1" applyAlignment="1">
      <alignment horizontal="left" vertical="center"/>
    </xf>
    <xf numFmtId="15" fontId="61" fillId="0" borderId="0" xfId="0" applyNumberFormat="1" applyFont="1" applyAlignment="1" applyProtection="1">
      <alignment horizontal="center"/>
      <protection locked="0"/>
    </xf>
    <xf numFmtId="14" fontId="23" fillId="10" borderId="0" xfId="2" applyNumberFormat="1" applyFont="1" applyFill="1" applyAlignment="1" applyProtection="1">
      <alignment horizontal="left" vertical="top"/>
    </xf>
    <xf numFmtId="0" fontId="23" fillId="10" borderId="0" xfId="2" applyNumberFormat="1" applyFont="1" applyFill="1" applyAlignment="1" applyProtection="1">
      <alignment horizontal="left" vertical="top"/>
    </xf>
    <xf numFmtId="0" fontId="23" fillId="10" borderId="0" xfId="2" applyNumberFormat="1" applyFont="1" applyFill="1" applyAlignment="1" applyProtection="1">
      <alignment vertical="top" wrapText="1"/>
    </xf>
    <xf numFmtId="0" fontId="52" fillId="4" borderId="0" xfId="2" applyNumberFormat="1" applyFont="1" applyFill="1" applyAlignment="1" applyProtection="1">
      <alignment horizontal="left" vertical="top" wrapText="1"/>
    </xf>
    <xf numFmtId="0" fontId="23" fillId="9" borderId="0" xfId="2" applyNumberFormat="1" applyFont="1" applyFill="1" applyAlignment="1" applyProtection="1">
      <alignment horizontal="left" vertical="top" wrapText="1"/>
    </xf>
    <xf numFmtId="14" fontId="60" fillId="10" borderId="0" xfId="2" applyNumberFormat="1" applyFont="1" applyFill="1" applyAlignment="1">
      <alignment horizontal="left" vertical="top"/>
    </xf>
    <xf numFmtId="0" fontId="60" fillId="10" borderId="0" xfId="2" applyFont="1" applyFill="1" applyAlignment="1">
      <alignment horizontal="left" vertical="top"/>
    </xf>
    <xf numFmtId="0" fontId="60" fillId="10" borderId="0" xfId="2" applyFont="1" applyFill="1" applyAlignment="1">
      <alignment vertical="top" wrapText="1"/>
    </xf>
    <xf numFmtId="0" fontId="62" fillId="4" borderId="0" xfId="2" applyFont="1" applyFill="1" applyAlignment="1">
      <alignment horizontal="left" vertical="top" wrapText="1"/>
    </xf>
    <xf numFmtId="0" fontId="60" fillId="9" borderId="0" xfId="2" applyFont="1" applyFill="1" applyAlignment="1">
      <alignment horizontal="left" vertical="top" wrapText="1"/>
    </xf>
    <xf numFmtId="0" fontId="23" fillId="9" borderId="0" xfId="2" applyFont="1" applyFill="1" applyBorder="1" applyAlignment="1">
      <alignment horizontal="left" vertical="top" wrapText="1"/>
    </xf>
    <xf numFmtId="170" fontId="23" fillId="9" borderId="22" xfId="0" applyNumberFormat="1" applyFont="1" applyFill="1" applyBorder="1" applyAlignment="1">
      <alignment horizontal="left" vertical="top"/>
    </xf>
    <xf numFmtId="1" fontId="23" fillId="10" borderId="22" xfId="3" applyNumberFormat="1" applyFont="1" applyFill="1" applyBorder="1" applyAlignment="1" applyProtection="1">
      <alignment horizontal="left" vertical="top"/>
    </xf>
    <xf numFmtId="0" fontId="23" fillId="10" borderId="63" xfId="0" applyFont="1" applyFill="1" applyBorder="1" applyAlignment="1">
      <alignment horizontal="center" vertical="top" wrapText="1"/>
    </xf>
    <xf numFmtId="0" fontId="22" fillId="4" borderId="65" xfId="0" applyFont="1" applyFill="1" applyBorder="1" applyAlignment="1">
      <alignment horizontal="left" vertical="top" wrapText="1"/>
    </xf>
    <xf numFmtId="0" fontId="23" fillId="9" borderId="62" xfId="0" applyFont="1" applyFill="1" applyBorder="1" applyAlignment="1">
      <alignment horizontal="left" vertical="top"/>
    </xf>
    <xf numFmtId="3" fontId="23" fillId="9" borderId="62" xfId="0" applyNumberFormat="1" applyFont="1" applyFill="1" applyBorder="1" applyAlignment="1">
      <alignment horizontal="left" vertical="top"/>
    </xf>
    <xf numFmtId="165" fontId="23" fillId="10" borderId="62" xfId="3" applyNumberFormat="1" applyFont="1" applyFill="1" applyBorder="1" applyAlignment="1" applyProtection="1">
      <alignment horizontal="left" vertical="top"/>
    </xf>
    <xf numFmtId="165" fontId="23" fillId="10" borderId="62" xfId="3" applyNumberFormat="1" applyFont="1" applyFill="1" applyBorder="1" applyAlignment="1" applyProtection="1">
      <alignment horizontal="left" vertical="top" wrapText="1"/>
    </xf>
    <xf numFmtId="49" fontId="23" fillId="10" borderId="62" xfId="3" applyNumberFormat="1" applyFont="1" applyFill="1" applyBorder="1" applyAlignment="1" applyProtection="1">
      <alignment horizontal="center" vertical="top"/>
    </xf>
    <xf numFmtId="15" fontId="23" fillId="10" borderId="62" xfId="3" applyNumberFormat="1" applyFont="1" applyFill="1" applyBorder="1" applyAlignment="1" applyProtection="1">
      <alignment horizontal="left" vertical="top"/>
    </xf>
    <xf numFmtId="165" fontId="23" fillId="10" borderId="22" xfId="19" applyNumberFormat="1" applyFont="1" applyFill="1" applyBorder="1" applyAlignment="1">
      <alignment horizontal="center" vertical="top"/>
    </xf>
    <xf numFmtId="165" fontId="23" fillId="10" borderId="64" xfId="3" applyNumberFormat="1" applyFont="1" applyFill="1" applyBorder="1" applyAlignment="1" applyProtection="1">
      <alignment horizontal="center" vertical="top"/>
    </xf>
    <xf numFmtId="0" fontId="22" fillId="4" borderId="22" xfId="0" applyFont="1" applyFill="1" applyBorder="1" applyAlignment="1">
      <alignment horizontal="left" vertical="top" wrapText="1"/>
    </xf>
    <xf numFmtId="165" fontId="22" fillId="4" borderId="65" xfId="0" applyNumberFormat="1" applyFont="1" applyFill="1" applyBorder="1" applyAlignment="1">
      <alignment horizontal="left" vertical="top" wrapText="1"/>
    </xf>
    <xf numFmtId="165" fontId="23" fillId="9" borderId="62" xfId="0" applyNumberFormat="1" applyFont="1" applyFill="1" applyBorder="1" applyAlignment="1">
      <alignment horizontal="left" vertical="top"/>
    </xf>
    <xf numFmtId="165" fontId="23" fillId="10" borderId="22" xfId="19" applyNumberFormat="1" applyFont="1" applyFill="1" applyBorder="1" applyAlignment="1">
      <alignment horizontal="left" vertical="top"/>
    </xf>
    <xf numFmtId="165" fontId="23" fillId="10" borderId="22" xfId="19" applyNumberFormat="1" applyFont="1" applyFill="1" applyBorder="1" applyAlignment="1">
      <alignment horizontal="left" vertical="top" wrapText="1"/>
    </xf>
    <xf numFmtId="49" fontId="23" fillId="10" borderId="22" xfId="19" applyNumberFormat="1" applyFont="1" applyFill="1" applyBorder="1" applyAlignment="1">
      <alignment horizontal="left" vertical="top"/>
    </xf>
    <xf numFmtId="0" fontId="23" fillId="9" borderId="62" xfId="0" applyFont="1" applyFill="1" applyBorder="1" applyAlignment="1">
      <alignment horizontal="center" vertical="top"/>
    </xf>
    <xf numFmtId="15" fontId="23" fillId="10" borderId="22" xfId="19" applyNumberFormat="1" applyFont="1" applyFill="1" applyBorder="1" applyAlignment="1">
      <alignment horizontal="left" vertical="top"/>
    </xf>
    <xf numFmtId="14" fontId="23" fillId="9" borderId="22" xfId="0" applyNumberFormat="1" applyFont="1" applyFill="1" applyBorder="1" applyAlignment="1">
      <alignment horizontal="left" vertical="top"/>
    </xf>
    <xf numFmtId="165" fontId="23" fillId="10" borderId="62" xfId="0" applyNumberFormat="1" applyFont="1" applyFill="1" applyBorder="1" applyAlignment="1">
      <alignment horizontal="left" vertical="top"/>
    </xf>
    <xf numFmtId="0" fontId="23" fillId="9" borderId="0" xfId="0" applyFont="1" applyFill="1" applyBorder="1" applyAlignment="1">
      <alignment horizontal="left" vertical="top"/>
    </xf>
    <xf numFmtId="0" fontId="0" fillId="0" borderId="24" xfId="0" applyBorder="1"/>
    <xf numFmtId="14" fontId="23" fillId="10" borderId="0" xfId="0" applyNumberFormat="1" applyFont="1" applyFill="1" applyBorder="1" applyAlignment="1">
      <alignment horizontal="left" vertical="top"/>
    </xf>
    <xf numFmtId="14" fontId="63" fillId="10" borderId="24" xfId="0" applyNumberFormat="1" applyFont="1" applyFill="1" applyBorder="1" applyAlignment="1">
      <alignment horizontal="left" vertical="top"/>
    </xf>
    <xf numFmtId="0" fontId="63" fillId="9" borderId="22" xfId="0" quotePrefix="1" applyFont="1" applyFill="1" applyBorder="1" applyAlignment="1">
      <alignment horizontal="left" vertical="top"/>
    </xf>
    <xf numFmtId="165" fontId="63" fillId="10" borderId="22" xfId="0" applyNumberFormat="1" applyFont="1" applyFill="1" applyBorder="1" applyAlignment="1">
      <alignment horizontal="left" vertical="top"/>
    </xf>
    <xf numFmtId="15" fontId="63" fillId="10" borderId="22" xfId="3" applyNumberFormat="1" applyFont="1" applyFill="1" applyBorder="1" applyAlignment="1">
      <alignment horizontal="left" vertical="top"/>
    </xf>
    <xf numFmtId="0" fontId="63" fillId="9" borderId="22" xfId="0" applyFont="1" applyFill="1" applyBorder="1" applyAlignment="1">
      <alignment horizontal="center" vertical="top"/>
    </xf>
    <xf numFmtId="49" fontId="63" fillId="10" borderId="22" xfId="3" applyNumberFormat="1" applyFont="1" applyFill="1" applyBorder="1" applyAlignment="1">
      <alignment horizontal="center" vertical="top"/>
    </xf>
    <xf numFmtId="3" fontId="63" fillId="9" borderId="22" xfId="0" applyNumberFormat="1" applyFont="1" applyFill="1" applyBorder="1" applyAlignment="1">
      <alignment horizontal="left" vertical="top"/>
    </xf>
    <xf numFmtId="165" fontId="63" fillId="10" borderId="22" xfId="3" applyNumberFormat="1" applyFont="1" applyFill="1" applyBorder="1" applyAlignment="1">
      <alignment horizontal="left" vertical="top" wrapText="1"/>
    </xf>
    <xf numFmtId="0" fontId="63" fillId="9" borderId="22" xfId="0" applyFont="1" applyFill="1" applyBorder="1" applyAlignment="1">
      <alignment horizontal="left" vertical="top"/>
    </xf>
    <xf numFmtId="165" fontId="63" fillId="10" borderId="22" xfId="3" applyNumberFormat="1" applyFont="1" applyFill="1" applyBorder="1" applyAlignment="1">
      <alignment horizontal="left" vertical="top"/>
    </xf>
    <xf numFmtId="165" fontId="63" fillId="9" borderId="22" xfId="0" applyNumberFormat="1" applyFont="1" applyFill="1" applyBorder="1" applyAlignment="1">
      <alignment horizontal="left" vertical="top"/>
    </xf>
    <xf numFmtId="0" fontId="64" fillId="4" borderId="65" xfId="0" applyFont="1" applyFill="1" applyBorder="1" applyAlignment="1">
      <alignment horizontal="left" vertical="top" wrapText="1"/>
    </xf>
    <xf numFmtId="165" fontId="63" fillId="10" borderId="22" xfId="3" applyNumberFormat="1" applyFont="1" applyFill="1" applyBorder="1" applyAlignment="1">
      <alignment horizontal="center" vertical="top"/>
    </xf>
    <xf numFmtId="0" fontId="63" fillId="10" borderId="23" xfId="0" applyFont="1" applyFill="1" applyBorder="1" applyAlignment="1">
      <alignment horizontal="center" vertical="top" wrapText="1"/>
    </xf>
    <xf numFmtId="0" fontId="63" fillId="9" borderId="62" xfId="0" applyFont="1" applyFill="1" applyBorder="1" applyAlignment="1">
      <alignment horizontal="left" vertical="top"/>
    </xf>
    <xf numFmtId="1" fontId="63" fillId="9" borderId="22" xfId="0" applyNumberFormat="1" applyFont="1" applyFill="1" applyBorder="1" applyAlignment="1">
      <alignment horizontal="left" vertical="top"/>
    </xf>
    <xf numFmtId="0" fontId="65" fillId="5" borderId="22" xfId="0" applyFont="1" applyFill="1" applyBorder="1" applyAlignment="1">
      <alignment horizontal="center" vertical="top" wrapText="1"/>
    </xf>
    <xf numFmtId="0" fontId="0" fillId="15" borderId="0" xfId="0" applyFill="1" applyAlignment="1">
      <alignment horizontal="left"/>
    </xf>
    <xf numFmtId="0" fontId="0" fillId="0" borderId="0" xfId="0" applyAlignment="1" applyProtection="1">
      <alignment horizontal="left"/>
      <protection locked="0"/>
    </xf>
    <xf numFmtId="0" fontId="52" fillId="4" borderId="0" xfId="2" applyFont="1" applyFill="1" applyAlignment="1">
      <alignment horizontal="left" vertical="top" wrapText="1"/>
    </xf>
    <xf numFmtId="0" fontId="39" fillId="5" borderId="21" xfId="0" applyFont="1" applyFill="1" applyBorder="1" applyAlignment="1">
      <alignment horizontal="center" vertical="center" wrapText="1"/>
    </xf>
    <xf numFmtId="0" fontId="39" fillId="5" borderId="10" xfId="0" applyFont="1" applyFill="1" applyBorder="1" applyAlignment="1">
      <alignment horizontal="center" vertical="center" wrapText="1"/>
    </xf>
    <xf numFmtId="0" fontId="39" fillId="5" borderId="19" xfId="0" applyFont="1" applyFill="1" applyBorder="1" applyAlignment="1">
      <alignment horizontal="center" vertical="center" wrapText="1"/>
    </xf>
    <xf numFmtId="0" fontId="1" fillId="9" borderId="50" xfId="0" applyFont="1" applyFill="1" applyBorder="1" applyAlignment="1">
      <alignment horizontal="left" vertical="top" wrapText="1"/>
    </xf>
    <xf numFmtId="0" fontId="1" fillId="9" borderId="51" xfId="0" applyFont="1" applyFill="1" applyBorder="1" applyAlignment="1">
      <alignment horizontal="left" vertical="top" wrapText="1"/>
    </xf>
    <xf numFmtId="0" fontId="23" fillId="10" borderId="23" xfId="2" applyFont="1" applyFill="1" applyBorder="1" applyAlignment="1">
      <alignment horizontal="left" vertical="top"/>
    </xf>
    <xf numFmtId="0" fontId="23" fillId="10" borderId="34" xfId="2" applyFont="1" applyFill="1" applyBorder="1" applyAlignment="1">
      <alignment horizontal="left" vertical="top"/>
    </xf>
    <xf numFmtId="0" fontId="16" fillId="3" borderId="58" xfId="2" applyFont="1" applyFill="1" applyBorder="1" applyAlignment="1">
      <alignment horizontal="left" vertical="center" wrapText="1"/>
    </xf>
    <xf numFmtId="0" fontId="16" fillId="3" borderId="59"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2" xfId="0" applyFont="1" applyFill="1" applyBorder="1" applyAlignment="1">
      <alignment horizontal="left" vertical="top" wrapText="1"/>
    </xf>
    <xf numFmtId="0" fontId="1" fillId="9" borderId="53" xfId="0" applyFont="1" applyFill="1" applyBorder="1" applyAlignment="1">
      <alignment horizontal="left" vertical="top" wrapText="1"/>
    </xf>
    <xf numFmtId="0" fontId="1" fillId="9" borderId="54" xfId="0" applyFont="1" applyFill="1" applyBorder="1" applyAlignment="1">
      <alignment horizontal="left" vertical="top" wrapText="1"/>
    </xf>
    <xf numFmtId="0" fontId="1" fillId="10" borderId="53" xfId="0" applyFont="1" applyFill="1" applyBorder="1" applyAlignment="1">
      <alignment horizontal="left" vertical="top"/>
    </xf>
    <xf numFmtId="0" fontId="23" fillId="10" borderId="60" xfId="2" applyFont="1" applyFill="1" applyBorder="1" applyAlignment="1">
      <alignment horizontal="left" vertical="top"/>
    </xf>
    <xf numFmtId="0" fontId="1" fillId="10" borderId="50" xfId="0" applyFont="1" applyFill="1" applyBorder="1" applyAlignment="1">
      <alignment horizontal="left" vertical="top"/>
    </xf>
    <xf numFmtId="0" fontId="50" fillId="10" borderId="44" xfId="2" applyFont="1" applyFill="1" applyBorder="1" applyAlignment="1">
      <alignment horizontal="center" vertical="center"/>
    </xf>
    <xf numFmtId="0" fontId="50" fillId="10" borderId="22" xfId="2" applyFont="1" applyFill="1" applyBorder="1" applyAlignment="1">
      <alignment horizontal="center" vertical="center"/>
    </xf>
    <xf numFmtId="0" fontId="50" fillId="10" borderId="45" xfId="2" applyFont="1" applyFill="1" applyBorder="1" applyAlignment="1">
      <alignment horizontal="center" vertical="center"/>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6" fillId="3" borderId="7" xfId="2" applyFont="1" applyFill="1" applyBorder="1" applyAlignment="1">
      <alignment horizontal="left" vertical="center"/>
    </xf>
    <xf numFmtId="0" fontId="16" fillId="3" borderId="0" xfId="2" applyFont="1" applyFill="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4" fillId="13" borderId="20" xfId="0" applyFont="1" applyFill="1" applyBorder="1" applyAlignment="1">
      <alignment horizontal="center" vertical="center" wrapText="1"/>
    </xf>
    <xf numFmtId="0" fontId="34" fillId="13" borderId="8" xfId="0" applyFont="1" applyFill="1" applyBorder="1" applyAlignment="1">
      <alignment horizontal="center" vertical="center" wrapText="1"/>
    </xf>
    <xf numFmtId="0" fontId="46" fillId="4" borderId="21" xfId="0" applyFont="1" applyFill="1" applyBorder="1" applyAlignment="1">
      <alignment horizontal="center" vertical="center" textRotation="90" wrapText="1"/>
    </xf>
    <xf numFmtId="0" fontId="48" fillId="4" borderId="7" xfId="0" applyFont="1" applyFill="1" applyBorder="1" applyAlignment="1">
      <alignment horizontal="center" vertical="center" textRotation="90" wrapText="1"/>
    </xf>
    <xf numFmtId="0" fontId="48"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52" fillId="4" borderId="30" xfId="2" applyFont="1" applyFill="1" applyBorder="1" applyAlignment="1">
      <alignment horizontal="left" vertical="top" wrapText="1"/>
    </xf>
    <xf numFmtId="0" fontId="52" fillId="4" borderId="0" xfId="2" applyFont="1" applyFill="1" applyAlignment="1">
      <alignment horizontal="left" vertical="top" wrapText="1"/>
    </xf>
    <xf numFmtId="0" fontId="52" fillId="4" borderId="55" xfId="2" applyFont="1" applyFill="1" applyBorder="1" applyAlignment="1">
      <alignment horizontal="left" vertical="top" wrapText="1"/>
    </xf>
    <xf numFmtId="0" fontId="52" fillId="4" borderId="56" xfId="2" applyFont="1" applyFill="1" applyBorder="1" applyAlignment="1">
      <alignment horizontal="left" vertical="top" wrapText="1"/>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27"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8" fillId="9" borderId="13" xfId="2" applyFont="1" applyFill="1" applyBorder="1" applyAlignment="1">
      <alignment horizontal="left" vertical="top" wrapText="1"/>
    </xf>
    <xf numFmtId="0" fontId="52" fillId="4" borderId="29" xfId="2" applyFont="1" applyFill="1" applyBorder="1" applyAlignment="1">
      <alignment horizontal="left" vertical="top" wrapText="1"/>
    </xf>
    <xf numFmtId="0" fontId="52" fillId="4" borderId="49" xfId="2" applyFont="1" applyFill="1" applyBorder="1" applyAlignment="1">
      <alignment horizontal="left" vertical="top" wrapTex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16" fillId="3" borderId="28" xfId="2" applyFont="1" applyFill="1" applyBorder="1" applyAlignment="1">
      <alignment horizontal="left" vertical="center" wrapText="1"/>
    </xf>
    <xf numFmtId="0" fontId="16" fillId="3" borderId="48" xfId="2" applyFont="1" applyFill="1" applyBorder="1" applyAlignment="1">
      <alignment horizontal="left" vertical="center" wrapText="1"/>
    </xf>
    <xf numFmtId="0" fontId="28" fillId="15" borderId="0" xfId="2" applyFont="1" applyFill="1" applyAlignment="1">
      <alignment horizontal="left" vertical="center" wrapText="1"/>
    </xf>
    <xf numFmtId="0" fontId="29" fillId="15" borderId="0" xfId="2" applyFont="1" applyFill="1" applyAlignment="1">
      <alignment horizontal="left" vertical="center" wrapText="1"/>
    </xf>
  </cellXfs>
  <cellStyles count="21">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3" xfId="7" xr:uid="{D373DD56-A953-459F-A067-A8C953B2819A}"/>
    <cellStyle name="Comma 4" xfId="20" xr:uid="{0CB17E96-FBBA-445D-8BDF-E1C486905D2A}"/>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1965">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font>
        <strike val="0"/>
        <outline val="0"/>
        <shadow val="0"/>
        <u val="none"/>
        <vertAlign val="baseline"/>
        <sz val="8"/>
        <color rgb="FF000000"/>
        <name val="Arial"/>
        <family val="2"/>
        <scheme val="none"/>
      </font>
      <numFmt numFmtId="169" formatCode="d/mm/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6" formatCode="0_ ;\-0\ "/>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7" formatCode="mmm\ 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FFFFFF"/>
        <name val="Arial"/>
        <family val="2"/>
        <scheme val="none"/>
      </font>
      <numFmt numFmtId="165" formatCode="_-* #,##0.0_-;\-* #,##0.0_-;_-* &quot;-&quot;??_-;_-@_-"/>
      <fill>
        <patternFill patternType="solid">
          <fgColor indexed="64"/>
          <bgColor rgb="FF948671"/>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style="medium">
          <color rgb="FFFFFFFF"/>
        </top>
        <bottom style="medium">
          <color rgb="FFFFFFFF"/>
        </bottom>
      </border>
    </dxf>
    <dxf>
      <font>
        <sz val="8"/>
        <color rgb="FF000000"/>
        <name val="Arial"/>
        <family val="2"/>
        <scheme val="none"/>
      </font>
      <fill>
        <patternFill patternType="solid">
          <fgColor rgb="FF000000"/>
          <bgColor rgb="FFE7E3DC"/>
        </patternFill>
      </fill>
      <alignment horizontal="center" vertical="top" textRotation="0" wrapText="0" indent="0" justifyLastLine="0" shrinkToFit="0" readingOrder="0"/>
      <protection locked="1" hidden="0"/>
    </dxf>
    <dxf>
      <font>
        <strike val="0"/>
        <outline val="0"/>
        <shadow val="0"/>
        <u val="none"/>
        <vertAlign val="baseline"/>
        <sz val="10"/>
        <color theme="1"/>
        <name val="Calibri"/>
        <family val="2"/>
        <scheme val="minor"/>
      </font>
      <alignment horizontal="center" vertical="top" textRotation="0" wrapText="1" indent="0" justifyLastLine="0" shrinkToFit="0" readingOrder="0"/>
      <border diagonalUp="0" diagonalDown="0">
        <left style="thin">
          <color theme="0"/>
        </left>
        <right style="thin">
          <color theme="0"/>
        </right>
        <top/>
        <bottom/>
        <vertical style="thin">
          <color theme="0"/>
        </vertical>
        <horizontal/>
      </border>
      <protection locked="1" hidden="0"/>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b/>
        <i val="0"/>
      </font>
    </dxf>
    <dxf>
      <border>
        <top style="thin">
          <color theme="0" tint="-0.499984740745262"/>
        </top>
        <vertical/>
        <horizontal/>
      </border>
    </dxf>
    <dxf>
      <font>
        <color theme="0" tint="-0.24994659260841701"/>
      </font>
      <border>
        <top/>
        <vertical/>
        <horizontal/>
      </border>
    </dxf>
    <dxf>
      <border>
        <top style="thin">
          <color theme="0" tint="-0.24994659260841701"/>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b/>
        <i val="0"/>
      </font>
    </dxf>
    <dxf>
      <font>
        <color theme="0" tint="-0.24994659260841701"/>
      </font>
      <border>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vertical/>
        <horizontal/>
      </border>
    </dxf>
    <dxf>
      <border>
        <top style="thin">
          <color theme="0" tint="-0.499984740745262"/>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b/>
        <i val="0"/>
      </font>
    </dxf>
    <dxf>
      <border>
        <top style="thin">
          <color theme="0" tint="-0.499984740745262"/>
        </top>
        <vertical/>
        <horizontal/>
      </border>
    </dxf>
    <dxf>
      <font>
        <color theme="0" tint="-0.24994659260841701"/>
      </font>
      <border>
        <top/>
        <vertical/>
        <horizontal/>
      </border>
    </dxf>
    <dxf>
      <border>
        <top style="thin">
          <color theme="0" tint="-0.24994659260841701"/>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b/>
        <i val="0"/>
      </font>
    </dxf>
    <dxf>
      <font>
        <color theme="0" tint="-0.24994659260841701"/>
      </font>
      <border>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b/>
        <i val="0"/>
      </font>
    </dxf>
    <dxf>
      <font>
        <color theme="0" tint="-0.24994659260841701"/>
      </font>
      <border>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color theme="0" tint="-0.24994659260841701"/>
      </font>
      <border>
        <top/>
      </border>
    </dxf>
    <dxf>
      <font>
        <color auto="1"/>
      </font>
      <border>
        <top style="thin">
          <color theme="0" tint="-0.24994659260841701"/>
        </top>
      </border>
    </dxf>
    <dxf>
      <border>
        <top/>
        <vertical/>
        <horizontal/>
      </border>
    </dxf>
    <dxf>
      <border>
        <top style="thin">
          <color theme="0" tint="-0.499984740745262"/>
        </top>
        <vertical/>
        <horizontal/>
      </border>
    </dxf>
    <dxf>
      <font>
        <color theme="0" tint="-0.24994659260841701"/>
      </font>
      <border>
        <top/>
        <vertical/>
        <horizontal/>
      </border>
    </dxf>
    <dxf>
      <border>
        <top style="thin">
          <color theme="0" tint="-0.24994659260841701"/>
        </top>
        <vertical/>
        <horizontal/>
      </border>
    </dxf>
    <dxf>
      <font>
        <color rgb="FF006600"/>
      </font>
    </dxf>
    <dxf>
      <numFmt numFmtId="1" formatCode="0"/>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style="thin">
          <color theme="0" tint="-0.499984740745262"/>
        </top>
        <vertical/>
        <horizontal/>
      </border>
    </dxf>
    <dxf>
      <font>
        <color rgb="FF006600"/>
      </font>
    </dxf>
    <dxf>
      <border>
        <top style="thin">
          <color theme="0" tint="-0.499984740745262"/>
        </top>
        <vertical/>
        <horizontal/>
      </border>
    </dxf>
    <dxf>
      <font>
        <color rgb="FF006600"/>
      </font>
    </dxf>
    <dxf>
      <border>
        <top style="thin">
          <color theme="0" tint="-0.499984740745262"/>
        </top>
        <vertical/>
        <horizontal/>
      </border>
    </dxf>
    <dxf>
      <font>
        <color rgb="FF006600"/>
      </font>
    </dxf>
    <dxf>
      <border>
        <top style="thin">
          <color theme="0" tint="-0.499984740745262"/>
        </top>
        <vertical/>
        <horizontal/>
      </border>
    </dxf>
    <dxf>
      <font>
        <color rgb="FF006600"/>
      </font>
    </dxf>
    <dxf>
      <border>
        <top style="thin">
          <color theme="0" tint="-0.499984740745262"/>
        </top>
        <vertical/>
        <horizontal/>
      </border>
    </dxf>
    <dxf>
      <font>
        <color rgb="FF006600"/>
      </font>
    </dxf>
    <dxf>
      <border>
        <top style="thin">
          <color theme="0" tint="-0.499984740745262"/>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b/>
        <i val="0"/>
      </font>
    </dxf>
    <dxf>
      <border>
        <top style="thin">
          <color theme="0" tint="-0.499984740745262"/>
        </top>
        <vertical/>
        <horizontal/>
      </border>
    </dxf>
    <dxf>
      <font>
        <color theme="0" tint="-0.24994659260841701"/>
      </font>
      <border>
        <top/>
        <vertical/>
        <horizontal/>
      </border>
    </dxf>
    <dxf>
      <border>
        <top style="thin">
          <color theme="0" tint="-0.24994659260841701"/>
        </top>
        <vertical/>
        <horizontal/>
      </border>
    </dxf>
    <dxf>
      <font>
        <color rgb="FF006600"/>
      </font>
    </dxf>
    <dxf>
      <font>
        <color theme="1" tint="0.499984740745262"/>
      </font>
    </dxf>
    <dxf>
      <numFmt numFmtId="1" formatCode="0"/>
    </dxf>
    <dxf>
      <fill>
        <patternFill>
          <bgColor theme="0" tint="-0.14996795556505021"/>
        </patternFill>
      </fill>
    </dxf>
    <dxf>
      <border>
        <top style="thin">
          <color theme="0" tint="-0.499984740745262"/>
        </top>
        <vertical/>
        <horizontal/>
      </border>
    </dxf>
    <dxf>
      <border>
        <top style="thin">
          <color theme="0" tint="-0.24994659260841701"/>
        </top>
        <vertical/>
        <horizontal/>
      </border>
    </dxf>
    <dxf>
      <font>
        <b val="0"/>
        <i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top/>
        <bottom/>
      </border>
      <protection locked="1" hidden="0"/>
    </dxf>
    <dxf>
      <font>
        <b val="0"/>
        <i val="0"/>
        <strike val="0"/>
        <condense val="0"/>
        <extend val="0"/>
        <outline val="0"/>
        <shadow val="0"/>
        <u val="none"/>
        <vertAlign val="baseline"/>
        <sz val="8"/>
        <color rgb="FF000000"/>
        <name val="Arial"/>
        <family val="2"/>
        <scheme val="none"/>
      </font>
      <numFmt numFmtId="167" formatCode="mmm\ yyyy"/>
      <fill>
        <patternFill patternType="solid">
          <fgColor indexed="64"/>
          <bgColor rgb="FFE7E3DC"/>
        </patternFill>
      </fill>
      <alignment horizontal="left" vertical="top" textRotation="0" wrapText="0" indent="0" justifyLastLine="0" shrinkToFit="0" readingOrder="0"/>
      <border diagonalUp="0" diagonalDown="0">
        <left style="thin">
          <color theme="0"/>
        </left>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none">
          <fgColor indexed="64"/>
          <bgColor indexed="65"/>
        </patternFill>
      </fill>
      <alignment horizontal="left" vertical="top" textRotation="0" wrapText="0" indent="0" justifyLastLine="0" shrinkToFit="0" readingOrder="0"/>
      <border diagonalUp="0" diagonalDown="0">
        <left style="thin">
          <color theme="0"/>
        </left>
        <right style="thin">
          <color theme="0"/>
        </right>
        <top/>
        <bottom/>
      </border>
      <protection locked="0"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30" formatCode="@"/>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 formatCode="#,##0"/>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FFFFFF"/>
        <name val="Arial"/>
        <family val="2"/>
        <scheme val="none"/>
      </font>
      <numFmt numFmtId="165" formatCode="_-* #,##0.0_-;\-* #,##0.0_-;_-* &quot;-&quot;??_-;_-@_-"/>
      <fill>
        <patternFill patternType="solid">
          <fgColor indexed="64"/>
          <bgColor rgb="FF948671"/>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center" vertical="top" textRotation="0" wrapText="1"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ill>
        <patternFill>
          <bgColor rgb="FFFFD5D5"/>
        </patternFill>
      </fill>
    </dxf>
    <dxf>
      <font>
        <color theme="0" tint="-0.24994659260841701"/>
      </font>
      <border>
        <top/>
        <vertical/>
        <horizontal/>
      </border>
    </dxf>
    <dxf>
      <border>
        <top style="thin">
          <color theme="0" tint="-0.499984740745262"/>
        </top>
        <vertical/>
        <horizontal/>
      </border>
    </dxf>
    <dxf>
      <fill>
        <patternFill>
          <bgColor rgb="FFFFFFCC"/>
        </patternFill>
      </fill>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1"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ill>
        <patternFill>
          <bgColor rgb="FFFFFFCC"/>
        </patternFill>
      </fill>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1"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1"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1"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ill>
        <patternFill>
          <bgColor rgb="FFFFFFCC"/>
        </patternFill>
      </fill>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border>
        <top style="thin">
          <color theme="0" tint="-0.499984740745262"/>
        </top>
        <vertical/>
        <horizontal/>
      </border>
    </dxf>
    <dxf>
      <fill>
        <patternFill>
          <bgColor rgb="FFFFFFCC"/>
        </patternFill>
      </fill>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border>
        <top style="thin">
          <color theme="0" tint="-0.499984740745262"/>
        </top>
        <vertical/>
        <horizontal/>
      </border>
    </dxf>
    <dxf>
      <fill>
        <patternFill>
          <bgColor rgb="FFFFFFCC"/>
        </patternFill>
      </fill>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border>
        <top style="thin">
          <color theme="0" tint="-0.499984740745262"/>
        </top>
        <vertical/>
        <horizontal/>
      </border>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border>
        <top style="thin">
          <color theme="0" tint="-0.499984740745262"/>
        </top>
        <vertical/>
        <horizontal/>
      </border>
    </dxf>
    <dxf>
      <fill>
        <patternFill>
          <bgColor rgb="FFFFFFCC"/>
        </patternFill>
      </fill>
    </dxf>
    <dxf>
      <fill>
        <patternFill>
          <bgColor rgb="FFFFFFCC"/>
        </patternFill>
      </fill>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1"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numFmt numFmtId="3" formatCode="#,##0"/>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theme="0"/>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border diagonalUp="0" diagonalDown="0">
        <left style="medium">
          <color theme="0"/>
        </left>
        <right style="medium">
          <color theme="0"/>
        </right>
        <top style="medium">
          <color theme="0"/>
        </top>
        <bottom style="medium">
          <color theme="0"/>
        </bottom>
      </border>
    </dxf>
    <dxf>
      <border>
        <bottom style="medium">
          <color theme="0"/>
        </bottom>
      </border>
    </dxf>
    <dxf>
      <font>
        <b/>
        <strike val="0"/>
        <outline val="0"/>
        <shadow val="0"/>
        <u val="none"/>
        <vertAlign val="baseline"/>
        <sz val="9"/>
        <color theme="1"/>
        <name val="Arial"/>
        <family val="2"/>
        <scheme val="none"/>
      </font>
      <fill>
        <patternFill patternType="solid">
          <fgColor indexed="64"/>
          <bgColor rgb="FFFFC222"/>
        </patternFill>
      </fill>
      <alignment horizontal="left" vertical="top" textRotation="0" wrapText="1" indent="0" justifyLastLine="0" shrinkToFit="0" readingOrder="0"/>
      <border diagonalUp="0" diagonalDown="0">
        <left style="thin">
          <color theme="0"/>
        </left>
        <right style="thin">
          <color theme="0"/>
        </right>
        <vertical style="thin">
          <color theme="0"/>
        </vertical>
      </border>
      <protection locked="1" hidden="0"/>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font>
        <color theme="0" tint="-0.24994659260841701"/>
      </font>
      <border>
        <top/>
      </border>
    </dxf>
    <dxf>
      <font>
        <color theme="0" tint="-0.24994659260841701"/>
      </font>
    </dxf>
    <dxf>
      <font>
        <b/>
        <i val="0"/>
      </font>
      <border>
        <vertical/>
        <horizontal/>
      </border>
    </dxf>
    <dxf>
      <border>
        <top style="thin">
          <color theme="0" tint="-0.24994659260841701"/>
        </top>
        <vertical/>
        <horizontal/>
      </border>
    </dxf>
    <dxf>
      <font>
        <b/>
        <i val="0"/>
      </font>
    </dxf>
    <dxf>
      <font>
        <color theme="0" tint="-0.24994659260841701"/>
      </font>
      <border>
        <top/>
      </border>
    </dxf>
    <dxf>
      <border>
        <top style="thin">
          <color auto="1"/>
        </top>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font>
        <color theme="0" tint="-0.24994659260841701"/>
      </font>
      <border>
        <top/>
      </border>
    </dxf>
    <dxf>
      <font>
        <color theme="0" tint="-0.24994659260841701"/>
      </font>
    </dxf>
    <dxf>
      <font>
        <b/>
        <i val="0"/>
      </font>
      <border>
        <vertical/>
        <horizontal/>
      </border>
    </dxf>
    <dxf>
      <border>
        <top style="thin">
          <color theme="0" tint="-0.24994659260841701"/>
        </top>
        <vertical/>
        <horizontal/>
      </border>
    </dxf>
    <dxf>
      <font>
        <b/>
        <i val="0"/>
      </font>
    </dxf>
    <dxf>
      <font>
        <color theme="0" tint="-0.24994659260841701"/>
      </font>
      <border>
        <top/>
      </border>
    </dxf>
    <dxf>
      <border>
        <top style="thin">
          <color auto="1"/>
        </top>
        <vertical/>
        <horizontal/>
      </border>
    </dxf>
    <dxf>
      <border>
        <top style="thin">
          <color theme="0" tint="-0.24994659260841701"/>
        </top>
        <vertical/>
        <horizontal/>
      </border>
    </dxf>
    <dxf>
      <font>
        <color rgb="FF006600"/>
      </font>
    </dxf>
    <dxf>
      <border>
        <top style="thin">
          <color auto="1"/>
        </top>
        <vertical/>
        <horizontal/>
      </border>
    </dxf>
    <dxf>
      <border>
        <top style="thin">
          <color theme="0" tint="-0.24994659260841701"/>
        </top>
        <vertical/>
        <horizontal/>
      </border>
    </dxf>
    <dxf>
      <font>
        <color rgb="FF006600"/>
      </font>
    </dxf>
    <dxf>
      <border>
        <top style="thin">
          <color theme="0" tint="-0.24994659260841701"/>
        </top>
        <vertical/>
        <horizontal/>
      </border>
    </dxf>
    <dxf>
      <font>
        <b/>
        <i val="0"/>
      </font>
    </dxf>
    <dxf>
      <border>
        <top style="thin">
          <color auto="1"/>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font>
        <color theme="0" tint="-0.24994659260841701"/>
      </font>
      <border>
        <top/>
        <vertical/>
        <horizontal/>
      </border>
    </dxf>
    <dxf>
      <font>
        <color rgb="FF006600"/>
      </font>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color theme="0" tint="-0.24994659260841701"/>
      </font>
      <border>
        <top/>
      </border>
    </dxf>
    <dxf>
      <border>
        <top style="thin">
          <color auto="1"/>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font>
        <color theme="0" tint="-0.24994659260841701"/>
      </font>
      <border>
        <top/>
        <vertical/>
        <horizontal/>
      </border>
    </dxf>
    <dxf>
      <font>
        <color rgb="FF006600"/>
      </font>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color theme="0" tint="-0.24994659260841701"/>
      </font>
      <border>
        <top/>
      </border>
    </dxf>
    <dxf>
      <border>
        <top style="thin">
          <color auto="1"/>
        </top>
        <vertical/>
        <horizontal/>
      </border>
    </dxf>
    <dxf>
      <font>
        <color theme="0" tint="-0.24994659260841701"/>
      </font>
      <border>
        <top/>
      </border>
    </dxf>
    <dxf>
      <font>
        <color auto="1"/>
      </font>
      <border>
        <top style="thin">
          <color theme="0" tint="-0.24994659260841701"/>
        </top>
      </border>
    </dxf>
    <dxf>
      <border>
        <top style="thin">
          <color theme="0" tint="-0.499984740745262"/>
        </top>
        <vertical/>
        <horizontal/>
      </border>
    </dxf>
    <dxf>
      <font>
        <color theme="0" tint="-0.24994659260841701"/>
      </font>
      <border>
        <top/>
        <vertical/>
        <horizontal/>
      </border>
    </dxf>
    <dxf>
      <font>
        <color rgb="FF006600"/>
      </font>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b/>
        <i val="0"/>
      </font>
    </dxf>
    <dxf>
      <font>
        <color theme="0" tint="-0.24994659260841701"/>
      </font>
      <border>
        <top/>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b/>
        <i val="0"/>
      </font>
    </dxf>
    <dxf>
      <font>
        <color theme="0" tint="-0.24994659260841701"/>
      </font>
      <border>
        <top/>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b/>
        <i val="0"/>
      </font>
    </dxf>
    <dxf>
      <font>
        <color theme="0" tint="-0.24994659260841701"/>
      </font>
      <border>
        <top/>
      </border>
    </dxf>
    <dxf>
      <border>
        <top style="thin">
          <color auto="1"/>
        </top>
        <vertical/>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1964"/>
      <tableStyleElement type="headerRow" dxfId="1963"/>
    </tableStyle>
    <tableStyle name="ReportNote" pivot="0" count="2" xr9:uid="{BFEE8439-B524-418A-8FDA-700D9052D6A1}">
      <tableStyleElement type="wholeTable" dxfId="1962"/>
      <tableStyleElement type="headerRow" dxfId="1961"/>
    </tableStyle>
  </tableStyles>
  <colors>
    <mruColors>
      <color rgb="FF00FFFF"/>
      <color rgb="FFFF00FF"/>
      <color rgb="FF00FF00"/>
      <color rgb="FFFFFFFF"/>
      <color rgb="FFFFFFCC"/>
      <color rgb="FF0000FF"/>
      <color rgb="FFE7E3DC"/>
      <color rgb="FFF47321"/>
      <color rgb="FFF9F8F6"/>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18321</c:v>
                </c:pt>
                <c:pt idx="1">
                  <c:v>2805.0659999999998</c:v>
                </c:pt>
                <c:pt idx="2">
                  <c:v>6844.9930000000004</c:v>
                </c:pt>
                <c:pt idx="3">
                  <c:v>1893.501</c:v>
                </c:pt>
                <c:pt idx="4">
                  <c:v>5896.5543000000025</c:v>
                </c:pt>
                <c:pt idx="5">
                  <c:v>9728.5829999999987</c:v>
                </c:pt>
                <c:pt idx="6">
                  <c:v>7992.1390000000001</c:v>
                </c:pt>
                <c:pt idx="7">
                  <c:v>610.22500000000014</c:v>
                </c:pt>
                <c:pt idx="8">
                  <c:v>619.55999999999995</c:v>
                </c:pt>
                <c:pt idx="9">
                  <c:v>222.821</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4380</c:v>
                </c:pt>
                <c:pt idx="1">
                  <c:v>180</c:v>
                </c:pt>
                <c:pt idx="2">
                  <c:v>0</c:v>
                </c:pt>
                <c:pt idx="3">
                  <c:v>120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1070</c:v>
                </c:pt>
                <c:pt idx="3">
                  <c:v>0</c:v>
                </c:pt>
                <c:pt idx="4">
                  <c:v>3547.5549999999998</c:v>
                </c:pt>
                <c:pt idx="5">
                  <c:v>1546.1890000000001</c:v>
                </c:pt>
                <c:pt idx="6">
                  <c:v>2290</c:v>
                </c:pt>
                <c:pt idx="7">
                  <c:v>0</c:v>
                </c:pt>
                <c:pt idx="8">
                  <c:v>139.5</c:v>
                </c:pt>
                <c:pt idx="9">
                  <c:v>0</c:v>
                </c:pt>
              </c:numCache>
            </c:numRef>
          </c:val>
          <c:extLst>
            <c:ext xmlns:c16="http://schemas.microsoft.com/office/drawing/2014/chart" uri="{C3380CC4-5D6E-409C-BE32-E72D297353CC}">
              <c16:uniqueId val="{00000002-0331-433F-8F72-E0FAE295D3D5}"/>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0</c:v>
                </c:pt>
                <c:pt idx="1">
                  <c:v>0</c:v>
                </c:pt>
                <c:pt idx="2">
                  <c:v>123.1</c:v>
                </c:pt>
                <c:pt idx="3">
                  <c:v>0</c:v>
                </c:pt>
                <c:pt idx="4">
                  <c:v>850.4</c:v>
                </c:pt>
                <c:pt idx="5">
                  <c:v>1183.5</c:v>
                </c:pt>
                <c:pt idx="6">
                  <c:v>0</c:v>
                </c:pt>
                <c:pt idx="7">
                  <c:v>0</c:v>
                </c:pt>
                <c:pt idx="8">
                  <c:v>1207.5</c:v>
                </c:pt>
                <c:pt idx="9">
                  <c:v>0</c:v>
                </c:pt>
              </c:numCache>
            </c:numRef>
          </c:val>
          <c:extLst>
            <c:ext xmlns:c16="http://schemas.microsoft.com/office/drawing/2014/chart" uri="{C3380CC4-5D6E-409C-BE32-E72D297353CC}">
              <c16:uniqueId val="{00000003-0B23-4DE7-950E-51EC1EAC85A1}"/>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990</c:v>
                </c:pt>
                <c:pt idx="1">
                  <c:v>207</c:v>
                </c:pt>
                <c:pt idx="2">
                  <c:v>4471.8500000000004</c:v>
                </c:pt>
                <c:pt idx="3">
                  <c:v>1957.0049999999999</c:v>
                </c:pt>
                <c:pt idx="4">
                  <c:v>38685.42300000001</c:v>
                </c:pt>
                <c:pt idx="5">
                  <c:v>73897.843000000008</c:v>
                </c:pt>
                <c:pt idx="6">
                  <c:v>11377</c:v>
                </c:pt>
                <c:pt idx="7">
                  <c:v>342.2</c:v>
                </c:pt>
                <c:pt idx="8">
                  <c:v>32217.95</c:v>
                </c:pt>
                <c:pt idx="9">
                  <c:v>886.8</c:v>
                </c:pt>
              </c:numCache>
            </c:numRef>
          </c:val>
          <c:extLst>
            <c:ext xmlns:c16="http://schemas.microsoft.com/office/drawing/2014/chart" uri="{C3380CC4-5D6E-409C-BE32-E72D297353CC}">
              <c16:uniqueId val="{00000003-0331-433F-8F72-E0FAE295D3D5}"/>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65</c:v>
                </c:pt>
                <c:pt idx="1">
                  <c:v>0</c:v>
                </c:pt>
                <c:pt idx="2">
                  <c:v>165</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500</c:v>
                </c:pt>
                <c:pt idx="1">
                  <c:v>0</c:v>
                </c:pt>
                <c:pt idx="2">
                  <c:v>361.2</c:v>
                </c:pt>
                <c:pt idx="3">
                  <c:v>153.143</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sai/OneDrive%20-%20Australian%20Energy%20Market%20Operator/KCI/TNSP%20submissions/TransGrid%20KCI%20datafile%20compiled%20NEM2021061616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sai/OneDrive%20-%20Australian%20Energy%20Market%20Operator/KCI/TNSP%20submissions/TasNetworks%20KCI%20datafile%20compiled%20NEM2021062112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Notes"/>
      <sheetName val="CE Example"/>
      <sheetName val="CE Example Data Entry"/>
      <sheetName val="Data Entry"/>
      <sheetName val="Data Entry Lookup Tables"/>
    </sheetNames>
    <sheetDataSet>
      <sheetData sheetId="0" refreshError="1"/>
      <sheetData sheetId="1" refreshError="1"/>
      <sheetData sheetId="2" refreshError="1"/>
      <sheetData sheetId="3" refreshError="1"/>
      <sheetData sheetId="4">
        <row r="3">
          <cell r="B3" t="str">
            <v>New connection enquiry (NER 5.3)</v>
          </cell>
          <cell r="C3" t="str">
            <v>Active</v>
          </cell>
        </row>
        <row r="4">
          <cell r="B4" t="str">
            <v>New application to connect (NER 5.3)</v>
          </cell>
          <cell r="C4" t="str">
            <v>On-Hold</v>
          </cell>
        </row>
        <row r="5">
          <cell r="B5" t="str">
            <v>Material change to connection enquiry (NER 5.3.8(d1))</v>
          </cell>
          <cell r="C5" t="str">
            <v>Withdrawn</v>
          </cell>
        </row>
        <row r="6">
          <cell r="B6" t="str">
            <v>Material change to application to connect (NER 5.3.8(e))</v>
          </cell>
          <cell r="C6" t="str">
            <v>Complete</v>
          </cell>
        </row>
        <row r="7">
          <cell r="B7" t="str">
            <v>Non-material changes to connection enquiry (NER 5.3.8(d1)) only</v>
          </cell>
        </row>
        <row r="8">
          <cell r="B8" t="str">
            <v>Non-material changes to application to connect (NER 5.3.8(e)) only</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Notes"/>
      <sheetName val="CE Example"/>
      <sheetName val="CE Example Data Entry"/>
      <sheetName val="Data Entry"/>
      <sheetName val="Data Entry Lookup Tables"/>
    </sheetNames>
    <sheetDataSet>
      <sheetData sheetId="0" refreshError="1"/>
      <sheetData sheetId="1" refreshError="1"/>
      <sheetData sheetId="2" refreshError="1"/>
      <sheetData sheetId="3" refreshError="1"/>
      <sheetData sheetId="4">
        <row r="3">
          <cell r="E3" t="str">
            <v>Synchronous</v>
          </cell>
          <cell r="F3" t="str">
            <v>Hydro</v>
          </cell>
          <cell r="O3" t="str">
            <v>Not applicable</v>
          </cell>
        </row>
        <row r="4">
          <cell r="E4" t="str">
            <v>Asynchronous</v>
          </cell>
          <cell r="F4" t="str">
            <v>Reciprocating Engine</v>
          </cell>
          <cell r="O4" t="str">
            <v>Not provided</v>
          </cell>
        </row>
        <row r="5">
          <cell r="F5" t="str">
            <v>Solar PV</v>
          </cell>
        </row>
        <row r="6">
          <cell r="F6" t="str">
            <v>Solar Thermal</v>
          </cell>
        </row>
        <row r="7">
          <cell r="F7" t="str">
            <v>Storage</v>
          </cell>
        </row>
        <row r="8">
          <cell r="F8" t="str">
            <v>Turbine</v>
          </cell>
        </row>
        <row r="9">
          <cell r="F9" t="str">
            <v>Wind Turbine</v>
          </cell>
        </row>
        <row r="10">
          <cell r="F10" t="str">
            <v>Other</v>
          </cell>
        </row>
        <row r="11">
          <cell r="F11" t="str">
            <v>Not applicable</v>
          </cell>
        </row>
        <row r="12">
          <cell r="F12" t="str">
            <v>Not provided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AAA6B65-C88F-4FD0-B8E3-21602D6A25BB}" name="ChangeLogNotes" displayName="ChangeLogNotes" ref="A5:H687" totalsRowShown="0" headerRowDxfId="1769" headerRowBorderDxfId="1768" tableBorderDxfId="1767" headerRowCellStyle="Normal 2 2">
  <autoFilter ref="A5:H687" xr:uid="{CAAA6B65-C88F-4FD0-B8E3-21602D6A25BB}"/>
  <sortState xmlns:xlrd2="http://schemas.microsoft.com/office/spreadsheetml/2017/richdata2" ref="A6:H687">
    <sortCondition descending="1" ref="A6:A687"/>
    <sortCondition ref="B6:B687"/>
    <sortCondition ref="D6:D687"/>
    <sortCondition ref="F6:F687"/>
    <sortCondition descending="1" ref="H6:H687"/>
  </sortState>
  <tableColumns count="8">
    <tableColumn id="1" xr3:uid="{453551ED-0547-429C-8B7D-146C1DD14BF8}" name="Publication Date" dataDxfId="1766" dataCellStyle="Normal 2 2"/>
    <tableColumn id="2" xr3:uid="{1AD80504-8F25-4A10-B654-8855400DB094}" name="Region" dataDxfId="1765" dataCellStyle="Normal 2 2"/>
    <tableColumn id="8" xr3:uid="{7992EB89-BB9E-4C6B-8CDD-A49EC5D9E7E7}" name="Type of Change" dataDxfId="1764" dataCellStyle="Normal 2 2"/>
    <tableColumn id="3" xr3:uid="{3876C236-C5B1-4D74-BF41-F86EBC484B2A}" name="Site" dataDxfId="1763" dataCellStyle="Normal 2 2"/>
    <tableColumn id="4" xr3:uid="{12CA74F6-B361-4F7F-AC3B-527E713FE513}" name="Owner" dataDxfId="1762" dataCellStyle="Normal 2 2"/>
    <tableColumn id="6" xr3:uid="{7439340A-BD1E-4099-BA6F-AF17A77EA767}" name="DUID(s)" dataDxfId="1761" dataCellStyle="Normal 2 2"/>
    <tableColumn id="5" xr3:uid="{93FCC82E-06F1-4E7B-8B52-8D47F95607A9}" name="Note" dataDxfId="1760" dataCellStyle="Normal 2 2"/>
    <tableColumn id="7" xr3:uid="{B7F34FE8-E4FD-425A-9D2A-F61F9C8992E8}" name="Effective Date" dataDxfId="1759"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7E30AA-47F5-4093-8F7B-819C3D4106F8}" name="ConsolidatedUnits2" displayName="ConsolidatedUnits2" ref="A2:Y1259" totalsRowShown="0" headerRowDxfId="333" tableBorderDxfId="332">
  <autoFilter ref="A2:Y1259" xr:uid="{9C7E30AA-47F5-4093-8F7B-819C3D4106F8}"/>
  <sortState xmlns:xlrd2="http://schemas.microsoft.com/office/spreadsheetml/2017/richdata2" ref="A3:Y1259">
    <sortCondition ref="C3:C1259"/>
    <sortCondition ref="V3:V1259"/>
    <sortCondition ref="G3:G1259"/>
    <sortCondition ref="B3:B1259"/>
    <sortCondition ref="H3:H1259"/>
    <sortCondition ref="K3:K1259"/>
    <sortCondition ref="L3:L1259"/>
  </sortState>
  <tableColumns count="25">
    <tableColumn id="18" xr3:uid="{87FBEF56-F12D-4B50-814B-101383758D13}" name="Region" dataDxfId="331"/>
    <tableColumn id="3" xr3:uid="{B67A95DC-2AB2-4D86-8D70-9F7DB415CE99}" name="Asset Type" dataDxfId="330" dataCellStyle="Comma"/>
    <tableColumn id="50" xr3:uid="{9205A5F1-90C8-47CF-9243-CD78B2F53FE8}" name="Site Name" dataDxfId="329"/>
    <tableColumn id="2" xr3:uid="{B1BBDE95-EFFC-4C1A-8F5C-0E41E047710B}" name="Owner" dataDxfId="328"/>
    <tableColumn id="4" xr3:uid="{9986A455-B072-47B7-AA61-767EF9182DF0}" name="Technology Type" dataDxfId="327" dataCellStyle="Comma"/>
    <tableColumn id="5" xr3:uid="{10D9D41E-D897-43D3-99C7-C76DE10F9CFB}" name="Fuel Type" dataDxfId="326" dataCellStyle="Comma"/>
    <tableColumn id="6" xr3:uid="{F085BC99-0A8F-450E-8AC9-2B91DE930978}" name="DUID" dataDxfId="325" dataCellStyle="Comma"/>
    <tableColumn id="7" xr3:uid="{A2B9677C-9006-43C8-B7A9-29028E64187F}" name="Number of Units" dataDxfId="324" dataCellStyle="Comma"/>
    <tableColumn id="8" xr3:uid="{A2CBFBD7-B579-4264-9D89-130440A3321E}" name="Lower Nameplate Capacity (MW)" dataDxfId="323" dataCellStyle="Comma"/>
    <tableColumn id="9" xr3:uid="{1AFD8339-410F-4ED9-B6CB-8D3C5583604E}" name="Upper Nameplate Capacity (MW)" dataDxfId="322" dataCellStyle="Comma"/>
    <tableColumn id="10" xr3:uid="{54795FDC-DAF1-4E08-9C19-7B5EC26E9235}" name="Aggregated Lower Nameplate Capacity (MW)" dataDxfId="321" dataCellStyle="Comma"/>
    <tableColumn id="11" xr3:uid="{18418EFC-2008-44B9-89EA-9215913B694B}" name="Aggregated Upper Nameplate Capacity (MW)" dataDxfId="320" dataCellStyle="Comma"/>
    <tableColumn id="1" xr3:uid="{A83DF05F-5726-440A-A91F-F7E96DAF5172}" name="Nameplate Capacity (MW)" dataDxfId="319" dataCellStyle="Comma"/>
    <tableColumn id="12" xr3:uid="{7DCE210A-47E9-457E-B99B-455E6D0F6951}" name="Storage Capacity (MWh)" dataDxfId="318"/>
    <tableColumn id="13" xr3:uid="{5C19ADAE-6510-4DB2-9C84-7DFF1723E372}" name="Unit Status" dataDxfId="317" dataCellStyle="Comma"/>
    <tableColumn id="14" xr3:uid="{2CE2ABF0-9098-467A-8486-4361F066FA63}" name="Dispatch Type" dataDxfId="316"/>
    <tableColumn id="15" xr3:uid="{5D349083-187B-41A6-A63A-EDBEF69EF242}" name="Full Commercial Use Date" dataDxfId="315" dataCellStyle="Comma"/>
    <tableColumn id="16" xr3:uid="{4B685754-B85B-41CE-AB83-644265FDB6AE}" name="Expected Closure Year" dataDxfId="314"/>
    <tableColumn id="17" xr3:uid="{7678A7C6-ACCE-451C-B244-758F82DA0003}" name="Closure Date" dataDxfId="313" dataCellStyle="Comma"/>
    <tableColumn id="19" xr3:uid="{596B73D1-E800-4D9B-AA8D-7013500CE50E}" name="Status Bucket Summary" dataDxfId="312" dataCellStyle="Comma"/>
    <tableColumn id="20" xr3:uid="{F5C38D22-5FCB-4F92-B326-753811476E62}" name="Fuel Bucket Summary" dataDxfId="311" dataCellStyle="Comma"/>
    <tableColumn id="43" xr3:uid="{A0EDDBA3-2EEB-4C92-AFB3-833712A6A139}" name="SurveyId" dataDxfId="310" dataCellStyle="Comma"/>
    <tableColumn id="21" xr3:uid="{2858A843-02BC-4799-9502-86A2F881F751}" name="AEMO KCI Id" dataDxfId="309" dataCellStyle="Comma"/>
    <tableColumn id="22" xr3:uid="{E5869C8B-1788-4B0D-809E-DC02515AE4D2}" name="Survey Last Requested" dataDxfId="308" dataCellStyle="Comma"/>
    <tableColumn id="45" xr3:uid="{E1907430-84E7-4F08-8487-2CD859F60BD8}" name="Survey Version DateTime" dataDxfId="307" dataCellStyle="Comma"/>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CE6F8-71B5-42CE-A899-E7D82AB96C57}" name="ConsolidatedCapacities23" displayName="ConsolidatedCapacities23" ref="A2:AX356" totalsRowShown="0" headerRowDxfId="86" dataDxfId="85" tableBorderDxfId="84" dataCellStyle="Comma">
  <autoFilter ref="A2:AX356" xr:uid="{636CE6F8-71B5-42CE-A899-E7D82AB96C57}"/>
  <sortState xmlns:xlrd2="http://schemas.microsoft.com/office/spreadsheetml/2017/richdata2" ref="A3:AX356">
    <sortCondition ref="C3:C356"/>
    <sortCondition ref="AW3:AW356"/>
    <sortCondition ref="D3:D356"/>
    <sortCondition ref="B3:B356"/>
    <sortCondition descending="1" ref="AL3:AL356"/>
    <sortCondition descending="1" ref="AM3:AM356" customList="Largest to Smallest"/>
    <sortCondition descending="1" ref="AN3:AN356"/>
  </sortState>
  <tableColumns count="50">
    <tableColumn id="18" xr3:uid="{88C920A0-2C29-4D58-8ECF-0EF308CEC5B5}" name="Region" dataDxfId="83" dataCellStyle="Comma"/>
    <tableColumn id="3" xr3:uid="{B578F4AA-EFCE-41FB-A3F4-27B532C7F248}" name="Asset Type" dataDxfId="82" dataCellStyle="Comma"/>
    <tableColumn id="1" xr3:uid="{EB027C97-C3C6-4DF5-A43B-241A0B0C1AB9}" name="Site Name" dataDxfId="81" dataCellStyle="Comma"/>
    <tableColumn id="6" xr3:uid="{3EF55092-9C64-420E-AD08-35C4E2660202}" name="DUID" dataDxfId="80" dataCellStyle="Comma"/>
    <tableColumn id="9" xr3:uid="{0948CDF5-456A-4544-A0E4-E4D3B594D47F}" name="Winter 2022" dataDxfId="79" dataCellStyle="20% - Accent2"/>
    <tableColumn id="51" xr3:uid="{87DC433C-CFB7-4B3E-82C8-F3B8C007E888}" name="Summer Typical 2022-23" dataDxfId="78" dataCellStyle="40% - Accent2"/>
    <tableColumn id="21" xr3:uid="{C099C9A0-B130-432B-9BD8-F8E924740F15}" name="Summer Peak 2022-23" dataDxfId="77" dataCellStyle="20% - Accent5"/>
    <tableColumn id="22" xr3:uid="{7BCDF964-3E76-4D2F-9312-CA5B836CC8B2}" name="Winter 2023" dataDxfId="76" dataCellStyle="20% - Accent2"/>
    <tableColumn id="50" xr3:uid="{49AE3D15-624C-42F0-A036-6D113F6A3D15}" name="Summer Typical 2023-24" dataDxfId="75" dataCellStyle="40% - Accent2"/>
    <tableColumn id="23" xr3:uid="{62A21FD5-79B1-4CD9-879C-BDC6BD593CC7}" name="Summer Peak 2023-24" dataDxfId="74" dataCellStyle="20% - Accent5"/>
    <tableColumn id="24" xr3:uid="{B0D1197C-EA1F-4245-AA9C-A1B945F6D233}" name="Winter 2024" dataDxfId="73" dataCellStyle="20% - Accent2"/>
    <tableColumn id="49" xr3:uid="{37F4C5F5-9576-4579-90E0-845EE7AA2868}" name="Summer Typical 2024-25" dataDxfId="72" dataCellStyle="40% - Accent2"/>
    <tableColumn id="25" xr3:uid="{10069996-36C3-4B0B-AB6E-C3FE1C01B5EA}" name="Summer Peak 2024-25" dataDxfId="71" dataCellStyle="20% - Accent5"/>
    <tableColumn id="26" xr3:uid="{95138370-BB17-4D48-A9EF-3175CA85F99B}" name="Winter 2025" dataDxfId="70" dataCellStyle="20% - Accent2"/>
    <tableColumn id="48" xr3:uid="{A9D47922-5BD7-448C-857E-732A2E3309AF}" name="Summer Typical 2025-26" dataDxfId="69" dataCellStyle="40% - Accent2"/>
    <tableColumn id="27" xr3:uid="{6F2BF23B-591B-40BC-AF77-1E939171A27E}" name="Summer Peak 2025-26" dataDxfId="68" dataCellStyle="20% - Accent5"/>
    <tableColumn id="28" xr3:uid="{E8B6CFC7-D44D-42E1-8BFE-D3313A71656F}" name="Winter 2026" dataDxfId="67" dataCellStyle="20% - Accent2"/>
    <tableColumn id="47" xr3:uid="{5E944D36-04C8-40E5-B025-6B6A6EDE2F02}" name="Summer Typical 2026-27" dataDxfId="66" dataCellStyle="40% - Accent2"/>
    <tableColumn id="29" xr3:uid="{0833DD91-50C5-4E70-B342-70AC11BFE88D}" name="Summer Peak 2026-27" dataDxfId="65" dataCellStyle="20% - Accent5"/>
    <tableColumn id="30" xr3:uid="{AE8271D8-1C77-44C8-AB77-59ADCE2D6FA5}" name="Winter 2027" dataDxfId="64" dataCellStyle="20% - Accent2"/>
    <tableColumn id="44" xr3:uid="{2924A905-7093-4CE1-86D9-38C5868995C0}" name="Summer Typical 2027-28" dataDxfId="63" dataCellStyle="40% - Accent2"/>
    <tableColumn id="31" xr3:uid="{9EE2BC79-FC70-45FA-B88C-57FB348CBC3D}" name="Summer Peak 2027-28" dataDxfId="62" dataCellStyle="20% - Accent5"/>
    <tableColumn id="32" xr3:uid="{7D4FBC17-D885-4825-8492-2433483940C5}" name="Winter 2028" dataDxfId="61" dataCellStyle="20% - Accent2"/>
    <tableColumn id="42" xr3:uid="{841729AF-3B50-42E1-B670-83EC0FF3BAE3}" name="Summer Typical 2028-29" dataDxfId="60" dataCellStyle="40% - Accent2"/>
    <tableColumn id="33" xr3:uid="{6820A8A8-4A56-43A7-A2BC-FE0507DD5468}" name="Summer Peak 2028-29" dataDxfId="59" dataCellStyle="20% - Accent5"/>
    <tableColumn id="34" xr3:uid="{0EC5B4D7-907D-4124-B67D-CFF52BE02D78}" name="Winter 2029" dataDxfId="58" dataCellStyle="20% - Accent2"/>
    <tableColumn id="41" xr3:uid="{5B45BBB3-1CC7-4216-8D4C-34AB40AB2C4F}" name="Summer Typical 2029-30" dataDxfId="57" dataCellStyle="40% - Accent2"/>
    <tableColumn id="35" xr3:uid="{1EF9015D-420D-4F8C-8B7D-80B66B3C3CA4}" name="Summer Peak 2029-30" dataDxfId="56" dataCellStyle="20% - Accent5"/>
    <tableColumn id="36" xr3:uid="{F7BCB152-4B04-4BCB-9008-7ABC34E13ABF}" name="Winter 2030" dataDxfId="55" dataCellStyle="20% - Accent2"/>
    <tableColumn id="40" xr3:uid="{F5521565-83D5-41F4-BB40-758E33F73C04}" name="Summer Typical 2030-31" dataDxfId="54" dataCellStyle="40% - Accent2"/>
    <tableColumn id="37" xr3:uid="{5696D860-833D-4CAF-B748-6EEF8B091058}" name="Summer Peak 2030-31" dataDxfId="53" dataCellStyle="20% - Accent5"/>
    <tableColumn id="38" xr3:uid="{CE7FC884-419B-48F9-B9B1-C4C77EED54A4}" name="Winter 2031" dataDxfId="52" dataCellStyle="20% - Accent2"/>
    <tableColumn id="52" xr3:uid="{2ED98C4D-EB38-48D2-8AA7-8C1CF6E3A2C7}" name="Summer Typical 2031-32" dataDxfId="51" dataCellStyle="40% - Accent2"/>
    <tableColumn id="8" xr3:uid="{B753A38C-4919-4006-88A1-AB04323EE929}" name="Summer Peak 2031-32" dataDxfId="50" dataCellStyle="20% - Accent5"/>
    <tableColumn id="2" xr3:uid="{02FE4B29-B800-48D0-9174-422595E1EA8D}" name="Owner" dataDxfId="49" dataCellStyle="Comma"/>
    <tableColumn id="4" xr3:uid="{E7226910-DC83-46BF-912F-95B8AD51AD4F}" name="Technology Type" dataDxfId="48" dataCellStyle="Comma"/>
    <tableColumn id="5" xr3:uid="{0FB0728C-4C79-4E98-9DFC-95F24CB611B3}" name="Fuel Type" dataDxfId="47" dataCellStyle="Comma"/>
    <tableColumn id="7" xr3:uid="{DE10C90D-D4F1-4EC8-A82A-AEAB8218A1D7}" name="Number of Units" dataDxfId="46" dataCellStyle="Comma"/>
    <tableColumn id="10" xr3:uid="{D3150F9E-5F69-4B55-B220-C2BBE75FD2F2}" name="Aggregated Lower Nameplate Capacity (MW)" dataDxfId="45" dataCellStyle="Comma"/>
    <tableColumn id="11" xr3:uid="{061C6E50-5B1D-4B19-B6CD-4F158A19F372}" name="Aggregated Upper Nameplate Capacity (MW)" dataDxfId="44" dataCellStyle="Comma"/>
    <tableColumn id="12" xr3:uid="{3EEE201E-CC4B-41CC-9C02-90C887C9386B}" name="Storage Capacity (MWh)" dataDxfId="43" dataCellStyle="Comma"/>
    <tableColumn id="13" xr3:uid="{35288427-A17D-49F7-9F86-03BECF91A4AE}" name="Unit Status" dataDxfId="42" dataCellStyle="Comma"/>
    <tableColumn id="14" xr3:uid="{85229FCA-1A1F-4AD2-AFB0-9356665EBA79}" name="Dispatch Type" dataDxfId="41" dataCellStyle="Comma"/>
    <tableColumn id="15" xr3:uid="{2D05C170-8386-401D-A18D-055F48C5A95E}" name="Full Commercial Use Date" dataDxfId="40" dataCellStyle="Comma"/>
    <tableColumn id="16" xr3:uid="{8993975B-3D04-4985-B6AA-9774B7FF8A35}" name="Expected Closure Year" dataDxfId="39" dataCellStyle="Comma"/>
    <tableColumn id="17" xr3:uid="{59478631-A446-4B8F-AF2D-2AD5B02332BF}" name="Closure Date" dataDxfId="38" dataCellStyle="Comma"/>
    <tableColumn id="19" xr3:uid="{26D7E13C-DEEE-4D37-8DD7-E9F639323D91}" name="StatusBucketSummary" dataDxfId="37" dataCellStyle="Comma"/>
    <tableColumn id="20" xr3:uid="{5EC8EFB8-7A21-4F20-A906-03BEBA8A8AA2}" name="FuelBucketSummary" dataDxfId="36" dataCellStyle="Comma"/>
    <tableColumn id="43" xr3:uid="{9AB30C66-D597-451F-92B8-9A7BEB20745C}" name="SurveyId" dataDxfId="35" dataCellStyle="Comma"/>
    <tableColumn id="45" xr3:uid="{928250EE-53DE-4EDF-AB2C-ADFED83ED528}" name="SurveyVersionDateTime" dataDxfId="34"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Y54"/>
  <sheetViews>
    <sheetView tabSelected="1" zoomScaleNormal="100" workbookViewId="0"/>
  </sheetViews>
  <sheetFormatPr defaultColWidth="9.42578125" defaultRowHeight="15"/>
  <cols>
    <col min="1" max="1" width="1.42578125" style="68" customWidth="1"/>
    <col min="2" max="2" width="2.42578125" style="68" customWidth="1"/>
    <col min="3" max="3" width="27.42578125" style="68" customWidth="1"/>
    <col min="4" max="14" width="8.42578125" style="68" customWidth="1"/>
    <col min="15" max="15" width="1.42578125" style="68" customWidth="1"/>
    <col min="16" max="16384" width="9.42578125" style="68"/>
  </cols>
  <sheetData>
    <row r="1" spans="1:15" s="21" customFormat="1" ht="19.5">
      <c r="A1" s="69"/>
      <c r="B1" s="70" t="s">
        <v>0</v>
      </c>
      <c r="C1" s="69"/>
      <c r="D1" s="69"/>
      <c r="E1" s="69"/>
      <c r="F1" s="69"/>
      <c r="G1" s="71"/>
      <c r="H1" s="69"/>
      <c r="I1" s="69"/>
      <c r="J1" s="69"/>
      <c r="K1" s="69"/>
      <c r="L1" s="69"/>
      <c r="M1" s="69"/>
      <c r="N1" s="69"/>
      <c r="O1" s="66"/>
    </row>
    <row r="2" spans="1:15" s="21" customFormat="1" ht="14.25">
      <c r="A2" s="69"/>
      <c r="B2" s="72" t="s">
        <v>1</v>
      </c>
      <c r="C2" s="69"/>
      <c r="D2" s="69"/>
      <c r="E2" s="69"/>
      <c r="F2" s="69"/>
      <c r="G2" s="71"/>
      <c r="H2" s="69"/>
      <c r="I2" s="69"/>
      <c r="J2" s="69"/>
      <c r="K2" s="69"/>
      <c r="L2" s="72"/>
      <c r="M2" s="72"/>
      <c r="N2" s="72"/>
      <c r="O2" s="66"/>
    </row>
    <row r="3" spans="1:15" ht="15.75" thickBot="1">
      <c r="A3" s="73"/>
      <c r="B3" s="73"/>
      <c r="C3" s="74"/>
      <c r="D3" s="74"/>
      <c r="E3" s="74"/>
      <c r="F3" s="74"/>
      <c r="G3" s="74"/>
      <c r="H3" s="74"/>
      <c r="I3" s="74"/>
      <c r="J3" s="74"/>
      <c r="K3" s="74"/>
      <c r="L3" s="74"/>
      <c r="M3" s="74"/>
      <c r="N3" s="74"/>
      <c r="O3" s="67"/>
    </row>
    <row r="4" spans="1:15" ht="15.75" thickTop="1">
      <c r="A4" s="74"/>
      <c r="B4" s="75" t="s">
        <v>2</v>
      </c>
      <c r="C4" s="76"/>
      <c r="D4" s="76"/>
      <c r="E4" s="76"/>
      <c r="F4" s="76"/>
      <c r="G4" s="76"/>
      <c r="H4" s="76"/>
      <c r="I4" s="76"/>
      <c r="J4" s="76"/>
      <c r="K4" s="76"/>
      <c r="L4" s="76"/>
      <c r="M4" s="76"/>
      <c r="N4" s="77"/>
      <c r="O4" s="67"/>
    </row>
    <row r="5" spans="1:15">
      <c r="A5" s="74"/>
      <c r="B5" s="78" t="s">
        <v>3</v>
      </c>
      <c r="C5" s="4"/>
      <c r="D5" s="4"/>
      <c r="E5" s="4"/>
      <c r="F5" s="4"/>
      <c r="G5" s="4"/>
      <c r="H5" s="4"/>
      <c r="I5" s="4"/>
      <c r="J5" s="4"/>
      <c r="K5" s="4"/>
      <c r="L5" s="4"/>
      <c r="M5" s="4"/>
      <c r="N5" s="79"/>
      <c r="O5" s="67"/>
    </row>
    <row r="6" spans="1:15">
      <c r="A6" s="74"/>
      <c r="B6" s="78" t="s">
        <v>4</v>
      </c>
      <c r="C6" s="4"/>
      <c r="D6" s="4"/>
      <c r="E6" s="4"/>
      <c r="F6" s="4"/>
      <c r="G6" s="4"/>
      <c r="H6" s="4"/>
      <c r="I6" s="4"/>
      <c r="J6" s="4"/>
      <c r="K6" s="4"/>
      <c r="L6" s="4"/>
      <c r="M6" s="4"/>
      <c r="N6" s="79"/>
      <c r="O6" s="67"/>
    </row>
    <row r="7" spans="1:15" ht="15.75" thickBot="1">
      <c r="A7" s="74"/>
      <c r="B7" s="129" t="s">
        <v>5</v>
      </c>
      <c r="C7" s="80"/>
      <c r="D7" s="80"/>
      <c r="E7" s="80"/>
      <c r="F7" s="80"/>
      <c r="G7" s="80"/>
      <c r="H7" s="80"/>
      <c r="I7" s="80"/>
      <c r="J7" s="80"/>
      <c r="K7" s="80"/>
      <c r="L7" s="80"/>
      <c r="M7" s="80"/>
      <c r="N7" s="81"/>
      <c r="O7" s="67"/>
    </row>
    <row r="8" spans="1:15" ht="15.75" thickTop="1">
      <c r="A8" s="74"/>
      <c r="B8" s="82"/>
      <c r="C8" s="74"/>
      <c r="D8" s="82"/>
      <c r="E8" s="82"/>
      <c r="F8" s="82"/>
      <c r="G8" s="82"/>
      <c r="H8" s="82"/>
      <c r="I8" s="82"/>
      <c r="J8" s="82"/>
      <c r="K8" s="74"/>
      <c r="L8" s="74"/>
      <c r="M8" s="74"/>
      <c r="N8" s="74"/>
      <c r="O8" s="67"/>
    </row>
    <row r="9" spans="1:15" ht="6" customHeight="1">
      <c r="A9" s="74"/>
      <c r="B9" s="83"/>
      <c r="C9" s="74"/>
      <c r="D9" s="74"/>
      <c r="E9" s="74"/>
      <c r="F9" s="74"/>
      <c r="G9" s="74"/>
      <c r="H9" s="74"/>
      <c r="I9" s="74"/>
      <c r="J9" s="74"/>
      <c r="K9" s="74"/>
      <c r="L9" s="74"/>
      <c r="M9" s="74"/>
      <c r="N9" s="74"/>
      <c r="O9" s="67"/>
    </row>
    <row r="10" spans="1:15" ht="19.5" customHeight="1">
      <c r="A10" s="74"/>
      <c r="B10" s="74"/>
      <c r="C10" s="84" t="s">
        <v>6</v>
      </c>
      <c r="D10" s="74"/>
      <c r="E10" s="74"/>
      <c r="F10" s="74"/>
      <c r="G10" s="74"/>
      <c r="H10" s="85"/>
      <c r="I10" s="74"/>
      <c r="J10" s="74"/>
      <c r="K10" s="74"/>
      <c r="L10" s="74"/>
      <c r="M10" s="74"/>
      <c r="N10" s="74"/>
      <c r="O10" s="67"/>
    </row>
    <row r="11" spans="1:15" ht="18.75" customHeight="1">
      <c r="A11" s="74"/>
      <c r="B11" s="74"/>
      <c r="C11" s="1" t="s">
        <v>7</v>
      </c>
      <c r="D11" s="74"/>
      <c r="E11" s="74"/>
      <c r="F11" s="74"/>
      <c r="G11" s="74"/>
      <c r="H11" s="85"/>
      <c r="I11" s="74"/>
      <c r="J11" s="74"/>
      <c r="K11" s="74"/>
      <c r="L11" s="74"/>
      <c r="M11" s="74"/>
      <c r="N11" s="74"/>
      <c r="O11" s="67"/>
    </row>
    <row r="12" spans="1:15" ht="19.5" customHeight="1">
      <c r="A12" s="74"/>
      <c r="B12" s="74"/>
      <c r="C12" s="84" t="s">
        <v>8</v>
      </c>
      <c r="D12" s="74"/>
      <c r="E12" s="74"/>
      <c r="F12" s="74"/>
      <c r="G12" s="74"/>
      <c r="H12" s="85"/>
      <c r="I12" s="74"/>
      <c r="J12" s="74"/>
      <c r="K12" s="74"/>
      <c r="L12" s="74"/>
      <c r="M12" s="74"/>
      <c r="N12" s="74"/>
      <c r="O12" s="67"/>
    </row>
    <row r="13" spans="1:15" ht="18.75" customHeight="1">
      <c r="A13" s="74"/>
      <c r="B13" s="74"/>
      <c r="C13" s="1" t="s">
        <v>9</v>
      </c>
      <c r="D13" s="74"/>
      <c r="E13" s="74"/>
      <c r="F13" s="74"/>
      <c r="G13" s="74"/>
      <c r="H13" s="74"/>
      <c r="I13" s="74"/>
      <c r="J13" s="74"/>
      <c r="K13" s="74"/>
      <c r="L13" s="74"/>
      <c r="M13" s="74"/>
      <c r="N13" s="74"/>
      <c r="O13" s="67"/>
    </row>
    <row r="14" spans="1:15" ht="7.5" customHeight="1">
      <c r="A14" s="74"/>
      <c r="B14" s="74"/>
      <c r="C14" s="74"/>
      <c r="D14" s="74"/>
      <c r="E14" s="74"/>
      <c r="F14" s="74"/>
      <c r="G14" s="74"/>
      <c r="H14" s="74"/>
      <c r="I14" s="74"/>
      <c r="J14" s="74"/>
      <c r="K14" s="74"/>
      <c r="L14" s="74"/>
      <c r="M14" s="74"/>
      <c r="N14" s="74"/>
      <c r="O14" s="67"/>
    </row>
    <row r="15" spans="1:15" ht="18.75" customHeight="1">
      <c r="A15" s="74"/>
      <c r="B15" s="86" t="str">
        <f>"Summary Chart:  "&amp;$C$11&amp;" "&amp;IF($C$13="S","Scheduled",IF($C$13="SS","Semi-scheduled",IF($C$13="NS","Non-scheduled",IF($C$13="S &amp; SS","Scheduled &amp; Semi-scheduled","Scheduled, Semi-scheduled &amp; Non-scheduled"))))&amp;" Generation (MW) - Existing and New Developments by Fuel-Technology Category"</f>
        <v>Summary Chart:  NEM Scheduled, Semi-scheduled &amp; Non-scheduled Generation (MW) - Existing and New Developments by Fuel-Technology Category</v>
      </c>
      <c r="C15" s="74"/>
      <c r="D15" s="74"/>
      <c r="E15" s="74"/>
      <c r="F15" s="74"/>
      <c r="G15" s="74"/>
      <c r="H15" s="74"/>
      <c r="I15" s="74"/>
      <c r="J15" s="74"/>
      <c r="K15" s="74"/>
      <c r="L15" s="74"/>
      <c r="M15" s="74"/>
      <c r="N15" s="74"/>
      <c r="O15" s="67"/>
    </row>
    <row r="16" spans="1:15">
      <c r="A16" s="74"/>
      <c r="B16" s="74"/>
      <c r="C16" s="74"/>
      <c r="D16" s="74"/>
      <c r="E16" s="74"/>
      <c r="F16" s="74"/>
      <c r="G16" s="74"/>
      <c r="H16" s="74"/>
      <c r="I16" s="74"/>
      <c r="J16" s="74"/>
      <c r="K16" s="74"/>
      <c r="L16" s="74"/>
      <c r="M16" s="74"/>
      <c r="N16" s="74"/>
      <c r="O16" s="67"/>
    </row>
    <row r="17" spans="1:15">
      <c r="A17" s="74"/>
      <c r="B17" s="74"/>
      <c r="C17" s="74"/>
      <c r="D17" s="74"/>
      <c r="E17" s="74"/>
      <c r="F17" s="74"/>
      <c r="G17" s="74"/>
      <c r="H17" s="74"/>
      <c r="I17" s="74"/>
      <c r="J17" s="74"/>
      <c r="K17" s="74"/>
      <c r="L17" s="74"/>
      <c r="M17" s="74"/>
      <c r="N17" s="74"/>
      <c r="O17" s="67"/>
    </row>
    <row r="18" spans="1:15">
      <c r="A18" s="74"/>
      <c r="B18" s="74"/>
      <c r="C18" s="74"/>
      <c r="D18" s="74"/>
      <c r="E18" s="74"/>
      <c r="F18" s="74"/>
      <c r="G18" s="74"/>
      <c r="H18" s="74"/>
      <c r="I18" s="74"/>
      <c r="J18" s="74"/>
      <c r="K18" s="74"/>
      <c r="L18" s="74"/>
      <c r="M18" s="74"/>
      <c r="N18" s="74"/>
      <c r="O18" s="67"/>
    </row>
    <row r="19" spans="1:15">
      <c r="A19" s="74"/>
      <c r="B19" s="74"/>
      <c r="C19" s="74"/>
      <c r="D19" s="74"/>
      <c r="E19" s="74"/>
      <c r="F19" s="74"/>
      <c r="G19" s="74"/>
      <c r="H19" s="74"/>
      <c r="I19" s="74"/>
      <c r="J19" s="74"/>
      <c r="K19" s="74"/>
      <c r="L19" s="74"/>
      <c r="M19" s="74"/>
      <c r="N19" s="74"/>
      <c r="O19" s="67"/>
    </row>
    <row r="20" spans="1:15">
      <c r="A20" s="74"/>
      <c r="B20" s="74"/>
      <c r="C20" s="74"/>
      <c r="D20" s="74"/>
      <c r="E20" s="74"/>
      <c r="F20" s="74"/>
      <c r="G20" s="74"/>
      <c r="H20" s="74"/>
      <c r="I20" s="74"/>
      <c r="J20" s="74"/>
      <c r="K20" s="74"/>
      <c r="L20" s="74"/>
      <c r="M20" s="74"/>
      <c r="N20" s="74"/>
      <c r="O20" s="67"/>
    </row>
    <row r="21" spans="1:15">
      <c r="A21" s="74"/>
      <c r="B21" s="74"/>
      <c r="C21" s="74"/>
      <c r="D21" s="74"/>
      <c r="E21" s="74"/>
      <c r="F21" s="74"/>
      <c r="G21" s="74"/>
      <c r="H21" s="74"/>
      <c r="I21" s="74"/>
      <c r="J21" s="74"/>
      <c r="K21" s="74"/>
      <c r="L21" s="74"/>
      <c r="M21" s="74"/>
      <c r="N21" s="74"/>
      <c r="O21" s="67"/>
    </row>
    <row r="22" spans="1:15">
      <c r="A22" s="74"/>
      <c r="B22" s="74"/>
      <c r="C22" s="74"/>
      <c r="D22" s="74"/>
      <c r="E22" s="74"/>
      <c r="F22" s="74"/>
      <c r="G22" s="74"/>
      <c r="H22" s="74"/>
      <c r="I22" s="74"/>
      <c r="J22" s="74"/>
      <c r="K22" s="74"/>
      <c r="L22" s="74"/>
      <c r="M22" s="74"/>
      <c r="N22" s="74"/>
      <c r="O22" s="67"/>
    </row>
    <row r="23" spans="1:15">
      <c r="A23" s="74"/>
      <c r="B23" s="74"/>
      <c r="C23" s="74"/>
      <c r="D23" s="74"/>
      <c r="E23" s="74"/>
      <c r="F23" s="74"/>
      <c r="G23" s="74"/>
      <c r="H23" s="74"/>
      <c r="I23" s="74"/>
      <c r="J23" s="74"/>
      <c r="K23" s="74"/>
      <c r="L23" s="74"/>
      <c r="M23" s="74"/>
      <c r="N23" s="74"/>
      <c r="O23" s="67"/>
    </row>
    <row r="24" spans="1:15">
      <c r="A24" s="74"/>
      <c r="B24" s="74"/>
      <c r="C24" s="74"/>
      <c r="D24" s="74"/>
      <c r="E24" s="74"/>
      <c r="F24" s="74"/>
      <c r="G24" s="74"/>
      <c r="H24" s="74"/>
      <c r="I24" s="74"/>
      <c r="J24" s="74"/>
      <c r="K24" s="74"/>
      <c r="L24" s="74"/>
      <c r="M24" s="74"/>
      <c r="N24" s="74"/>
      <c r="O24" s="67"/>
    </row>
    <row r="25" spans="1:15">
      <c r="A25" s="74"/>
      <c r="B25" s="74"/>
      <c r="C25" s="74"/>
      <c r="D25" s="74"/>
      <c r="E25" s="74"/>
      <c r="F25" s="74"/>
      <c r="G25" s="74"/>
      <c r="H25" s="74"/>
      <c r="I25" s="74"/>
      <c r="J25" s="74"/>
      <c r="K25" s="74"/>
      <c r="L25" s="74"/>
      <c r="M25" s="74"/>
      <c r="N25" s="74"/>
      <c r="O25" s="67"/>
    </row>
    <row r="26" spans="1:15">
      <c r="A26" s="74"/>
      <c r="B26" s="74"/>
      <c r="C26" s="74"/>
      <c r="D26" s="74"/>
      <c r="E26" s="74"/>
      <c r="F26" s="74"/>
      <c r="G26" s="74"/>
      <c r="H26" s="74"/>
      <c r="I26" s="74"/>
      <c r="J26" s="74"/>
      <c r="K26" s="74"/>
      <c r="L26" s="74"/>
      <c r="M26" s="74"/>
      <c r="N26" s="74"/>
      <c r="O26" s="67"/>
    </row>
    <row r="27" spans="1:15">
      <c r="A27" s="74"/>
      <c r="B27" s="74"/>
      <c r="C27" s="74"/>
      <c r="D27" s="74"/>
      <c r="E27" s="74"/>
      <c r="F27" s="74"/>
      <c r="G27" s="74"/>
      <c r="H27" s="74"/>
      <c r="I27" s="74"/>
      <c r="J27" s="74"/>
      <c r="K27" s="74"/>
      <c r="L27" s="74"/>
      <c r="M27" s="74"/>
      <c r="N27" s="74"/>
      <c r="O27" s="67"/>
    </row>
    <row r="28" spans="1:15">
      <c r="A28" s="74"/>
      <c r="B28" s="74"/>
      <c r="C28" s="74"/>
      <c r="D28" s="74"/>
      <c r="E28" s="74"/>
      <c r="F28" s="74"/>
      <c r="G28" s="74"/>
      <c r="H28" s="74"/>
      <c r="I28" s="74"/>
      <c r="J28" s="74"/>
      <c r="K28" s="74"/>
      <c r="L28" s="74"/>
      <c r="M28" s="74"/>
      <c r="N28" s="74"/>
      <c r="O28" s="67"/>
    </row>
    <row r="29" spans="1:15">
      <c r="A29" s="74"/>
      <c r="B29" s="74"/>
      <c r="C29" s="74"/>
      <c r="D29" s="74"/>
      <c r="E29" s="74"/>
      <c r="F29" s="74"/>
      <c r="G29" s="74"/>
      <c r="H29" s="74"/>
      <c r="I29" s="74"/>
      <c r="J29" s="74"/>
      <c r="K29" s="74"/>
      <c r="L29" s="74"/>
      <c r="M29" s="74"/>
      <c r="N29" s="74"/>
      <c r="O29" s="67"/>
    </row>
    <row r="30" spans="1:15">
      <c r="A30" s="74"/>
      <c r="B30" s="74"/>
      <c r="C30" s="74"/>
      <c r="D30" s="74"/>
      <c r="E30" s="74"/>
      <c r="F30" s="74"/>
      <c r="G30" s="74"/>
      <c r="H30" s="74"/>
      <c r="I30" s="74"/>
      <c r="J30" s="74"/>
      <c r="K30" s="74"/>
      <c r="L30" s="74"/>
      <c r="M30" s="74"/>
      <c r="N30" s="74"/>
      <c r="O30" s="67"/>
    </row>
    <row r="31" spans="1:15">
      <c r="A31" s="74"/>
      <c r="B31" s="74"/>
      <c r="C31" s="74"/>
      <c r="D31" s="74"/>
      <c r="E31" s="74"/>
      <c r="F31" s="74"/>
      <c r="G31" s="74"/>
      <c r="H31" s="74"/>
      <c r="I31" s="74"/>
      <c r="J31" s="74"/>
      <c r="K31" s="74"/>
      <c r="L31" s="74"/>
      <c r="M31" s="74"/>
      <c r="N31" s="74"/>
      <c r="O31" s="67"/>
    </row>
    <row r="32" spans="1:15">
      <c r="A32" s="74"/>
      <c r="B32" s="74"/>
      <c r="C32" s="74"/>
      <c r="D32" s="74"/>
      <c r="E32" s="74"/>
      <c r="F32" s="74"/>
      <c r="G32" s="74"/>
      <c r="H32" s="74"/>
      <c r="I32" s="74"/>
      <c r="J32" s="74"/>
      <c r="K32" s="74"/>
      <c r="L32" s="74"/>
      <c r="M32" s="74"/>
      <c r="N32" s="74"/>
      <c r="O32" s="67"/>
    </row>
    <row r="33" spans="1:25">
      <c r="A33" s="74"/>
      <c r="B33" s="74"/>
      <c r="C33" s="74"/>
      <c r="D33" s="74"/>
      <c r="E33" s="74"/>
      <c r="F33" s="74"/>
      <c r="G33" s="74"/>
      <c r="H33" s="74"/>
      <c r="I33" s="74"/>
      <c r="J33" s="74"/>
      <c r="K33" s="74"/>
      <c r="L33" s="74"/>
      <c r="M33" s="74"/>
      <c r="N33" s="74"/>
      <c r="O33" s="67"/>
    </row>
    <row r="34" spans="1:25">
      <c r="A34" s="74"/>
      <c r="B34" s="74"/>
      <c r="C34" s="74"/>
      <c r="D34" s="74"/>
      <c r="E34" s="74"/>
      <c r="F34" s="74"/>
      <c r="G34" s="74"/>
      <c r="H34" s="74"/>
      <c r="I34" s="74"/>
      <c r="J34" s="74"/>
      <c r="K34" s="74"/>
      <c r="L34" s="74"/>
      <c r="M34" s="74"/>
      <c r="N34" s="74"/>
      <c r="O34" s="67"/>
    </row>
    <row r="35" spans="1:25">
      <c r="A35" s="74"/>
      <c r="B35" s="74"/>
      <c r="C35" s="74"/>
      <c r="D35" s="74"/>
      <c r="E35" s="74"/>
      <c r="F35" s="74"/>
      <c r="G35" s="74"/>
      <c r="H35" s="74"/>
      <c r="I35" s="74"/>
      <c r="J35" s="74"/>
      <c r="K35" s="74"/>
      <c r="L35" s="74"/>
      <c r="M35" s="74"/>
      <c r="N35" s="74"/>
      <c r="O35" s="67"/>
    </row>
    <row r="36" spans="1:25">
      <c r="A36" s="74"/>
      <c r="B36" s="74"/>
      <c r="C36" s="74"/>
      <c r="D36" s="74"/>
      <c r="E36" s="74"/>
      <c r="F36" s="74"/>
      <c r="G36" s="74"/>
      <c r="H36" s="74"/>
      <c r="I36" s="74"/>
      <c r="J36" s="74"/>
      <c r="K36" s="74"/>
      <c r="L36" s="74"/>
      <c r="M36" s="74"/>
      <c r="N36" s="74"/>
      <c r="O36" s="67"/>
    </row>
    <row r="37" spans="1:25" ht="18.75" customHeight="1" thickBot="1">
      <c r="A37" s="74"/>
      <c r="B37" s="86" t="str">
        <f>"Summary Table:  "&amp;$C$11&amp;" "&amp;IF($C$13="S","Scheduled",IF($C$13="SS","Semi-scheduled",IF($C$13="NS","Non-scheduled",IF($C$13="S &amp; SS","Scheduled &amp; Semi-scheduled","Scheduled, Semi-scheduled &amp; Non-scheduled"))))&amp;" Generation (MW) - Existing and New Developments by Fuel-Technology Category"</f>
        <v>Summary Table:  NEM Scheduled, Semi-scheduled &amp; Non-scheduled Generation (MW) - Existing and New Developments by Fuel-Technology Category</v>
      </c>
      <c r="C37" s="74"/>
      <c r="D37" s="74"/>
      <c r="E37" s="74"/>
      <c r="F37" s="74"/>
      <c r="G37" s="74"/>
      <c r="H37" s="74"/>
      <c r="I37" s="74"/>
      <c r="J37" s="74"/>
      <c r="K37" s="74"/>
      <c r="L37" s="74"/>
      <c r="M37" s="74"/>
      <c r="N37" s="74"/>
      <c r="O37" s="67"/>
    </row>
    <row r="38" spans="1:25" ht="25.5" customHeight="1" thickBot="1">
      <c r="A38" s="74"/>
      <c r="B38" s="74"/>
      <c r="C38" s="87"/>
      <c r="D38" s="287" t="s">
        <v>10</v>
      </c>
      <c r="E38" s="288"/>
      <c r="F38" s="288"/>
      <c r="G38" s="288"/>
      <c r="H38" s="288"/>
      <c r="I38" s="288"/>
      <c r="J38" s="288"/>
      <c r="K38" s="288"/>
      <c r="L38" s="288"/>
      <c r="M38" s="288"/>
      <c r="N38" s="289"/>
      <c r="O38" s="67"/>
    </row>
    <row r="39" spans="1:25" ht="25.5" customHeight="1" thickBot="1">
      <c r="A39" s="74"/>
      <c r="B39" s="88"/>
      <c r="C39" s="89" t="s">
        <v>11</v>
      </c>
      <c r="D39" s="90" t="s">
        <v>12</v>
      </c>
      <c r="E39" s="90" t="s">
        <v>13</v>
      </c>
      <c r="F39" s="90" t="s">
        <v>14</v>
      </c>
      <c r="G39" s="90" t="s">
        <v>15</v>
      </c>
      <c r="H39" s="90" t="s">
        <v>16</v>
      </c>
      <c r="I39" s="90" t="s">
        <v>17</v>
      </c>
      <c r="J39" s="90" t="s">
        <v>18</v>
      </c>
      <c r="K39" s="90" t="s">
        <v>19</v>
      </c>
      <c r="L39" s="90" t="s">
        <v>20</v>
      </c>
      <c r="M39" s="90" t="s">
        <v>21</v>
      </c>
      <c r="N39" s="90" t="s">
        <v>22</v>
      </c>
      <c r="O39" s="67"/>
    </row>
    <row r="40" spans="1:25" ht="15.75" thickBot="1">
      <c r="A40" s="74"/>
      <c r="B40" s="91"/>
      <c r="C40" s="92" t="s">
        <v>23</v>
      </c>
      <c r="D40" s="93">
        <f t="shared" ref="D40:M40" si="0">D41+D42</f>
        <v>22701</v>
      </c>
      <c r="E40" s="94">
        <f t="shared" si="0"/>
        <v>2985.0659999999998</v>
      </c>
      <c r="F40" s="93">
        <f t="shared" si="0"/>
        <v>6844.9930000000004</v>
      </c>
      <c r="G40" s="94">
        <f t="shared" si="0"/>
        <v>2013.501</v>
      </c>
      <c r="H40" s="93">
        <f t="shared" si="0"/>
        <v>5896.5543000000025</v>
      </c>
      <c r="I40" s="94">
        <f>I41+I42</f>
        <v>9728.5829999999987</v>
      </c>
      <c r="J40" s="93">
        <f t="shared" si="0"/>
        <v>7992.1390000000001</v>
      </c>
      <c r="K40" s="94">
        <f t="shared" si="0"/>
        <v>610.22500000000014</v>
      </c>
      <c r="L40" s="93">
        <f t="shared" si="0"/>
        <v>619.55999999999995</v>
      </c>
      <c r="M40" s="94">
        <f t="shared" si="0"/>
        <v>222.821</v>
      </c>
      <c r="N40" s="93">
        <f t="shared" ref="N40:N47" si="1">SUM(D40:M40)</f>
        <v>59614.442300000002</v>
      </c>
      <c r="O40" s="67"/>
      <c r="P40" s="195"/>
      <c r="Q40" s="217"/>
      <c r="R40" s="195"/>
      <c r="S40" s="195"/>
      <c r="T40" s="195"/>
      <c r="U40" s="195"/>
      <c r="V40" s="195"/>
      <c r="W40" s="195"/>
      <c r="X40" s="195"/>
      <c r="Y40" s="195"/>
    </row>
    <row r="41" spans="1:25" ht="15.75" thickBot="1">
      <c r="A41" s="74"/>
      <c r="B41" s="95"/>
      <c r="C41" s="96" t="s">
        <v>24</v>
      </c>
      <c r="D41" s="93"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4380</v>
      </c>
      <c r="E41" s="226"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180</v>
      </c>
      <c r="F41" s="227"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0</v>
      </c>
      <c r="G41" s="226"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120</v>
      </c>
      <c r="H41" s="227"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226"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227"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226"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227"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226"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93">
        <f t="shared" si="1"/>
        <v>4680</v>
      </c>
      <c r="O41" s="67"/>
      <c r="P41" s="195"/>
      <c r="Q41" s="195"/>
      <c r="R41" s="195"/>
      <c r="S41" s="195"/>
      <c r="T41" s="195"/>
      <c r="U41" s="195"/>
      <c r="V41" s="195"/>
      <c r="W41" s="195"/>
      <c r="X41" s="195"/>
      <c r="Y41" s="195"/>
    </row>
    <row r="42" spans="1:25" ht="23.1" customHeight="1" thickBot="1">
      <c r="A42" s="74"/>
      <c r="B42" s="97"/>
      <c r="C42" s="96" t="s">
        <v>25</v>
      </c>
      <c r="D42" s="93"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18321</v>
      </c>
      <c r="E42" s="226"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2805.0659999999998</v>
      </c>
      <c r="F42" s="227"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6844.9930000000004</v>
      </c>
      <c r="G42" s="226"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1893.501</v>
      </c>
      <c r="H42" s="227"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5896.5543000000025</v>
      </c>
      <c r="I42" s="226"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9728.5829999999987</v>
      </c>
      <c r="J42" s="227"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7992.1390000000001</v>
      </c>
      <c r="K42" s="226"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610.22500000000014</v>
      </c>
      <c r="L42" s="227"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619.55999999999995</v>
      </c>
      <c r="M42" s="226"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222.821</v>
      </c>
      <c r="N42" s="93">
        <f>SUM(D42:M42)</f>
        <v>54934.442300000002</v>
      </c>
      <c r="O42" s="67"/>
      <c r="P42" s="195"/>
      <c r="Q42" s="195"/>
      <c r="R42" s="195"/>
      <c r="S42" s="195"/>
      <c r="T42" s="195"/>
      <c r="U42" s="195"/>
      <c r="V42" s="195"/>
      <c r="W42" s="195"/>
      <c r="X42" s="195"/>
      <c r="Y42" s="195"/>
    </row>
    <row r="43" spans="1:25" ht="15.75" thickBot="1">
      <c r="A43" s="74"/>
      <c r="B43" s="98"/>
      <c r="C43" s="96" t="s">
        <v>26</v>
      </c>
      <c r="D43" s="93"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65</v>
      </c>
      <c r="E43" s="226"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227"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165</v>
      </c>
      <c r="G43" s="226"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227"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226"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227"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226"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227"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226"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93">
        <f t="shared" si="1"/>
        <v>230</v>
      </c>
      <c r="O43" s="67"/>
      <c r="P43" s="195"/>
      <c r="Q43" s="195"/>
      <c r="R43" s="195"/>
      <c r="S43" s="195"/>
      <c r="T43" s="195"/>
      <c r="U43" s="195"/>
      <c r="V43" s="195"/>
      <c r="W43" s="195"/>
      <c r="X43" s="195"/>
      <c r="Y43" s="195"/>
    </row>
    <row r="44" spans="1:25" ht="15.75" thickBot="1">
      <c r="A44" s="74"/>
      <c r="B44" s="190"/>
      <c r="C44" s="96" t="s">
        <v>27</v>
      </c>
      <c r="D44" s="93"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226"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227"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1070</v>
      </c>
      <c r="G44" s="226"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227"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3547.5549999999998</v>
      </c>
      <c r="I44" s="226"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1546.1890000000001</v>
      </c>
      <c r="J44" s="227"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2290</v>
      </c>
      <c r="K44" s="226"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227"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139.5</v>
      </c>
      <c r="M44" s="226"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0</v>
      </c>
      <c r="N44" s="93">
        <f t="shared" si="1"/>
        <v>8593.2440000000006</v>
      </c>
      <c r="O44" s="67"/>
      <c r="P44" s="195"/>
      <c r="Q44" s="195"/>
      <c r="R44" s="195"/>
      <c r="S44" s="195"/>
      <c r="T44" s="195"/>
      <c r="U44" s="195"/>
      <c r="V44" s="195"/>
      <c r="W44" s="195"/>
      <c r="X44" s="195"/>
      <c r="Y44" s="195"/>
    </row>
    <row r="45" spans="1:25" ht="15.75" thickBot="1">
      <c r="A45" s="74"/>
      <c r="B45" s="189"/>
      <c r="C45" s="96" t="s">
        <v>28</v>
      </c>
      <c r="D45" s="93"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0</v>
      </c>
      <c r="E45" s="226"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227"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123.1</v>
      </c>
      <c r="G45" s="226"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227"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850.4</v>
      </c>
      <c r="I45" s="226"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1183.5</v>
      </c>
      <c r="J45" s="227"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0</v>
      </c>
      <c r="K45" s="226"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227"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1207.5</v>
      </c>
      <c r="M45" s="226"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93">
        <f t="shared" ref="N45" si="2">SUM(D45:M45)</f>
        <v>3364.5</v>
      </c>
      <c r="O45" s="67"/>
      <c r="P45" s="195"/>
      <c r="Q45" s="195"/>
      <c r="R45" s="195"/>
      <c r="S45" s="195"/>
      <c r="T45" s="195"/>
      <c r="U45" s="195"/>
      <c r="V45" s="195"/>
      <c r="W45" s="195"/>
      <c r="X45" s="195"/>
      <c r="Y45" s="195"/>
    </row>
    <row r="46" spans="1:25" ht="15.75" thickBot="1">
      <c r="A46" s="74"/>
      <c r="B46" s="99"/>
      <c r="C46" s="96" t="s">
        <v>29</v>
      </c>
      <c r="D46" s="93"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990</v>
      </c>
      <c r="E46" s="226"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207</v>
      </c>
      <c r="F46" s="227"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4471.8500000000004</v>
      </c>
      <c r="G46" s="226"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1957.0049999999999</v>
      </c>
      <c r="H46" s="227"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38685.42300000001</v>
      </c>
      <c r="I46" s="226"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73897.843000000008</v>
      </c>
      <c r="J46" s="227"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11377</v>
      </c>
      <c r="K46" s="226"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342.2</v>
      </c>
      <c r="L46" s="227"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32217.95</v>
      </c>
      <c r="M46" s="226"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886.8</v>
      </c>
      <c r="N46" s="93">
        <f>SUM(D46:M46)</f>
        <v>165033.07100000003</v>
      </c>
      <c r="O46" s="67"/>
      <c r="P46" s="195"/>
      <c r="Q46" s="195"/>
      <c r="R46" s="195"/>
      <c r="S46" s="195"/>
      <c r="T46" s="195"/>
      <c r="U46" s="195"/>
      <c r="V46" s="195"/>
      <c r="W46" s="195"/>
      <c r="X46" s="195"/>
      <c r="Y46" s="195"/>
    </row>
    <row r="47" spans="1:25" ht="15.75" thickBot="1">
      <c r="A47" s="74"/>
      <c r="B47" s="100"/>
      <c r="C47" s="96" t="s">
        <v>30</v>
      </c>
      <c r="D47" s="93"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500</v>
      </c>
      <c r="E47" s="226"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227"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361.2</v>
      </c>
      <c r="G47" s="226"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153.143</v>
      </c>
      <c r="H47" s="227"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226"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227"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226"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0</v>
      </c>
      <c r="L47" s="227"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226"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93">
        <f t="shared" si="1"/>
        <v>1014.3430000000001</v>
      </c>
      <c r="O47" s="67"/>
      <c r="P47" s="195"/>
      <c r="Q47" s="195"/>
      <c r="R47" s="195"/>
      <c r="S47" s="195"/>
      <c r="T47" s="195"/>
      <c r="U47" s="195"/>
      <c r="V47" s="195"/>
      <c r="W47" s="195"/>
      <c r="X47" s="195"/>
      <c r="Y47" s="195"/>
    </row>
    <row r="48" spans="1:25" ht="18.75" customHeight="1">
      <c r="A48" s="74"/>
      <c r="B48" s="74"/>
      <c r="C48" s="101" t="s">
        <v>31</v>
      </c>
      <c r="D48" s="102"/>
      <c r="E48" s="102"/>
      <c r="F48" s="102"/>
      <c r="G48" s="102"/>
      <c r="H48" s="102"/>
      <c r="I48" s="102"/>
      <c r="J48" s="102"/>
      <c r="K48" s="102"/>
      <c r="L48" s="102"/>
      <c r="M48" s="102"/>
      <c r="N48" s="74"/>
      <c r="O48" s="67"/>
    </row>
    <row r="49" spans="1:15" ht="13.35" customHeight="1">
      <c r="A49" s="74"/>
      <c r="B49" s="74"/>
      <c r="C49" s="103" t="s">
        <v>32</v>
      </c>
      <c r="D49" s="104"/>
      <c r="E49" s="104"/>
      <c r="F49" s="104"/>
      <c r="G49" s="104"/>
      <c r="H49" s="104"/>
      <c r="I49" s="104"/>
      <c r="J49" s="104"/>
      <c r="K49" s="104"/>
      <c r="L49" s="104"/>
      <c r="M49" s="74"/>
      <c r="N49" s="74"/>
      <c r="O49" s="67"/>
    </row>
    <row r="50" spans="1:15" ht="13.35" customHeight="1">
      <c r="A50" s="74"/>
      <c r="B50" s="74"/>
      <c r="C50" s="103" t="s">
        <v>33</v>
      </c>
      <c r="D50" s="74"/>
      <c r="E50" s="74"/>
      <c r="F50" s="74"/>
      <c r="G50" s="74"/>
      <c r="H50" s="74"/>
      <c r="I50" s="74"/>
      <c r="J50" s="74"/>
      <c r="K50" s="74"/>
      <c r="L50" s="74"/>
      <c r="M50" s="74"/>
      <c r="N50" s="74"/>
      <c r="O50" s="67"/>
    </row>
    <row r="51" spans="1:15" ht="13.35" customHeight="1">
      <c r="A51" s="74"/>
      <c r="B51" s="74"/>
      <c r="C51" s="103" t="s">
        <v>34</v>
      </c>
      <c r="D51" s="74"/>
      <c r="E51" s="74"/>
      <c r="F51" s="74"/>
      <c r="G51" s="74"/>
      <c r="H51" s="74"/>
      <c r="I51" s="74"/>
      <c r="J51" s="74"/>
      <c r="K51" s="74"/>
      <c r="L51" s="74"/>
      <c r="M51" s="74"/>
      <c r="N51" s="74"/>
      <c r="O51" s="67"/>
    </row>
    <row r="52" spans="1:15">
      <c r="A52" s="74"/>
      <c r="B52" s="74"/>
      <c r="C52" s="103" t="s">
        <v>35</v>
      </c>
      <c r="D52" s="74"/>
      <c r="E52" s="74"/>
      <c r="F52" s="74"/>
      <c r="G52" s="74"/>
      <c r="H52" s="74"/>
      <c r="I52" s="74"/>
      <c r="J52" s="74"/>
      <c r="K52" s="74"/>
      <c r="L52" s="74"/>
      <c r="M52" s="74"/>
      <c r="N52" s="74"/>
      <c r="O52" s="67"/>
    </row>
    <row r="53" spans="1:15">
      <c r="A53" s="74"/>
      <c r="B53" s="74"/>
      <c r="C53" s="103" t="s">
        <v>36</v>
      </c>
      <c r="D53" s="74"/>
      <c r="E53" s="74"/>
      <c r="F53" s="74"/>
      <c r="G53" s="74"/>
      <c r="H53" s="74"/>
      <c r="I53" s="74"/>
      <c r="J53" s="74"/>
      <c r="K53" s="74"/>
      <c r="L53" s="74"/>
      <c r="M53" s="74"/>
      <c r="N53" s="74"/>
      <c r="O53" s="67"/>
    </row>
    <row r="54" spans="1:15">
      <c r="A54" s="74"/>
      <c r="B54" s="74"/>
      <c r="C54" s="74"/>
      <c r="D54" s="74"/>
      <c r="E54" s="74"/>
      <c r="F54" s="74"/>
      <c r="G54" s="74"/>
      <c r="H54" s="74"/>
      <c r="I54" s="74"/>
      <c r="J54" s="74"/>
      <c r="K54" s="74"/>
      <c r="L54" s="74"/>
      <c r="M54" s="74"/>
      <c r="N54" s="74"/>
      <c r="O54" s="67"/>
    </row>
  </sheetData>
  <sheetProtection algorithmName="SHA-512" hashValue="Yu8cJjBvpV3qrHkGhH1rkCBhm7j47HVcQ9Waynaqut99nUpjF1gXdvZG7JWrzrSgMVv3CI8K7Nyt6WHv3q51/g==" saltValue="vXFLwcoCBU1pVgsCEuZLlA==" spinCount="100000" sheet="1" formatColumns="0" formatRows="0" sort="0" autoFilter="0" pivotTables="0"/>
  <mergeCells count="1">
    <mergeCell ref="D38:N38"/>
  </mergeCells>
  <dataValidations disablePrompts="1"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B8C5-6ACB-4F4F-9313-CC9C88FD8A4E}">
  <sheetPr codeName="Sheet3">
    <pageSetUpPr fitToPage="1"/>
  </sheetPr>
  <dimension ref="A1:H687"/>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defaultColWidth="9.42578125" defaultRowHeight="15"/>
  <cols>
    <col min="1" max="1" width="10.42578125" customWidth="1"/>
    <col min="2" max="2" width="6.42578125" customWidth="1"/>
    <col min="3" max="3" width="17.5703125" bestFit="1" customWidth="1"/>
    <col min="4" max="4" width="36.5703125" bestFit="1" customWidth="1"/>
    <col min="5" max="5" width="31.42578125" bestFit="1" customWidth="1"/>
    <col min="6" max="6" width="21.85546875" customWidth="1"/>
    <col min="7" max="7" width="71.42578125" customWidth="1"/>
    <col min="8" max="8" width="10.42578125" customWidth="1"/>
    <col min="9" max="10" width="9.42578125" customWidth="1"/>
    <col min="16" max="16" width="9.42578125" customWidth="1"/>
  </cols>
  <sheetData>
    <row r="1" spans="1:8" ht="19.5">
      <c r="A1" s="25" t="str">
        <f>" Change Log"</f>
        <v xml:space="preserve"> Change Log</v>
      </c>
      <c r="B1" s="24"/>
      <c r="C1" s="24"/>
      <c r="D1" s="24"/>
      <c r="E1" s="24"/>
      <c r="F1" s="64"/>
      <c r="G1" s="64"/>
      <c r="H1" s="24"/>
    </row>
    <row r="2" spans="1:8">
      <c r="A2" s="105" t="s">
        <v>37</v>
      </c>
      <c r="B2" s="24"/>
      <c r="C2" s="24"/>
      <c r="D2" s="24"/>
      <c r="E2" s="24"/>
      <c r="F2" s="64"/>
      <c r="G2" s="64"/>
      <c r="H2" s="24"/>
    </row>
    <row r="3" spans="1:8">
      <c r="A3" s="105" t="s">
        <v>38</v>
      </c>
      <c r="B3" s="24"/>
      <c r="C3" s="24"/>
      <c r="D3" s="24"/>
      <c r="E3" s="24"/>
      <c r="F3" s="64"/>
      <c r="G3" s="24"/>
      <c r="H3" s="24"/>
    </row>
    <row r="4" spans="1:8">
      <c r="A4" s="105"/>
      <c r="B4" s="24"/>
      <c r="C4" s="24"/>
      <c r="D4" s="24"/>
      <c r="E4" s="24"/>
      <c r="F4" s="64"/>
      <c r="G4" s="24"/>
      <c r="H4" s="24"/>
    </row>
    <row r="5" spans="1:8" ht="24">
      <c r="A5" s="115" t="s">
        <v>39</v>
      </c>
      <c r="B5" s="116" t="s">
        <v>6</v>
      </c>
      <c r="C5" s="116" t="s">
        <v>40</v>
      </c>
      <c r="D5" s="116" t="s">
        <v>41</v>
      </c>
      <c r="E5" s="116" t="s">
        <v>42</v>
      </c>
      <c r="F5" s="116" t="s">
        <v>43</v>
      </c>
      <c r="G5" s="116" t="s">
        <v>44</v>
      </c>
      <c r="H5" s="117" t="s">
        <v>45</v>
      </c>
    </row>
    <row r="6" spans="1:8">
      <c r="A6" s="118">
        <v>44764</v>
      </c>
      <c r="B6" s="119" t="s">
        <v>46</v>
      </c>
      <c r="C6" s="120" t="s">
        <v>51</v>
      </c>
      <c r="D6" s="286" t="s">
        <v>2062</v>
      </c>
      <c r="E6" s="121" t="s">
        <v>1741</v>
      </c>
      <c r="F6" s="119"/>
      <c r="G6" s="121" t="s">
        <v>28</v>
      </c>
      <c r="H6" s="118">
        <v>44764</v>
      </c>
    </row>
    <row r="7" spans="1:8">
      <c r="A7" s="236">
        <v>44764</v>
      </c>
      <c r="B7" s="237" t="s">
        <v>46</v>
      </c>
      <c r="C7" s="238" t="s">
        <v>51</v>
      </c>
      <c r="D7" s="239" t="s">
        <v>3141</v>
      </c>
      <c r="E7" s="240" t="s">
        <v>1741</v>
      </c>
      <c r="F7" s="237"/>
      <c r="G7" s="240" t="s">
        <v>28</v>
      </c>
      <c r="H7" s="236">
        <v>44764</v>
      </c>
    </row>
    <row r="8" spans="1:8">
      <c r="A8" s="236">
        <v>44764</v>
      </c>
      <c r="B8" s="237" t="s">
        <v>46</v>
      </c>
      <c r="C8" s="238" t="s">
        <v>51</v>
      </c>
      <c r="D8" s="239" t="s">
        <v>3142</v>
      </c>
      <c r="E8" s="240" t="s">
        <v>1741</v>
      </c>
      <c r="F8" s="237"/>
      <c r="G8" s="240" t="s">
        <v>28</v>
      </c>
      <c r="H8" s="236">
        <v>44764</v>
      </c>
    </row>
    <row r="9" spans="1:8">
      <c r="A9" s="231">
        <v>44764</v>
      </c>
      <c r="B9" s="232" t="s">
        <v>46</v>
      </c>
      <c r="C9" s="233" t="s">
        <v>47</v>
      </c>
      <c r="D9" s="234" t="s">
        <v>4107</v>
      </c>
      <c r="E9" s="235" t="s">
        <v>49</v>
      </c>
      <c r="F9" s="232"/>
      <c r="G9" s="235" t="s">
        <v>4108</v>
      </c>
      <c r="H9" s="231">
        <v>44764</v>
      </c>
    </row>
    <row r="10" spans="1:8">
      <c r="A10" s="236">
        <v>44764</v>
      </c>
      <c r="B10" s="237" t="s">
        <v>62</v>
      </c>
      <c r="C10" s="238" t="s">
        <v>51</v>
      </c>
      <c r="D10" s="239" t="s">
        <v>1929</v>
      </c>
      <c r="E10" s="240" t="s">
        <v>1930</v>
      </c>
      <c r="F10" s="237" t="s">
        <v>1931</v>
      </c>
      <c r="G10" s="240" t="s">
        <v>27</v>
      </c>
      <c r="H10" s="236">
        <v>44764</v>
      </c>
    </row>
    <row r="11" spans="1:8">
      <c r="A11" s="236">
        <v>44764</v>
      </c>
      <c r="B11" s="237" t="s">
        <v>62</v>
      </c>
      <c r="C11" s="238" t="s">
        <v>51</v>
      </c>
      <c r="D11" s="239" t="s">
        <v>1929</v>
      </c>
      <c r="E11" s="240" t="s">
        <v>1930</v>
      </c>
      <c r="F11" s="237" t="s">
        <v>1934</v>
      </c>
      <c r="G11" s="240" t="s">
        <v>27</v>
      </c>
      <c r="H11" s="236">
        <v>44764</v>
      </c>
    </row>
    <row r="12" spans="1:8">
      <c r="A12" s="231">
        <v>44764</v>
      </c>
      <c r="B12" s="232" t="s">
        <v>62</v>
      </c>
      <c r="C12" s="233" t="s">
        <v>51</v>
      </c>
      <c r="D12" s="234" t="s">
        <v>458</v>
      </c>
      <c r="E12" s="235" t="s">
        <v>459</v>
      </c>
      <c r="F12" s="232" t="s">
        <v>2215</v>
      </c>
      <c r="G12" s="235" t="s">
        <v>131</v>
      </c>
      <c r="H12" s="231">
        <v>44764</v>
      </c>
    </row>
    <row r="13" spans="1:8">
      <c r="A13" s="236">
        <v>44764</v>
      </c>
      <c r="B13" s="237" t="s">
        <v>62</v>
      </c>
      <c r="C13" s="238" t="s">
        <v>51</v>
      </c>
      <c r="D13" s="239" t="s">
        <v>2513</v>
      </c>
      <c r="E13" s="240" t="s">
        <v>2514</v>
      </c>
      <c r="F13" s="237"/>
      <c r="G13" s="240" t="s">
        <v>28</v>
      </c>
      <c r="H13" s="236">
        <v>44764</v>
      </c>
    </row>
    <row r="14" spans="1:8">
      <c r="A14" s="231">
        <v>44764</v>
      </c>
      <c r="B14" s="232" t="s">
        <v>62</v>
      </c>
      <c r="C14" s="233" t="s">
        <v>47</v>
      </c>
      <c r="D14" s="234" t="s">
        <v>4106</v>
      </c>
      <c r="E14" s="235" t="s">
        <v>75</v>
      </c>
      <c r="F14" s="232"/>
      <c r="G14" s="235" t="s">
        <v>4108</v>
      </c>
      <c r="H14" s="231">
        <v>44764</v>
      </c>
    </row>
    <row r="15" spans="1:8">
      <c r="A15" s="231">
        <v>44764</v>
      </c>
      <c r="B15" s="232" t="s">
        <v>62</v>
      </c>
      <c r="C15" s="233" t="s">
        <v>47</v>
      </c>
      <c r="D15" s="234" t="s">
        <v>4106</v>
      </c>
      <c r="E15" s="235" t="s">
        <v>75</v>
      </c>
      <c r="F15" s="232"/>
      <c r="G15" s="235" t="s">
        <v>4108</v>
      </c>
      <c r="H15" s="231">
        <v>44764</v>
      </c>
    </row>
    <row r="16" spans="1:8" ht="22.5">
      <c r="A16" s="231">
        <v>44764</v>
      </c>
      <c r="B16" s="232" t="s">
        <v>80</v>
      </c>
      <c r="C16" s="233" t="s">
        <v>47</v>
      </c>
      <c r="D16" s="234" t="s">
        <v>194</v>
      </c>
      <c r="E16" s="235" t="s">
        <v>82</v>
      </c>
      <c r="F16" s="232" t="s">
        <v>195</v>
      </c>
      <c r="G16" s="235" t="s">
        <v>4114</v>
      </c>
      <c r="H16" s="231">
        <v>44764</v>
      </c>
    </row>
    <row r="17" spans="1:8">
      <c r="A17" s="236">
        <v>44764</v>
      </c>
      <c r="B17" s="237" t="s">
        <v>100</v>
      </c>
      <c r="C17" s="238" t="s">
        <v>51</v>
      </c>
      <c r="D17" s="239" t="s">
        <v>266</v>
      </c>
      <c r="E17" s="240" t="s">
        <v>267</v>
      </c>
      <c r="F17" s="237"/>
      <c r="G17" s="240" t="s">
        <v>27</v>
      </c>
      <c r="H17" s="236">
        <v>44764</v>
      </c>
    </row>
    <row r="18" spans="1:8" ht="22.5">
      <c r="A18" s="236">
        <v>44764</v>
      </c>
      <c r="B18" s="237" t="s">
        <v>100</v>
      </c>
      <c r="C18" s="238" t="s">
        <v>51</v>
      </c>
      <c r="D18" s="239" t="s">
        <v>365</v>
      </c>
      <c r="E18" s="240" t="s">
        <v>366</v>
      </c>
      <c r="F18" s="237" t="s">
        <v>367</v>
      </c>
      <c r="G18" s="240" t="s">
        <v>55</v>
      </c>
      <c r="H18" s="236">
        <v>44764</v>
      </c>
    </row>
    <row r="19" spans="1:8">
      <c r="A19" s="231">
        <v>44764</v>
      </c>
      <c r="B19" s="232" t="s">
        <v>100</v>
      </c>
      <c r="C19" s="233" t="s">
        <v>47</v>
      </c>
      <c r="D19" s="234" t="s">
        <v>4105</v>
      </c>
      <c r="E19" s="235" t="s">
        <v>298</v>
      </c>
      <c r="F19" s="232"/>
      <c r="G19" s="235" t="s">
        <v>4108</v>
      </c>
      <c r="H19" s="231">
        <v>44764</v>
      </c>
    </row>
    <row r="20" spans="1:8">
      <c r="A20" s="118">
        <v>44727</v>
      </c>
      <c r="B20" s="119" t="s">
        <v>46</v>
      </c>
      <c r="C20" s="120" t="s">
        <v>47</v>
      </c>
      <c r="D20" s="286" t="s">
        <v>48</v>
      </c>
      <c r="E20" s="121" t="s">
        <v>49</v>
      </c>
      <c r="F20" s="119"/>
      <c r="G20" s="121" t="s">
        <v>50</v>
      </c>
      <c r="H20" s="118">
        <v>44727</v>
      </c>
    </row>
    <row r="21" spans="1:8">
      <c r="A21" s="123">
        <v>44727</v>
      </c>
      <c r="B21" s="119" t="s">
        <v>46</v>
      </c>
      <c r="C21" s="120" t="s">
        <v>51</v>
      </c>
      <c r="D21" s="192" t="s">
        <v>52</v>
      </c>
      <c r="E21" s="121" t="s">
        <v>53</v>
      </c>
      <c r="F21" s="119" t="s">
        <v>54</v>
      </c>
      <c r="G21" s="121" t="s">
        <v>55</v>
      </c>
      <c r="H21" s="123">
        <v>44727</v>
      </c>
    </row>
    <row r="22" spans="1:8">
      <c r="A22" s="123">
        <v>44727</v>
      </c>
      <c r="B22" s="119" t="s">
        <v>46</v>
      </c>
      <c r="C22" s="120" t="s">
        <v>47</v>
      </c>
      <c r="D22" s="192" t="s">
        <v>56</v>
      </c>
      <c r="E22" s="121" t="s">
        <v>57</v>
      </c>
      <c r="F22" s="119"/>
      <c r="G22" s="121" t="s">
        <v>50</v>
      </c>
      <c r="H22" s="118">
        <v>44727</v>
      </c>
    </row>
    <row r="23" spans="1:8">
      <c r="A23" s="123">
        <v>44727</v>
      </c>
      <c r="B23" s="119" t="s">
        <v>46</v>
      </c>
      <c r="C23" s="120" t="s">
        <v>47</v>
      </c>
      <c r="D23" s="192" t="s">
        <v>58</v>
      </c>
      <c r="E23" s="121" t="s">
        <v>59</v>
      </c>
      <c r="F23" s="119"/>
      <c r="G23" s="121" t="s">
        <v>50</v>
      </c>
      <c r="H23" s="118">
        <v>44727</v>
      </c>
    </row>
    <row r="24" spans="1:8">
      <c r="A24" s="123">
        <v>44727</v>
      </c>
      <c r="B24" s="119" t="s">
        <v>46</v>
      </c>
      <c r="C24" s="120" t="s">
        <v>47</v>
      </c>
      <c r="D24" s="192" t="s">
        <v>60</v>
      </c>
      <c r="E24" s="121" t="s">
        <v>61</v>
      </c>
      <c r="F24" s="119"/>
      <c r="G24" s="121" t="s">
        <v>50</v>
      </c>
      <c r="H24" s="118">
        <v>44727</v>
      </c>
    </row>
    <row r="25" spans="1:8">
      <c r="A25" s="123">
        <v>44727</v>
      </c>
      <c r="B25" s="119" t="s">
        <v>46</v>
      </c>
      <c r="C25" s="120" t="s">
        <v>47</v>
      </c>
      <c r="D25" s="192" t="s">
        <v>66</v>
      </c>
      <c r="E25" s="121" t="s">
        <v>67</v>
      </c>
      <c r="F25" s="119"/>
      <c r="G25" s="121" t="s">
        <v>50</v>
      </c>
      <c r="H25" s="118">
        <v>44727</v>
      </c>
    </row>
    <row r="26" spans="1:8">
      <c r="A26" s="123">
        <v>44727</v>
      </c>
      <c r="B26" s="119" t="s">
        <v>62</v>
      </c>
      <c r="C26" s="120" t="s">
        <v>47</v>
      </c>
      <c r="D26" s="192" t="s">
        <v>68</v>
      </c>
      <c r="E26" s="121" t="s">
        <v>69</v>
      </c>
      <c r="F26" s="119"/>
      <c r="G26" s="121" t="s">
        <v>50</v>
      </c>
      <c r="H26" s="118">
        <v>44727</v>
      </c>
    </row>
    <row r="27" spans="1:8">
      <c r="A27" s="123">
        <v>44727</v>
      </c>
      <c r="B27" s="119" t="s">
        <v>62</v>
      </c>
      <c r="C27" s="120" t="s">
        <v>47</v>
      </c>
      <c r="D27" s="192" t="s">
        <v>70</v>
      </c>
      <c r="E27" s="121" t="s">
        <v>71</v>
      </c>
      <c r="F27" s="119"/>
      <c r="G27" s="121" t="s">
        <v>50</v>
      </c>
      <c r="H27" s="118">
        <v>44727</v>
      </c>
    </row>
    <row r="28" spans="1:8">
      <c r="A28" s="123">
        <v>44727</v>
      </c>
      <c r="B28" s="119" t="s">
        <v>62</v>
      </c>
      <c r="C28" s="120" t="s">
        <v>47</v>
      </c>
      <c r="D28" s="192" t="s">
        <v>72</v>
      </c>
      <c r="E28" s="121" t="s">
        <v>73</v>
      </c>
      <c r="F28" s="119"/>
      <c r="G28" s="121" t="s">
        <v>50</v>
      </c>
      <c r="H28" s="118">
        <v>44727</v>
      </c>
    </row>
    <row r="29" spans="1:8">
      <c r="A29" s="123">
        <v>44727</v>
      </c>
      <c r="B29" s="119" t="s">
        <v>62</v>
      </c>
      <c r="C29" s="120" t="s">
        <v>47</v>
      </c>
      <c r="D29" s="192" t="s">
        <v>74</v>
      </c>
      <c r="E29" s="121" t="s">
        <v>75</v>
      </c>
      <c r="F29" s="119"/>
      <c r="G29" s="121" t="s">
        <v>50</v>
      </c>
      <c r="H29" s="118">
        <v>44727</v>
      </c>
    </row>
    <row r="30" spans="1:8">
      <c r="A30" s="123">
        <v>44727</v>
      </c>
      <c r="B30" s="119" t="s">
        <v>62</v>
      </c>
      <c r="C30" s="120" t="s">
        <v>47</v>
      </c>
      <c r="D30" s="192" t="s">
        <v>76</v>
      </c>
      <c r="E30" s="121" t="s">
        <v>75</v>
      </c>
      <c r="F30" s="119" t="s">
        <v>77</v>
      </c>
      <c r="G30" s="121" t="s">
        <v>50</v>
      </c>
      <c r="H30" s="118">
        <v>44727</v>
      </c>
    </row>
    <row r="31" spans="1:8">
      <c r="A31" s="123">
        <v>44727</v>
      </c>
      <c r="B31" s="119" t="s">
        <v>62</v>
      </c>
      <c r="C31" s="120" t="s">
        <v>51</v>
      </c>
      <c r="D31" s="192" t="s">
        <v>63</v>
      </c>
      <c r="E31" s="121" t="s">
        <v>64</v>
      </c>
      <c r="F31" s="119" t="s">
        <v>65</v>
      </c>
      <c r="G31" s="121" t="s">
        <v>27</v>
      </c>
      <c r="H31" s="123">
        <v>44727</v>
      </c>
    </row>
    <row r="32" spans="1:8">
      <c r="A32" s="123">
        <v>44727</v>
      </c>
      <c r="B32" s="119" t="s">
        <v>62</v>
      </c>
      <c r="C32" s="120" t="s">
        <v>47</v>
      </c>
      <c r="D32" s="192" t="s">
        <v>78</v>
      </c>
      <c r="E32" s="121" t="s">
        <v>73</v>
      </c>
      <c r="F32" s="119"/>
      <c r="G32" s="121" t="s">
        <v>50</v>
      </c>
      <c r="H32" s="118">
        <v>44727</v>
      </c>
    </row>
    <row r="33" spans="1:8">
      <c r="A33" s="123">
        <v>44727</v>
      </c>
      <c r="B33" s="119" t="s">
        <v>62</v>
      </c>
      <c r="C33" s="120" t="s">
        <v>47</v>
      </c>
      <c r="D33" s="192" t="s">
        <v>79</v>
      </c>
      <c r="E33" s="121" t="s">
        <v>73</v>
      </c>
      <c r="F33" s="119"/>
      <c r="G33" s="121" t="s">
        <v>50</v>
      </c>
      <c r="H33" s="118">
        <v>44727</v>
      </c>
    </row>
    <row r="34" spans="1:8">
      <c r="A34" s="118">
        <v>44727</v>
      </c>
      <c r="B34" s="119" t="s">
        <v>80</v>
      </c>
      <c r="C34" s="120" t="s">
        <v>51</v>
      </c>
      <c r="D34" s="192" t="s">
        <v>81</v>
      </c>
      <c r="E34" s="215" t="s">
        <v>82</v>
      </c>
      <c r="F34" s="119" t="s">
        <v>83</v>
      </c>
      <c r="G34" s="121" t="s">
        <v>27</v>
      </c>
      <c r="H34" s="118">
        <v>44727</v>
      </c>
    </row>
    <row r="35" spans="1:8">
      <c r="A35" s="118">
        <v>44727</v>
      </c>
      <c r="B35" s="119" t="s">
        <v>80</v>
      </c>
      <c r="C35" s="120" t="s">
        <v>51</v>
      </c>
      <c r="D35" s="192" t="s">
        <v>81</v>
      </c>
      <c r="E35" s="215" t="s">
        <v>82</v>
      </c>
      <c r="F35" s="119" t="s">
        <v>84</v>
      </c>
      <c r="G35" s="121" t="s">
        <v>27</v>
      </c>
      <c r="H35" s="118">
        <v>44727</v>
      </c>
    </row>
    <row r="36" spans="1:8">
      <c r="A36" s="118">
        <v>44727</v>
      </c>
      <c r="B36" s="119" t="s">
        <v>80</v>
      </c>
      <c r="C36" s="120" t="s">
        <v>51</v>
      </c>
      <c r="D36" s="192" t="s">
        <v>81</v>
      </c>
      <c r="E36" s="215" t="s">
        <v>82</v>
      </c>
      <c r="F36" s="119" t="s">
        <v>85</v>
      </c>
      <c r="G36" s="121" t="s">
        <v>27</v>
      </c>
      <c r="H36" s="118">
        <v>44727</v>
      </c>
    </row>
    <row r="37" spans="1:8">
      <c r="A37" s="118">
        <v>44727</v>
      </c>
      <c r="B37" s="119" t="s">
        <v>80</v>
      </c>
      <c r="C37" s="120" t="s">
        <v>51</v>
      </c>
      <c r="D37" s="192" t="s">
        <v>86</v>
      </c>
      <c r="E37" s="215" t="s">
        <v>82</v>
      </c>
      <c r="F37" s="119" t="s">
        <v>87</v>
      </c>
      <c r="G37" s="121" t="s">
        <v>27</v>
      </c>
      <c r="H37" s="118">
        <v>44727</v>
      </c>
    </row>
    <row r="38" spans="1:8">
      <c r="A38" s="123">
        <v>44727</v>
      </c>
      <c r="B38" s="119" t="s">
        <v>80</v>
      </c>
      <c r="C38" s="120" t="s">
        <v>47</v>
      </c>
      <c r="D38" s="192" t="s">
        <v>88</v>
      </c>
      <c r="E38" s="121" t="s">
        <v>89</v>
      </c>
      <c r="F38" s="119"/>
      <c r="G38" s="121" t="s">
        <v>50</v>
      </c>
      <c r="H38" s="118">
        <v>44727</v>
      </c>
    </row>
    <row r="39" spans="1:8" ht="22.5">
      <c r="A39" s="118">
        <v>44727</v>
      </c>
      <c r="B39" s="119" t="s">
        <v>80</v>
      </c>
      <c r="C39" s="120" t="s">
        <v>51</v>
      </c>
      <c r="D39" s="192" t="s">
        <v>90</v>
      </c>
      <c r="E39" s="121" t="s">
        <v>82</v>
      </c>
      <c r="F39" s="119" t="s">
        <v>91</v>
      </c>
      <c r="G39" s="121" t="s">
        <v>27</v>
      </c>
      <c r="H39" s="123">
        <v>44727</v>
      </c>
    </row>
    <row r="40" spans="1:8" ht="22.5">
      <c r="A40" s="118">
        <v>44727</v>
      </c>
      <c r="B40" s="119" t="s">
        <v>80</v>
      </c>
      <c r="C40" s="120" t="s">
        <v>51</v>
      </c>
      <c r="D40" s="192" t="s">
        <v>92</v>
      </c>
      <c r="E40" s="121" t="s">
        <v>82</v>
      </c>
      <c r="F40" s="119" t="s">
        <v>93</v>
      </c>
      <c r="G40" s="121" t="s">
        <v>94</v>
      </c>
      <c r="H40" s="123">
        <v>44727</v>
      </c>
    </row>
    <row r="41" spans="1:8">
      <c r="A41" s="118">
        <v>44727</v>
      </c>
      <c r="B41" s="119" t="s">
        <v>95</v>
      </c>
      <c r="C41" s="120" t="s">
        <v>47</v>
      </c>
      <c r="D41" s="192" t="s">
        <v>96</v>
      </c>
      <c r="E41" s="215" t="s">
        <v>97</v>
      </c>
      <c r="F41" s="119" t="s">
        <v>98</v>
      </c>
      <c r="G41" s="121" t="s">
        <v>99</v>
      </c>
      <c r="H41" s="118">
        <v>44727</v>
      </c>
    </row>
    <row r="42" spans="1:8">
      <c r="A42" s="123">
        <v>44727</v>
      </c>
      <c r="B42" s="119" t="s">
        <v>100</v>
      </c>
      <c r="C42" s="120" t="s">
        <v>47</v>
      </c>
      <c r="D42" s="192" t="s">
        <v>101</v>
      </c>
      <c r="E42" s="121" t="s">
        <v>102</v>
      </c>
      <c r="F42" s="119"/>
      <c r="G42" s="121" t="s">
        <v>50</v>
      </c>
      <c r="H42" s="118">
        <v>44727</v>
      </c>
    </row>
    <row r="43" spans="1:8">
      <c r="A43" s="118">
        <v>44727</v>
      </c>
      <c r="B43" s="119" t="s">
        <v>100</v>
      </c>
      <c r="C43" s="120" t="s">
        <v>51</v>
      </c>
      <c r="D43" s="192" t="s">
        <v>103</v>
      </c>
      <c r="E43" s="215" t="s">
        <v>104</v>
      </c>
      <c r="F43" s="119" t="s">
        <v>105</v>
      </c>
      <c r="G43" s="121" t="s">
        <v>55</v>
      </c>
      <c r="H43" s="118">
        <v>44727</v>
      </c>
    </row>
    <row r="44" spans="1:8">
      <c r="A44" s="123">
        <v>44727</v>
      </c>
      <c r="B44" s="119" t="s">
        <v>100</v>
      </c>
      <c r="C44" s="120" t="s">
        <v>47</v>
      </c>
      <c r="D44" s="192" t="s">
        <v>106</v>
      </c>
      <c r="E44" s="121" t="s">
        <v>107</v>
      </c>
      <c r="F44" s="119"/>
      <c r="G44" s="121" t="s">
        <v>50</v>
      </c>
      <c r="H44" s="118">
        <v>44727</v>
      </c>
    </row>
    <row r="45" spans="1:8">
      <c r="A45" s="118">
        <v>44727</v>
      </c>
      <c r="B45" s="119" t="s">
        <v>100</v>
      </c>
      <c r="C45" s="120" t="s">
        <v>51</v>
      </c>
      <c r="D45" s="192" t="s">
        <v>108</v>
      </c>
      <c r="E45" s="215" t="s">
        <v>109</v>
      </c>
      <c r="F45" s="119" t="s">
        <v>110</v>
      </c>
      <c r="G45" s="121" t="s">
        <v>55</v>
      </c>
      <c r="H45" s="118">
        <v>44727</v>
      </c>
    </row>
    <row r="46" spans="1:8">
      <c r="A46" s="118">
        <v>44727</v>
      </c>
      <c r="B46" s="119" t="s">
        <v>100</v>
      </c>
      <c r="C46" s="120" t="s">
        <v>51</v>
      </c>
      <c r="D46" s="192" t="s">
        <v>111</v>
      </c>
      <c r="E46" s="215" t="s">
        <v>112</v>
      </c>
      <c r="F46" s="119" t="s">
        <v>113</v>
      </c>
      <c r="G46" s="121" t="s">
        <v>55</v>
      </c>
      <c r="H46" s="118">
        <v>44727</v>
      </c>
    </row>
    <row r="47" spans="1:8">
      <c r="A47" s="118">
        <v>44712</v>
      </c>
      <c r="B47" s="119" t="s">
        <v>46</v>
      </c>
      <c r="C47" s="120" t="s">
        <v>51</v>
      </c>
      <c r="D47" s="286" t="s">
        <v>114</v>
      </c>
      <c r="E47" s="121" t="s">
        <v>115</v>
      </c>
      <c r="F47" s="119"/>
      <c r="G47" s="121" t="s">
        <v>28</v>
      </c>
      <c r="H47" s="118">
        <v>44712</v>
      </c>
    </row>
    <row r="48" spans="1:8">
      <c r="A48" s="123">
        <v>44712</v>
      </c>
      <c r="B48" s="119" t="s">
        <v>46</v>
      </c>
      <c r="C48" s="120" t="s">
        <v>51</v>
      </c>
      <c r="D48" s="192" t="s">
        <v>116</v>
      </c>
      <c r="E48" s="121" t="s">
        <v>117</v>
      </c>
      <c r="F48" s="119"/>
      <c r="G48" s="121" t="s">
        <v>27</v>
      </c>
      <c r="H48" s="123">
        <v>44712</v>
      </c>
    </row>
    <row r="49" spans="1:8">
      <c r="A49" s="123">
        <v>44712</v>
      </c>
      <c r="B49" s="119" t="s">
        <v>46</v>
      </c>
      <c r="C49" s="120" t="s">
        <v>51</v>
      </c>
      <c r="D49" s="192" t="s">
        <v>118</v>
      </c>
      <c r="E49" s="121" t="s">
        <v>119</v>
      </c>
      <c r="F49" s="119"/>
      <c r="G49" s="121" t="s">
        <v>27</v>
      </c>
      <c r="H49" s="123">
        <v>44712</v>
      </c>
    </row>
    <row r="50" spans="1:8">
      <c r="A50" s="123">
        <v>44712</v>
      </c>
      <c r="B50" s="119" t="s">
        <v>62</v>
      </c>
      <c r="C50" s="120" t="s">
        <v>51</v>
      </c>
      <c r="D50" s="192" t="s">
        <v>120</v>
      </c>
      <c r="E50" s="121" t="s">
        <v>115</v>
      </c>
      <c r="F50" s="119"/>
      <c r="G50" s="121" t="s">
        <v>28</v>
      </c>
      <c r="H50" s="123">
        <v>44712</v>
      </c>
    </row>
    <row r="51" spans="1:8">
      <c r="A51" s="123">
        <v>44712</v>
      </c>
      <c r="B51" s="119" t="s">
        <v>80</v>
      </c>
      <c r="C51" s="120" t="s">
        <v>51</v>
      </c>
      <c r="D51" s="192" t="s">
        <v>86</v>
      </c>
      <c r="E51" s="121" t="s">
        <v>82</v>
      </c>
      <c r="F51" s="119" t="s">
        <v>121</v>
      </c>
      <c r="G51" s="121" t="s">
        <v>27</v>
      </c>
      <c r="H51" s="123">
        <v>44712</v>
      </c>
    </row>
    <row r="52" spans="1:8">
      <c r="A52" s="123">
        <v>44712</v>
      </c>
      <c r="B52" s="119" t="s">
        <v>80</v>
      </c>
      <c r="C52" s="120" t="s">
        <v>51</v>
      </c>
      <c r="D52" s="192" t="s">
        <v>122</v>
      </c>
      <c r="E52" s="121" t="s">
        <v>82</v>
      </c>
      <c r="F52" s="119" t="s">
        <v>123</v>
      </c>
      <c r="G52" s="121" t="s">
        <v>27</v>
      </c>
      <c r="H52" s="123">
        <v>44712</v>
      </c>
    </row>
    <row r="53" spans="1:8">
      <c r="A53" s="123">
        <v>44712</v>
      </c>
      <c r="B53" s="119" t="s">
        <v>80</v>
      </c>
      <c r="C53" s="120" t="s">
        <v>51</v>
      </c>
      <c r="D53" s="192" t="s">
        <v>122</v>
      </c>
      <c r="E53" s="121" t="s">
        <v>82</v>
      </c>
      <c r="F53" s="119" t="s">
        <v>124</v>
      </c>
      <c r="G53" s="121" t="s">
        <v>27</v>
      </c>
      <c r="H53" s="123">
        <v>44712</v>
      </c>
    </row>
    <row r="54" spans="1:8">
      <c r="A54" s="123">
        <v>44712</v>
      </c>
      <c r="B54" s="119" t="s">
        <v>80</v>
      </c>
      <c r="C54" s="120" t="s">
        <v>51</v>
      </c>
      <c r="D54" s="192" t="s">
        <v>125</v>
      </c>
      <c r="E54" s="121" t="s">
        <v>82</v>
      </c>
      <c r="F54" s="119" t="s">
        <v>126</v>
      </c>
      <c r="G54" s="121" t="s">
        <v>27</v>
      </c>
      <c r="H54" s="123">
        <v>44712</v>
      </c>
    </row>
    <row r="55" spans="1:8">
      <c r="A55" s="123">
        <v>44712</v>
      </c>
      <c r="B55" s="119" t="s">
        <v>80</v>
      </c>
      <c r="C55" s="120" t="s">
        <v>51</v>
      </c>
      <c r="D55" s="192" t="s">
        <v>125</v>
      </c>
      <c r="E55" s="121" t="s">
        <v>82</v>
      </c>
      <c r="F55" s="119" t="s">
        <v>127</v>
      </c>
      <c r="G55" s="121" t="s">
        <v>27</v>
      </c>
      <c r="H55" s="123">
        <v>44712</v>
      </c>
    </row>
    <row r="56" spans="1:8">
      <c r="A56" s="123">
        <v>44712</v>
      </c>
      <c r="B56" s="119" t="s">
        <v>80</v>
      </c>
      <c r="C56" s="120" t="s">
        <v>51</v>
      </c>
      <c r="D56" s="192" t="s">
        <v>128</v>
      </c>
      <c r="E56" s="121" t="s">
        <v>129</v>
      </c>
      <c r="F56" s="119" t="s">
        <v>130</v>
      </c>
      <c r="G56" s="121" t="s">
        <v>131</v>
      </c>
      <c r="H56" s="123">
        <v>44712</v>
      </c>
    </row>
    <row r="57" spans="1:8">
      <c r="A57" s="123">
        <v>44712</v>
      </c>
      <c r="B57" s="119" t="s">
        <v>80</v>
      </c>
      <c r="C57" s="120" t="s">
        <v>51</v>
      </c>
      <c r="D57" s="192" t="s">
        <v>132</v>
      </c>
      <c r="E57" s="121" t="s">
        <v>133</v>
      </c>
      <c r="F57" s="119" t="s">
        <v>134</v>
      </c>
      <c r="G57" s="121" t="s">
        <v>131</v>
      </c>
      <c r="H57" s="123">
        <v>44712</v>
      </c>
    </row>
    <row r="58" spans="1:8">
      <c r="A58" s="123">
        <v>44712</v>
      </c>
      <c r="B58" s="119" t="s">
        <v>80</v>
      </c>
      <c r="C58" s="120" t="s">
        <v>51</v>
      </c>
      <c r="D58" s="192" t="s">
        <v>135</v>
      </c>
      <c r="E58" s="121" t="s">
        <v>69</v>
      </c>
      <c r="F58" s="119"/>
      <c r="G58" s="121" t="s">
        <v>28</v>
      </c>
      <c r="H58" s="123">
        <v>44712</v>
      </c>
    </row>
    <row r="59" spans="1:8">
      <c r="A59" s="123">
        <v>44712</v>
      </c>
      <c r="B59" s="119" t="s">
        <v>80</v>
      </c>
      <c r="C59" s="120" t="s">
        <v>51</v>
      </c>
      <c r="D59" s="192" t="s">
        <v>136</v>
      </c>
      <c r="E59" s="121" t="s">
        <v>69</v>
      </c>
      <c r="F59" s="119"/>
      <c r="G59" s="121" t="s">
        <v>27</v>
      </c>
      <c r="H59" s="123">
        <v>44712</v>
      </c>
    </row>
    <row r="60" spans="1:8">
      <c r="A60" s="123">
        <v>44712</v>
      </c>
      <c r="B60" s="119" t="s">
        <v>100</v>
      </c>
      <c r="C60" s="120" t="s">
        <v>51</v>
      </c>
      <c r="D60" s="192" t="s">
        <v>137</v>
      </c>
      <c r="E60" s="121" t="s">
        <v>138</v>
      </c>
      <c r="F60" s="119"/>
      <c r="G60" s="121" t="s">
        <v>28</v>
      </c>
      <c r="H60" s="123">
        <v>44712</v>
      </c>
    </row>
    <row r="61" spans="1:8">
      <c r="A61" s="118">
        <v>44614</v>
      </c>
      <c r="B61" s="119" t="s">
        <v>46</v>
      </c>
      <c r="C61" s="120" t="s">
        <v>141</v>
      </c>
      <c r="D61" s="286" t="s">
        <v>142</v>
      </c>
      <c r="E61" s="121" t="s">
        <v>143</v>
      </c>
      <c r="F61" s="119" t="s">
        <v>144</v>
      </c>
      <c r="G61" s="121" t="s">
        <v>145</v>
      </c>
      <c r="H61" s="118">
        <v>44614</v>
      </c>
    </row>
    <row r="62" spans="1:8">
      <c r="A62" s="118">
        <v>44614</v>
      </c>
      <c r="B62" s="119" t="s">
        <v>46</v>
      </c>
      <c r="C62" s="120" t="s">
        <v>146</v>
      </c>
      <c r="D62" s="192" t="s">
        <v>147</v>
      </c>
      <c r="E62" s="241" t="s">
        <v>148</v>
      </c>
      <c r="F62" s="119" t="s">
        <v>149</v>
      </c>
      <c r="G62" s="121" t="s">
        <v>150</v>
      </c>
      <c r="H62" s="118">
        <v>44614</v>
      </c>
    </row>
    <row r="63" spans="1:8">
      <c r="A63" s="118">
        <v>44614</v>
      </c>
      <c r="B63" s="119" t="s">
        <v>46</v>
      </c>
      <c r="C63" s="120" t="s">
        <v>151</v>
      </c>
      <c r="D63" s="192" t="s">
        <v>152</v>
      </c>
      <c r="E63" s="162" t="s">
        <v>153</v>
      </c>
      <c r="F63" s="119"/>
      <c r="G63" s="121" t="s">
        <v>154</v>
      </c>
      <c r="H63" s="118">
        <v>44614</v>
      </c>
    </row>
    <row r="64" spans="1:8">
      <c r="A64" s="123">
        <v>44614</v>
      </c>
      <c r="B64" s="119" t="s">
        <v>46</v>
      </c>
      <c r="C64" s="120" t="s">
        <v>51</v>
      </c>
      <c r="D64" s="192" t="s">
        <v>139</v>
      </c>
      <c r="E64" s="216" t="s">
        <v>140</v>
      </c>
      <c r="F64" s="119"/>
      <c r="G64" s="121" t="s">
        <v>94</v>
      </c>
      <c r="H64" s="123">
        <v>44614</v>
      </c>
    </row>
    <row r="65" spans="1:8">
      <c r="A65" s="118">
        <v>44614</v>
      </c>
      <c r="B65" s="119" t="s">
        <v>100</v>
      </c>
      <c r="C65" s="120" t="s">
        <v>141</v>
      </c>
      <c r="D65" s="192" t="s">
        <v>155</v>
      </c>
      <c r="E65" s="162" t="s">
        <v>156</v>
      </c>
      <c r="F65" s="119" t="s">
        <v>157</v>
      </c>
      <c r="G65" s="121" t="s">
        <v>158</v>
      </c>
      <c r="H65" s="118">
        <v>44614</v>
      </c>
    </row>
    <row r="66" spans="1:8">
      <c r="A66" s="118">
        <v>44600</v>
      </c>
      <c r="B66" s="119" t="s">
        <v>100</v>
      </c>
      <c r="C66" s="120" t="s">
        <v>51</v>
      </c>
      <c r="D66" s="192" t="s">
        <v>159</v>
      </c>
      <c r="E66" s="121" t="s">
        <v>160</v>
      </c>
      <c r="F66" s="119" t="s">
        <v>161</v>
      </c>
      <c r="G66" s="121" t="s">
        <v>55</v>
      </c>
      <c r="H66" s="118">
        <v>44600</v>
      </c>
    </row>
    <row r="67" spans="1:8">
      <c r="A67" s="118">
        <v>44582</v>
      </c>
      <c r="B67" s="119" t="s">
        <v>46</v>
      </c>
      <c r="C67" s="120" t="s">
        <v>51</v>
      </c>
      <c r="D67" s="192" t="s">
        <v>162</v>
      </c>
      <c r="E67" s="121" t="s">
        <v>163</v>
      </c>
      <c r="F67" s="119"/>
      <c r="G67" s="121" t="s">
        <v>27</v>
      </c>
      <c r="H67" s="118">
        <v>44582</v>
      </c>
    </row>
    <row r="68" spans="1:8" ht="22.5">
      <c r="A68" s="118">
        <v>44582</v>
      </c>
      <c r="B68" s="119" t="s">
        <v>46</v>
      </c>
      <c r="C68" s="120" t="s">
        <v>47</v>
      </c>
      <c r="D68" s="192" t="s">
        <v>164</v>
      </c>
      <c r="E68" s="121" t="s">
        <v>165</v>
      </c>
      <c r="F68" s="119" t="s">
        <v>166</v>
      </c>
      <c r="G68" s="121" t="s">
        <v>167</v>
      </c>
      <c r="H68" s="118">
        <v>44582</v>
      </c>
    </row>
    <row r="69" spans="1:8" ht="22.5">
      <c r="A69" s="118">
        <v>44582</v>
      </c>
      <c r="B69" s="119" t="s">
        <v>46</v>
      </c>
      <c r="C69" s="120" t="s">
        <v>51</v>
      </c>
      <c r="D69" s="192" t="s">
        <v>168</v>
      </c>
      <c r="E69" s="121" t="s">
        <v>169</v>
      </c>
      <c r="F69" s="119" t="s">
        <v>170</v>
      </c>
      <c r="G69" s="121" t="s">
        <v>55</v>
      </c>
      <c r="H69" s="118">
        <v>44582</v>
      </c>
    </row>
    <row r="70" spans="1:8" ht="22.5">
      <c r="A70" s="118">
        <v>44582</v>
      </c>
      <c r="B70" s="119" t="s">
        <v>46</v>
      </c>
      <c r="C70" s="120" t="s">
        <v>51</v>
      </c>
      <c r="D70" s="192" t="s">
        <v>171</v>
      </c>
      <c r="E70" s="121" t="s">
        <v>172</v>
      </c>
      <c r="F70" s="119" t="s">
        <v>173</v>
      </c>
      <c r="G70" s="121" t="s">
        <v>131</v>
      </c>
      <c r="H70" s="118">
        <v>44582</v>
      </c>
    </row>
    <row r="71" spans="1:8">
      <c r="A71" s="118">
        <v>44582</v>
      </c>
      <c r="B71" s="119" t="s">
        <v>46</v>
      </c>
      <c r="C71" s="120" t="s">
        <v>51</v>
      </c>
      <c r="D71" s="192" t="s">
        <v>174</v>
      </c>
      <c r="E71" s="121" t="s">
        <v>175</v>
      </c>
      <c r="F71" s="119" t="s">
        <v>176</v>
      </c>
      <c r="G71" s="121" t="s">
        <v>30</v>
      </c>
      <c r="H71" s="118">
        <v>44582</v>
      </c>
    </row>
    <row r="72" spans="1:8">
      <c r="A72" s="118">
        <v>44582</v>
      </c>
      <c r="B72" s="119" t="s">
        <v>46</v>
      </c>
      <c r="C72" s="120" t="s">
        <v>51</v>
      </c>
      <c r="D72" s="192" t="s">
        <v>177</v>
      </c>
      <c r="E72" s="121" t="s">
        <v>178</v>
      </c>
      <c r="F72" s="119"/>
      <c r="G72" s="121" t="s">
        <v>28</v>
      </c>
      <c r="H72" s="118">
        <v>44582</v>
      </c>
    </row>
    <row r="73" spans="1:8" ht="33.75">
      <c r="A73" s="118">
        <v>44582</v>
      </c>
      <c r="B73" s="119" t="s">
        <v>46</v>
      </c>
      <c r="C73" s="120" t="s">
        <v>51</v>
      </c>
      <c r="D73" s="192" t="s">
        <v>179</v>
      </c>
      <c r="E73" s="121" t="s">
        <v>180</v>
      </c>
      <c r="F73" s="119" t="s">
        <v>181</v>
      </c>
      <c r="G73" s="121" t="s">
        <v>182</v>
      </c>
      <c r="H73" s="118">
        <v>44582</v>
      </c>
    </row>
    <row r="74" spans="1:8">
      <c r="A74" s="118">
        <v>44582</v>
      </c>
      <c r="B74" s="119" t="s">
        <v>46</v>
      </c>
      <c r="C74" s="120" t="s">
        <v>51</v>
      </c>
      <c r="D74" s="192" t="s">
        <v>183</v>
      </c>
      <c r="E74" s="121" t="s">
        <v>184</v>
      </c>
      <c r="F74" s="119" t="s">
        <v>185</v>
      </c>
      <c r="G74" s="121" t="s">
        <v>131</v>
      </c>
      <c r="H74" s="118">
        <v>44582</v>
      </c>
    </row>
    <row r="75" spans="1:8">
      <c r="A75" s="118">
        <v>44582</v>
      </c>
      <c r="B75" s="119" t="s">
        <v>46</v>
      </c>
      <c r="C75" s="120" t="s">
        <v>47</v>
      </c>
      <c r="D75" s="192" t="s">
        <v>186</v>
      </c>
      <c r="E75" s="121" t="s">
        <v>187</v>
      </c>
      <c r="F75" s="119" t="s">
        <v>188</v>
      </c>
      <c r="G75" s="121" t="s">
        <v>189</v>
      </c>
      <c r="H75" s="118">
        <v>44582</v>
      </c>
    </row>
    <row r="76" spans="1:8">
      <c r="A76" s="118">
        <v>44582</v>
      </c>
      <c r="B76" s="119" t="s">
        <v>46</v>
      </c>
      <c r="C76" s="120" t="s">
        <v>51</v>
      </c>
      <c r="D76" s="192" t="s">
        <v>190</v>
      </c>
      <c r="E76" s="121" t="s">
        <v>191</v>
      </c>
      <c r="F76" s="119"/>
      <c r="G76" s="121" t="s">
        <v>27</v>
      </c>
      <c r="H76" s="118">
        <v>44582</v>
      </c>
    </row>
    <row r="77" spans="1:8" ht="22.5">
      <c r="A77" s="118">
        <v>44582</v>
      </c>
      <c r="B77" s="119" t="s">
        <v>62</v>
      </c>
      <c r="C77" s="120" t="s">
        <v>51</v>
      </c>
      <c r="D77" s="192" t="s">
        <v>192</v>
      </c>
      <c r="E77" s="121" t="s">
        <v>193</v>
      </c>
      <c r="F77" s="119"/>
      <c r="G77" s="121" t="s">
        <v>28</v>
      </c>
      <c r="H77" s="118">
        <v>44582</v>
      </c>
    </row>
    <row r="78" spans="1:8">
      <c r="A78" s="118">
        <v>44582</v>
      </c>
      <c r="B78" s="119" t="s">
        <v>80</v>
      </c>
      <c r="C78" s="120" t="s">
        <v>51</v>
      </c>
      <c r="D78" s="192" t="s">
        <v>81</v>
      </c>
      <c r="E78" s="121" t="s">
        <v>82</v>
      </c>
      <c r="F78" s="119" t="s">
        <v>85</v>
      </c>
      <c r="G78" s="121" t="s">
        <v>94</v>
      </c>
      <c r="H78" s="118">
        <v>44582</v>
      </c>
    </row>
    <row r="79" spans="1:8">
      <c r="A79" s="118">
        <v>44582</v>
      </c>
      <c r="B79" s="119" t="s">
        <v>80</v>
      </c>
      <c r="C79" s="120" t="s">
        <v>51</v>
      </c>
      <c r="D79" s="192" t="s">
        <v>86</v>
      </c>
      <c r="E79" s="121" t="s">
        <v>82</v>
      </c>
      <c r="F79" s="119" t="s">
        <v>87</v>
      </c>
      <c r="G79" s="121" t="s">
        <v>94</v>
      </c>
      <c r="H79" s="118">
        <v>44582</v>
      </c>
    </row>
    <row r="80" spans="1:8" ht="22.5">
      <c r="A80" s="118">
        <v>44582</v>
      </c>
      <c r="B80" s="119" t="s">
        <v>80</v>
      </c>
      <c r="C80" s="120" t="s">
        <v>51</v>
      </c>
      <c r="D80" s="192" t="s">
        <v>90</v>
      </c>
      <c r="E80" s="121" t="s">
        <v>82</v>
      </c>
      <c r="F80" s="119" t="s">
        <v>91</v>
      </c>
      <c r="G80" s="121" t="s">
        <v>94</v>
      </c>
      <c r="H80" s="118">
        <v>44582</v>
      </c>
    </row>
    <row r="81" spans="1:8" ht="22.5">
      <c r="A81" s="118">
        <v>44582</v>
      </c>
      <c r="B81" s="119" t="s">
        <v>80</v>
      </c>
      <c r="C81" s="120" t="s">
        <v>51</v>
      </c>
      <c r="D81" s="192" t="s">
        <v>194</v>
      </c>
      <c r="E81" s="121" t="s">
        <v>82</v>
      </c>
      <c r="F81" s="119" t="s">
        <v>195</v>
      </c>
      <c r="G81" s="121" t="s">
        <v>94</v>
      </c>
      <c r="H81" s="118">
        <v>44582</v>
      </c>
    </row>
    <row r="82" spans="1:8">
      <c r="A82" s="118">
        <v>44582</v>
      </c>
      <c r="B82" s="119" t="s">
        <v>80</v>
      </c>
      <c r="C82" s="120" t="s">
        <v>51</v>
      </c>
      <c r="D82" s="192" t="s">
        <v>196</v>
      </c>
      <c r="E82" s="121" t="s">
        <v>82</v>
      </c>
      <c r="F82" s="119" t="s">
        <v>197</v>
      </c>
      <c r="G82" s="121" t="s">
        <v>94</v>
      </c>
      <c r="H82" s="118">
        <v>44582</v>
      </c>
    </row>
    <row r="83" spans="1:8">
      <c r="A83" s="118">
        <v>44582</v>
      </c>
      <c r="B83" s="119" t="s">
        <v>80</v>
      </c>
      <c r="C83" s="120" t="s">
        <v>51</v>
      </c>
      <c r="D83" s="192" t="s">
        <v>198</v>
      </c>
      <c r="E83" s="121" t="s">
        <v>199</v>
      </c>
      <c r="F83" s="119"/>
      <c r="G83" s="121" t="s">
        <v>27</v>
      </c>
      <c r="H83" s="118">
        <v>44582</v>
      </c>
    </row>
    <row r="84" spans="1:8">
      <c r="A84" s="118">
        <v>44582</v>
      </c>
      <c r="B84" s="119" t="s">
        <v>80</v>
      </c>
      <c r="C84" s="120" t="s">
        <v>51</v>
      </c>
      <c r="D84" s="192" t="s">
        <v>200</v>
      </c>
      <c r="E84" s="121" t="s">
        <v>199</v>
      </c>
      <c r="F84" s="119"/>
      <c r="G84" s="121" t="s">
        <v>27</v>
      </c>
      <c r="H84" s="118">
        <v>44582</v>
      </c>
    </row>
    <row r="85" spans="1:8">
      <c r="A85" s="118">
        <v>44582</v>
      </c>
      <c r="B85" s="119" t="s">
        <v>80</v>
      </c>
      <c r="C85" s="120" t="s">
        <v>51</v>
      </c>
      <c r="D85" s="192" t="s">
        <v>201</v>
      </c>
      <c r="E85" s="121" t="s">
        <v>202</v>
      </c>
      <c r="F85" s="119"/>
      <c r="G85" s="121" t="s">
        <v>28</v>
      </c>
      <c r="H85" s="118">
        <v>44582</v>
      </c>
    </row>
    <row r="86" spans="1:8">
      <c r="A86" s="118">
        <v>44582</v>
      </c>
      <c r="B86" s="119" t="s">
        <v>100</v>
      </c>
      <c r="C86" s="120" t="s">
        <v>51</v>
      </c>
      <c r="D86" s="192" t="s">
        <v>203</v>
      </c>
      <c r="E86" s="121" t="s">
        <v>204</v>
      </c>
      <c r="F86" s="119"/>
      <c r="G86" s="121" t="s">
        <v>55</v>
      </c>
      <c r="H86" s="118">
        <v>44582</v>
      </c>
    </row>
    <row r="87" spans="1:8">
      <c r="A87" s="118">
        <v>44582</v>
      </c>
      <c r="B87" s="119" t="s">
        <v>100</v>
      </c>
      <c r="C87" s="120" t="s">
        <v>51</v>
      </c>
      <c r="D87" s="192" t="s">
        <v>205</v>
      </c>
      <c r="E87" s="121" t="s">
        <v>206</v>
      </c>
      <c r="F87" s="119" t="s">
        <v>207</v>
      </c>
      <c r="G87" s="121" t="s">
        <v>55</v>
      </c>
      <c r="H87" s="118">
        <v>44582</v>
      </c>
    </row>
    <row r="88" spans="1:8">
      <c r="A88" s="118">
        <v>44530</v>
      </c>
      <c r="B88" s="119" t="s">
        <v>80</v>
      </c>
      <c r="C88" s="120" t="s">
        <v>51</v>
      </c>
      <c r="D88" s="192" t="s">
        <v>132</v>
      </c>
      <c r="E88" s="121" t="s">
        <v>133</v>
      </c>
      <c r="F88" s="119" t="s">
        <v>208</v>
      </c>
      <c r="G88" s="121" t="s">
        <v>27</v>
      </c>
      <c r="H88" s="118">
        <v>44530</v>
      </c>
    </row>
    <row r="89" spans="1:8">
      <c r="A89" s="118">
        <v>44484</v>
      </c>
      <c r="B89" s="119" t="s">
        <v>46</v>
      </c>
      <c r="C89" s="120" t="s">
        <v>51</v>
      </c>
      <c r="D89" s="192" t="s">
        <v>162</v>
      </c>
      <c r="E89" s="121" t="s">
        <v>209</v>
      </c>
      <c r="F89" s="119" t="s">
        <v>208</v>
      </c>
      <c r="G89" s="121" t="s">
        <v>28</v>
      </c>
      <c r="H89" s="118">
        <v>44484</v>
      </c>
    </row>
    <row r="90" spans="1:8">
      <c r="A90" s="118">
        <v>44484</v>
      </c>
      <c r="B90" s="119" t="s">
        <v>46</v>
      </c>
      <c r="C90" s="120" t="s">
        <v>51</v>
      </c>
      <c r="D90" s="192" t="s">
        <v>210</v>
      </c>
      <c r="E90" s="121" t="s">
        <v>102</v>
      </c>
      <c r="F90" s="119" t="s">
        <v>211</v>
      </c>
      <c r="G90" s="121" t="s">
        <v>55</v>
      </c>
      <c r="H90" s="118">
        <v>44484</v>
      </c>
    </row>
    <row r="91" spans="1:8">
      <c r="A91" s="118">
        <v>44484</v>
      </c>
      <c r="B91" s="119" t="s">
        <v>46</v>
      </c>
      <c r="C91" s="120" t="s">
        <v>47</v>
      </c>
      <c r="D91" s="192" t="s">
        <v>212</v>
      </c>
      <c r="E91" s="121" t="s">
        <v>213</v>
      </c>
      <c r="F91" s="119"/>
      <c r="G91" s="121" t="s">
        <v>50</v>
      </c>
      <c r="H91" s="118">
        <v>44484</v>
      </c>
    </row>
    <row r="92" spans="1:8">
      <c r="A92" s="118">
        <v>44484</v>
      </c>
      <c r="B92" s="119" t="s">
        <v>46</v>
      </c>
      <c r="C92" s="120" t="s">
        <v>51</v>
      </c>
      <c r="D92" s="192" t="s">
        <v>214</v>
      </c>
      <c r="E92" s="121" t="s">
        <v>215</v>
      </c>
      <c r="F92" s="119" t="s">
        <v>208</v>
      </c>
      <c r="G92" s="121" t="s">
        <v>27</v>
      </c>
      <c r="H92" s="118">
        <v>44484</v>
      </c>
    </row>
    <row r="93" spans="1:8">
      <c r="A93" s="118">
        <v>44484</v>
      </c>
      <c r="B93" s="119" t="s">
        <v>46</v>
      </c>
      <c r="C93" s="120" t="s">
        <v>51</v>
      </c>
      <c r="D93" s="192" t="s">
        <v>52</v>
      </c>
      <c r="E93" s="121" t="s">
        <v>53</v>
      </c>
      <c r="F93" s="119" t="s">
        <v>54</v>
      </c>
      <c r="G93" s="121" t="s">
        <v>131</v>
      </c>
      <c r="H93" s="118">
        <v>44484</v>
      </c>
    </row>
    <row r="94" spans="1:8" ht="22.5">
      <c r="A94" s="118">
        <v>44484</v>
      </c>
      <c r="B94" s="119" t="s">
        <v>46</v>
      </c>
      <c r="C94" s="120" t="s">
        <v>47</v>
      </c>
      <c r="D94" s="192" t="s">
        <v>216</v>
      </c>
      <c r="E94" s="121" t="s">
        <v>217</v>
      </c>
      <c r="F94" s="119" t="s">
        <v>218</v>
      </c>
      <c r="G94" s="121" t="s">
        <v>219</v>
      </c>
      <c r="H94" s="118">
        <v>44484</v>
      </c>
    </row>
    <row r="95" spans="1:8">
      <c r="A95" s="118">
        <v>44484</v>
      </c>
      <c r="B95" s="119" t="s">
        <v>46</v>
      </c>
      <c r="C95" s="120" t="s">
        <v>51</v>
      </c>
      <c r="D95" s="192" t="s">
        <v>220</v>
      </c>
      <c r="E95" s="121" t="s">
        <v>221</v>
      </c>
      <c r="F95" s="119" t="s">
        <v>208</v>
      </c>
      <c r="G95" s="121" t="s">
        <v>27</v>
      </c>
      <c r="H95" s="118">
        <v>44484</v>
      </c>
    </row>
    <row r="96" spans="1:8" ht="33.75">
      <c r="A96" s="118">
        <v>44484</v>
      </c>
      <c r="B96" s="119" t="s">
        <v>46</v>
      </c>
      <c r="C96" s="120" t="s">
        <v>51</v>
      </c>
      <c r="D96" s="192" t="s">
        <v>179</v>
      </c>
      <c r="E96" s="121" t="s">
        <v>180</v>
      </c>
      <c r="F96" s="119" t="s">
        <v>208</v>
      </c>
      <c r="G96" s="121" t="s">
        <v>28</v>
      </c>
      <c r="H96" s="118">
        <v>44484</v>
      </c>
    </row>
    <row r="97" spans="1:8" ht="33.75">
      <c r="A97" s="118">
        <v>44484</v>
      </c>
      <c r="B97" s="119" t="s">
        <v>46</v>
      </c>
      <c r="C97" s="120" t="s">
        <v>51</v>
      </c>
      <c r="D97" s="192" t="s">
        <v>222</v>
      </c>
      <c r="E97" s="121" t="s">
        <v>223</v>
      </c>
      <c r="F97" s="119" t="s">
        <v>208</v>
      </c>
      <c r="G97" s="121" t="s">
        <v>28</v>
      </c>
      <c r="H97" s="118">
        <v>44484</v>
      </c>
    </row>
    <row r="98" spans="1:8">
      <c r="A98" s="118">
        <v>44484</v>
      </c>
      <c r="B98" s="119" t="s">
        <v>46</v>
      </c>
      <c r="C98" s="120" t="s">
        <v>51</v>
      </c>
      <c r="D98" s="192" t="s">
        <v>224</v>
      </c>
      <c r="E98" s="121" t="s">
        <v>225</v>
      </c>
      <c r="F98" s="119" t="s">
        <v>226</v>
      </c>
      <c r="G98" s="121" t="s">
        <v>131</v>
      </c>
      <c r="H98" s="118">
        <v>44484</v>
      </c>
    </row>
    <row r="99" spans="1:8">
      <c r="A99" s="118">
        <v>44484</v>
      </c>
      <c r="B99" s="119" t="s">
        <v>46</v>
      </c>
      <c r="C99" s="120" t="s">
        <v>51</v>
      </c>
      <c r="D99" s="192" t="s">
        <v>227</v>
      </c>
      <c r="E99" s="121" t="s">
        <v>228</v>
      </c>
      <c r="F99" s="119" t="s">
        <v>208</v>
      </c>
      <c r="G99" s="121" t="s">
        <v>28</v>
      </c>
      <c r="H99" s="118">
        <v>44484</v>
      </c>
    </row>
    <row r="100" spans="1:8">
      <c r="A100" s="118">
        <v>44484</v>
      </c>
      <c r="B100" s="119" t="s">
        <v>62</v>
      </c>
      <c r="C100" s="120" t="s">
        <v>51</v>
      </c>
      <c r="D100" s="192" t="s">
        <v>229</v>
      </c>
      <c r="E100" s="121" t="s">
        <v>209</v>
      </c>
      <c r="F100" s="119" t="s">
        <v>208</v>
      </c>
      <c r="G100" s="121" t="s">
        <v>27</v>
      </c>
      <c r="H100" s="118">
        <v>44484</v>
      </c>
    </row>
    <row r="101" spans="1:8">
      <c r="A101" s="118">
        <v>44484</v>
      </c>
      <c r="B101" s="119" t="s">
        <v>62</v>
      </c>
      <c r="C101" s="120" t="s">
        <v>51</v>
      </c>
      <c r="D101" s="192" t="s">
        <v>230</v>
      </c>
      <c r="E101" s="121" t="s">
        <v>231</v>
      </c>
      <c r="F101" s="119" t="s">
        <v>208</v>
      </c>
      <c r="G101" s="121" t="s">
        <v>27</v>
      </c>
      <c r="H101" s="118">
        <v>44484</v>
      </c>
    </row>
    <row r="102" spans="1:8" ht="22.5">
      <c r="A102" s="118">
        <v>44484</v>
      </c>
      <c r="B102" s="119" t="s">
        <v>62</v>
      </c>
      <c r="C102" s="120" t="s">
        <v>51</v>
      </c>
      <c r="D102" s="192" t="s">
        <v>232</v>
      </c>
      <c r="E102" s="121" t="s">
        <v>233</v>
      </c>
      <c r="F102" s="119"/>
      <c r="G102" s="121" t="s">
        <v>27</v>
      </c>
      <c r="H102" s="118">
        <v>44484</v>
      </c>
    </row>
    <row r="103" spans="1:8">
      <c r="A103" s="118">
        <v>44484</v>
      </c>
      <c r="B103" s="119" t="s">
        <v>62</v>
      </c>
      <c r="C103" s="120" t="s">
        <v>51</v>
      </c>
      <c r="D103" s="192" t="s">
        <v>234</v>
      </c>
      <c r="E103" s="121" t="s">
        <v>235</v>
      </c>
      <c r="F103" s="119" t="s">
        <v>236</v>
      </c>
      <c r="G103" s="121" t="s">
        <v>27</v>
      </c>
      <c r="H103" s="118">
        <v>44484</v>
      </c>
    </row>
    <row r="104" spans="1:8">
      <c r="A104" s="118">
        <v>44484</v>
      </c>
      <c r="B104" s="119" t="s">
        <v>62</v>
      </c>
      <c r="C104" s="120" t="s">
        <v>51</v>
      </c>
      <c r="D104" s="192" t="s">
        <v>237</v>
      </c>
      <c r="E104" s="121" t="s">
        <v>238</v>
      </c>
      <c r="F104" s="119" t="s">
        <v>239</v>
      </c>
      <c r="G104" s="121" t="s">
        <v>27</v>
      </c>
      <c r="H104" s="118">
        <v>44484</v>
      </c>
    </row>
    <row r="105" spans="1:8">
      <c r="A105" s="118">
        <v>44484</v>
      </c>
      <c r="B105" s="119" t="s">
        <v>62</v>
      </c>
      <c r="C105" s="120" t="s">
        <v>51</v>
      </c>
      <c r="D105" s="192" t="s">
        <v>240</v>
      </c>
      <c r="E105" s="121" t="s">
        <v>235</v>
      </c>
      <c r="F105" s="119" t="s">
        <v>241</v>
      </c>
      <c r="G105" s="121" t="s">
        <v>27</v>
      </c>
      <c r="H105" s="118">
        <v>44484</v>
      </c>
    </row>
    <row r="106" spans="1:8">
      <c r="A106" s="118">
        <v>44484</v>
      </c>
      <c r="B106" s="119" t="s">
        <v>62</v>
      </c>
      <c r="C106" s="120" t="s">
        <v>51</v>
      </c>
      <c r="D106" s="192" t="s">
        <v>242</v>
      </c>
      <c r="E106" s="121" t="s">
        <v>243</v>
      </c>
      <c r="F106" s="119" t="s">
        <v>244</v>
      </c>
      <c r="G106" s="121" t="s">
        <v>55</v>
      </c>
      <c r="H106" s="118">
        <v>44484</v>
      </c>
    </row>
    <row r="107" spans="1:8" ht="22.5">
      <c r="A107" s="118">
        <v>44484</v>
      </c>
      <c r="B107" s="119" t="s">
        <v>62</v>
      </c>
      <c r="C107" s="120" t="s">
        <v>51</v>
      </c>
      <c r="D107" s="192" t="s">
        <v>245</v>
      </c>
      <c r="E107" s="121" t="s">
        <v>246</v>
      </c>
      <c r="F107" s="119"/>
      <c r="G107" s="121" t="s">
        <v>27</v>
      </c>
      <c r="H107" s="118">
        <v>44484</v>
      </c>
    </row>
    <row r="108" spans="1:8" ht="22.5">
      <c r="A108" s="118">
        <v>44484</v>
      </c>
      <c r="B108" s="119" t="s">
        <v>62</v>
      </c>
      <c r="C108" s="120" t="s">
        <v>247</v>
      </c>
      <c r="D108" s="192" t="s">
        <v>248</v>
      </c>
      <c r="E108" s="121" t="s">
        <v>249</v>
      </c>
      <c r="F108" s="119"/>
      <c r="G108" s="121" t="s">
        <v>250</v>
      </c>
      <c r="H108" s="118"/>
    </row>
    <row r="109" spans="1:8">
      <c r="A109" s="118">
        <v>44484</v>
      </c>
      <c r="B109" s="119" t="s">
        <v>62</v>
      </c>
      <c r="C109" s="120" t="s">
        <v>51</v>
      </c>
      <c r="D109" s="192" t="s">
        <v>251</v>
      </c>
      <c r="E109" s="121" t="s">
        <v>252</v>
      </c>
      <c r="F109" s="119" t="s">
        <v>208</v>
      </c>
      <c r="G109" s="121" t="s">
        <v>253</v>
      </c>
      <c r="H109" s="118">
        <v>44484</v>
      </c>
    </row>
    <row r="110" spans="1:8">
      <c r="A110" s="118">
        <v>44484</v>
      </c>
      <c r="B110" s="119" t="s">
        <v>62</v>
      </c>
      <c r="C110" s="120" t="s">
        <v>51</v>
      </c>
      <c r="D110" s="192" t="s">
        <v>254</v>
      </c>
      <c r="E110" s="121" t="s">
        <v>255</v>
      </c>
      <c r="F110" s="119" t="s">
        <v>256</v>
      </c>
      <c r="G110" s="121" t="s">
        <v>55</v>
      </c>
      <c r="H110" s="118">
        <v>44484</v>
      </c>
    </row>
    <row r="111" spans="1:8">
      <c r="A111" s="118">
        <v>44484</v>
      </c>
      <c r="B111" s="119" t="s">
        <v>80</v>
      </c>
      <c r="C111" s="120" t="s">
        <v>47</v>
      </c>
      <c r="D111" s="192" t="s">
        <v>257</v>
      </c>
      <c r="E111" s="121" t="s">
        <v>258</v>
      </c>
      <c r="F111" s="119"/>
      <c r="G111" s="121" t="s">
        <v>50</v>
      </c>
      <c r="H111" s="118">
        <v>44484</v>
      </c>
    </row>
    <row r="112" spans="1:8" ht="22.5">
      <c r="A112" s="118">
        <v>44484</v>
      </c>
      <c r="B112" s="119" t="s">
        <v>80</v>
      </c>
      <c r="C112" s="120" t="s">
        <v>51</v>
      </c>
      <c r="D112" s="192" t="s">
        <v>259</v>
      </c>
      <c r="E112" s="121" t="s">
        <v>89</v>
      </c>
      <c r="F112" s="119" t="s">
        <v>260</v>
      </c>
      <c r="G112" s="121" t="s">
        <v>261</v>
      </c>
      <c r="H112" s="118"/>
    </row>
    <row r="113" spans="1:8" ht="33.75">
      <c r="A113" s="118">
        <v>44484</v>
      </c>
      <c r="B113" s="119" t="s">
        <v>80</v>
      </c>
      <c r="C113" s="120" t="s">
        <v>47</v>
      </c>
      <c r="D113" s="192" t="s">
        <v>259</v>
      </c>
      <c r="E113" s="121" t="s">
        <v>89</v>
      </c>
      <c r="F113" s="119" t="s">
        <v>262</v>
      </c>
      <c r="G113" s="121" t="s">
        <v>263</v>
      </c>
      <c r="H113" s="118">
        <v>44484</v>
      </c>
    </row>
    <row r="114" spans="1:8">
      <c r="A114" s="118">
        <v>44484</v>
      </c>
      <c r="B114" s="119" t="s">
        <v>80</v>
      </c>
      <c r="C114" s="120" t="s">
        <v>51</v>
      </c>
      <c r="D114" s="192" t="s">
        <v>264</v>
      </c>
      <c r="E114" s="121" t="s">
        <v>265</v>
      </c>
      <c r="F114" s="119" t="s">
        <v>208</v>
      </c>
      <c r="G114" s="121" t="s">
        <v>28</v>
      </c>
      <c r="H114" s="118">
        <v>44484</v>
      </c>
    </row>
    <row r="115" spans="1:8">
      <c r="A115" s="118">
        <v>44484</v>
      </c>
      <c r="B115" s="119" t="s">
        <v>100</v>
      </c>
      <c r="C115" s="120" t="s">
        <v>51</v>
      </c>
      <c r="D115" s="192" t="s">
        <v>266</v>
      </c>
      <c r="E115" s="121" t="s">
        <v>267</v>
      </c>
      <c r="F115" s="119" t="s">
        <v>268</v>
      </c>
      <c r="G115" s="121" t="s">
        <v>55</v>
      </c>
      <c r="H115" s="118">
        <v>44484</v>
      </c>
    </row>
    <row r="116" spans="1:8">
      <c r="A116" s="118">
        <v>44484</v>
      </c>
      <c r="B116" s="119" t="s">
        <v>100</v>
      </c>
      <c r="C116" s="120" t="s">
        <v>51</v>
      </c>
      <c r="D116" s="192" t="s">
        <v>269</v>
      </c>
      <c r="E116" s="121" t="s">
        <v>270</v>
      </c>
      <c r="F116" s="119"/>
      <c r="G116" s="121" t="s">
        <v>27</v>
      </c>
      <c r="H116" s="118">
        <v>44484</v>
      </c>
    </row>
    <row r="117" spans="1:8">
      <c r="A117" s="118">
        <v>44484</v>
      </c>
      <c r="B117" s="119" t="s">
        <v>100</v>
      </c>
      <c r="C117" s="120" t="s">
        <v>51</v>
      </c>
      <c r="D117" s="192" t="s">
        <v>271</v>
      </c>
      <c r="E117" s="121" t="s">
        <v>272</v>
      </c>
      <c r="F117" s="119" t="s">
        <v>273</v>
      </c>
      <c r="G117" s="121" t="s">
        <v>131</v>
      </c>
      <c r="H117" s="118">
        <v>44484</v>
      </c>
    </row>
    <row r="118" spans="1:8" ht="22.5">
      <c r="A118" s="118">
        <v>44484</v>
      </c>
      <c r="B118" s="119" t="s">
        <v>100</v>
      </c>
      <c r="C118" s="120" t="s">
        <v>51</v>
      </c>
      <c r="D118" s="192" t="s">
        <v>111</v>
      </c>
      <c r="E118" s="121" t="s">
        <v>112</v>
      </c>
      <c r="F118" s="119" t="s">
        <v>113</v>
      </c>
      <c r="G118" s="121" t="s">
        <v>131</v>
      </c>
      <c r="H118" s="118">
        <v>44484</v>
      </c>
    </row>
    <row r="119" spans="1:8">
      <c r="A119" s="118">
        <v>44484</v>
      </c>
      <c r="B119" s="119" t="s">
        <v>100</v>
      </c>
      <c r="C119" s="120" t="s">
        <v>51</v>
      </c>
      <c r="D119" s="192" t="s">
        <v>274</v>
      </c>
      <c r="E119" s="121" t="s">
        <v>275</v>
      </c>
      <c r="F119" s="119" t="s">
        <v>208</v>
      </c>
      <c r="G119" s="121" t="s">
        <v>28</v>
      </c>
      <c r="H119" s="118">
        <v>44484</v>
      </c>
    </row>
    <row r="120" spans="1:8" ht="22.5">
      <c r="A120" s="118">
        <v>44384</v>
      </c>
      <c r="B120" s="119" t="s">
        <v>46</v>
      </c>
      <c r="C120" s="120" t="s">
        <v>276</v>
      </c>
      <c r="D120" s="192" t="s">
        <v>277</v>
      </c>
      <c r="E120" s="121" t="s">
        <v>278</v>
      </c>
      <c r="F120" s="119" t="s">
        <v>279</v>
      </c>
      <c r="G120" s="121" t="s">
        <v>280</v>
      </c>
      <c r="H120" s="118">
        <v>44384</v>
      </c>
    </row>
    <row r="121" spans="1:8">
      <c r="A121" s="118">
        <v>44384</v>
      </c>
      <c r="B121" s="119" t="s">
        <v>46</v>
      </c>
      <c r="C121" s="120" t="s">
        <v>51</v>
      </c>
      <c r="D121" s="192" t="s">
        <v>281</v>
      </c>
      <c r="E121" s="121" t="s">
        <v>282</v>
      </c>
      <c r="F121" s="119"/>
      <c r="G121" s="121" t="s">
        <v>27</v>
      </c>
      <c r="H121" s="118">
        <v>44384</v>
      </c>
    </row>
    <row r="122" spans="1:8">
      <c r="A122" s="118">
        <v>44384</v>
      </c>
      <c r="B122" s="119" t="s">
        <v>46</v>
      </c>
      <c r="C122" s="120" t="s">
        <v>51</v>
      </c>
      <c r="D122" s="192" t="s">
        <v>152</v>
      </c>
      <c r="E122" s="121" t="s">
        <v>283</v>
      </c>
      <c r="F122" s="119"/>
      <c r="G122" s="121" t="s">
        <v>27</v>
      </c>
      <c r="H122" s="118">
        <v>44384</v>
      </c>
    </row>
    <row r="123" spans="1:8">
      <c r="A123" s="118">
        <v>44384</v>
      </c>
      <c r="B123" s="119" t="s">
        <v>46</v>
      </c>
      <c r="C123" s="120" t="s">
        <v>51</v>
      </c>
      <c r="D123" s="192" t="s">
        <v>284</v>
      </c>
      <c r="E123" s="121" t="s">
        <v>285</v>
      </c>
      <c r="F123" s="119"/>
      <c r="G123" s="121" t="s">
        <v>27</v>
      </c>
      <c r="H123" s="118">
        <v>44384</v>
      </c>
    </row>
    <row r="124" spans="1:8">
      <c r="A124" s="118">
        <v>44384</v>
      </c>
      <c r="B124" s="119" t="s">
        <v>46</v>
      </c>
      <c r="C124" s="120" t="s">
        <v>51</v>
      </c>
      <c r="D124" s="192" t="s">
        <v>286</v>
      </c>
      <c r="E124" s="121" t="s">
        <v>287</v>
      </c>
      <c r="F124" s="119"/>
      <c r="G124" s="121" t="s">
        <v>27</v>
      </c>
      <c r="H124" s="118">
        <v>44384</v>
      </c>
    </row>
    <row r="125" spans="1:8">
      <c r="A125" s="118">
        <v>44384</v>
      </c>
      <c r="B125" s="119" t="s">
        <v>46</v>
      </c>
      <c r="C125" s="120" t="s">
        <v>51</v>
      </c>
      <c r="D125" s="192" t="s">
        <v>288</v>
      </c>
      <c r="E125" s="121" t="s">
        <v>289</v>
      </c>
      <c r="F125" s="119"/>
      <c r="G125" s="121" t="s">
        <v>27</v>
      </c>
      <c r="H125" s="118">
        <v>44384</v>
      </c>
    </row>
    <row r="126" spans="1:8">
      <c r="A126" s="118">
        <v>44384</v>
      </c>
      <c r="B126" s="119" t="s">
        <v>46</v>
      </c>
      <c r="C126" s="120" t="s">
        <v>51</v>
      </c>
      <c r="D126" s="192" t="s">
        <v>183</v>
      </c>
      <c r="E126" s="121" t="s">
        <v>184</v>
      </c>
      <c r="F126" s="119"/>
      <c r="G126" s="121" t="s">
        <v>27</v>
      </c>
      <c r="H126" s="118">
        <v>44384</v>
      </c>
    </row>
    <row r="127" spans="1:8">
      <c r="A127" s="118">
        <v>44384</v>
      </c>
      <c r="B127" s="119" t="s">
        <v>62</v>
      </c>
      <c r="C127" s="120" t="s">
        <v>51</v>
      </c>
      <c r="D127" s="192" t="s">
        <v>290</v>
      </c>
      <c r="E127" s="121" t="s">
        <v>291</v>
      </c>
      <c r="F127" s="119"/>
      <c r="G127" s="121" t="s">
        <v>27</v>
      </c>
      <c r="H127" s="118">
        <v>44384</v>
      </c>
    </row>
    <row r="128" spans="1:8">
      <c r="A128" s="118">
        <v>44384</v>
      </c>
      <c r="B128" s="119" t="s">
        <v>62</v>
      </c>
      <c r="C128" s="120" t="s">
        <v>47</v>
      </c>
      <c r="D128" s="192" t="s">
        <v>292</v>
      </c>
      <c r="E128" s="121" t="s">
        <v>293</v>
      </c>
      <c r="F128" s="119"/>
      <c r="G128" s="121" t="s">
        <v>294</v>
      </c>
      <c r="H128" s="118">
        <v>44384</v>
      </c>
    </row>
    <row r="129" spans="1:8">
      <c r="A129" s="118">
        <v>44384</v>
      </c>
      <c r="B129" s="119" t="s">
        <v>62</v>
      </c>
      <c r="C129" s="120" t="s">
        <v>51</v>
      </c>
      <c r="D129" s="192" t="s">
        <v>295</v>
      </c>
      <c r="E129" s="121" t="s">
        <v>296</v>
      </c>
      <c r="F129" s="119"/>
      <c r="G129" s="121" t="s">
        <v>27</v>
      </c>
      <c r="H129" s="118">
        <v>44384</v>
      </c>
    </row>
    <row r="130" spans="1:8">
      <c r="A130" s="118">
        <v>44384</v>
      </c>
      <c r="B130" s="119" t="s">
        <v>62</v>
      </c>
      <c r="C130" s="120" t="s">
        <v>51</v>
      </c>
      <c r="D130" s="192" t="s">
        <v>297</v>
      </c>
      <c r="E130" s="121" t="s">
        <v>298</v>
      </c>
      <c r="F130" s="119"/>
      <c r="G130" s="121" t="s">
        <v>299</v>
      </c>
      <c r="H130" s="118">
        <v>44384</v>
      </c>
    </row>
    <row r="131" spans="1:8">
      <c r="A131" s="118">
        <v>44384</v>
      </c>
      <c r="B131" s="119" t="s">
        <v>62</v>
      </c>
      <c r="C131" s="120" t="s">
        <v>51</v>
      </c>
      <c r="D131" s="192" t="s">
        <v>232</v>
      </c>
      <c r="E131" s="121" t="s">
        <v>298</v>
      </c>
      <c r="F131" s="119"/>
      <c r="G131" s="121" t="s">
        <v>94</v>
      </c>
      <c r="H131" s="118">
        <v>44384</v>
      </c>
    </row>
    <row r="132" spans="1:8">
      <c r="A132" s="118">
        <v>44384</v>
      </c>
      <c r="B132" s="119" t="s">
        <v>62</v>
      </c>
      <c r="C132" s="120" t="s">
        <v>51</v>
      </c>
      <c r="D132" s="192" t="s">
        <v>300</v>
      </c>
      <c r="E132" s="121" t="s">
        <v>301</v>
      </c>
      <c r="F132" s="119" t="s">
        <v>302</v>
      </c>
      <c r="G132" s="121" t="s">
        <v>303</v>
      </c>
      <c r="H132" s="118">
        <v>44384</v>
      </c>
    </row>
    <row r="133" spans="1:8">
      <c r="A133" s="118">
        <v>44384</v>
      </c>
      <c r="B133" s="119" t="s">
        <v>62</v>
      </c>
      <c r="C133" s="120" t="s">
        <v>51</v>
      </c>
      <c r="D133" s="192" t="s">
        <v>304</v>
      </c>
      <c r="E133" s="121" t="s">
        <v>64</v>
      </c>
      <c r="F133" s="119"/>
      <c r="G133" s="121" t="s">
        <v>27</v>
      </c>
      <c r="H133" s="118">
        <v>44384</v>
      </c>
    </row>
    <row r="134" spans="1:8">
      <c r="A134" s="118">
        <v>44384</v>
      </c>
      <c r="B134" s="119" t="s">
        <v>62</v>
      </c>
      <c r="C134" s="120" t="s">
        <v>51</v>
      </c>
      <c r="D134" s="192" t="s">
        <v>305</v>
      </c>
      <c r="E134" s="121" t="s">
        <v>306</v>
      </c>
      <c r="F134" s="119"/>
      <c r="G134" s="121" t="s">
        <v>27</v>
      </c>
      <c r="H134" s="118">
        <v>44384</v>
      </c>
    </row>
    <row r="135" spans="1:8">
      <c r="A135" s="118">
        <v>44384</v>
      </c>
      <c r="B135" s="119" t="s">
        <v>80</v>
      </c>
      <c r="C135" s="120" t="s">
        <v>51</v>
      </c>
      <c r="D135" s="192" t="s">
        <v>198</v>
      </c>
      <c r="E135" s="121" t="s">
        <v>199</v>
      </c>
      <c r="F135" s="119"/>
      <c r="G135" s="121" t="s">
        <v>307</v>
      </c>
      <c r="H135" s="118">
        <v>44384</v>
      </c>
    </row>
    <row r="136" spans="1:8">
      <c r="A136" s="118">
        <v>44384</v>
      </c>
      <c r="B136" s="119" t="s">
        <v>80</v>
      </c>
      <c r="C136" s="120" t="s">
        <v>51</v>
      </c>
      <c r="D136" s="192" t="s">
        <v>200</v>
      </c>
      <c r="E136" s="121" t="s">
        <v>199</v>
      </c>
      <c r="F136" s="119"/>
      <c r="G136" s="121" t="s">
        <v>307</v>
      </c>
      <c r="H136" s="118">
        <v>44384</v>
      </c>
    </row>
    <row r="137" spans="1:8">
      <c r="A137" s="118">
        <v>44384</v>
      </c>
      <c r="B137" s="119" t="s">
        <v>80</v>
      </c>
      <c r="C137" s="120" t="s">
        <v>51</v>
      </c>
      <c r="D137" s="192" t="s">
        <v>132</v>
      </c>
      <c r="E137" s="121" t="s">
        <v>133</v>
      </c>
      <c r="F137" s="119"/>
      <c r="G137" s="121" t="s">
        <v>94</v>
      </c>
      <c r="H137" s="118">
        <v>44384</v>
      </c>
    </row>
    <row r="138" spans="1:8" ht="22.5">
      <c r="A138" s="118">
        <v>44384</v>
      </c>
      <c r="B138" s="119" t="s">
        <v>80</v>
      </c>
      <c r="C138" s="120" t="s">
        <v>47</v>
      </c>
      <c r="D138" s="192" t="s">
        <v>308</v>
      </c>
      <c r="E138" s="121" t="s">
        <v>89</v>
      </c>
      <c r="F138" s="119" t="s">
        <v>309</v>
      </c>
      <c r="G138" s="121" t="s">
        <v>310</v>
      </c>
      <c r="H138" s="118">
        <v>44384</v>
      </c>
    </row>
    <row r="139" spans="1:8">
      <c r="A139" s="118">
        <v>44384</v>
      </c>
      <c r="B139" s="119" t="s">
        <v>100</v>
      </c>
      <c r="C139" s="120" t="s">
        <v>51</v>
      </c>
      <c r="D139" s="192" t="s">
        <v>311</v>
      </c>
      <c r="E139" s="121" t="s">
        <v>312</v>
      </c>
      <c r="F139" s="119" t="s">
        <v>313</v>
      </c>
      <c r="G139" s="121" t="s">
        <v>55</v>
      </c>
      <c r="H139" s="118">
        <v>44384</v>
      </c>
    </row>
    <row r="140" spans="1:8">
      <c r="A140" s="118">
        <v>44384</v>
      </c>
      <c r="B140" s="119" t="s">
        <v>100</v>
      </c>
      <c r="C140" s="120" t="s">
        <v>51</v>
      </c>
      <c r="D140" s="192" t="s">
        <v>314</v>
      </c>
      <c r="E140" s="121" t="s">
        <v>315</v>
      </c>
      <c r="F140" s="119" t="s">
        <v>316</v>
      </c>
      <c r="G140" s="121" t="s">
        <v>55</v>
      </c>
      <c r="H140" s="118">
        <v>44384</v>
      </c>
    </row>
    <row r="141" spans="1:8">
      <c r="A141" s="118">
        <v>44384</v>
      </c>
      <c r="B141" s="119" t="s">
        <v>100</v>
      </c>
      <c r="C141" s="120" t="s">
        <v>51</v>
      </c>
      <c r="D141" s="192" t="s">
        <v>159</v>
      </c>
      <c r="E141" s="121" t="s">
        <v>160</v>
      </c>
      <c r="F141" s="119"/>
      <c r="G141" s="121" t="s">
        <v>27</v>
      </c>
      <c r="H141" s="118">
        <v>44384</v>
      </c>
    </row>
    <row r="142" spans="1:8">
      <c r="A142" s="118">
        <v>44384</v>
      </c>
      <c r="B142" s="119" t="s">
        <v>100</v>
      </c>
      <c r="C142" s="120" t="s">
        <v>51</v>
      </c>
      <c r="D142" s="192" t="s">
        <v>205</v>
      </c>
      <c r="E142" s="121" t="s">
        <v>206</v>
      </c>
      <c r="F142" s="119" t="s">
        <v>207</v>
      </c>
      <c r="G142" s="121" t="s">
        <v>131</v>
      </c>
      <c r="H142" s="118">
        <v>44384</v>
      </c>
    </row>
    <row r="143" spans="1:8" ht="22.5">
      <c r="A143" s="118">
        <v>44320</v>
      </c>
      <c r="B143" s="119" t="s">
        <v>46</v>
      </c>
      <c r="C143" s="120" t="s">
        <v>51</v>
      </c>
      <c r="D143" s="192" t="s">
        <v>317</v>
      </c>
      <c r="E143" s="121" t="s">
        <v>318</v>
      </c>
      <c r="F143" s="119" t="s">
        <v>319</v>
      </c>
      <c r="G143" s="121" t="s">
        <v>55</v>
      </c>
      <c r="H143" s="118">
        <v>44320</v>
      </c>
    </row>
    <row r="144" spans="1:8">
      <c r="A144" s="118">
        <v>44320</v>
      </c>
      <c r="B144" s="119" t="s">
        <v>46</v>
      </c>
      <c r="C144" s="120" t="s">
        <v>51</v>
      </c>
      <c r="D144" s="192" t="s">
        <v>320</v>
      </c>
      <c r="E144" s="121" t="s">
        <v>321</v>
      </c>
      <c r="F144" s="119" t="s">
        <v>208</v>
      </c>
      <c r="G144" s="121" t="s">
        <v>322</v>
      </c>
      <c r="H144" s="118">
        <v>44320</v>
      </c>
    </row>
    <row r="145" spans="1:8">
      <c r="A145" s="118">
        <v>44320</v>
      </c>
      <c r="B145" s="119" t="s">
        <v>46</v>
      </c>
      <c r="C145" s="120" t="s">
        <v>51</v>
      </c>
      <c r="D145" s="192" t="s">
        <v>323</v>
      </c>
      <c r="E145" s="121" t="s">
        <v>324</v>
      </c>
      <c r="F145" s="119" t="s">
        <v>208</v>
      </c>
      <c r="G145" s="121" t="s">
        <v>322</v>
      </c>
      <c r="H145" s="118">
        <v>44320</v>
      </c>
    </row>
    <row r="146" spans="1:8" ht="22.5">
      <c r="A146" s="118">
        <v>44320</v>
      </c>
      <c r="B146" s="119" t="s">
        <v>46</v>
      </c>
      <c r="C146" s="120" t="s">
        <v>51</v>
      </c>
      <c r="D146" s="192" t="s">
        <v>325</v>
      </c>
      <c r="E146" s="121" t="s">
        <v>326</v>
      </c>
      <c r="F146" s="119" t="s">
        <v>327</v>
      </c>
      <c r="G146" s="121" t="s">
        <v>55</v>
      </c>
      <c r="H146" s="118">
        <v>44320</v>
      </c>
    </row>
    <row r="147" spans="1:8">
      <c r="A147" s="118">
        <v>44320</v>
      </c>
      <c r="B147" s="119" t="s">
        <v>46</v>
      </c>
      <c r="C147" s="120" t="s">
        <v>51</v>
      </c>
      <c r="D147" s="192" t="s">
        <v>210</v>
      </c>
      <c r="E147" s="121" t="s">
        <v>102</v>
      </c>
      <c r="F147" s="119" t="s">
        <v>211</v>
      </c>
      <c r="G147" s="121" t="s">
        <v>131</v>
      </c>
      <c r="H147" s="118">
        <v>44320</v>
      </c>
    </row>
    <row r="148" spans="1:8" ht="22.5">
      <c r="A148" s="118">
        <v>44320</v>
      </c>
      <c r="B148" s="119" t="s">
        <v>46</v>
      </c>
      <c r="C148" s="120" t="s">
        <v>51</v>
      </c>
      <c r="D148" s="192" t="s">
        <v>277</v>
      </c>
      <c r="E148" s="121" t="s">
        <v>278</v>
      </c>
      <c r="F148" s="119" t="s">
        <v>279</v>
      </c>
      <c r="G148" s="121" t="s">
        <v>55</v>
      </c>
      <c r="H148" s="118">
        <v>44320</v>
      </c>
    </row>
    <row r="149" spans="1:8">
      <c r="A149" s="118">
        <v>44320</v>
      </c>
      <c r="B149" s="119" t="s">
        <v>46</v>
      </c>
      <c r="C149" s="120" t="s">
        <v>51</v>
      </c>
      <c r="D149" s="192" t="s">
        <v>164</v>
      </c>
      <c r="E149" s="121" t="s">
        <v>328</v>
      </c>
      <c r="F149" s="119" t="s">
        <v>166</v>
      </c>
      <c r="G149" s="121" t="s">
        <v>131</v>
      </c>
      <c r="H149" s="118">
        <v>44320</v>
      </c>
    </row>
    <row r="150" spans="1:8">
      <c r="A150" s="118">
        <v>44320</v>
      </c>
      <c r="B150" s="119" t="s">
        <v>46</v>
      </c>
      <c r="C150" s="120" t="s">
        <v>51</v>
      </c>
      <c r="D150" s="192" t="s">
        <v>329</v>
      </c>
      <c r="E150" s="121" t="s">
        <v>330</v>
      </c>
      <c r="F150" s="119" t="s">
        <v>208</v>
      </c>
      <c r="G150" s="121" t="s">
        <v>55</v>
      </c>
      <c r="H150" s="118">
        <v>44320</v>
      </c>
    </row>
    <row r="151" spans="1:8">
      <c r="A151" s="118">
        <v>44320</v>
      </c>
      <c r="B151" s="119" t="s">
        <v>46</v>
      </c>
      <c r="C151" s="120" t="s">
        <v>51</v>
      </c>
      <c r="D151" s="192" t="s">
        <v>331</v>
      </c>
      <c r="E151" s="121" t="s">
        <v>332</v>
      </c>
      <c r="F151" s="119" t="s">
        <v>208</v>
      </c>
      <c r="G151" s="121" t="s">
        <v>131</v>
      </c>
      <c r="H151" s="118">
        <v>44320</v>
      </c>
    </row>
    <row r="152" spans="1:8" ht="22.5">
      <c r="A152" s="118">
        <v>44320</v>
      </c>
      <c r="B152" s="119" t="s">
        <v>46</v>
      </c>
      <c r="C152" s="120" t="s">
        <v>51</v>
      </c>
      <c r="D152" s="192" t="s">
        <v>333</v>
      </c>
      <c r="E152" s="121" t="s">
        <v>334</v>
      </c>
      <c r="F152" s="119" t="s">
        <v>208</v>
      </c>
      <c r="G152" s="121" t="s">
        <v>27</v>
      </c>
      <c r="H152" s="118">
        <v>44320</v>
      </c>
    </row>
    <row r="153" spans="1:8" ht="22.5">
      <c r="A153" s="118">
        <v>44320</v>
      </c>
      <c r="B153" s="119" t="s">
        <v>46</v>
      </c>
      <c r="C153" s="120" t="s">
        <v>51</v>
      </c>
      <c r="D153" s="192" t="s">
        <v>335</v>
      </c>
      <c r="E153" s="121" t="s">
        <v>336</v>
      </c>
      <c r="F153" s="119" t="s">
        <v>337</v>
      </c>
      <c r="G153" s="121" t="s">
        <v>55</v>
      </c>
      <c r="H153" s="118">
        <v>44320</v>
      </c>
    </row>
    <row r="154" spans="1:8">
      <c r="A154" s="118">
        <v>44320</v>
      </c>
      <c r="B154" s="119" t="s">
        <v>46</v>
      </c>
      <c r="C154" s="120" t="s">
        <v>51</v>
      </c>
      <c r="D154" s="192" t="s">
        <v>338</v>
      </c>
      <c r="E154" s="121" t="s">
        <v>321</v>
      </c>
      <c r="F154" s="119" t="s">
        <v>208</v>
      </c>
      <c r="G154" s="121" t="s">
        <v>322</v>
      </c>
      <c r="H154" s="118">
        <v>44320</v>
      </c>
    </row>
    <row r="155" spans="1:8">
      <c r="A155" s="118">
        <v>44320</v>
      </c>
      <c r="B155" s="119" t="s">
        <v>46</v>
      </c>
      <c r="C155" s="120" t="s">
        <v>51</v>
      </c>
      <c r="D155" s="192" t="s">
        <v>339</v>
      </c>
      <c r="E155" s="121" t="s">
        <v>340</v>
      </c>
      <c r="F155" s="119" t="s">
        <v>208</v>
      </c>
      <c r="G155" s="121" t="s">
        <v>322</v>
      </c>
      <c r="H155" s="118">
        <v>44320</v>
      </c>
    </row>
    <row r="156" spans="1:8">
      <c r="A156" s="118">
        <v>44320</v>
      </c>
      <c r="B156" s="119" t="s">
        <v>46</v>
      </c>
      <c r="C156" s="120" t="s">
        <v>51</v>
      </c>
      <c r="D156" s="192" t="s">
        <v>341</v>
      </c>
      <c r="E156" s="121" t="s">
        <v>340</v>
      </c>
      <c r="F156" s="119" t="s">
        <v>208</v>
      </c>
      <c r="G156" s="121" t="s">
        <v>322</v>
      </c>
      <c r="H156" s="118">
        <v>44320</v>
      </c>
    </row>
    <row r="157" spans="1:8">
      <c r="A157" s="118">
        <v>44320</v>
      </c>
      <c r="B157" s="119" t="s">
        <v>46</v>
      </c>
      <c r="C157" s="120" t="s">
        <v>47</v>
      </c>
      <c r="D157" s="192" t="s">
        <v>342</v>
      </c>
      <c r="E157" s="121" t="s">
        <v>343</v>
      </c>
      <c r="F157" s="119"/>
      <c r="G157" s="121" t="s">
        <v>294</v>
      </c>
      <c r="H157" s="118">
        <v>44320</v>
      </c>
    </row>
    <row r="158" spans="1:8">
      <c r="A158" s="118">
        <v>44320</v>
      </c>
      <c r="B158" s="119" t="s">
        <v>46</v>
      </c>
      <c r="C158" s="120" t="s">
        <v>51</v>
      </c>
      <c r="D158" s="192" t="s">
        <v>108</v>
      </c>
      <c r="E158" s="121" t="s">
        <v>109</v>
      </c>
      <c r="F158" s="119" t="s">
        <v>110</v>
      </c>
      <c r="G158" s="121" t="s">
        <v>131</v>
      </c>
      <c r="H158" s="118">
        <v>44320</v>
      </c>
    </row>
    <row r="159" spans="1:8">
      <c r="A159" s="118">
        <v>44320</v>
      </c>
      <c r="B159" s="119" t="s">
        <v>46</v>
      </c>
      <c r="C159" s="120" t="s">
        <v>51</v>
      </c>
      <c r="D159" s="192" t="s">
        <v>344</v>
      </c>
      <c r="E159" s="121" t="s">
        <v>345</v>
      </c>
      <c r="F159" s="119" t="s">
        <v>208</v>
      </c>
      <c r="G159" s="121" t="s">
        <v>322</v>
      </c>
      <c r="H159" s="118">
        <v>44320</v>
      </c>
    </row>
    <row r="160" spans="1:8">
      <c r="A160" s="118">
        <v>44320</v>
      </c>
      <c r="B160" s="119" t="s">
        <v>62</v>
      </c>
      <c r="C160" s="120" t="s">
        <v>51</v>
      </c>
      <c r="D160" s="192" t="s">
        <v>346</v>
      </c>
      <c r="E160" s="121" t="s">
        <v>347</v>
      </c>
      <c r="F160" s="119" t="s">
        <v>208</v>
      </c>
      <c r="G160" s="121" t="s">
        <v>27</v>
      </c>
      <c r="H160" s="118">
        <v>44320</v>
      </c>
    </row>
    <row r="161" spans="1:8">
      <c r="A161" s="118">
        <v>44320</v>
      </c>
      <c r="B161" s="119" t="s">
        <v>62</v>
      </c>
      <c r="C161" s="120" t="s">
        <v>51</v>
      </c>
      <c r="D161" s="192" t="s">
        <v>348</v>
      </c>
      <c r="E161" s="121" t="s">
        <v>349</v>
      </c>
      <c r="F161" s="119" t="s">
        <v>208</v>
      </c>
      <c r="G161" s="121" t="s">
        <v>55</v>
      </c>
      <c r="H161" s="118">
        <v>44320</v>
      </c>
    </row>
    <row r="162" spans="1:8">
      <c r="A162" s="118">
        <v>44320</v>
      </c>
      <c r="B162" s="119" t="s">
        <v>62</v>
      </c>
      <c r="C162" s="120" t="s">
        <v>51</v>
      </c>
      <c r="D162" s="192" t="s">
        <v>350</v>
      </c>
      <c r="E162" s="121" t="s">
        <v>351</v>
      </c>
      <c r="F162" s="119" t="s">
        <v>208</v>
      </c>
      <c r="G162" s="121" t="s">
        <v>322</v>
      </c>
      <c r="H162" s="118">
        <v>44320</v>
      </c>
    </row>
    <row r="163" spans="1:8">
      <c r="A163" s="118">
        <v>44320</v>
      </c>
      <c r="B163" s="119" t="s">
        <v>80</v>
      </c>
      <c r="C163" s="120" t="s">
        <v>51</v>
      </c>
      <c r="D163" s="192" t="s">
        <v>81</v>
      </c>
      <c r="E163" s="121" t="s">
        <v>82</v>
      </c>
      <c r="F163" s="119" t="s">
        <v>83</v>
      </c>
      <c r="G163" s="121" t="s">
        <v>94</v>
      </c>
      <c r="H163" s="118">
        <v>44320</v>
      </c>
    </row>
    <row r="164" spans="1:8">
      <c r="A164" s="118">
        <v>44320</v>
      </c>
      <c r="B164" s="119" t="s">
        <v>80</v>
      </c>
      <c r="C164" s="120" t="s">
        <v>51</v>
      </c>
      <c r="D164" s="192" t="s">
        <v>81</v>
      </c>
      <c r="E164" s="121" t="s">
        <v>82</v>
      </c>
      <c r="F164" s="119" t="s">
        <v>84</v>
      </c>
      <c r="G164" s="121" t="s">
        <v>94</v>
      </c>
      <c r="H164" s="118">
        <v>44320</v>
      </c>
    </row>
    <row r="165" spans="1:8" ht="22.5">
      <c r="A165" s="118">
        <v>44320</v>
      </c>
      <c r="B165" s="119" t="s">
        <v>80</v>
      </c>
      <c r="C165" s="120" t="s">
        <v>51</v>
      </c>
      <c r="D165" s="192" t="s">
        <v>352</v>
      </c>
      <c r="E165" s="121" t="s">
        <v>82</v>
      </c>
      <c r="F165" s="119" t="s">
        <v>353</v>
      </c>
      <c r="G165" s="121" t="s">
        <v>27</v>
      </c>
      <c r="H165" s="118">
        <v>44320</v>
      </c>
    </row>
    <row r="166" spans="1:8">
      <c r="A166" s="118">
        <v>44320</v>
      </c>
      <c r="B166" s="119" t="s">
        <v>80</v>
      </c>
      <c r="C166" s="120" t="s">
        <v>51</v>
      </c>
      <c r="D166" s="192" t="s">
        <v>354</v>
      </c>
      <c r="E166" s="121" t="s">
        <v>82</v>
      </c>
      <c r="F166" s="119" t="s">
        <v>355</v>
      </c>
      <c r="G166" s="121" t="s">
        <v>27</v>
      </c>
      <c r="H166" s="118">
        <v>44320</v>
      </c>
    </row>
    <row r="167" spans="1:8">
      <c r="A167" s="118">
        <v>44320</v>
      </c>
      <c r="B167" s="119" t="s">
        <v>80</v>
      </c>
      <c r="C167" s="120" t="s">
        <v>51</v>
      </c>
      <c r="D167" s="192" t="s">
        <v>356</v>
      </c>
      <c r="E167" s="121" t="s">
        <v>82</v>
      </c>
      <c r="F167" s="119" t="s">
        <v>357</v>
      </c>
      <c r="G167" s="121" t="s">
        <v>27</v>
      </c>
      <c r="H167" s="118">
        <v>44320</v>
      </c>
    </row>
    <row r="168" spans="1:8">
      <c r="A168" s="118">
        <v>44320</v>
      </c>
      <c r="B168" s="119" t="s">
        <v>95</v>
      </c>
      <c r="C168" s="120" t="s">
        <v>51</v>
      </c>
      <c r="D168" s="192" t="s">
        <v>358</v>
      </c>
      <c r="E168" s="121" t="s">
        <v>359</v>
      </c>
      <c r="F168" s="119" t="s">
        <v>360</v>
      </c>
      <c r="G168" s="121" t="s">
        <v>55</v>
      </c>
      <c r="H168" s="118">
        <v>44320</v>
      </c>
    </row>
    <row r="169" spans="1:8">
      <c r="A169" s="118">
        <v>44320</v>
      </c>
      <c r="B169" s="119" t="s">
        <v>100</v>
      </c>
      <c r="C169" s="120" t="s">
        <v>51</v>
      </c>
      <c r="D169" s="192" t="s">
        <v>361</v>
      </c>
      <c r="E169" s="121" t="s">
        <v>362</v>
      </c>
      <c r="F169" s="119" t="s">
        <v>363</v>
      </c>
      <c r="G169" s="121" t="s">
        <v>55</v>
      </c>
      <c r="H169" s="118">
        <v>44320</v>
      </c>
    </row>
    <row r="170" spans="1:8">
      <c r="A170" s="118">
        <v>44320</v>
      </c>
      <c r="B170" s="119" t="s">
        <v>100</v>
      </c>
      <c r="C170" s="120" t="s">
        <v>51</v>
      </c>
      <c r="D170" s="192" t="s">
        <v>314</v>
      </c>
      <c r="E170" s="121" t="s">
        <v>315</v>
      </c>
      <c r="F170" s="119" t="s">
        <v>316</v>
      </c>
      <c r="G170" s="121" t="s">
        <v>364</v>
      </c>
      <c r="H170" s="118">
        <v>44320</v>
      </c>
    </row>
    <row r="171" spans="1:8" ht="22.5">
      <c r="A171" s="118">
        <v>44320</v>
      </c>
      <c r="B171" s="119" t="s">
        <v>100</v>
      </c>
      <c r="C171" s="120" t="s">
        <v>51</v>
      </c>
      <c r="D171" s="192" t="s">
        <v>365</v>
      </c>
      <c r="E171" s="121" t="s">
        <v>366</v>
      </c>
      <c r="F171" s="119" t="s">
        <v>367</v>
      </c>
      <c r="G171" s="121" t="s">
        <v>131</v>
      </c>
      <c r="H171" s="118">
        <v>44320</v>
      </c>
    </row>
    <row r="172" spans="1:8" ht="22.5">
      <c r="A172" s="118">
        <v>44225</v>
      </c>
      <c r="B172" s="119" t="s">
        <v>46</v>
      </c>
      <c r="C172" s="120" t="s">
        <v>51</v>
      </c>
      <c r="D172" s="192" t="s">
        <v>368</v>
      </c>
      <c r="E172" s="121" t="s">
        <v>172</v>
      </c>
      <c r="F172" s="119" t="s">
        <v>173</v>
      </c>
      <c r="G172" s="121" t="s">
        <v>27</v>
      </c>
      <c r="H172" s="118">
        <v>44225</v>
      </c>
    </row>
    <row r="173" spans="1:8" ht="22.5">
      <c r="A173" s="118">
        <v>44225</v>
      </c>
      <c r="B173" s="119" t="s">
        <v>46</v>
      </c>
      <c r="C173" s="120" t="s">
        <v>51</v>
      </c>
      <c r="D173" s="192" t="s">
        <v>277</v>
      </c>
      <c r="E173" s="121" t="s">
        <v>278</v>
      </c>
      <c r="F173" s="119"/>
      <c r="G173" s="121" t="s">
        <v>27</v>
      </c>
      <c r="H173" s="118">
        <v>44225</v>
      </c>
    </row>
    <row r="174" spans="1:8" ht="22.5">
      <c r="A174" s="118">
        <v>44225</v>
      </c>
      <c r="B174" s="119" t="s">
        <v>46</v>
      </c>
      <c r="C174" s="120" t="s">
        <v>51</v>
      </c>
      <c r="D174" s="192" t="s">
        <v>369</v>
      </c>
      <c r="E174" s="121" t="s">
        <v>370</v>
      </c>
      <c r="F174" s="119"/>
      <c r="G174" s="121" t="s">
        <v>27</v>
      </c>
      <c r="H174" s="118">
        <v>44225</v>
      </c>
    </row>
    <row r="175" spans="1:8" ht="22.5">
      <c r="A175" s="118">
        <v>44225</v>
      </c>
      <c r="B175" s="119" t="s">
        <v>46</v>
      </c>
      <c r="C175" s="120" t="s">
        <v>51</v>
      </c>
      <c r="D175" s="192" t="s">
        <v>335</v>
      </c>
      <c r="E175" s="121" t="s">
        <v>336</v>
      </c>
      <c r="F175" s="119"/>
      <c r="G175" s="121" t="s">
        <v>27</v>
      </c>
      <c r="H175" s="118">
        <v>44225</v>
      </c>
    </row>
    <row r="176" spans="1:8">
      <c r="A176" s="118">
        <v>44225</v>
      </c>
      <c r="B176" s="119" t="s">
        <v>46</v>
      </c>
      <c r="C176" s="120" t="s">
        <v>51</v>
      </c>
      <c r="D176" s="192" t="s">
        <v>371</v>
      </c>
      <c r="E176" s="121" t="s">
        <v>372</v>
      </c>
      <c r="F176" s="119" t="s">
        <v>373</v>
      </c>
      <c r="G176" s="121" t="s">
        <v>374</v>
      </c>
      <c r="H176" s="118">
        <v>44225</v>
      </c>
    </row>
    <row r="177" spans="1:8">
      <c r="A177" s="118">
        <v>44225</v>
      </c>
      <c r="B177" s="119" t="s">
        <v>46</v>
      </c>
      <c r="C177" s="120" t="s">
        <v>51</v>
      </c>
      <c r="D177" s="192" t="s">
        <v>108</v>
      </c>
      <c r="E177" s="121" t="s">
        <v>109</v>
      </c>
      <c r="F177" s="119" t="s">
        <v>110</v>
      </c>
      <c r="G177" s="121" t="s">
        <v>27</v>
      </c>
      <c r="H177" s="118">
        <v>44225</v>
      </c>
    </row>
    <row r="178" spans="1:8" ht="33.75">
      <c r="A178" s="118">
        <v>44225</v>
      </c>
      <c r="B178" s="119" t="s">
        <v>46</v>
      </c>
      <c r="C178" s="120" t="s">
        <v>51</v>
      </c>
      <c r="D178" s="192" t="s">
        <v>179</v>
      </c>
      <c r="E178" s="121" t="s">
        <v>180</v>
      </c>
      <c r="F178" s="119"/>
      <c r="G178" s="121" t="s">
        <v>27</v>
      </c>
      <c r="H178" s="118">
        <v>44225</v>
      </c>
    </row>
    <row r="179" spans="1:8">
      <c r="A179" s="118">
        <v>44225</v>
      </c>
      <c r="B179" s="119" t="s">
        <v>46</v>
      </c>
      <c r="C179" s="120" t="s">
        <v>51</v>
      </c>
      <c r="D179" s="192" t="s">
        <v>224</v>
      </c>
      <c r="E179" s="121" t="s">
        <v>375</v>
      </c>
      <c r="F179" s="119"/>
      <c r="G179" s="121" t="s">
        <v>27</v>
      </c>
      <c r="H179" s="118">
        <v>44225</v>
      </c>
    </row>
    <row r="180" spans="1:8">
      <c r="A180" s="118">
        <v>44225</v>
      </c>
      <c r="B180" s="119" t="s">
        <v>62</v>
      </c>
      <c r="C180" s="120" t="s">
        <v>51</v>
      </c>
      <c r="D180" s="192" t="s">
        <v>376</v>
      </c>
      <c r="E180" s="121" t="s">
        <v>377</v>
      </c>
      <c r="F180" s="119"/>
      <c r="G180" s="121" t="s">
        <v>299</v>
      </c>
      <c r="H180" s="118">
        <v>44225</v>
      </c>
    </row>
    <row r="181" spans="1:8">
      <c r="A181" s="118">
        <v>44225</v>
      </c>
      <c r="B181" s="119" t="s">
        <v>62</v>
      </c>
      <c r="C181" s="120" t="s">
        <v>51</v>
      </c>
      <c r="D181" s="192" t="s">
        <v>378</v>
      </c>
      <c r="E181" s="121" t="s">
        <v>377</v>
      </c>
      <c r="F181" s="119"/>
      <c r="G181" s="121" t="s">
        <v>299</v>
      </c>
      <c r="H181" s="118">
        <v>44225</v>
      </c>
    </row>
    <row r="182" spans="1:8">
      <c r="A182" s="118">
        <v>44225</v>
      </c>
      <c r="B182" s="119" t="s">
        <v>80</v>
      </c>
      <c r="C182" s="120" t="s">
        <v>51</v>
      </c>
      <c r="D182" s="192" t="s">
        <v>379</v>
      </c>
      <c r="E182" s="121" t="s">
        <v>82</v>
      </c>
      <c r="F182" s="119" t="s">
        <v>380</v>
      </c>
      <c r="G182" s="121" t="s">
        <v>27</v>
      </c>
      <c r="H182" s="118">
        <v>44225</v>
      </c>
    </row>
    <row r="183" spans="1:8">
      <c r="A183" s="118">
        <v>44225</v>
      </c>
      <c r="B183" s="119" t="s">
        <v>100</v>
      </c>
      <c r="C183" s="120" t="s">
        <v>51</v>
      </c>
      <c r="D183" s="192" t="s">
        <v>266</v>
      </c>
      <c r="E183" s="121" t="s">
        <v>267</v>
      </c>
      <c r="F183" s="119"/>
      <c r="G183" s="121" t="s">
        <v>27</v>
      </c>
      <c r="H183" s="118">
        <v>44225</v>
      </c>
    </row>
    <row r="184" spans="1:8">
      <c r="A184" s="118">
        <v>44225</v>
      </c>
      <c r="B184" s="119" t="s">
        <v>100</v>
      </c>
      <c r="C184" s="120" t="s">
        <v>51</v>
      </c>
      <c r="D184" s="192" t="s">
        <v>314</v>
      </c>
      <c r="E184" s="121" t="s">
        <v>315</v>
      </c>
      <c r="F184" s="119"/>
      <c r="G184" s="121" t="s">
        <v>27</v>
      </c>
      <c r="H184" s="118">
        <v>44225</v>
      </c>
    </row>
    <row r="185" spans="1:8">
      <c r="A185" s="118">
        <v>44225</v>
      </c>
      <c r="B185" s="119" t="s">
        <v>100</v>
      </c>
      <c r="C185" s="120" t="s">
        <v>51</v>
      </c>
      <c r="D185" s="192" t="s">
        <v>381</v>
      </c>
      <c r="E185" s="121" t="s">
        <v>382</v>
      </c>
      <c r="F185" s="119" t="s">
        <v>383</v>
      </c>
      <c r="G185" s="121" t="s">
        <v>374</v>
      </c>
      <c r="H185" s="118">
        <v>44225</v>
      </c>
    </row>
    <row r="186" spans="1:8">
      <c r="A186" s="118">
        <v>44225</v>
      </c>
      <c r="B186" s="119" t="s">
        <v>100</v>
      </c>
      <c r="C186" s="120" t="s">
        <v>51</v>
      </c>
      <c r="D186" s="192" t="s">
        <v>159</v>
      </c>
      <c r="E186" s="121" t="s">
        <v>160</v>
      </c>
      <c r="F186" s="119"/>
      <c r="G186" s="121" t="s">
        <v>94</v>
      </c>
      <c r="H186" s="118">
        <v>44225</v>
      </c>
    </row>
    <row r="187" spans="1:8">
      <c r="A187" s="118">
        <v>44225</v>
      </c>
      <c r="B187" s="119" t="s">
        <v>100</v>
      </c>
      <c r="C187" s="120" t="s">
        <v>51</v>
      </c>
      <c r="D187" s="192" t="s">
        <v>205</v>
      </c>
      <c r="E187" s="121" t="s">
        <v>206</v>
      </c>
      <c r="F187" s="119"/>
      <c r="G187" s="121" t="s">
        <v>27</v>
      </c>
      <c r="H187" s="118">
        <v>44225</v>
      </c>
    </row>
    <row r="188" spans="1:8" ht="22.5">
      <c r="A188" s="118">
        <v>44147</v>
      </c>
      <c r="B188" s="119" t="s">
        <v>46</v>
      </c>
      <c r="C188" s="120" t="s">
        <v>51</v>
      </c>
      <c r="D188" s="192" t="s">
        <v>384</v>
      </c>
      <c r="E188" s="121" t="s">
        <v>318</v>
      </c>
      <c r="F188" s="119"/>
      <c r="G188" s="121" t="s">
        <v>27</v>
      </c>
      <c r="H188" s="118">
        <v>44147</v>
      </c>
    </row>
    <row r="189" spans="1:8" ht="22.5">
      <c r="A189" s="118">
        <v>44147</v>
      </c>
      <c r="B189" s="119" t="s">
        <v>46</v>
      </c>
      <c r="C189" s="120" t="s">
        <v>51</v>
      </c>
      <c r="D189" s="192" t="s">
        <v>368</v>
      </c>
      <c r="E189" s="121" t="s">
        <v>172</v>
      </c>
      <c r="F189" s="119" t="s">
        <v>173</v>
      </c>
      <c r="G189" s="121" t="s">
        <v>131</v>
      </c>
      <c r="H189" s="118">
        <v>44147</v>
      </c>
    </row>
    <row r="190" spans="1:8">
      <c r="A190" s="118">
        <v>44147</v>
      </c>
      <c r="B190" s="119" t="s">
        <v>46</v>
      </c>
      <c r="C190" s="120" t="s">
        <v>51</v>
      </c>
      <c r="D190" s="192" t="s">
        <v>385</v>
      </c>
      <c r="E190" s="121" t="s">
        <v>386</v>
      </c>
      <c r="F190" s="119"/>
      <c r="G190" s="121" t="s">
        <v>299</v>
      </c>
      <c r="H190" s="118">
        <v>44117</v>
      </c>
    </row>
    <row r="191" spans="1:8">
      <c r="A191" s="118">
        <v>44147</v>
      </c>
      <c r="B191" s="119" t="s">
        <v>46</v>
      </c>
      <c r="C191" s="120" t="s">
        <v>51</v>
      </c>
      <c r="D191" s="192" t="s">
        <v>387</v>
      </c>
      <c r="E191" s="121" t="s">
        <v>388</v>
      </c>
      <c r="F191" s="119"/>
      <c r="G191" s="121" t="s">
        <v>299</v>
      </c>
      <c r="H191" s="118">
        <v>44117</v>
      </c>
    </row>
    <row r="192" spans="1:8">
      <c r="A192" s="118">
        <v>44147</v>
      </c>
      <c r="B192" s="119" t="s">
        <v>46</v>
      </c>
      <c r="C192" s="120" t="s">
        <v>51</v>
      </c>
      <c r="D192" s="192" t="s">
        <v>329</v>
      </c>
      <c r="E192" s="121" t="s">
        <v>329</v>
      </c>
      <c r="F192" s="119" t="s">
        <v>389</v>
      </c>
      <c r="G192" s="121" t="s">
        <v>131</v>
      </c>
      <c r="H192" s="118">
        <v>44147</v>
      </c>
    </row>
    <row r="193" spans="1:8" ht="22.5">
      <c r="A193" s="118">
        <v>44147</v>
      </c>
      <c r="B193" s="119" t="s">
        <v>46</v>
      </c>
      <c r="C193" s="120" t="s">
        <v>51</v>
      </c>
      <c r="D193" s="192" t="s">
        <v>168</v>
      </c>
      <c r="E193" s="121" t="s">
        <v>169</v>
      </c>
      <c r="F193" s="119" t="s">
        <v>170</v>
      </c>
      <c r="G193" s="121" t="s">
        <v>131</v>
      </c>
      <c r="H193" s="118">
        <v>44147</v>
      </c>
    </row>
    <row r="194" spans="1:8">
      <c r="A194" s="118">
        <v>44147</v>
      </c>
      <c r="B194" s="119" t="s">
        <v>46</v>
      </c>
      <c r="C194" s="120" t="s">
        <v>51</v>
      </c>
      <c r="D194" s="192" t="s">
        <v>52</v>
      </c>
      <c r="E194" s="121" t="s">
        <v>53</v>
      </c>
      <c r="F194" s="119" t="s">
        <v>54</v>
      </c>
      <c r="G194" s="121" t="s">
        <v>27</v>
      </c>
      <c r="H194" s="118">
        <v>44147</v>
      </c>
    </row>
    <row r="195" spans="1:8" ht="22.5">
      <c r="A195" s="118">
        <v>44147</v>
      </c>
      <c r="B195" s="119" t="s">
        <v>46</v>
      </c>
      <c r="C195" s="120" t="s">
        <v>51</v>
      </c>
      <c r="D195" s="192" t="s">
        <v>390</v>
      </c>
      <c r="E195" s="121" t="s">
        <v>391</v>
      </c>
      <c r="F195" s="119" t="s">
        <v>392</v>
      </c>
      <c r="G195" s="121" t="s">
        <v>55</v>
      </c>
      <c r="H195" s="118">
        <v>44147</v>
      </c>
    </row>
    <row r="196" spans="1:8">
      <c r="A196" s="118">
        <v>44147</v>
      </c>
      <c r="B196" s="119" t="s">
        <v>46</v>
      </c>
      <c r="C196" s="120" t="s">
        <v>51</v>
      </c>
      <c r="D196" s="192" t="s">
        <v>393</v>
      </c>
      <c r="E196" s="121" t="s">
        <v>394</v>
      </c>
      <c r="F196" s="119"/>
      <c r="G196" s="121" t="s">
        <v>27</v>
      </c>
      <c r="H196" s="118">
        <v>44147</v>
      </c>
    </row>
    <row r="197" spans="1:8">
      <c r="A197" s="118">
        <v>44147</v>
      </c>
      <c r="B197" s="119" t="s">
        <v>62</v>
      </c>
      <c r="C197" s="120" t="s">
        <v>51</v>
      </c>
      <c r="D197" s="192" t="s">
        <v>395</v>
      </c>
      <c r="E197" s="121" t="s">
        <v>202</v>
      </c>
      <c r="F197" s="119"/>
      <c r="G197" s="121" t="s">
        <v>299</v>
      </c>
      <c r="H197" s="118">
        <v>44117</v>
      </c>
    </row>
    <row r="198" spans="1:8">
      <c r="A198" s="118">
        <v>44147</v>
      </c>
      <c r="B198" s="119" t="s">
        <v>62</v>
      </c>
      <c r="C198" s="120" t="s">
        <v>51</v>
      </c>
      <c r="D198" s="192" t="s">
        <v>396</v>
      </c>
      <c r="E198" s="121" t="s">
        <v>386</v>
      </c>
      <c r="F198" s="119"/>
      <c r="G198" s="121" t="s">
        <v>299</v>
      </c>
      <c r="H198" s="118">
        <v>44117</v>
      </c>
    </row>
    <row r="199" spans="1:8">
      <c r="A199" s="118">
        <v>44147</v>
      </c>
      <c r="B199" s="119" t="s">
        <v>62</v>
      </c>
      <c r="C199" s="120" t="s">
        <v>51</v>
      </c>
      <c r="D199" s="192" t="s">
        <v>348</v>
      </c>
      <c r="E199" s="121" t="s">
        <v>349</v>
      </c>
      <c r="F199" s="119"/>
      <c r="G199" s="121" t="s">
        <v>27</v>
      </c>
      <c r="H199" s="118">
        <v>44147</v>
      </c>
    </row>
    <row r="200" spans="1:8" ht="22.5">
      <c r="A200" s="118">
        <v>44147</v>
      </c>
      <c r="B200" s="119" t="s">
        <v>62</v>
      </c>
      <c r="C200" s="120" t="s">
        <v>276</v>
      </c>
      <c r="D200" s="192" t="s">
        <v>397</v>
      </c>
      <c r="E200" s="121" t="s">
        <v>398</v>
      </c>
      <c r="F200" s="119" t="s">
        <v>399</v>
      </c>
      <c r="G200" s="121" t="s">
        <v>400</v>
      </c>
      <c r="H200" s="118">
        <v>43985</v>
      </c>
    </row>
    <row r="201" spans="1:8" ht="33.75">
      <c r="A201" s="118">
        <v>44147</v>
      </c>
      <c r="B201" s="119" t="s">
        <v>62</v>
      </c>
      <c r="C201" s="120" t="s">
        <v>51</v>
      </c>
      <c r="D201" s="192" t="s">
        <v>401</v>
      </c>
      <c r="E201" s="121" t="s">
        <v>402</v>
      </c>
      <c r="F201" s="119"/>
      <c r="G201" s="121" t="s">
        <v>27</v>
      </c>
      <c r="H201" s="118">
        <v>44147</v>
      </c>
    </row>
    <row r="202" spans="1:8">
      <c r="A202" s="118">
        <v>44147</v>
      </c>
      <c r="B202" s="119" t="s">
        <v>62</v>
      </c>
      <c r="C202" s="120" t="s">
        <v>47</v>
      </c>
      <c r="D202" s="192" t="s">
        <v>403</v>
      </c>
      <c r="E202" s="121" t="s">
        <v>404</v>
      </c>
      <c r="F202" s="119"/>
      <c r="G202" s="121" t="s">
        <v>405</v>
      </c>
      <c r="H202" s="118">
        <v>44147</v>
      </c>
    </row>
    <row r="203" spans="1:8">
      <c r="A203" s="118">
        <v>44147</v>
      </c>
      <c r="B203" s="119" t="s">
        <v>80</v>
      </c>
      <c r="C203" s="120" t="s">
        <v>51</v>
      </c>
      <c r="D203" s="192" t="s">
        <v>406</v>
      </c>
      <c r="E203" s="121" t="s">
        <v>407</v>
      </c>
      <c r="F203" s="119" t="s">
        <v>408</v>
      </c>
      <c r="G203" s="121" t="s">
        <v>55</v>
      </c>
      <c r="H203" s="118">
        <v>44147</v>
      </c>
    </row>
    <row r="204" spans="1:8">
      <c r="A204" s="118">
        <v>44147</v>
      </c>
      <c r="B204" s="119" t="s">
        <v>80</v>
      </c>
      <c r="C204" s="120" t="s">
        <v>51</v>
      </c>
      <c r="D204" s="192" t="s">
        <v>409</v>
      </c>
      <c r="E204" s="121" t="s">
        <v>129</v>
      </c>
      <c r="F204" s="119" t="s">
        <v>410</v>
      </c>
      <c r="G204" s="121" t="s">
        <v>55</v>
      </c>
      <c r="H204" s="118">
        <v>44147</v>
      </c>
    </row>
    <row r="205" spans="1:8">
      <c r="A205" s="118">
        <v>44147</v>
      </c>
      <c r="B205" s="119" t="s">
        <v>80</v>
      </c>
      <c r="C205" s="120" t="s">
        <v>51</v>
      </c>
      <c r="D205" s="192" t="s">
        <v>198</v>
      </c>
      <c r="E205" s="121" t="s">
        <v>199</v>
      </c>
      <c r="F205" s="119"/>
      <c r="G205" s="121" t="s">
        <v>27</v>
      </c>
      <c r="H205" s="118">
        <v>44147</v>
      </c>
    </row>
    <row r="206" spans="1:8">
      <c r="A206" s="118">
        <v>44147</v>
      </c>
      <c r="B206" s="119" t="s">
        <v>80</v>
      </c>
      <c r="C206" s="120" t="s">
        <v>51</v>
      </c>
      <c r="D206" s="192" t="s">
        <v>200</v>
      </c>
      <c r="E206" s="121" t="s">
        <v>199</v>
      </c>
      <c r="F206" s="119"/>
      <c r="G206" s="121" t="s">
        <v>27</v>
      </c>
      <c r="H206" s="118">
        <v>44147</v>
      </c>
    </row>
    <row r="207" spans="1:8">
      <c r="A207" s="118">
        <v>44147</v>
      </c>
      <c r="B207" s="119" t="s">
        <v>80</v>
      </c>
      <c r="C207" s="120" t="s">
        <v>51</v>
      </c>
      <c r="D207" s="192" t="s">
        <v>411</v>
      </c>
      <c r="E207" s="121" t="s">
        <v>202</v>
      </c>
      <c r="F207" s="119" t="s">
        <v>412</v>
      </c>
      <c r="G207" s="121" t="s">
        <v>55</v>
      </c>
      <c r="H207" s="118">
        <v>44147</v>
      </c>
    </row>
    <row r="208" spans="1:8" ht="22.5">
      <c r="A208" s="118">
        <v>44147</v>
      </c>
      <c r="B208" s="119" t="s">
        <v>80</v>
      </c>
      <c r="C208" s="120" t="s">
        <v>47</v>
      </c>
      <c r="D208" s="192" t="s">
        <v>259</v>
      </c>
      <c r="E208" s="121" t="s">
        <v>413</v>
      </c>
      <c r="F208" s="119" t="s">
        <v>262</v>
      </c>
      <c r="G208" s="121" t="s">
        <v>414</v>
      </c>
      <c r="H208" s="118">
        <v>44104</v>
      </c>
    </row>
    <row r="209" spans="1:8" ht="22.5">
      <c r="A209" s="118">
        <v>44147</v>
      </c>
      <c r="B209" s="119" t="s">
        <v>80</v>
      </c>
      <c r="C209" s="120" t="s">
        <v>47</v>
      </c>
      <c r="D209" s="192" t="s">
        <v>415</v>
      </c>
      <c r="E209" s="121" t="s">
        <v>416</v>
      </c>
      <c r="F209" s="119"/>
      <c r="G209" s="121" t="s">
        <v>417</v>
      </c>
      <c r="H209" s="118">
        <v>44147</v>
      </c>
    </row>
    <row r="210" spans="1:8">
      <c r="A210" s="118">
        <v>44147</v>
      </c>
      <c r="B210" s="119" t="s">
        <v>100</v>
      </c>
      <c r="C210" s="120" t="s">
        <v>51</v>
      </c>
      <c r="D210" s="192" t="s">
        <v>311</v>
      </c>
      <c r="E210" s="121" t="s">
        <v>312</v>
      </c>
      <c r="F210" s="119" t="s">
        <v>313</v>
      </c>
      <c r="G210" s="121" t="s">
        <v>131</v>
      </c>
      <c r="H210" s="118">
        <v>44147</v>
      </c>
    </row>
    <row r="211" spans="1:8" ht="22.5">
      <c r="A211" s="118">
        <v>44147</v>
      </c>
      <c r="B211" s="119" t="s">
        <v>100</v>
      </c>
      <c r="C211" s="120" t="s">
        <v>51</v>
      </c>
      <c r="D211" s="192" t="s">
        <v>418</v>
      </c>
      <c r="E211" s="121" t="s">
        <v>419</v>
      </c>
      <c r="F211" s="119" t="s">
        <v>420</v>
      </c>
      <c r="G211" s="121" t="s">
        <v>421</v>
      </c>
      <c r="H211" s="118">
        <v>44147</v>
      </c>
    </row>
    <row r="212" spans="1:8">
      <c r="A212" s="118">
        <v>44147</v>
      </c>
      <c r="B212" s="119" t="s">
        <v>100</v>
      </c>
      <c r="C212" s="120" t="s">
        <v>51</v>
      </c>
      <c r="D212" s="192" t="s">
        <v>422</v>
      </c>
      <c r="E212" s="121" t="s">
        <v>423</v>
      </c>
      <c r="F212" s="119" t="s">
        <v>424</v>
      </c>
      <c r="G212" s="121" t="s">
        <v>55</v>
      </c>
      <c r="H212" s="118">
        <v>44147</v>
      </c>
    </row>
    <row r="213" spans="1:8" ht="22.5">
      <c r="A213" s="118">
        <v>44147</v>
      </c>
      <c r="B213" s="119" t="s">
        <v>100</v>
      </c>
      <c r="C213" s="120" t="s">
        <v>276</v>
      </c>
      <c r="D213" s="192" t="s">
        <v>425</v>
      </c>
      <c r="E213" s="121" t="s">
        <v>426</v>
      </c>
      <c r="F213" s="119" t="s">
        <v>427</v>
      </c>
      <c r="G213" s="121" t="s">
        <v>400</v>
      </c>
      <c r="H213" s="118">
        <v>43999</v>
      </c>
    </row>
    <row r="214" spans="1:8" ht="22.5">
      <c r="A214" s="118">
        <v>44147</v>
      </c>
      <c r="B214" s="119" t="s">
        <v>100</v>
      </c>
      <c r="C214" s="120" t="s">
        <v>276</v>
      </c>
      <c r="D214" s="192" t="s">
        <v>361</v>
      </c>
      <c r="E214" s="121" t="s">
        <v>362</v>
      </c>
      <c r="F214" s="119" t="s">
        <v>363</v>
      </c>
      <c r="G214" s="121" t="s">
        <v>400</v>
      </c>
      <c r="H214" s="118">
        <v>44006</v>
      </c>
    </row>
    <row r="215" spans="1:8" ht="22.5">
      <c r="A215" s="118">
        <v>44147</v>
      </c>
      <c r="B215" s="119" t="s">
        <v>100</v>
      </c>
      <c r="C215" s="120" t="s">
        <v>51</v>
      </c>
      <c r="D215" s="192" t="s">
        <v>103</v>
      </c>
      <c r="E215" s="121" t="s">
        <v>104</v>
      </c>
      <c r="F215" s="119" t="s">
        <v>105</v>
      </c>
      <c r="G215" s="121" t="s">
        <v>131</v>
      </c>
      <c r="H215" s="118">
        <v>44147</v>
      </c>
    </row>
    <row r="216" spans="1:8">
      <c r="A216" s="118">
        <v>44147</v>
      </c>
      <c r="B216" s="119" t="s">
        <v>100</v>
      </c>
      <c r="C216" s="120" t="s">
        <v>51</v>
      </c>
      <c r="D216" s="192" t="s">
        <v>428</v>
      </c>
      <c r="E216" s="121" t="s">
        <v>429</v>
      </c>
      <c r="F216" s="119"/>
      <c r="G216" s="121" t="s">
        <v>27</v>
      </c>
      <c r="H216" s="118">
        <v>44147</v>
      </c>
    </row>
    <row r="217" spans="1:8">
      <c r="A217" s="118">
        <v>44041</v>
      </c>
      <c r="B217" s="119" t="s">
        <v>46</v>
      </c>
      <c r="C217" s="120" t="s">
        <v>276</v>
      </c>
      <c r="D217" s="192" t="s">
        <v>430</v>
      </c>
      <c r="E217" s="121" t="s">
        <v>431</v>
      </c>
      <c r="F217" s="119"/>
      <c r="G217" s="121" t="s">
        <v>432</v>
      </c>
      <c r="H217" s="118">
        <v>43768</v>
      </c>
    </row>
    <row r="218" spans="1:8" ht="22.5">
      <c r="A218" s="118">
        <v>44034</v>
      </c>
      <c r="B218" s="119" t="s">
        <v>46</v>
      </c>
      <c r="C218" s="120" t="s">
        <v>51</v>
      </c>
      <c r="D218" s="192" t="s">
        <v>317</v>
      </c>
      <c r="E218" s="121" t="s">
        <v>318</v>
      </c>
      <c r="F218" s="119"/>
      <c r="G218" s="121" t="s">
        <v>27</v>
      </c>
      <c r="H218" s="118">
        <v>44018</v>
      </c>
    </row>
    <row r="219" spans="1:8">
      <c r="A219" s="118">
        <v>44034</v>
      </c>
      <c r="B219" s="119" t="s">
        <v>46</v>
      </c>
      <c r="C219" s="120" t="s">
        <v>51</v>
      </c>
      <c r="D219" s="192" t="s">
        <v>331</v>
      </c>
      <c r="E219" s="121" t="s">
        <v>332</v>
      </c>
      <c r="F219" s="119" t="s">
        <v>433</v>
      </c>
      <c r="G219" s="121" t="s">
        <v>27</v>
      </c>
      <c r="H219" s="118">
        <v>44020</v>
      </c>
    </row>
    <row r="220" spans="1:8">
      <c r="A220" s="118">
        <v>44034</v>
      </c>
      <c r="B220" s="119" t="s">
        <v>46</v>
      </c>
      <c r="C220" s="120" t="s">
        <v>51</v>
      </c>
      <c r="D220" s="192" t="s">
        <v>371</v>
      </c>
      <c r="E220" s="121" t="s">
        <v>372</v>
      </c>
      <c r="F220" s="125" t="s">
        <v>373</v>
      </c>
      <c r="G220" s="121" t="s">
        <v>434</v>
      </c>
      <c r="H220" s="118">
        <v>43983</v>
      </c>
    </row>
    <row r="221" spans="1:8">
      <c r="A221" s="118">
        <v>44034</v>
      </c>
      <c r="B221" s="119" t="s">
        <v>46</v>
      </c>
      <c r="C221" s="120" t="s">
        <v>51</v>
      </c>
      <c r="D221" s="192" t="s">
        <v>224</v>
      </c>
      <c r="E221" s="121" t="s">
        <v>375</v>
      </c>
      <c r="F221" s="119"/>
      <c r="G221" s="121" t="s">
        <v>27</v>
      </c>
      <c r="H221" s="118">
        <v>44021</v>
      </c>
    </row>
    <row r="222" spans="1:8">
      <c r="A222" s="118">
        <v>44034</v>
      </c>
      <c r="B222" s="119" t="s">
        <v>62</v>
      </c>
      <c r="C222" s="120" t="s">
        <v>51</v>
      </c>
      <c r="D222" s="192" t="s">
        <v>348</v>
      </c>
      <c r="E222" s="121" t="s">
        <v>349</v>
      </c>
      <c r="F222" s="119"/>
      <c r="G222" s="121" t="s">
        <v>27</v>
      </c>
      <c r="H222" s="118">
        <v>44018</v>
      </c>
    </row>
    <row r="223" spans="1:8">
      <c r="A223" s="118">
        <v>44034</v>
      </c>
      <c r="B223" s="119" t="s">
        <v>62</v>
      </c>
      <c r="C223" s="120" t="s">
        <v>51</v>
      </c>
      <c r="D223" s="192" t="s">
        <v>397</v>
      </c>
      <c r="E223" s="121" t="s">
        <v>398</v>
      </c>
      <c r="F223" s="119" t="s">
        <v>399</v>
      </c>
      <c r="G223" s="121" t="s">
        <v>55</v>
      </c>
      <c r="H223" s="118">
        <v>43985</v>
      </c>
    </row>
    <row r="224" spans="1:8">
      <c r="A224" s="118">
        <v>44034</v>
      </c>
      <c r="B224" s="119" t="s">
        <v>80</v>
      </c>
      <c r="C224" s="120" t="s">
        <v>51</v>
      </c>
      <c r="D224" s="192" t="s">
        <v>435</v>
      </c>
      <c r="E224" s="121" t="s">
        <v>436</v>
      </c>
      <c r="F224" s="119" t="s">
        <v>437</v>
      </c>
      <c r="G224" s="128" t="s">
        <v>438</v>
      </c>
      <c r="H224" s="118">
        <v>43991</v>
      </c>
    </row>
    <row r="225" spans="1:8">
      <c r="A225" s="118">
        <v>44034</v>
      </c>
      <c r="B225" s="119" t="s">
        <v>80</v>
      </c>
      <c r="C225" s="120" t="s">
        <v>51</v>
      </c>
      <c r="D225" s="192" t="s">
        <v>406</v>
      </c>
      <c r="E225" s="121" t="s">
        <v>407</v>
      </c>
      <c r="F225" s="119" t="s">
        <v>408</v>
      </c>
      <c r="G225" s="121" t="s">
        <v>439</v>
      </c>
      <c r="H225" s="118">
        <v>44014</v>
      </c>
    </row>
    <row r="226" spans="1:8">
      <c r="A226" s="118">
        <v>44034</v>
      </c>
      <c r="B226" s="119" t="s">
        <v>80</v>
      </c>
      <c r="C226" s="120" t="s">
        <v>146</v>
      </c>
      <c r="D226" s="192" t="s">
        <v>440</v>
      </c>
      <c r="E226" s="121" t="s">
        <v>441</v>
      </c>
      <c r="F226" s="119" t="s">
        <v>442</v>
      </c>
      <c r="G226" s="121" t="s">
        <v>443</v>
      </c>
      <c r="H226" s="118">
        <v>44034</v>
      </c>
    </row>
    <row r="227" spans="1:8">
      <c r="A227" s="118">
        <v>44034</v>
      </c>
      <c r="B227" s="119" t="s">
        <v>80</v>
      </c>
      <c r="C227" s="120" t="s">
        <v>47</v>
      </c>
      <c r="D227" s="192" t="s">
        <v>444</v>
      </c>
      <c r="E227" s="121" t="s">
        <v>445</v>
      </c>
      <c r="F227" s="119"/>
      <c r="G227" s="121" t="s">
        <v>405</v>
      </c>
      <c r="H227" s="118">
        <v>44034</v>
      </c>
    </row>
    <row r="228" spans="1:8" ht="33.75">
      <c r="A228" s="118">
        <v>44034</v>
      </c>
      <c r="B228" s="119" t="s">
        <v>80</v>
      </c>
      <c r="C228" s="120" t="s">
        <v>51</v>
      </c>
      <c r="D228" s="192" t="s">
        <v>132</v>
      </c>
      <c r="E228" s="121" t="s">
        <v>133</v>
      </c>
      <c r="F228" s="119"/>
      <c r="G228" s="121" t="s">
        <v>446</v>
      </c>
      <c r="H228" s="118">
        <v>44021</v>
      </c>
    </row>
    <row r="229" spans="1:8">
      <c r="A229" s="118">
        <v>44034</v>
      </c>
      <c r="B229" s="119" t="s">
        <v>80</v>
      </c>
      <c r="C229" s="120" t="s">
        <v>51</v>
      </c>
      <c r="D229" s="192" t="s">
        <v>411</v>
      </c>
      <c r="E229" s="121" t="s">
        <v>202</v>
      </c>
      <c r="F229" s="119"/>
      <c r="G229" s="121" t="s">
        <v>27</v>
      </c>
      <c r="H229" s="118">
        <v>44018</v>
      </c>
    </row>
    <row r="230" spans="1:8" ht="33.75">
      <c r="A230" s="118">
        <v>44034</v>
      </c>
      <c r="B230" s="119" t="s">
        <v>80</v>
      </c>
      <c r="C230" s="120" t="s">
        <v>47</v>
      </c>
      <c r="D230" s="192" t="s">
        <v>259</v>
      </c>
      <c r="E230" s="121" t="s">
        <v>413</v>
      </c>
      <c r="F230" s="119" t="s">
        <v>262</v>
      </c>
      <c r="G230" s="121" t="s">
        <v>447</v>
      </c>
      <c r="H230" s="118">
        <v>44025</v>
      </c>
    </row>
    <row r="231" spans="1:8">
      <c r="A231" s="118">
        <v>44034</v>
      </c>
      <c r="B231" s="119" t="s">
        <v>100</v>
      </c>
      <c r="C231" s="120" t="s">
        <v>51</v>
      </c>
      <c r="D231" s="192" t="s">
        <v>266</v>
      </c>
      <c r="E231" s="121" t="s">
        <v>267</v>
      </c>
      <c r="F231" s="119"/>
      <c r="G231" s="121" t="s">
        <v>27</v>
      </c>
      <c r="H231" s="118">
        <v>44022</v>
      </c>
    </row>
    <row r="232" spans="1:8" ht="22.5">
      <c r="A232" s="118">
        <v>44034</v>
      </c>
      <c r="B232" s="119" t="s">
        <v>100</v>
      </c>
      <c r="C232" s="120" t="s">
        <v>51</v>
      </c>
      <c r="D232" s="192" t="s">
        <v>418</v>
      </c>
      <c r="E232" s="121" t="s">
        <v>419</v>
      </c>
      <c r="F232" s="119" t="s">
        <v>420</v>
      </c>
      <c r="G232" s="121" t="s">
        <v>55</v>
      </c>
      <c r="H232" s="118">
        <v>43999</v>
      </c>
    </row>
    <row r="233" spans="1:8">
      <c r="A233" s="118">
        <v>44034</v>
      </c>
      <c r="B233" s="119" t="s">
        <v>100</v>
      </c>
      <c r="C233" s="120" t="s">
        <v>51</v>
      </c>
      <c r="D233" s="192" t="s">
        <v>425</v>
      </c>
      <c r="E233" s="121" t="s">
        <v>426</v>
      </c>
      <c r="F233" s="119" t="s">
        <v>427</v>
      </c>
      <c r="G233" s="121" t="s">
        <v>55</v>
      </c>
      <c r="H233" s="118">
        <v>43999</v>
      </c>
    </row>
    <row r="234" spans="1:8">
      <c r="A234" s="118">
        <v>44034</v>
      </c>
      <c r="B234" s="119" t="s">
        <v>100</v>
      </c>
      <c r="C234" s="120" t="s">
        <v>51</v>
      </c>
      <c r="D234" s="192" t="s">
        <v>361</v>
      </c>
      <c r="E234" s="121" t="s">
        <v>362</v>
      </c>
      <c r="F234" s="119" t="s">
        <v>363</v>
      </c>
      <c r="G234" s="121" t="s">
        <v>55</v>
      </c>
      <c r="H234" s="118">
        <v>44006</v>
      </c>
    </row>
    <row r="235" spans="1:8" ht="22.5">
      <c r="A235" s="118">
        <v>43951</v>
      </c>
      <c r="B235" s="119" t="s">
        <v>46</v>
      </c>
      <c r="C235" s="120" t="s">
        <v>51</v>
      </c>
      <c r="D235" s="192" t="s">
        <v>368</v>
      </c>
      <c r="E235" s="121" t="s">
        <v>172</v>
      </c>
      <c r="F235" s="119"/>
      <c r="G235" s="121" t="s">
        <v>27</v>
      </c>
      <c r="H235" s="118">
        <v>43943</v>
      </c>
    </row>
    <row r="236" spans="1:8">
      <c r="A236" s="118">
        <v>43951</v>
      </c>
      <c r="B236" s="119" t="s">
        <v>46</v>
      </c>
      <c r="C236" s="120" t="s">
        <v>51</v>
      </c>
      <c r="D236" s="192" t="s">
        <v>210</v>
      </c>
      <c r="E236" s="121" t="s">
        <v>102</v>
      </c>
      <c r="F236" s="119"/>
      <c r="G236" s="121" t="s">
        <v>27</v>
      </c>
      <c r="H236" s="118">
        <v>43938.376631944448</v>
      </c>
    </row>
    <row r="237" spans="1:8">
      <c r="A237" s="118">
        <v>43951</v>
      </c>
      <c r="B237" s="119" t="s">
        <v>46</v>
      </c>
      <c r="C237" s="120" t="s">
        <v>51</v>
      </c>
      <c r="D237" s="192" t="s">
        <v>331</v>
      </c>
      <c r="E237" s="121" t="s">
        <v>332</v>
      </c>
      <c r="F237" s="119"/>
      <c r="G237" s="121" t="s">
        <v>448</v>
      </c>
      <c r="H237" s="118">
        <v>43945.451770833337</v>
      </c>
    </row>
    <row r="238" spans="1:8">
      <c r="A238" s="118">
        <v>43951</v>
      </c>
      <c r="B238" s="119" t="s">
        <v>80</v>
      </c>
      <c r="C238" s="120" t="s">
        <v>51</v>
      </c>
      <c r="D238" s="192" t="s">
        <v>449</v>
      </c>
      <c r="E238" s="121" t="s">
        <v>129</v>
      </c>
      <c r="F238" s="119" t="s">
        <v>410</v>
      </c>
      <c r="G238" s="121" t="s">
        <v>450</v>
      </c>
      <c r="H238" s="118">
        <v>43949</v>
      </c>
    </row>
    <row r="239" spans="1:8" ht="67.5">
      <c r="A239" s="118">
        <v>43951</v>
      </c>
      <c r="B239" s="119" t="s">
        <v>80</v>
      </c>
      <c r="C239" s="120" t="s">
        <v>47</v>
      </c>
      <c r="D239" s="192" t="s">
        <v>451</v>
      </c>
      <c r="E239" s="121" t="s">
        <v>413</v>
      </c>
      <c r="F239" s="125" t="s">
        <v>452</v>
      </c>
      <c r="G239" s="121" t="s">
        <v>453</v>
      </c>
      <c r="H239" s="118">
        <v>43922</v>
      </c>
    </row>
    <row r="240" spans="1:8">
      <c r="A240" s="118">
        <v>43951</v>
      </c>
      <c r="B240" s="119" t="s">
        <v>100</v>
      </c>
      <c r="C240" s="120" t="s">
        <v>51</v>
      </c>
      <c r="D240" s="192" t="s">
        <v>314</v>
      </c>
      <c r="E240" s="121" t="s">
        <v>315</v>
      </c>
      <c r="F240" s="119"/>
      <c r="G240" s="121" t="s">
        <v>27</v>
      </c>
      <c r="H240" s="118">
        <v>43950</v>
      </c>
    </row>
    <row r="241" spans="1:8" ht="22.5">
      <c r="A241" s="118">
        <v>43887</v>
      </c>
      <c r="B241" s="119" t="s">
        <v>62</v>
      </c>
      <c r="C241" s="120" t="s">
        <v>247</v>
      </c>
      <c r="D241" s="192" t="s">
        <v>454</v>
      </c>
      <c r="E241" s="121" t="s">
        <v>455</v>
      </c>
      <c r="F241" s="119" t="s">
        <v>456</v>
      </c>
      <c r="G241" s="121" t="s">
        <v>457</v>
      </c>
      <c r="H241" s="118">
        <v>42948</v>
      </c>
    </row>
    <row r="242" spans="1:8">
      <c r="A242" s="118">
        <v>43887</v>
      </c>
      <c r="B242" s="119" t="s">
        <v>62</v>
      </c>
      <c r="C242" s="120" t="s">
        <v>51</v>
      </c>
      <c r="D242" s="192" t="s">
        <v>458</v>
      </c>
      <c r="E242" s="121" t="s">
        <v>459</v>
      </c>
      <c r="F242" s="119"/>
      <c r="G242" s="121" t="s">
        <v>27</v>
      </c>
      <c r="H242" s="122">
        <v>43852</v>
      </c>
    </row>
    <row r="243" spans="1:8">
      <c r="A243" s="118">
        <v>43887</v>
      </c>
      <c r="B243" s="119" t="s">
        <v>62</v>
      </c>
      <c r="C243" s="120" t="s">
        <v>247</v>
      </c>
      <c r="D243" s="192" t="s">
        <v>460</v>
      </c>
      <c r="E243" s="121" t="s">
        <v>461</v>
      </c>
      <c r="F243" s="119" t="s">
        <v>462</v>
      </c>
      <c r="G243" s="121" t="s">
        <v>463</v>
      </c>
      <c r="H243" s="118">
        <v>43209</v>
      </c>
    </row>
    <row r="244" spans="1:8">
      <c r="A244" s="118">
        <v>43887</v>
      </c>
      <c r="B244" s="119" t="s">
        <v>100</v>
      </c>
      <c r="C244" s="120" t="s">
        <v>247</v>
      </c>
      <c r="D244" s="192" t="s">
        <v>464</v>
      </c>
      <c r="E244" s="121" t="s">
        <v>465</v>
      </c>
      <c r="F244" s="119" t="s">
        <v>466</v>
      </c>
      <c r="G244" s="121" t="s">
        <v>467</v>
      </c>
      <c r="H244" s="118">
        <v>43868</v>
      </c>
    </row>
    <row r="245" spans="1:8">
      <c r="A245" s="118">
        <v>43861</v>
      </c>
      <c r="B245" s="119" t="s">
        <v>46</v>
      </c>
      <c r="C245" s="120" t="s">
        <v>47</v>
      </c>
      <c r="D245" s="192" t="s">
        <v>468</v>
      </c>
      <c r="E245" s="121" t="s">
        <v>469</v>
      </c>
      <c r="F245" s="119"/>
      <c r="G245" s="121" t="s">
        <v>470</v>
      </c>
      <c r="H245" s="118">
        <v>43861</v>
      </c>
    </row>
    <row r="246" spans="1:8" ht="22.5">
      <c r="A246" s="118">
        <v>43861</v>
      </c>
      <c r="B246" s="119" t="s">
        <v>46</v>
      </c>
      <c r="C246" s="120" t="s">
        <v>51</v>
      </c>
      <c r="D246" s="192" t="s">
        <v>471</v>
      </c>
      <c r="E246" s="121" t="s">
        <v>472</v>
      </c>
      <c r="F246" s="119" t="s">
        <v>473</v>
      </c>
      <c r="G246" s="121" t="s">
        <v>55</v>
      </c>
      <c r="H246" s="118">
        <v>43851</v>
      </c>
    </row>
    <row r="247" spans="1:8">
      <c r="A247" s="118">
        <v>43861</v>
      </c>
      <c r="B247" s="119" t="s">
        <v>46</v>
      </c>
      <c r="C247" s="120" t="s">
        <v>51</v>
      </c>
      <c r="D247" s="192" t="s">
        <v>474</v>
      </c>
      <c r="E247" s="121" t="s">
        <v>332</v>
      </c>
      <c r="F247" s="119" t="s">
        <v>475</v>
      </c>
      <c r="G247" s="121" t="s">
        <v>55</v>
      </c>
      <c r="H247" s="118">
        <v>43767</v>
      </c>
    </row>
    <row r="248" spans="1:8" ht="22.5">
      <c r="A248" s="118">
        <v>43861</v>
      </c>
      <c r="B248" s="119" t="s">
        <v>46</v>
      </c>
      <c r="C248" s="120" t="s">
        <v>51</v>
      </c>
      <c r="D248" s="192" t="s">
        <v>390</v>
      </c>
      <c r="E248" s="121" t="s">
        <v>391</v>
      </c>
      <c r="F248" s="119" t="s">
        <v>392</v>
      </c>
      <c r="G248" s="121" t="s">
        <v>131</v>
      </c>
      <c r="H248" s="118">
        <v>43767</v>
      </c>
    </row>
    <row r="249" spans="1:8">
      <c r="A249" s="118">
        <v>43861</v>
      </c>
      <c r="B249" s="119" t="s">
        <v>62</v>
      </c>
      <c r="C249" s="120" t="s">
        <v>51</v>
      </c>
      <c r="D249" s="192" t="s">
        <v>476</v>
      </c>
      <c r="E249" s="121" t="s">
        <v>477</v>
      </c>
      <c r="F249" s="119" t="s">
        <v>478</v>
      </c>
      <c r="G249" s="121" t="s">
        <v>131</v>
      </c>
      <c r="H249" s="118">
        <v>43767</v>
      </c>
    </row>
    <row r="250" spans="1:8">
      <c r="A250" s="118">
        <v>43861</v>
      </c>
      <c r="B250" s="119" t="s">
        <v>62</v>
      </c>
      <c r="C250" s="120" t="s">
        <v>51</v>
      </c>
      <c r="D250" s="192" t="s">
        <v>476</v>
      </c>
      <c r="E250" s="121" t="s">
        <v>477</v>
      </c>
      <c r="F250" s="119" t="s">
        <v>478</v>
      </c>
      <c r="G250" s="121" t="s">
        <v>131</v>
      </c>
      <c r="H250" s="118">
        <v>43767</v>
      </c>
    </row>
    <row r="251" spans="1:8">
      <c r="A251" s="118">
        <v>43861</v>
      </c>
      <c r="B251" s="119" t="s">
        <v>62</v>
      </c>
      <c r="C251" s="120" t="s">
        <v>51</v>
      </c>
      <c r="D251" s="192" t="s">
        <v>479</v>
      </c>
      <c r="E251" s="121" t="s">
        <v>480</v>
      </c>
      <c r="F251" s="119" t="s">
        <v>481</v>
      </c>
      <c r="G251" s="121" t="s">
        <v>131</v>
      </c>
      <c r="H251" s="118">
        <v>43767</v>
      </c>
    </row>
    <row r="252" spans="1:8">
      <c r="A252" s="118">
        <v>43861</v>
      </c>
      <c r="B252" s="119" t="s">
        <v>80</v>
      </c>
      <c r="C252" s="120" t="s">
        <v>51</v>
      </c>
      <c r="D252" s="192" t="s">
        <v>482</v>
      </c>
      <c r="E252" s="121" t="s">
        <v>483</v>
      </c>
      <c r="F252" s="119" t="s">
        <v>484</v>
      </c>
      <c r="G252" s="121" t="s">
        <v>55</v>
      </c>
      <c r="H252" s="118">
        <v>43858</v>
      </c>
    </row>
    <row r="253" spans="1:8">
      <c r="A253" s="118">
        <v>43861</v>
      </c>
      <c r="B253" s="119" t="s">
        <v>100</v>
      </c>
      <c r="C253" s="120" t="s">
        <v>51</v>
      </c>
      <c r="D253" s="192" t="s">
        <v>485</v>
      </c>
      <c r="E253" s="121" t="s">
        <v>362</v>
      </c>
      <c r="F253" s="119" t="s">
        <v>486</v>
      </c>
      <c r="G253" s="121" t="s">
        <v>131</v>
      </c>
      <c r="H253" s="118">
        <v>43860</v>
      </c>
    </row>
    <row r="254" spans="1:8">
      <c r="A254" s="123">
        <v>43783</v>
      </c>
      <c r="B254" s="119" t="s">
        <v>46</v>
      </c>
      <c r="C254" s="120" t="s">
        <v>51</v>
      </c>
      <c r="D254" s="192" t="s">
        <v>164</v>
      </c>
      <c r="E254" s="121" t="s">
        <v>328</v>
      </c>
      <c r="F254" s="119"/>
      <c r="G254" s="121" t="s">
        <v>27</v>
      </c>
      <c r="H254" s="123">
        <v>43767</v>
      </c>
    </row>
    <row r="255" spans="1:8">
      <c r="A255" s="123">
        <v>43783</v>
      </c>
      <c r="B255" s="119" t="s">
        <v>46</v>
      </c>
      <c r="C255" s="120" t="s">
        <v>141</v>
      </c>
      <c r="D255" s="192" t="s">
        <v>147</v>
      </c>
      <c r="E255" s="121" t="s">
        <v>148</v>
      </c>
      <c r="F255" s="119" t="s">
        <v>149</v>
      </c>
      <c r="G255" s="121" t="s">
        <v>487</v>
      </c>
      <c r="H255" s="123">
        <v>43602</v>
      </c>
    </row>
    <row r="256" spans="1:8">
      <c r="A256" s="123">
        <v>43783</v>
      </c>
      <c r="B256" s="119" t="s">
        <v>46</v>
      </c>
      <c r="C256" s="120" t="s">
        <v>141</v>
      </c>
      <c r="D256" s="192" t="s">
        <v>488</v>
      </c>
      <c r="E256" s="121" t="s">
        <v>148</v>
      </c>
      <c r="F256" s="119" t="s">
        <v>489</v>
      </c>
      <c r="G256" s="121" t="s">
        <v>487</v>
      </c>
      <c r="H256" s="123">
        <v>43602</v>
      </c>
    </row>
    <row r="257" spans="1:8" ht="22.5">
      <c r="A257" s="123">
        <v>43783</v>
      </c>
      <c r="B257" s="119" t="s">
        <v>46</v>
      </c>
      <c r="C257" s="120" t="s">
        <v>51</v>
      </c>
      <c r="D257" s="192" t="s">
        <v>168</v>
      </c>
      <c r="E257" s="121" t="s">
        <v>169</v>
      </c>
      <c r="F257" s="119"/>
      <c r="G257" s="121" t="s">
        <v>27</v>
      </c>
      <c r="H257" s="123">
        <v>43767</v>
      </c>
    </row>
    <row r="258" spans="1:8">
      <c r="A258" s="123">
        <v>43783</v>
      </c>
      <c r="B258" s="119" t="s">
        <v>80</v>
      </c>
      <c r="C258" s="120" t="s">
        <v>141</v>
      </c>
      <c r="D258" s="192" t="s">
        <v>490</v>
      </c>
      <c r="E258" s="121" t="s">
        <v>465</v>
      </c>
      <c r="F258" s="119" t="s">
        <v>491</v>
      </c>
      <c r="G258" s="121" t="s">
        <v>487</v>
      </c>
      <c r="H258" s="123">
        <v>43602</v>
      </c>
    </row>
    <row r="259" spans="1:8">
      <c r="A259" s="123">
        <v>43783</v>
      </c>
      <c r="B259" s="119" t="s">
        <v>80</v>
      </c>
      <c r="C259" s="120" t="s">
        <v>51</v>
      </c>
      <c r="D259" s="192" t="s">
        <v>492</v>
      </c>
      <c r="E259" s="121" t="s">
        <v>493</v>
      </c>
      <c r="F259" s="119" t="s">
        <v>494</v>
      </c>
      <c r="G259" s="121" t="s">
        <v>27</v>
      </c>
      <c r="H259" s="123">
        <v>43767</v>
      </c>
    </row>
    <row r="260" spans="1:8">
      <c r="A260" s="123">
        <v>43783</v>
      </c>
      <c r="B260" s="119" t="s">
        <v>80</v>
      </c>
      <c r="C260" s="120" t="s">
        <v>141</v>
      </c>
      <c r="D260" s="192" t="s">
        <v>495</v>
      </c>
      <c r="E260" s="121" t="s">
        <v>465</v>
      </c>
      <c r="F260" s="119" t="s">
        <v>496</v>
      </c>
      <c r="G260" s="121" t="s">
        <v>487</v>
      </c>
      <c r="H260" s="123">
        <v>43636</v>
      </c>
    </row>
    <row r="261" spans="1:8">
      <c r="A261" s="123">
        <v>43783</v>
      </c>
      <c r="B261" s="119" t="s">
        <v>80</v>
      </c>
      <c r="C261" s="120" t="s">
        <v>151</v>
      </c>
      <c r="D261" s="192" t="s">
        <v>259</v>
      </c>
      <c r="E261" s="121" t="s">
        <v>89</v>
      </c>
      <c r="F261" s="119"/>
      <c r="G261" s="121" t="s">
        <v>497</v>
      </c>
      <c r="H261" s="123">
        <v>43767</v>
      </c>
    </row>
    <row r="262" spans="1:8" ht="22.5">
      <c r="A262" s="123">
        <v>43783</v>
      </c>
      <c r="B262" s="119" t="s">
        <v>498</v>
      </c>
      <c r="C262" s="120" t="s">
        <v>499</v>
      </c>
      <c r="D262" s="192" t="s">
        <v>498</v>
      </c>
      <c r="E262" s="121" t="s">
        <v>498</v>
      </c>
      <c r="F262" s="119" t="s">
        <v>498</v>
      </c>
      <c r="G262" s="121" t="s">
        <v>500</v>
      </c>
      <c r="H262" s="123">
        <v>43783</v>
      </c>
    </row>
    <row r="263" spans="1:8" ht="67.5">
      <c r="A263" s="123">
        <v>43783</v>
      </c>
      <c r="B263" s="119" t="s">
        <v>100</v>
      </c>
      <c r="C263" s="120" t="s">
        <v>151</v>
      </c>
      <c r="D263" s="192" t="s">
        <v>381</v>
      </c>
      <c r="E263" s="121" t="s">
        <v>501</v>
      </c>
      <c r="F263" s="119" t="s">
        <v>383</v>
      </c>
      <c r="G263" s="121" t="s">
        <v>502</v>
      </c>
      <c r="H263" s="123">
        <v>43776</v>
      </c>
    </row>
    <row r="264" spans="1:8" ht="67.5">
      <c r="A264" s="123">
        <v>43783</v>
      </c>
      <c r="B264" s="119" t="s">
        <v>100</v>
      </c>
      <c r="C264" s="120" t="s">
        <v>247</v>
      </c>
      <c r="D264" s="192" t="s">
        <v>381</v>
      </c>
      <c r="E264" s="121" t="s">
        <v>501</v>
      </c>
      <c r="F264" s="119"/>
      <c r="G264" s="121" t="s">
        <v>503</v>
      </c>
      <c r="H264" s="123">
        <v>43776</v>
      </c>
    </row>
    <row r="265" spans="1:8">
      <c r="A265" s="123">
        <v>43783</v>
      </c>
      <c r="B265" s="119" t="s">
        <v>100</v>
      </c>
      <c r="C265" s="120" t="s">
        <v>141</v>
      </c>
      <c r="D265" s="192" t="s">
        <v>464</v>
      </c>
      <c r="E265" s="121" t="s">
        <v>465</v>
      </c>
      <c r="F265" s="119" t="s">
        <v>504</v>
      </c>
      <c r="G265" s="121" t="s">
        <v>487</v>
      </c>
      <c r="H265" s="123">
        <v>43637</v>
      </c>
    </row>
    <row r="266" spans="1:8" ht="33.75">
      <c r="A266" s="123">
        <v>43783</v>
      </c>
      <c r="B266" s="119" t="s">
        <v>100</v>
      </c>
      <c r="C266" s="120" t="s">
        <v>151</v>
      </c>
      <c r="D266" s="192" t="s">
        <v>464</v>
      </c>
      <c r="E266" s="121" t="s">
        <v>465</v>
      </c>
      <c r="F266" s="119" t="s">
        <v>505</v>
      </c>
      <c r="G266" s="121" t="s">
        <v>506</v>
      </c>
      <c r="H266" s="123">
        <v>43661</v>
      </c>
    </row>
    <row r="267" spans="1:8">
      <c r="A267" s="123">
        <v>43783</v>
      </c>
      <c r="B267" s="119" t="s">
        <v>100</v>
      </c>
      <c r="C267" s="120" t="s">
        <v>276</v>
      </c>
      <c r="D267" s="192" t="s">
        <v>507</v>
      </c>
      <c r="E267" s="121" t="s">
        <v>508</v>
      </c>
      <c r="F267" s="119" t="s">
        <v>509</v>
      </c>
      <c r="G267" s="121" t="s">
        <v>510</v>
      </c>
      <c r="H267" s="123">
        <v>43664</v>
      </c>
    </row>
    <row r="268" spans="1:8" ht="22.5">
      <c r="A268" s="123">
        <v>43783</v>
      </c>
      <c r="B268" s="119" t="s">
        <v>100</v>
      </c>
      <c r="C268" s="120" t="s">
        <v>51</v>
      </c>
      <c r="D268" s="192" t="s">
        <v>111</v>
      </c>
      <c r="E268" s="121" t="s">
        <v>112</v>
      </c>
      <c r="F268" s="119"/>
      <c r="G268" s="121" t="s">
        <v>27</v>
      </c>
      <c r="H268" s="123">
        <v>43767</v>
      </c>
    </row>
    <row r="269" spans="1:8">
      <c r="A269" s="123">
        <v>43684</v>
      </c>
      <c r="B269" s="119" t="s">
        <v>46</v>
      </c>
      <c r="C269" s="120" t="s">
        <v>141</v>
      </c>
      <c r="D269" s="192" t="s">
        <v>216</v>
      </c>
      <c r="E269" s="121" t="s">
        <v>217</v>
      </c>
      <c r="F269" s="119"/>
      <c r="G269" s="121" t="s">
        <v>511</v>
      </c>
      <c r="H269" s="123">
        <v>43679</v>
      </c>
    </row>
    <row r="270" spans="1:8">
      <c r="A270" s="123">
        <v>43684</v>
      </c>
      <c r="B270" s="119" t="s">
        <v>46</v>
      </c>
      <c r="C270" s="120" t="s">
        <v>151</v>
      </c>
      <c r="D270" s="192" t="s">
        <v>216</v>
      </c>
      <c r="E270" s="121" t="s">
        <v>217</v>
      </c>
      <c r="F270" s="119"/>
      <c r="G270" s="121" t="s">
        <v>512</v>
      </c>
      <c r="H270" s="123">
        <v>43679</v>
      </c>
    </row>
    <row r="271" spans="1:8">
      <c r="A271" s="123">
        <v>43684</v>
      </c>
      <c r="B271" s="119" t="s">
        <v>80</v>
      </c>
      <c r="C271" s="120" t="s">
        <v>141</v>
      </c>
      <c r="D271" s="192" t="s">
        <v>259</v>
      </c>
      <c r="E271" s="121" t="s">
        <v>89</v>
      </c>
      <c r="F271" s="119"/>
      <c r="G271" s="121" t="s">
        <v>511</v>
      </c>
      <c r="H271" s="123">
        <v>43682</v>
      </c>
    </row>
    <row r="272" spans="1:8">
      <c r="A272" s="123">
        <v>43675</v>
      </c>
      <c r="B272" s="119" t="s">
        <v>62</v>
      </c>
      <c r="C272" s="120" t="s">
        <v>11</v>
      </c>
      <c r="D272" s="192" t="s">
        <v>242</v>
      </c>
      <c r="E272" s="121" t="s">
        <v>513</v>
      </c>
      <c r="F272" s="119"/>
      <c r="G272" s="121" t="s">
        <v>514</v>
      </c>
      <c r="H272" s="123">
        <v>43591</v>
      </c>
    </row>
    <row r="273" spans="1:8">
      <c r="A273" s="123">
        <v>43675</v>
      </c>
      <c r="B273" s="119" t="s">
        <v>62</v>
      </c>
      <c r="C273" s="120" t="s">
        <v>47</v>
      </c>
      <c r="D273" s="192" t="s">
        <v>515</v>
      </c>
      <c r="E273" s="121" t="s">
        <v>516</v>
      </c>
      <c r="F273" s="119"/>
      <c r="G273" s="121" t="s">
        <v>470</v>
      </c>
      <c r="H273" s="123">
        <v>43312</v>
      </c>
    </row>
    <row r="274" spans="1:8">
      <c r="A274" s="123">
        <v>43675</v>
      </c>
      <c r="B274" s="119" t="s">
        <v>80</v>
      </c>
      <c r="C274" s="120" t="s">
        <v>47</v>
      </c>
      <c r="D274" s="192" t="s">
        <v>517</v>
      </c>
      <c r="E274" s="121" t="s">
        <v>518</v>
      </c>
      <c r="F274" s="119" t="s">
        <v>437</v>
      </c>
      <c r="G274" s="121" t="s">
        <v>470</v>
      </c>
      <c r="H274" s="123">
        <v>43312</v>
      </c>
    </row>
    <row r="275" spans="1:8">
      <c r="A275" s="123">
        <v>43675</v>
      </c>
      <c r="B275" s="119" t="s">
        <v>80</v>
      </c>
      <c r="C275" s="120" t="s">
        <v>519</v>
      </c>
      <c r="D275" s="192" t="s">
        <v>520</v>
      </c>
      <c r="E275" s="121" t="s">
        <v>521</v>
      </c>
      <c r="F275" s="119" t="s">
        <v>522</v>
      </c>
      <c r="G275" s="121" t="s">
        <v>523</v>
      </c>
      <c r="H275" s="123">
        <v>43647</v>
      </c>
    </row>
    <row r="276" spans="1:8">
      <c r="A276" s="123">
        <v>43675</v>
      </c>
      <c r="B276" s="119" t="s">
        <v>100</v>
      </c>
      <c r="C276" s="120" t="s">
        <v>151</v>
      </c>
      <c r="D276" s="192" t="s">
        <v>524</v>
      </c>
      <c r="E276" s="121" t="s">
        <v>525</v>
      </c>
      <c r="F276" s="119" t="s">
        <v>526</v>
      </c>
      <c r="G276" s="121" t="s">
        <v>527</v>
      </c>
      <c r="H276" s="123">
        <v>43150</v>
      </c>
    </row>
    <row r="277" spans="1:8" ht="22.5">
      <c r="A277" s="123">
        <v>43664</v>
      </c>
      <c r="B277" s="119" t="s">
        <v>46</v>
      </c>
      <c r="C277" s="120" t="s">
        <v>528</v>
      </c>
      <c r="D277" s="192" t="s">
        <v>529</v>
      </c>
      <c r="E277" s="121" t="s">
        <v>530</v>
      </c>
      <c r="F277" s="119" t="s">
        <v>531</v>
      </c>
      <c r="G277" s="121" t="s">
        <v>532</v>
      </c>
      <c r="H277" s="123">
        <v>43591</v>
      </c>
    </row>
    <row r="278" spans="1:8">
      <c r="A278" s="123">
        <v>43664</v>
      </c>
      <c r="B278" s="119" t="s">
        <v>46</v>
      </c>
      <c r="C278" s="120" t="s">
        <v>528</v>
      </c>
      <c r="D278" s="192" t="s">
        <v>533</v>
      </c>
      <c r="E278" s="121" t="s">
        <v>534</v>
      </c>
      <c r="F278" s="119" t="s">
        <v>535</v>
      </c>
      <c r="G278" s="121" t="s">
        <v>532</v>
      </c>
      <c r="H278" s="123">
        <v>43602</v>
      </c>
    </row>
    <row r="279" spans="1:8">
      <c r="A279" s="123">
        <v>43664</v>
      </c>
      <c r="B279" s="119" t="s">
        <v>46</v>
      </c>
      <c r="C279" s="120" t="s">
        <v>247</v>
      </c>
      <c r="D279" s="192" t="s">
        <v>536</v>
      </c>
      <c r="E279" s="121" t="s">
        <v>537</v>
      </c>
      <c r="F279" s="119" t="s">
        <v>538</v>
      </c>
      <c r="G279" s="121" t="s">
        <v>539</v>
      </c>
      <c r="H279" s="123">
        <v>43204</v>
      </c>
    </row>
    <row r="280" spans="1:8">
      <c r="A280" s="123">
        <v>43664</v>
      </c>
      <c r="B280" s="119" t="s">
        <v>46</v>
      </c>
      <c r="C280" s="120" t="s">
        <v>247</v>
      </c>
      <c r="D280" s="192" t="s">
        <v>540</v>
      </c>
      <c r="E280" s="121" t="s">
        <v>541</v>
      </c>
      <c r="F280" s="119" t="s">
        <v>542</v>
      </c>
      <c r="G280" s="121" t="s">
        <v>543</v>
      </c>
      <c r="H280" s="123">
        <v>43600</v>
      </c>
    </row>
    <row r="281" spans="1:8">
      <c r="A281" s="123">
        <v>43664</v>
      </c>
      <c r="B281" s="119" t="s">
        <v>46</v>
      </c>
      <c r="C281" s="120" t="s">
        <v>51</v>
      </c>
      <c r="D281" s="192" t="s">
        <v>544</v>
      </c>
      <c r="E281" s="121" t="s">
        <v>545</v>
      </c>
      <c r="F281" s="119"/>
      <c r="G281" s="121" t="s">
        <v>299</v>
      </c>
      <c r="H281" s="123">
        <v>43663</v>
      </c>
    </row>
    <row r="282" spans="1:8" ht="22.5">
      <c r="A282" s="123">
        <v>43664</v>
      </c>
      <c r="B282" s="119" t="s">
        <v>46</v>
      </c>
      <c r="C282" s="120" t="s">
        <v>247</v>
      </c>
      <c r="D282" s="192" t="s">
        <v>471</v>
      </c>
      <c r="E282" s="121" t="s">
        <v>472</v>
      </c>
      <c r="F282" s="119" t="s">
        <v>546</v>
      </c>
      <c r="G282" s="121" t="s">
        <v>547</v>
      </c>
      <c r="H282" s="123">
        <v>43629</v>
      </c>
    </row>
    <row r="283" spans="1:8">
      <c r="A283" s="123">
        <v>43664</v>
      </c>
      <c r="B283" s="119" t="s">
        <v>46</v>
      </c>
      <c r="C283" s="120" t="s">
        <v>51</v>
      </c>
      <c r="D283" s="192" t="s">
        <v>548</v>
      </c>
      <c r="E283" s="121" t="s">
        <v>175</v>
      </c>
      <c r="F283" s="119"/>
      <c r="G283" s="121" t="s">
        <v>299</v>
      </c>
      <c r="H283" s="123">
        <v>43663</v>
      </c>
    </row>
    <row r="284" spans="1:8">
      <c r="A284" s="123">
        <v>43664</v>
      </c>
      <c r="B284" s="119" t="s">
        <v>46</v>
      </c>
      <c r="C284" s="120" t="s">
        <v>51</v>
      </c>
      <c r="D284" s="192" t="s">
        <v>549</v>
      </c>
      <c r="E284" s="121" t="s">
        <v>550</v>
      </c>
      <c r="F284" s="119"/>
      <c r="G284" s="121" t="s">
        <v>299</v>
      </c>
      <c r="H284" s="123">
        <v>43663</v>
      </c>
    </row>
    <row r="285" spans="1:8">
      <c r="A285" s="123">
        <v>43664</v>
      </c>
      <c r="B285" s="119" t="s">
        <v>46</v>
      </c>
      <c r="C285" s="120" t="s">
        <v>51</v>
      </c>
      <c r="D285" s="192" t="s">
        <v>335</v>
      </c>
      <c r="E285" s="121" t="s">
        <v>551</v>
      </c>
      <c r="F285" s="119"/>
      <c r="G285" s="121" t="s">
        <v>552</v>
      </c>
      <c r="H285" s="123">
        <v>43641</v>
      </c>
    </row>
    <row r="286" spans="1:8">
      <c r="A286" s="123">
        <v>43664</v>
      </c>
      <c r="B286" s="119" t="s">
        <v>46</v>
      </c>
      <c r="C286" s="120" t="s">
        <v>247</v>
      </c>
      <c r="D286" s="192" t="s">
        <v>553</v>
      </c>
      <c r="E286" s="121" t="s">
        <v>554</v>
      </c>
      <c r="F286" s="119" t="s">
        <v>555</v>
      </c>
      <c r="G286" s="121" t="s">
        <v>556</v>
      </c>
      <c r="H286" s="123">
        <v>43623</v>
      </c>
    </row>
    <row r="287" spans="1:8">
      <c r="A287" s="123">
        <v>43664</v>
      </c>
      <c r="B287" s="119" t="s">
        <v>46</v>
      </c>
      <c r="C287" s="120" t="s">
        <v>51</v>
      </c>
      <c r="D287" s="192" t="s">
        <v>557</v>
      </c>
      <c r="E287" s="121" t="s">
        <v>558</v>
      </c>
      <c r="F287" s="119" t="s">
        <v>208</v>
      </c>
      <c r="G287" s="121" t="s">
        <v>552</v>
      </c>
      <c r="H287" s="123">
        <v>43637</v>
      </c>
    </row>
    <row r="288" spans="1:8">
      <c r="A288" s="123">
        <v>43664</v>
      </c>
      <c r="B288" s="119" t="s">
        <v>46</v>
      </c>
      <c r="C288" s="120" t="s">
        <v>247</v>
      </c>
      <c r="D288" s="192" t="s">
        <v>108</v>
      </c>
      <c r="E288" s="121" t="s">
        <v>559</v>
      </c>
      <c r="F288" s="119" t="s">
        <v>208</v>
      </c>
      <c r="G288" s="121" t="s">
        <v>560</v>
      </c>
      <c r="H288" s="123">
        <v>43605</v>
      </c>
    </row>
    <row r="289" spans="1:8">
      <c r="A289" s="123">
        <v>43664</v>
      </c>
      <c r="B289" s="119" t="s">
        <v>46</v>
      </c>
      <c r="C289" s="120" t="s">
        <v>247</v>
      </c>
      <c r="D289" s="192" t="s">
        <v>561</v>
      </c>
      <c r="E289" s="121" t="s">
        <v>140</v>
      </c>
      <c r="F289" s="119" t="s">
        <v>562</v>
      </c>
      <c r="G289" s="121" t="s">
        <v>563</v>
      </c>
      <c r="H289" s="123">
        <v>43202</v>
      </c>
    </row>
    <row r="290" spans="1:8">
      <c r="A290" s="123">
        <v>43664</v>
      </c>
      <c r="B290" s="119" t="s">
        <v>46</v>
      </c>
      <c r="C290" s="120" t="s">
        <v>51</v>
      </c>
      <c r="D290" s="192" t="s">
        <v>564</v>
      </c>
      <c r="E290" s="121"/>
      <c r="F290" s="119"/>
      <c r="G290" s="121" t="s">
        <v>299</v>
      </c>
      <c r="H290" s="123">
        <v>43663</v>
      </c>
    </row>
    <row r="291" spans="1:8">
      <c r="A291" s="123">
        <v>43664</v>
      </c>
      <c r="B291" s="119" t="s">
        <v>46</v>
      </c>
      <c r="C291" s="120" t="s">
        <v>51</v>
      </c>
      <c r="D291" s="192" t="s">
        <v>565</v>
      </c>
      <c r="E291" s="121" t="s">
        <v>566</v>
      </c>
      <c r="F291" s="119"/>
      <c r="G291" s="121" t="s">
        <v>299</v>
      </c>
      <c r="H291" s="123">
        <v>43663</v>
      </c>
    </row>
    <row r="292" spans="1:8">
      <c r="A292" s="123">
        <v>43664</v>
      </c>
      <c r="B292" s="119" t="s">
        <v>62</v>
      </c>
      <c r="C292" s="120" t="s">
        <v>51</v>
      </c>
      <c r="D292" s="192" t="s">
        <v>395</v>
      </c>
      <c r="E292" s="121" t="s">
        <v>202</v>
      </c>
      <c r="F292" s="119"/>
      <c r="G292" s="121" t="s">
        <v>299</v>
      </c>
      <c r="H292" s="123">
        <v>43663</v>
      </c>
    </row>
    <row r="293" spans="1:8">
      <c r="A293" s="123">
        <v>43664</v>
      </c>
      <c r="B293" s="119" t="s">
        <v>62</v>
      </c>
      <c r="C293" s="120" t="s">
        <v>528</v>
      </c>
      <c r="D293" s="192" t="s">
        <v>567</v>
      </c>
      <c r="E293" s="121" t="s">
        <v>568</v>
      </c>
      <c r="F293" s="119" t="s">
        <v>569</v>
      </c>
      <c r="G293" s="121" t="s">
        <v>532</v>
      </c>
      <c r="H293" s="123">
        <v>43621</v>
      </c>
    </row>
    <row r="294" spans="1:8" ht="22.5">
      <c r="A294" s="123">
        <v>43664</v>
      </c>
      <c r="B294" s="119" t="s">
        <v>62</v>
      </c>
      <c r="C294" s="120" t="s">
        <v>247</v>
      </c>
      <c r="D294" s="192" t="s">
        <v>570</v>
      </c>
      <c r="E294" s="121" t="s">
        <v>571</v>
      </c>
      <c r="F294" s="119" t="s">
        <v>572</v>
      </c>
      <c r="G294" s="121" t="s">
        <v>573</v>
      </c>
      <c r="H294" s="123">
        <v>43602</v>
      </c>
    </row>
    <row r="295" spans="1:8" ht="22.5">
      <c r="A295" s="123">
        <v>43664</v>
      </c>
      <c r="B295" s="119" t="s">
        <v>62</v>
      </c>
      <c r="C295" s="120" t="s">
        <v>528</v>
      </c>
      <c r="D295" s="192" t="s">
        <v>574</v>
      </c>
      <c r="E295" s="121" t="s">
        <v>575</v>
      </c>
      <c r="F295" s="119" t="s">
        <v>576</v>
      </c>
      <c r="G295" s="121" t="s">
        <v>532</v>
      </c>
      <c r="H295" s="123">
        <v>43640</v>
      </c>
    </row>
    <row r="296" spans="1:8">
      <c r="A296" s="123">
        <v>43664</v>
      </c>
      <c r="B296" s="119" t="s">
        <v>62</v>
      </c>
      <c r="C296" s="120" t="s">
        <v>528</v>
      </c>
      <c r="D296" s="192" t="s">
        <v>577</v>
      </c>
      <c r="E296" s="121" t="s">
        <v>102</v>
      </c>
      <c r="F296" s="119" t="s">
        <v>578</v>
      </c>
      <c r="G296" s="121" t="s">
        <v>532</v>
      </c>
      <c r="H296" s="123">
        <v>43558</v>
      </c>
    </row>
    <row r="297" spans="1:8">
      <c r="A297" s="123">
        <v>43664</v>
      </c>
      <c r="B297" s="119" t="s">
        <v>62</v>
      </c>
      <c r="C297" s="120" t="s">
        <v>247</v>
      </c>
      <c r="D297" s="192" t="s">
        <v>579</v>
      </c>
      <c r="E297" s="121" t="s">
        <v>580</v>
      </c>
      <c r="F297" s="119" t="s">
        <v>581</v>
      </c>
      <c r="G297" s="121" t="s">
        <v>582</v>
      </c>
      <c r="H297" s="123">
        <v>43602</v>
      </c>
    </row>
    <row r="298" spans="1:8">
      <c r="A298" s="123">
        <v>43664</v>
      </c>
      <c r="B298" s="119" t="s">
        <v>62</v>
      </c>
      <c r="C298" s="120" t="s">
        <v>528</v>
      </c>
      <c r="D298" s="192" t="s">
        <v>583</v>
      </c>
      <c r="E298" s="121" t="s">
        <v>584</v>
      </c>
      <c r="F298" s="119" t="s">
        <v>585</v>
      </c>
      <c r="G298" s="121" t="s">
        <v>532</v>
      </c>
      <c r="H298" s="123">
        <v>43585</v>
      </c>
    </row>
    <row r="299" spans="1:8" ht="22.5">
      <c r="A299" s="123">
        <v>43664</v>
      </c>
      <c r="B299" s="119" t="s">
        <v>62</v>
      </c>
      <c r="C299" s="120" t="s">
        <v>528</v>
      </c>
      <c r="D299" s="192" t="s">
        <v>586</v>
      </c>
      <c r="E299" s="121" t="s">
        <v>587</v>
      </c>
      <c r="F299" s="119" t="s">
        <v>588</v>
      </c>
      <c r="G299" s="121" t="s">
        <v>532</v>
      </c>
      <c r="H299" s="123">
        <v>43209.352256944447</v>
      </c>
    </row>
    <row r="300" spans="1:8">
      <c r="A300" s="123">
        <v>43664</v>
      </c>
      <c r="B300" s="119" t="s">
        <v>62</v>
      </c>
      <c r="C300" s="120" t="s">
        <v>51</v>
      </c>
      <c r="D300" s="192" t="s">
        <v>589</v>
      </c>
      <c r="E300" s="121" t="s">
        <v>590</v>
      </c>
      <c r="F300" s="119"/>
      <c r="G300" s="121" t="s">
        <v>299</v>
      </c>
      <c r="H300" s="123">
        <v>43663</v>
      </c>
    </row>
    <row r="301" spans="1:8">
      <c r="A301" s="123">
        <v>43664</v>
      </c>
      <c r="B301" s="119" t="s">
        <v>62</v>
      </c>
      <c r="C301" s="120" t="s">
        <v>247</v>
      </c>
      <c r="D301" s="192" t="s">
        <v>479</v>
      </c>
      <c r="E301" s="121" t="s">
        <v>480</v>
      </c>
      <c r="F301" s="119" t="s">
        <v>481</v>
      </c>
      <c r="G301" s="121" t="s">
        <v>591</v>
      </c>
      <c r="H301" s="123">
        <v>43622</v>
      </c>
    </row>
    <row r="302" spans="1:8">
      <c r="A302" s="123">
        <v>43664</v>
      </c>
      <c r="B302" s="119" t="s">
        <v>62</v>
      </c>
      <c r="C302" s="120" t="s">
        <v>528</v>
      </c>
      <c r="D302" s="192" t="s">
        <v>592</v>
      </c>
      <c r="E302" s="121" t="s">
        <v>593</v>
      </c>
      <c r="F302" s="119" t="s">
        <v>594</v>
      </c>
      <c r="G302" s="121" t="s">
        <v>532</v>
      </c>
      <c r="H302" s="123">
        <v>43585</v>
      </c>
    </row>
    <row r="303" spans="1:8" ht="22.5">
      <c r="A303" s="123">
        <v>43664</v>
      </c>
      <c r="B303" s="119" t="s">
        <v>62</v>
      </c>
      <c r="C303" s="120" t="s">
        <v>51</v>
      </c>
      <c r="D303" s="192" t="s">
        <v>242</v>
      </c>
      <c r="E303" s="121" t="s">
        <v>595</v>
      </c>
      <c r="F303" s="119"/>
      <c r="G303" s="121" t="s">
        <v>552</v>
      </c>
      <c r="H303" s="123">
        <v>43591</v>
      </c>
    </row>
    <row r="304" spans="1:8">
      <c r="A304" s="123">
        <v>43664</v>
      </c>
      <c r="B304" s="119" t="s">
        <v>62</v>
      </c>
      <c r="C304" s="120" t="s">
        <v>528</v>
      </c>
      <c r="D304" s="192" t="s">
        <v>596</v>
      </c>
      <c r="E304" s="121" t="s">
        <v>102</v>
      </c>
      <c r="F304" s="119" t="s">
        <v>597</v>
      </c>
      <c r="G304" s="121" t="s">
        <v>532</v>
      </c>
      <c r="H304" s="123">
        <v>43204</v>
      </c>
    </row>
    <row r="305" spans="1:8">
      <c r="A305" s="123">
        <v>43664</v>
      </c>
      <c r="B305" s="119" t="s">
        <v>62</v>
      </c>
      <c r="C305" s="120" t="s">
        <v>528</v>
      </c>
      <c r="D305" s="192" t="s">
        <v>598</v>
      </c>
      <c r="E305" s="121" t="s">
        <v>599</v>
      </c>
      <c r="F305" s="119" t="s">
        <v>600</v>
      </c>
      <c r="G305" s="121" t="s">
        <v>532</v>
      </c>
      <c r="H305" s="123">
        <v>43621</v>
      </c>
    </row>
    <row r="306" spans="1:8">
      <c r="A306" s="123">
        <v>43664</v>
      </c>
      <c r="B306" s="119" t="s">
        <v>62</v>
      </c>
      <c r="C306" s="120" t="s">
        <v>51</v>
      </c>
      <c r="D306" s="192" t="s">
        <v>601</v>
      </c>
      <c r="E306" s="121" t="s">
        <v>602</v>
      </c>
      <c r="F306" s="119"/>
      <c r="G306" s="121" t="s">
        <v>603</v>
      </c>
      <c r="H306" s="123">
        <v>42549</v>
      </c>
    </row>
    <row r="307" spans="1:8">
      <c r="A307" s="123">
        <v>43664</v>
      </c>
      <c r="B307" s="119" t="s">
        <v>62</v>
      </c>
      <c r="C307" s="120" t="s">
        <v>51</v>
      </c>
      <c r="D307" s="192" t="s">
        <v>604</v>
      </c>
      <c r="E307" s="121" t="s">
        <v>102</v>
      </c>
      <c r="F307" s="119"/>
      <c r="G307" s="121" t="s">
        <v>299</v>
      </c>
      <c r="H307" s="123">
        <v>43663</v>
      </c>
    </row>
    <row r="308" spans="1:8">
      <c r="A308" s="123">
        <v>43664</v>
      </c>
      <c r="B308" s="119" t="s">
        <v>80</v>
      </c>
      <c r="C308" s="120" t="s">
        <v>247</v>
      </c>
      <c r="D308" s="192" t="s">
        <v>605</v>
      </c>
      <c r="E308" s="121" t="s">
        <v>606</v>
      </c>
      <c r="F308" s="119" t="s">
        <v>607</v>
      </c>
      <c r="G308" s="121" t="s">
        <v>608</v>
      </c>
      <c r="H308" s="123">
        <v>43308.013749999998</v>
      </c>
    </row>
    <row r="309" spans="1:8">
      <c r="A309" s="123">
        <v>43664</v>
      </c>
      <c r="B309" s="119" t="s">
        <v>80</v>
      </c>
      <c r="C309" s="120" t="s">
        <v>247</v>
      </c>
      <c r="D309" s="192" t="s">
        <v>609</v>
      </c>
      <c r="E309" s="121" t="s">
        <v>606</v>
      </c>
      <c r="F309" s="119" t="s">
        <v>610</v>
      </c>
      <c r="G309" s="121" t="s">
        <v>608</v>
      </c>
      <c r="H309" s="123">
        <v>43473.160243055558</v>
      </c>
    </row>
    <row r="310" spans="1:8">
      <c r="A310" s="123">
        <v>43664</v>
      </c>
      <c r="B310" s="119" t="s">
        <v>80</v>
      </c>
      <c r="C310" s="120" t="s">
        <v>51</v>
      </c>
      <c r="D310" s="192" t="s">
        <v>492</v>
      </c>
      <c r="E310" s="121" t="s">
        <v>493</v>
      </c>
      <c r="F310" s="119"/>
      <c r="G310" s="121" t="s">
        <v>611</v>
      </c>
      <c r="H310" s="123">
        <v>43602</v>
      </c>
    </row>
    <row r="311" spans="1:8">
      <c r="A311" s="123">
        <v>43664</v>
      </c>
      <c r="B311" s="119" t="s">
        <v>80</v>
      </c>
      <c r="C311" s="120" t="s">
        <v>51</v>
      </c>
      <c r="D311" s="192" t="s">
        <v>449</v>
      </c>
      <c r="E311" s="121" t="s">
        <v>612</v>
      </c>
      <c r="F311" s="119" t="s">
        <v>410</v>
      </c>
      <c r="G311" s="121" t="s">
        <v>552</v>
      </c>
      <c r="H311" s="123">
        <v>43585</v>
      </c>
    </row>
    <row r="312" spans="1:8">
      <c r="A312" s="123">
        <v>43664</v>
      </c>
      <c r="B312" s="119" t="s">
        <v>80</v>
      </c>
      <c r="C312" s="120" t="s">
        <v>528</v>
      </c>
      <c r="D312" s="192" t="s">
        <v>409</v>
      </c>
      <c r="E312" s="121" t="s">
        <v>129</v>
      </c>
      <c r="F312" s="119" t="s">
        <v>613</v>
      </c>
      <c r="G312" s="121" t="s">
        <v>532</v>
      </c>
      <c r="H312" s="123">
        <v>43150.159699074073</v>
      </c>
    </row>
    <row r="313" spans="1:8">
      <c r="A313" s="123">
        <v>43664</v>
      </c>
      <c r="B313" s="119" t="s">
        <v>80</v>
      </c>
      <c r="C313" s="120" t="s">
        <v>51</v>
      </c>
      <c r="D313" s="192" t="s">
        <v>128</v>
      </c>
      <c r="E313" s="121" t="s">
        <v>129</v>
      </c>
      <c r="F313" s="119" t="s">
        <v>613</v>
      </c>
      <c r="G313" s="121" t="s">
        <v>552</v>
      </c>
      <c r="H313" s="123">
        <v>43311.25167824074</v>
      </c>
    </row>
    <row r="314" spans="1:8">
      <c r="A314" s="123">
        <v>43664</v>
      </c>
      <c r="B314" s="119" t="s">
        <v>80</v>
      </c>
      <c r="C314" s="120" t="s">
        <v>51</v>
      </c>
      <c r="D314" s="192" t="s">
        <v>614</v>
      </c>
      <c r="E314" s="121" t="s">
        <v>615</v>
      </c>
      <c r="F314" s="119"/>
      <c r="G314" s="121" t="s">
        <v>616</v>
      </c>
      <c r="H314" s="123">
        <v>43663</v>
      </c>
    </row>
    <row r="315" spans="1:8">
      <c r="A315" s="123">
        <v>43664</v>
      </c>
      <c r="B315" s="119" t="s">
        <v>80</v>
      </c>
      <c r="C315" s="120" t="s">
        <v>51</v>
      </c>
      <c r="D315" s="192" t="s">
        <v>617</v>
      </c>
      <c r="E315" s="121" t="s">
        <v>615</v>
      </c>
      <c r="F315" s="119"/>
      <c r="G315" s="121" t="s">
        <v>616</v>
      </c>
      <c r="H315" s="123">
        <v>43663</v>
      </c>
    </row>
    <row r="316" spans="1:8">
      <c r="A316" s="123">
        <v>43664</v>
      </c>
      <c r="B316" s="119" t="s">
        <v>80</v>
      </c>
      <c r="C316" s="120" t="s">
        <v>247</v>
      </c>
      <c r="D316" s="192" t="s">
        <v>495</v>
      </c>
      <c r="E316" s="121" t="s">
        <v>465</v>
      </c>
      <c r="F316" s="119" t="s">
        <v>618</v>
      </c>
      <c r="G316" s="121" t="s">
        <v>619</v>
      </c>
      <c r="H316" s="123">
        <v>43150</v>
      </c>
    </row>
    <row r="317" spans="1:8">
      <c r="A317" s="123">
        <v>43664</v>
      </c>
      <c r="B317" s="119" t="s">
        <v>80</v>
      </c>
      <c r="C317" s="120" t="s">
        <v>51</v>
      </c>
      <c r="D317" s="192" t="s">
        <v>620</v>
      </c>
      <c r="E317" s="121" t="s">
        <v>621</v>
      </c>
      <c r="F317" s="119"/>
      <c r="G317" s="121" t="s">
        <v>552</v>
      </c>
      <c r="H317" s="123">
        <v>43663</v>
      </c>
    </row>
    <row r="318" spans="1:8">
      <c r="A318" s="123">
        <v>43664</v>
      </c>
      <c r="B318" s="119" t="s">
        <v>80</v>
      </c>
      <c r="C318" s="120" t="s">
        <v>51</v>
      </c>
      <c r="D318" s="192" t="s">
        <v>622</v>
      </c>
      <c r="E318" s="121" t="s">
        <v>623</v>
      </c>
      <c r="F318" s="119"/>
      <c r="G318" s="121" t="s">
        <v>552</v>
      </c>
      <c r="H318" s="123">
        <v>43663</v>
      </c>
    </row>
    <row r="319" spans="1:8">
      <c r="A319" s="123">
        <v>43664</v>
      </c>
      <c r="B319" s="119" t="s">
        <v>80</v>
      </c>
      <c r="C319" s="120" t="s">
        <v>528</v>
      </c>
      <c r="D319" s="192" t="s">
        <v>520</v>
      </c>
      <c r="E319" s="121" t="s">
        <v>521</v>
      </c>
      <c r="F319" s="119" t="s">
        <v>624</v>
      </c>
      <c r="G319" s="121" t="s">
        <v>532</v>
      </c>
      <c r="H319" s="123">
        <v>43647</v>
      </c>
    </row>
    <row r="320" spans="1:8">
      <c r="A320" s="123">
        <v>43664</v>
      </c>
      <c r="B320" s="119" t="s">
        <v>80</v>
      </c>
      <c r="C320" s="120" t="s">
        <v>51</v>
      </c>
      <c r="D320" s="192" t="s">
        <v>625</v>
      </c>
      <c r="E320" s="121" t="s">
        <v>626</v>
      </c>
      <c r="F320" s="119"/>
      <c r="G320" s="121" t="s">
        <v>616</v>
      </c>
      <c r="H320" s="123">
        <v>43663</v>
      </c>
    </row>
    <row r="321" spans="1:8">
      <c r="A321" s="123">
        <v>43664</v>
      </c>
      <c r="B321" s="119" t="s">
        <v>95</v>
      </c>
      <c r="C321" s="120" t="s">
        <v>247</v>
      </c>
      <c r="D321" s="192" t="s">
        <v>358</v>
      </c>
      <c r="E321" s="121" t="s">
        <v>359</v>
      </c>
      <c r="F321" s="119" t="s">
        <v>208</v>
      </c>
      <c r="G321" s="121" t="s">
        <v>627</v>
      </c>
      <c r="H321" s="123">
        <v>43600</v>
      </c>
    </row>
    <row r="322" spans="1:8">
      <c r="A322" s="123">
        <v>43664</v>
      </c>
      <c r="B322" s="119" t="s">
        <v>95</v>
      </c>
      <c r="C322" s="120" t="s">
        <v>51</v>
      </c>
      <c r="D322" s="192" t="s">
        <v>628</v>
      </c>
      <c r="E322" s="121" t="s">
        <v>628</v>
      </c>
      <c r="F322" s="119"/>
      <c r="G322" s="121" t="s">
        <v>299</v>
      </c>
      <c r="H322" s="123">
        <v>43663</v>
      </c>
    </row>
    <row r="323" spans="1:8" ht="22.5">
      <c r="A323" s="123">
        <v>43664</v>
      </c>
      <c r="B323" s="119" t="s">
        <v>95</v>
      </c>
      <c r="C323" s="120" t="s">
        <v>629</v>
      </c>
      <c r="D323" s="192" t="s">
        <v>630</v>
      </c>
      <c r="E323" s="121" t="s">
        <v>97</v>
      </c>
      <c r="F323" s="119" t="s">
        <v>98</v>
      </c>
      <c r="G323" s="121" t="s">
        <v>631</v>
      </c>
      <c r="H323" s="123">
        <v>43602</v>
      </c>
    </row>
    <row r="324" spans="1:8">
      <c r="A324" s="123">
        <v>43664</v>
      </c>
      <c r="B324" s="119" t="s">
        <v>100</v>
      </c>
      <c r="C324" s="120" t="s">
        <v>528</v>
      </c>
      <c r="D324" s="192" t="s">
        <v>632</v>
      </c>
      <c r="E324" s="121" t="s">
        <v>633</v>
      </c>
      <c r="F324" s="119" t="s">
        <v>634</v>
      </c>
      <c r="G324" s="121" t="s">
        <v>532</v>
      </c>
      <c r="H324" s="123">
        <v>43617</v>
      </c>
    </row>
    <row r="325" spans="1:8">
      <c r="A325" s="123">
        <v>43664</v>
      </c>
      <c r="B325" s="119" t="s">
        <v>100</v>
      </c>
      <c r="C325" s="120" t="s">
        <v>51</v>
      </c>
      <c r="D325" s="192" t="s">
        <v>635</v>
      </c>
      <c r="E325" s="121" t="s">
        <v>312</v>
      </c>
      <c r="F325" s="119" t="s">
        <v>208</v>
      </c>
      <c r="G325" s="121" t="s">
        <v>552</v>
      </c>
      <c r="H325" s="123">
        <v>43607</v>
      </c>
    </row>
    <row r="326" spans="1:8">
      <c r="A326" s="123">
        <v>43664</v>
      </c>
      <c r="B326" s="119" t="s">
        <v>100</v>
      </c>
      <c r="C326" s="120" t="s">
        <v>247</v>
      </c>
      <c r="D326" s="192" t="s">
        <v>311</v>
      </c>
      <c r="E326" s="121" t="s">
        <v>312</v>
      </c>
      <c r="F326" s="119" t="s">
        <v>208</v>
      </c>
      <c r="G326" s="121" t="s">
        <v>636</v>
      </c>
      <c r="H326" s="123">
        <v>43607</v>
      </c>
    </row>
    <row r="327" spans="1:8">
      <c r="A327" s="123">
        <v>43664</v>
      </c>
      <c r="B327" s="119" t="s">
        <v>100</v>
      </c>
      <c r="C327" s="120" t="s">
        <v>51</v>
      </c>
      <c r="D327" s="192" t="s">
        <v>637</v>
      </c>
      <c r="E327" s="121" t="s">
        <v>638</v>
      </c>
      <c r="F327" s="119"/>
      <c r="G327" s="121" t="s">
        <v>639</v>
      </c>
      <c r="H327" s="123">
        <v>43473</v>
      </c>
    </row>
    <row r="328" spans="1:8">
      <c r="A328" s="123">
        <v>43664</v>
      </c>
      <c r="B328" s="119" t="s">
        <v>100</v>
      </c>
      <c r="C328" s="120" t="s">
        <v>528</v>
      </c>
      <c r="D328" s="192" t="s">
        <v>507</v>
      </c>
      <c r="E328" s="121" t="s">
        <v>508</v>
      </c>
      <c r="F328" s="119" t="s">
        <v>509</v>
      </c>
      <c r="G328" s="121" t="s">
        <v>532</v>
      </c>
      <c r="H328" s="123">
        <v>43150</v>
      </c>
    </row>
    <row r="329" spans="1:8">
      <c r="A329" s="123">
        <v>43664</v>
      </c>
      <c r="B329" s="119" t="s">
        <v>100</v>
      </c>
      <c r="C329" s="120" t="s">
        <v>247</v>
      </c>
      <c r="D329" s="192" t="s">
        <v>640</v>
      </c>
      <c r="E329" s="121" t="s">
        <v>641</v>
      </c>
      <c r="F329" s="119" t="s">
        <v>642</v>
      </c>
      <c r="G329" s="121" t="s">
        <v>643</v>
      </c>
      <c r="H329" s="123">
        <v>43150</v>
      </c>
    </row>
    <row r="330" spans="1:8">
      <c r="A330" s="123">
        <v>43664</v>
      </c>
      <c r="B330" s="119" t="s">
        <v>100</v>
      </c>
      <c r="C330" s="120" t="s">
        <v>247</v>
      </c>
      <c r="D330" s="192" t="s">
        <v>644</v>
      </c>
      <c r="E330" s="121" t="s">
        <v>645</v>
      </c>
      <c r="F330" s="119" t="s">
        <v>646</v>
      </c>
      <c r="G330" s="121" t="s">
        <v>647</v>
      </c>
      <c r="H330" s="123">
        <v>43614</v>
      </c>
    </row>
    <row r="331" spans="1:8">
      <c r="A331" s="123">
        <v>43664</v>
      </c>
      <c r="B331" s="119" t="s">
        <v>100</v>
      </c>
      <c r="C331" s="120" t="s">
        <v>247</v>
      </c>
      <c r="D331" s="192" t="s">
        <v>648</v>
      </c>
      <c r="E331" s="121" t="s">
        <v>649</v>
      </c>
      <c r="F331" s="119" t="s">
        <v>650</v>
      </c>
      <c r="G331" s="121" t="s">
        <v>651</v>
      </c>
      <c r="H331" s="123">
        <v>43556</v>
      </c>
    </row>
    <row r="332" spans="1:8">
      <c r="A332" s="123">
        <v>43664</v>
      </c>
      <c r="B332" s="119" t="s">
        <v>100</v>
      </c>
      <c r="C332" s="120" t="s">
        <v>51</v>
      </c>
      <c r="D332" s="192" t="s">
        <v>652</v>
      </c>
      <c r="E332" s="121" t="s">
        <v>653</v>
      </c>
      <c r="F332" s="119"/>
      <c r="G332" s="121" t="s">
        <v>299</v>
      </c>
      <c r="H332" s="123">
        <v>43663</v>
      </c>
    </row>
    <row r="333" spans="1:8" ht="22.5">
      <c r="A333" s="123">
        <v>43664</v>
      </c>
      <c r="B333" s="119" t="s">
        <v>100</v>
      </c>
      <c r="C333" s="120" t="s">
        <v>528</v>
      </c>
      <c r="D333" s="192" t="s">
        <v>654</v>
      </c>
      <c r="E333" s="121" t="s">
        <v>655</v>
      </c>
      <c r="F333" s="119" t="s">
        <v>656</v>
      </c>
      <c r="G333" s="121" t="s">
        <v>532</v>
      </c>
      <c r="H333" s="123">
        <v>43629</v>
      </c>
    </row>
    <row r="334" spans="1:8">
      <c r="A334" s="123">
        <v>43664</v>
      </c>
      <c r="B334" s="119" t="s">
        <v>100</v>
      </c>
      <c r="C334" s="120" t="s">
        <v>247</v>
      </c>
      <c r="D334" s="192" t="s">
        <v>657</v>
      </c>
      <c r="E334" s="121" t="s">
        <v>49</v>
      </c>
      <c r="F334" s="119" t="s">
        <v>658</v>
      </c>
      <c r="G334" s="121" t="s">
        <v>659</v>
      </c>
      <c r="H334" s="123">
        <v>43556</v>
      </c>
    </row>
    <row r="335" spans="1:8">
      <c r="A335" s="123">
        <v>43664</v>
      </c>
      <c r="B335" s="119" t="s">
        <v>100</v>
      </c>
      <c r="C335" s="120" t="s">
        <v>247</v>
      </c>
      <c r="D335" s="192" t="s">
        <v>205</v>
      </c>
      <c r="E335" s="121" t="s">
        <v>206</v>
      </c>
      <c r="F335" s="119" t="s">
        <v>208</v>
      </c>
      <c r="G335" s="121" t="s">
        <v>660</v>
      </c>
      <c r="H335" s="123">
        <v>43593</v>
      </c>
    </row>
    <row r="336" spans="1:8">
      <c r="A336" s="123">
        <v>43595</v>
      </c>
      <c r="B336" s="119" t="s">
        <v>46</v>
      </c>
      <c r="C336" s="120" t="s">
        <v>661</v>
      </c>
      <c r="D336" s="192" t="s">
        <v>662</v>
      </c>
      <c r="E336" s="121" t="s">
        <v>208</v>
      </c>
      <c r="F336" s="119" t="s">
        <v>208</v>
      </c>
      <c r="G336" s="121" t="s">
        <v>663</v>
      </c>
      <c r="H336" s="123">
        <v>43595</v>
      </c>
    </row>
    <row r="337" spans="1:8">
      <c r="A337" s="123">
        <v>43595</v>
      </c>
      <c r="B337" s="119" t="s">
        <v>80</v>
      </c>
      <c r="C337" s="120" t="s">
        <v>661</v>
      </c>
      <c r="D337" s="192" t="s">
        <v>664</v>
      </c>
      <c r="E337" s="121" t="s">
        <v>208</v>
      </c>
      <c r="F337" s="119" t="s">
        <v>208</v>
      </c>
      <c r="G337" s="121" t="s">
        <v>665</v>
      </c>
      <c r="H337" s="123">
        <v>43595</v>
      </c>
    </row>
    <row r="338" spans="1:8">
      <c r="A338" s="123">
        <v>43595</v>
      </c>
      <c r="B338" s="119" t="s">
        <v>100</v>
      </c>
      <c r="C338" s="120" t="s">
        <v>661</v>
      </c>
      <c r="D338" s="192" t="s">
        <v>666</v>
      </c>
      <c r="E338" s="121" t="s">
        <v>208</v>
      </c>
      <c r="F338" s="119" t="s">
        <v>208</v>
      </c>
      <c r="G338" s="121" t="s">
        <v>667</v>
      </c>
      <c r="H338" s="123">
        <v>43595</v>
      </c>
    </row>
    <row r="339" spans="1:8" ht="22.5">
      <c r="A339" s="123">
        <v>43595</v>
      </c>
      <c r="B339" s="119" t="s">
        <v>100</v>
      </c>
      <c r="C339" s="120" t="s">
        <v>47</v>
      </c>
      <c r="D339" s="192" t="s">
        <v>668</v>
      </c>
      <c r="E339" s="121" t="s">
        <v>208</v>
      </c>
      <c r="F339" s="119" t="s">
        <v>208</v>
      </c>
      <c r="G339" s="121" t="s">
        <v>669</v>
      </c>
      <c r="H339" s="123">
        <v>43595</v>
      </c>
    </row>
    <row r="340" spans="1:8" ht="22.5">
      <c r="A340" s="123">
        <v>43595</v>
      </c>
      <c r="B340" s="119" t="s">
        <v>100</v>
      </c>
      <c r="C340" s="120" t="s">
        <v>47</v>
      </c>
      <c r="D340" s="192" t="s">
        <v>422</v>
      </c>
      <c r="E340" s="121" t="s">
        <v>208</v>
      </c>
      <c r="F340" s="119" t="s">
        <v>208</v>
      </c>
      <c r="G340" s="121" t="s">
        <v>670</v>
      </c>
      <c r="H340" s="123">
        <v>43595</v>
      </c>
    </row>
    <row r="341" spans="1:8">
      <c r="A341" s="123">
        <v>43595</v>
      </c>
      <c r="B341" s="119" t="s">
        <v>100</v>
      </c>
      <c r="C341" s="120" t="s">
        <v>661</v>
      </c>
      <c r="D341" s="192" t="s">
        <v>671</v>
      </c>
      <c r="E341" s="121" t="s">
        <v>208</v>
      </c>
      <c r="F341" s="119" t="s">
        <v>208</v>
      </c>
      <c r="G341" s="121" t="s">
        <v>672</v>
      </c>
      <c r="H341" s="123">
        <v>43595</v>
      </c>
    </row>
    <row r="342" spans="1:8" ht="22.5">
      <c r="A342" s="123">
        <v>43595</v>
      </c>
      <c r="B342" s="119" t="s">
        <v>100</v>
      </c>
      <c r="C342" s="120" t="s">
        <v>51</v>
      </c>
      <c r="D342" s="192" t="s">
        <v>673</v>
      </c>
      <c r="E342" s="121" t="s">
        <v>208</v>
      </c>
      <c r="F342" s="119" t="s">
        <v>208</v>
      </c>
      <c r="G342" s="121" t="s">
        <v>674</v>
      </c>
      <c r="H342" s="123">
        <v>43595</v>
      </c>
    </row>
    <row r="343" spans="1:8" ht="22.5">
      <c r="A343" s="123">
        <v>43595</v>
      </c>
      <c r="B343" s="119" t="s">
        <v>100</v>
      </c>
      <c r="C343" s="120" t="s">
        <v>51</v>
      </c>
      <c r="D343" s="192" t="s">
        <v>675</v>
      </c>
      <c r="E343" s="121" t="s">
        <v>208</v>
      </c>
      <c r="F343" s="119" t="s">
        <v>208</v>
      </c>
      <c r="G343" s="121" t="s">
        <v>676</v>
      </c>
      <c r="H343" s="123">
        <v>43595</v>
      </c>
    </row>
    <row r="344" spans="1:8">
      <c r="A344" s="123">
        <v>43595</v>
      </c>
      <c r="B344" s="119" t="s">
        <v>100</v>
      </c>
      <c r="C344" s="120" t="s">
        <v>47</v>
      </c>
      <c r="D344" s="192" t="s">
        <v>644</v>
      </c>
      <c r="E344" s="121" t="s">
        <v>208</v>
      </c>
      <c r="F344" s="119" t="s">
        <v>208</v>
      </c>
      <c r="G344" s="121" t="s">
        <v>677</v>
      </c>
      <c r="H344" s="123">
        <v>43595</v>
      </c>
    </row>
    <row r="345" spans="1:8">
      <c r="A345" s="123">
        <v>43595</v>
      </c>
      <c r="B345" s="119" t="s">
        <v>100</v>
      </c>
      <c r="C345" s="120" t="s">
        <v>51</v>
      </c>
      <c r="D345" s="192" t="s">
        <v>205</v>
      </c>
      <c r="E345" s="121" t="s">
        <v>208</v>
      </c>
      <c r="F345" s="119" t="s">
        <v>208</v>
      </c>
      <c r="G345" s="121" t="s">
        <v>678</v>
      </c>
      <c r="H345" s="123">
        <v>43595</v>
      </c>
    </row>
    <row r="346" spans="1:8" ht="45">
      <c r="A346" s="123">
        <v>43502</v>
      </c>
      <c r="B346" s="119" t="s">
        <v>46</v>
      </c>
      <c r="C346" s="120" t="s">
        <v>51</v>
      </c>
      <c r="D346" s="192" t="s">
        <v>325</v>
      </c>
      <c r="E346" s="121"/>
      <c r="F346" s="119"/>
      <c r="G346" s="121" t="s">
        <v>679</v>
      </c>
      <c r="H346" s="123">
        <v>43502</v>
      </c>
    </row>
    <row r="347" spans="1:8" ht="33.75">
      <c r="A347" s="123">
        <v>43500</v>
      </c>
      <c r="B347" s="119" t="s">
        <v>62</v>
      </c>
      <c r="C347" s="120" t="s">
        <v>680</v>
      </c>
      <c r="D347" s="192" t="s">
        <v>681</v>
      </c>
      <c r="E347" s="121" t="s">
        <v>208</v>
      </c>
      <c r="F347" s="119" t="s">
        <v>208</v>
      </c>
      <c r="G347" s="121" t="s">
        <v>682</v>
      </c>
      <c r="H347" s="123">
        <v>43500</v>
      </c>
    </row>
    <row r="348" spans="1:8" ht="22.5">
      <c r="A348" s="123">
        <v>43486</v>
      </c>
      <c r="B348" s="119" t="s">
        <v>62</v>
      </c>
      <c r="C348" s="120" t="s">
        <v>51</v>
      </c>
      <c r="D348" s="192" t="s">
        <v>683</v>
      </c>
      <c r="E348" s="121"/>
      <c r="F348" s="119"/>
      <c r="G348" s="121" t="s">
        <v>684</v>
      </c>
      <c r="H348" s="123">
        <v>43486</v>
      </c>
    </row>
    <row r="349" spans="1:8" ht="22.5">
      <c r="A349" s="123">
        <v>43486</v>
      </c>
      <c r="B349" s="119" t="s">
        <v>62</v>
      </c>
      <c r="C349" s="120" t="s">
        <v>680</v>
      </c>
      <c r="D349" s="192" t="s">
        <v>476</v>
      </c>
      <c r="E349" s="121"/>
      <c r="F349" s="119"/>
      <c r="G349" s="121" t="s">
        <v>685</v>
      </c>
      <c r="H349" s="123">
        <v>43486</v>
      </c>
    </row>
    <row r="350" spans="1:8" ht="22.5">
      <c r="A350" s="123">
        <v>43486</v>
      </c>
      <c r="B350" s="119" t="s">
        <v>62</v>
      </c>
      <c r="C350" s="120" t="s">
        <v>680</v>
      </c>
      <c r="D350" s="192" t="s">
        <v>592</v>
      </c>
      <c r="E350" s="121"/>
      <c r="F350" s="119"/>
      <c r="G350" s="121" t="s">
        <v>686</v>
      </c>
      <c r="H350" s="123">
        <v>43486</v>
      </c>
    </row>
    <row r="351" spans="1:8">
      <c r="A351" s="123">
        <v>43486</v>
      </c>
      <c r="B351" s="119" t="s">
        <v>62</v>
      </c>
      <c r="C351" s="120" t="s">
        <v>51</v>
      </c>
      <c r="D351" s="192" t="s">
        <v>687</v>
      </c>
      <c r="E351" s="121"/>
      <c r="F351" s="119"/>
      <c r="G351" s="121" t="s">
        <v>688</v>
      </c>
      <c r="H351" s="123">
        <v>43486</v>
      </c>
    </row>
    <row r="352" spans="1:8" ht="33.75">
      <c r="A352" s="123">
        <v>43486</v>
      </c>
      <c r="B352" s="119" t="s">
        <v>62</v>
      </c>
      <c r="C352" s="120" t="s">
        <v>680</v>
      </c>
      <c r="D352" s="192" t="s">
        <v>681</v>
      </c>
      <c r="E352" s="121"/>
      <c r="F352" s="119"/>
      <c r="G352" s="121" t="s">
        <v>689</v>
      </c>
      <c r="H352" s="123">
        <v>43486</v>
      </c>
    </row>
    <row r="353" spans="1:8" ht="22.5">
      <c r="A353" s="123">
        <v>43486</v>
      </c>
      <c r="B353" s="119" t="s">
        <v>62</v>
      </c>
      <c r="C353" s="120" t="s">
        <v>51</v>
      </c>
      <c r="D353" s="192" t="s">
        <v>690</v>
      </c>
      <c r="E353" s="121"/>
      <c r="F353" s="119"/>
      <c r="G353" s="121" t="s">
        <v>691</v>
      </c>
      <c r="H353" s="123">
        <v>43486</v>
      </c>
    </row>
    <row r="354" spans="1:8" ht="22.5">
      <c r="A354" s="123">
        <v>43486</v>
      </c>
      <c r="B354" s="119" t="s">
        <v>80</v>
      </c>
      <c r="C354" s="120" t="s">
        <v>47</v>
      </c>
      <c r="D354" s="192" t="s">
        <v>692</v>
      </c>
      <c r="E354" s="121"/>
      <c r="F354" s="119"/>
      <c r="G354" s="121" t="s">
        <v>693</v>
      </c>
      <c r="H354" s="123">
        <v>43486</v>
      </c>
    </row>
    <row r="355" spans="1:8" ht="22.5">
      <c r="A355" s="123">
        <v>43486</v>
      </c>
      <c r="B355" s="119" t="s">
        <v>80</v>
      </c>
      <c r="C355" s="120" t="s">
        <v>51</v>
      </c>
      <c r="D355" s="192" t="s">
        <v>609</v>
      </c>
      <c r="E355" s="121"/>
      <c r="F355" s="119"/>
      <c r="G355" s="121" t="s">
        <v>694</v>
      </c>
      <c r="H355" s="123">
        <v>43486</v>
      </c>
    </row>
    <row r="356" spans="1:8" ht="22.5">
      <c r="A356" s="123">
        <v>43486</v>
      </c>
      <c r="B356" s="119" t="s">
        <v>80</v>
      </c>
      <c r="C356" s="120" t="s">
        <v>51</v>
      </c>
      <c r="D356" s="192" t="s">
        <v>695</v>
      </c>
      <c r="E356" s="121"/>
      <c r="F356" s="119"/>
      <c r="G356" s="121" t="s">
        <v>696</v>
      </c>
      <c r="H356" s="123">
        <v>43486</v>
      </c>
    </row>
    <row r="357" spans="1:8" ht="33.75">
      <c r="A357" s="123">
        <v>43486</v>
      </c>
      <c r="B357" s="119" t="s">
        <v>80</v>
      </c>
      <c r="C357" s="120" t="s">
        <v>680</v>
      </c>
      <c r="D357" s="192" t="s">
        <v>697</v>
      </c>
      <c r="E357" s="121"/>
      <c r="F357" s="119"/>
      <c r="G357" s="121" t="s">
        <v>698</v>
      </c>
      <c r="H357" s="123">
        <v>43486</v>
      </c>
    </row>
    <row r="358" spans="1:8">
      <c r="A358" s="123">
        <v>43486</v>
      </c>
      <c r="B358" s="119" t="s">
        <v>80</v>
      </c>
      <c r="C358" s="120" t="s">
        <v>661</v>
      </c>
      <c r="D358" s="192" t="s">
        <v>664</v>
      </c>
      <c r="E358" s="121"/>
      <c r="F358" s="119"/>
      <c r="G358" s="121" t="s">
        <v>665</v>
      </c>
      <c r="H358" s="123">
        <v>43486</v>
      </c>
    </row>
    <row r="359" spans="1:8" ht="22.5">
      <c r="A359" s="123">
        <v>43486</v>
      </c>
      <c r="B359" s="119" t="s">
        <v>80</v>
      </c>
      <c r="C359" s="120" t="s">
        <v>47</v>
      </c>
      <c r="D359" s="192" t="s">
        <v>699</v>
      </c>
      <c r="E359" s="121"/>
      <c r="F359" s="119"/>
      <c r="G359" s="121" t="s">
        <v>700</v>
      </c>
      <c r="H359" s="123">
        <v>43486</v>
      </c>
    </row>
    <row r="360" spans="1:8" ht="22.5">
      <c r="A360" s="123">
        <v>43486</v>
      </c>
      <c r="B360" s="119" t="s">
        <v>80</v>
      </c>
      <c r="C360" s="120" t="s">
        <v>680</v>
      </c>
      <c r="D360" s="192" t="s">
        <v>520</v>
      </c>
      <c r="E360" s="121"/>
      <c r="F360" s="119"/>
      <c r="G360" s="121" t="s">
        <v>701</v>
      </c>
      <c r="H360" s="123">
        <v>43486</v>
      </c>
    </row>
    <row r="361" spans="1:8">
      <c r="A361" s="123">
        <v>43486</v>
      </c>
      <c r="B361" s="119" t="s">
        <v>100</v>
      </c>
      <c r="C361" s="120" t="s">
        <v>661</v>
      </c>
      <c r="D361" s="192" t="s">
        <v>666</v>
      </c>
      <c r="E361" s="121"/>
      <c r="F361" s="119"/>
      <c r="G361" s="121" t="s">
        <v>702</v>
      </c>
      <c r="H361" s="123">
        <v>43486</v>
      </c>
    </row>
    <row r="362" spans="1:8" ht="22.5">
      <c r="A362" s="123">
        <v>43486</v>
      </c>
      <c r="B362" s="119" t="s">
        <v>100</v>
      </c>
      <c r="C362" s="120" t="s">
        <v>47</v>
      </c>
      <c r="D362" s="192" t="s">
        <v>703</v>
      </c>
      <c r="E362" s="121"/>
      <c r="F362" s="119"/>
      <c r="G362" s="121" t="s">
        <v>669</v>
      </c>
      <c r="H362" s="123">
        <v>43486</v>
      </c>
    </row>
    <row r="363" spans="1:8" ht="22.5">
      <c r="A363" s="123">
        <v>43486</v>
      </c>
      <c r="B363" s="119" t="s">
        <v>100</v>
      </c>
      <c r="C363" s="120" t="s">
        <v>47</v>
      </c>
      <c r="D363" s="192" t="s">
        <v>266</v>
      </c>
      <c r="E363" s="121"/>
      <c r="F363" s="119"/>
      <c r="G363" s="121" t="s">
        <v>704</v>
      </c>
      <c r="H363" s="123">
        <v>43486</v>
      </c>
    </row>
    <row r="364" spans="1:8" ht="33.75">
      <c r="A364" s="123">
        <v>43486</v>
      </c>
      <c r="B364" s="119" t="s">
        <v>100</v>
      </c>
      <c r="C364" s="120" t="s">
        <v>51</v>
      </c>
      <c r="D364" s="192" t="s">
        <v>418</v>
      </c>
      <c r="E364" s="121"/>
      <c r="F364" s="119"/>
      <c r="G364" s="121" t="s">
        <v>705</v>
      </c>
      <c r="H364" s="123">
        <v>43486</v>
      </c>
    </row>
    <row r="365" spans="1:8" ht="22.5">
      <c r="A365" s="123">
        <v>43486</v>
      </c>
      <c r="B365" s="119" t="s">
        <v>100</v>
      </c>
      <c r="C365" s="120" t="s">
        <v>51</v>
      </c>
      <c r="D365" s="192" t="s">
        <v>637</v>
      </c>
      <c r="E365" s="121"/>
      <c r="F365" s="119"/>
      <c r="G365" s="121" t="s">
        <v>706</v>
      </c>
      <c r="H365" s="123">
        <v>43486</v>
      </c>
    </row>
    <row r="366" spans="1:8" ht="22.5">
      <c r="A366" s="123">
        <v>43486</v>
      </c>
      <c r="B366" s="119" t="s">
        <v>100</v>
      </c>
      <c r="C366" s="120" t="s">
        <v>47</v>
      </c>
      <c r="D366" s="192" t="s">
        <v>422</v>
      </c>
      <c r="E366" s="121"/>
      <c r="F366" s="119"/>
      <c r="G366" s="121" t="s">
        <v>670</v>
      </c>
      <c r="H366" s="123">
        <v>43486</v>
      </c>
    </row>
    <row r="367" spans="1:8" ht="22.5">
      <c r="A367" s="123">
        <v>43486</v>
      </c>
      <c r="B367" s="119" t="s">
        <v>100</v>
      </c>
      <c r="C367" s="120" t="s">
        <v>51</v>
      </c>
      <c r="D367" s="192" t="s">
        <v>425</v>
      </c>
      <c r="E367" s="121"/>
      <c r="F367" s="119"/>
      <c r="G367" s="121" t="s">
        <v>707</v>
      </c>
      <c r="H367" s="123">
        <v>43486</v>
      </c>
    </row>
    <row r="368" spans="1:8" ht="22.5">
      <c r="A368" s="123">
        <v>43486</v>
      </c>
      <c r="B368" s="119" t="s">
        <v>100</v>
      </c>
      <c r="C368" s="120" t="s">
        <v>47</v>
      </c>
      <c r="D368" s="192" t="s">
        <v>708</v>
      </c>
      <c r="E368" s="121"/>
      <c r="F368" s="119"/>
      <c r="G368" s="121" t="s">
        <v>709</v>
      </c>
      <c r="H368" s="123">
        <v>43486</v>
      </c>
    </row>
    <row r="369" spans="1:8" ht="22.5">
      <c r="A369" s="123">
        <v>43486</v>
      </c>
      <c r="B369" s="119" t="s">
        <v>100</v>
      </c>
      <c r="C369" s="120" t="s">
        <v>680</v>
      </c>
      <c r="D369" s="192" t="s">
        <v>710</v>
      </c>
      <c r="E369" s="121"/>
      <c r="F369" s="119"/>
      <c r="G369" s="121" t="s">
        <v>711</v>
      </c>
      <c r="H369" s="123">
        <v>43486</v>
      </c>
    </row>
    <row r="370" spans="1:8">
      <c r="A370" s="123">
        <v>43486</v>
      </c>
      <c r="B370" s="119" t="s">
        <v>100</v>
      </c>
      <c r="C370" s="120" t="s">
        <v>661</v>
      </c>
      <c r="D370" s="192" t="s">
        <v>671</v>
      </c>
      <c r="E370" s="121"/>
      <c r="F370" s="119"/>
      <c r="G370" s="121" t="s">
        <v>672</v>
      </c>
      <c r="H370" s="123">
        <v>43486</v>
      </c>
    </row>
    <row r="371" spans="1:8" ht="22.5">
      <c r="A371" s="123">
        <v>43486</v>
      </c>
      <c r="B371" s="119" t="s">
        <v>100</v>
      </c>
      <c r="C371" s="120" t="s">
        <v>51</v>
      </c>
      <c r="D371" s="192" t="s">
        <v>673</v>
      </c>
      <c r="E371" s="121"/>
      <c r="F371" s="119"/>
      <c r="G371" s="121" t="s">
        <v>712</v>
      </c>
      <c r="H371" s="123">
        <v>43486</v>
      </c>
    </row>
    <row r="372" spans="1:8" ht="22.5">
      <c r="A372" s="123">
        <v>43486</v>
      </c>
      <c r="B372" s="119" t="s">
        <v>100</v>
      </c>
      <c r="C372" s="120" t="s">
        <v>51</v>
      </c>
      <c r="D372" s="192" t="s">
        <v>675</v>
      </c>
      <c r="E372" s="121"/>
      <c r="F372" s="119"/>
      <c r="G372" s="121" t="s">
        <v>713</v>
      </c>
      <c r="H372" s="123">
        <v>43486</v>
      </c>
    </row>
    <row r="373" spans="1:8">
      <c r="A373" s="123">
        <v>43486</v>
      </c>
      <c r="B373" s="119" t="s">
        <v>100</v>
      </c>
      <c r="C373" s="120" t="s">
        <v>47</v>
      </c>
      <c r="D373" s="192" t="s">
        <v>644</v>
      </c>
      <c r="E373" s="121"/>
      <c r="F373" s="119"/>
      <c r="G373" s="121" t="s">
        <v>714</v>
      </c>
      <c r="H373" s="123">
        <v>43486</v>
      </c>
    </row>
    <row r="374" spans="1:8" ht="45">
      <c r="A374" s="123">
        <v>43482</v>
      </c>
      <c r="B374" s="119" t="s">
        <v>80</v>
      </c>
      <c r="C374" s="120" t="s">
        <v>47</v>
      </c>
      <c r="D374" s="192" t="s">
        <v>451</v>
      </c>
      <c r="E374" s="121" t="s">
        <v>413</v>
      </c>
      <c r="F374" s="119" t="s">
        <v>260</v>
      </c>
      <c r="G374" s="121" t="s">
        <v>715</v>
      </c>
      <c r="H374" s="123">
        <v>43537</v>
      </c>
    </row>
    <row r="375" spans="1:8">
      <c r="A375" s="123">
        <v>43481</v>
      </c>
      <c r="B375" s="119" t="s">
        <v>46</v>
      </c>
      <c r="C375" s="120" t="s">
        <v>51</v>
      </c>
      <c r="D375" s="192" t="s">
        <v>325</v>
      </c>
      <c r="E375" s="121"/>
      <c r="F375" s="119"/>
      <c r="G375" s="121" t="s">
        <v>716</v>
      </c>
      <c r="H375" s="123">
        <v>43481</v>
      </c>
    </row>
    <row r="376" spans="1:8" ht="22.5">
      <c r="A376" s="123">
        <v>43481</v>
      </c>
      <c r="B376" s="119" t="s">
        <v>46</v>
      </c>
      <c r="C376" s="120" t="s">
        <v>47</v>
      </c>
      <c r="D376" s="192" t="s">
        <v>717</v>
      </c>
      <c r="E376" s="121"/>
      <c r="F376" s="119"/>
      <c r="G376" s="121" t="s">
        <v>718</v>
      </c>
      <c r="H376" s="123">
        <v>43481</v>
      </c>
    </row>
    <row r="377" spans="1:8">
      <c r="A377" s="123">
        <v>43481</v>
      </c>
      <c r="B377" s="119" t="s">
        <v>46</v>
      </c>
      <c r="C377" s="120" t="s">
        <v>661</v>
      </c>
      <c r="D377" s="192" t="s">
        <v>540</v>
      </c>
      <c r="E377" s="121"/>
      <c r="F377" s="119"/>
      <c r="G377" s="121" t="s">
        <v>663</v>
      </c>
      <c r="H377" s="123">
        <v>43481</v>
      </c>
    </row>
    <row r="378" spans="1:8" ht="22.5">
      <c r="A378" s="123">
        <v>43481</v>
      </c>
      <c r="B378" s="119" t="s">
        <v>46</v>
      </c>
      <c r="C378" s="120" t="s">
        <v>51</v>
      </c>
      <c r="D378" s="192" t="s">
        <v>329</v>
      </c>
      <c r="E378" s="121"/>
      <c r="F378" s="119"/>
      <c r="G378" s="121" t="s">
        <v>719</v>
      </c>
      <c r="H378" s="123">
        <v>43481</v>
      </c>
    </row>
    <row r="379" spans="1:8" ht="22.5">
      <c r="A379" s="123">
        <v>43481</v>
      </c>
      <c r="B379" s="119" t="s">
        <v>46</v>
      </c>
      <c r="C379" s="120" t="s">
        <v>51</v>
      </c>
      <c r="D379" s="192" t="s">
        <v>471</v>
      </c>
      <c r="E379" s="121"/>
      <c r="F379" s="119"/>
      <c r="G379" s="121" t="s">
        <v>720</v>
      </c>
      <c r="H379" s="123">
        <v>43481</v>
      </c>
    </row>
    <row r="380" spans="1:8" ht="22.5">
      <c r="A380" s="123">
        <v>43413</v>
      </c>
      <c r="B380" s="119" t="s">
        <v>95</v>
      </c>
      <c r="C380" s="120" t="s">
        <v>47</v>
      </c>
      <c r="D380" s="192" t="s">
        <v>721</v>
      </c>
      <c r="E380" s="121"/>
      <c r="F380" s="119"/>
      <c r="G380" s="121" t="s">
        <v>722</v>
      </c>
      <c r="H380" s="123">
        <v>43413</v>
      </c>
    </row>
    <row r="381" spans="1:8">
      <c r="A381" s="123">
        <v>43404</v>
      </c>
      <c r="B381" s="119" t="s">
        <v>46</v>
      </c>
      <c r="C381" s="120" t="s">
        <v>47</v>
      </c>
      <c r="D381" s="192" t="s">
        <v>536</v>
      </c>
      <c r="E381" s="121"/>
      <c r="F381" s="119"/>
      <c r="G381" s="121" t="s">
        <v>723</v>
      </c>
      <c r="H381" s="123">
        <v>43404</v>
      </c>
    </row>
    <row r="382" spans="1:8">
      <c r="A382" s="123">
        <v>43404</v>
      </c>
      <c r="B382" s="119" t="s">
        <v>46</v>
      </c>
      <c r="C382" s="120" t="s">
        <v>51</v>
      </c>
      <c r="D382" s="192" t="s">
        <v>724</v>
      </c>
      <c r="E382" s="121"/>
      <c r="F382" s="119"/>
      <c r="G382" s="121" t="s">
        <v>725</v>
      </c>
      <c r="H382" s="123">
        <v>43404</v>
      </c>
    </row>
    <row r="383" spans="1:8">
      <c r="A383" s="123">
        <v>43404</v>
      </c>
      <c r="B383" s="119" t="s">
        <v>46</v>
      </c>
      <c r="C383" s="120" t="s">
        <v>51</v>
      </c>
      <c r="D383" s="192" t="s">
        <v>726</v>
      </c>
      <c r="E383" s="121"/>
      <c r="F383" s="119"/>
      <c r="G383" s="121" t="s">
        <v>727</v>
      </c>
      <c r="H383" s="123">
        <v>43404</v>
      </c>
    </row>
    <row r="384" spans="1:8" ht="22.5">
      <c r="A384" s="123">
        <v>43404</v>
      </c>
      <c r="B384" s="119" t="s">
        <v>46</v>
      </c>
      <c r="C384" s="120" t="s">
        <v>51</v>
      </c>
      <c r="D384" s="192" t="s">
        <v>390</v>
      </c>
      <c r="E384" s="121"/>
      <c r="F384" s="119"/>
      <c r="G384" s="121" t="s">
        <v>728</v>
      </c>
      <c r="H384" s="123">
        <v>43404</v>
      </c>
    </row>
    <row r="385" spans="1:8" ht="22.5">
      <c r="A385" s="123">
        <v>43404</v>
      </c>
      <c r="B385" s="119" t="s">
        <v>46</v>
      </c>
      <c r="C385" s="120" t="s">
        <v>51</v>
      </c>
      <c r="D385" s="192" t="s">
        <v>108</v>
      </c>
      <c r="E385" s="121"/>
      <c r="F385" s="119"/>
      <c r="G385" s="121" t="s">
        <v>729</v>
      </c>
      <c r="H385" s="123">
        <v>43404</v>
      </c>
    </row>
    <row r="386" spans="1:8" ht="22.5">
      <c r="A386" s="123">
        <v>43404</v>
      </c>
      <c r="B386" s="119" t="s">
        <v>62</v>
      </c>
      <c r="C386" s="120" t="s">
        <v>47</v>
      </c>
      <c r="D386" s="192" t="s">
        <v>579</v>
      </c>
      <c r="E386" s="121"/>
      <c r="F386" s="119"/>
      <c r="G386" s="121" t="s">
        <v>730</v>
      </c>
      <c r="H386" s="123">
        <v>43404</v>
      </c>
    </row>
    <row r="387" spans="1:8" ht="22.5">
      <c r="A387" s="123">
        <v>43404</v>
      </c>
      <c r="B387" s="119" t="s">
        <v>62</v>
      </c>
      <c r="C387" s="120" t="s">
        <v>47</v>
      </c>
      <c r="D387" s="192" t="s">
        <v>731</v>
      </c>
      <c r="E387" s="121"/>
      <c r="F387" s="119"/>
      <c r="G387" s="121" t="s">
        <v>732</v>
      </c>
      <c r="H387" s="123">
        <v>43404</v>
      </c>
    </row>
    <row r="388" spans="1:8" ht="33.75">
      <c r="A388" s="123">
        <v>43404</v>
      </c>
      <c r="B388" s="119" t="s">
        <v>62</v>
      </c>
      <c r="C388" s="120" t="s">
        <v>51</v>
      </c>
      <c r="D388" s="192" t="s">
        <v>733</v>
      </c>
      <c r="E388" s="121"/>
      <c r="F388" s="119"/>
      <c r="G388" s="121" t="s">
        <v>734</v>
      </c>
      <c r="H388" s="123">
        <v>43404</v>
      </c>
    </row>
    <row r="389" spans="1:8" ht="22.5">
      <c r="A389" s="123">
        <v>43404</v>
      </c>
      <c r="B389" s="119" t="s">
        <v>62</v>
      </c>
      <c r="C389" s="120" t="s">
        <v>47</v>
      </c>
      <c r="D389" s="192" t="s">
        <v>735</v>
      </c>
      <c r="E389" s="121"/>
      <c r="F389" s="119"/>
      <c r="G389" s="121" t="s">
        <v>736</v>
      </c>
      <c r="H389" s="123">
        <v>43404</v>
      </c>
    </row>
    <row r="390" spans="1:8" ht="22.5">
      <c r="A390" s="123">
        <v>43404</v>
      </c>
      <c r="B390" s="119" t="s">
        <v>62</v>
      </c>
      <c r="C390" s="120" t="s">
        <v>51</v>
      </c>
      <c r="D390" s="192" t="s">
        <v>737</v>
      </c>
      <c r="E390" s="121"/>
      <c r="F390" s="119"/>
      <c r="G390" s="121" t="s">
        <v>738</v>
      </c>
      <c r="H390" s="123">
        <v>43404</v>
      </c>
    </row>
    <row r="391" spans="1:8">
      <c r="A391" s="123">
        <v>43404</v>
      </c>
      <c r="B391" s="119" t="s">
        <v>80</v>
      </c>
      <c r="C391" s="120" t="s">
        <v>661</v>
      </c>
      <c r="D391" s="192" t="s">
        <v>739</v>
      </c>
      <c r="E391" s="121"/>
      <c r="F391" s="119"/>
      <c r="G391" s="121" t="s">
        <v>740</v>
      </c>
      <c r="H391" s="123">
        <v>43404</v>
      </c>
    </row>
    <row r="392" spans="1:8" ht="22.5">
      <c r="A392" s="123">
        <v>43404</v>
      </c>
      <c r="B392" s="119" t="s">
        <v>100</v>
      </c>
      <c r="C392" s="120" t="s">
        <v>51</v>
      </c>
      <c r="D392" s="192" t="s">
        <v>311</v>
      </c>
      <c r="E392" s="121"/>
      <c r="F392" s="119"/>
      <c r="G392" s="121" t="s">
        <v>741</v>
      </c>
      <c r="H392" s="123">
        <v>43404</v>
      </c>
    </row>
    <row r="393" spans="1:8">
      <c r="A393" s="123">
        <v>43404</v>
      </c>
      <c r="B393" s="119" t="s">
        <v>100</v>
      </c>
      <c r="C393" s="120" t="s">
        <v>661</v>
      </c>
      <c r="D393" s="192" t="s">
        <v>710</v>
      </c>
      <c r="E393" s="121"/>
      <c r="F393" s="119"/>
      <c r="G393" s="121" t="s">
        <v>742</v>
      </c>
      <c r="H393" s="123">
        <v>43404</v>
      </c>
    </row>
    <row r="394" spans="1:8" ht="22.5">
      <c r="A394" s="123">
        <v>43404</v>
      </c>
      <c r="B394" s="119" t="s">
        <v>100</v>
      </c>
      <c r="C394" s="120" t="s">
        <v>51</v>
      </c>
      <c r="D394" s="192" t="s">
        <v>103</v>
      </c>
      <c r="E394" s="121"/>
      <c r="F394" s="119"/>
      <c r="G394" s="121" t="s">
        <v>743</v>
      </c>
      <c r="H394" s="123">
        <v>43404</v>
      </c>
    </row>
    <row r="395" spans="1:8" ht="33.75">
      <c r="A395" s="123">
        <v>43404</v>
      </c>
      <c r="B395" s="119" t="s">
        <v>100</v>
      </c>
      <c r="C395" s="120" t="s">
        <v>51</v>
      </c>
      <c r="D395" s="192" t="s">
        <v>744</v>
      </c>
      <c r="E395" s="121"/>
      <c r="F395" s="119"/>
      <c r="G395" s="121" t="s">
        <v>745</v>
      </c>
      <c r="H395" s="123">
        <v>43404</v>
      </c>
    </row>
    <row r="396" spans="1:8">
      <c r="A396" s="123">
        <v>43404</v>
      </c>
      <c r="B396" s="119" t="s">
        <v>100</v>
      </c>
      <c r="C396" s="120" t="s">
        <v>51</v>
      </c>
      <c r="D396" s="192" t="s">
        <v>365</v>
      </c>
      <c r="E396" s="121"/>
      <c r="F396" s="119"/>
      <c r="G396" s="121" t="s">
        <v>746</v>
      </c>
      <c r="H396" s="123">
        <v>43404</v>
      </c>
    </row>
    <row r="397" spans="1:8">
      <c r="A397" s="123">
        <v>43404</v>
      </c>
      <c r="B397" s="119" t="s">
        <v>100</v>
      </c>
      <c r="C397" s="120" t="s">
        <v>51</v>
      </c>
      <c r="D397" s="192" t="s">
        <v>644</v>
      </c>
      <c r="E397" s="121"/>
      <c r="F397" s="119"/>
      <c r="G397" s="121" t="s">
        <v>747</v>
      </c>
      <c r="H397" s="123">
        <v>43404</v>
      </c>
    </row>
    <row r="398" spans="1:8" ht="22.5">
      <c r="A398" s="123">
        <v>43312</v>
      </c>
      <c r="B398" s="119" t="s">
        <v>46</v>
      </c>
      <c r="C398" s="120" t="s">
        <v>51</v>
      </c>
      <c r="D398" s="192" t="s">
        <v>529</v>
      </c>
      <c r="E398" s="121"/>
      <c r="F398" s="119"/>
      <c r="G398" s="121" t="s">
        <v>748</v>
      </c>
      <c r="H398" s="123">
        <v>43312</v>
      </c>
    </row>
    <row r="399" spans="1:8" ht="22.5">
      <c r="A399" s="123">
        <v>43312</v>
      </c>
      <c r="B399" s="119" t="s">
        <v>46</v>
      </c>
      <c r="C399" s="120" t="s">
        <v>51</v>
      </c>
      <c r="D399" s="192" t="s">
        <v>536</v>
      </c>
      <c r="E399" s="121"/>
      <c r="F399" s="119"/>
      <c r="G399" s="121" t="s">
        <v>749</v>
      </c>
      <c r="H399" s="123">
        <v>43312</v>
      </c>
    </row>
    <row r="400" spans="1:8" ht="22.5">
      <c r="A400" s="123">
        <v>43312</v>
      </c>
      <c r="B400" s="119" t="s">
        <v>46</v>
      </c>
      <c r="C400" s="120" t="s">
        <v>51</v>
      </c>
      <c r="D400" s="192" t="s">
        <v>164</v>
      </c>
      <c r="E400" s="121"/>
      <c r="F400" s="119"/>
      <c r="G400" s="121" t="s">
        <v>750</v>
      </c>
      <c r="H400" s="123">
        <v>43312</v>
      </c>
    </row>
    <row r="401" spans="1:8" ht="22.5">
      <c r="A401" s="123">
        <v>43312</v>
      </c>
      <c r="B401" s="119" t="s">
        <v>62</v>
      </c>
      <c r="C401" s="120" t="s">
        <v>51</v>
      </c>
      <c r="D401" s="192" t="s">
        <v>567</v>
      </c>
      <c r="E401" s="121"/>
      <c r="F401" s="119"/>
      <c r="G401" s="121" t="s">
        <v>751</v>
      </c>
      <c r="H401" s="123">
        <v>43312</v>
      </c>
    </row>
    <row r="402" spans="1:8" ht="22.5">
      <c r="A402" s="123">
        <v>43312</v>
      </c>
      <c r="B402" s="119" t="s">
        <v>62</v>
      </c>
      <c r="C402" s="120" t="s">
        <v>51</v>
      </c>
      <c r="D402" s="192" t="s">
        <v>574</v>
      </c>
      <c r="E402" s="121"/>
      <c r="F402" s="119"/>
      <c r="G402" s="121" t="s">
        <v>752</v>
      </c>
      <c r="H402" s="123">
        <v>43312</v>
      </c>
    </row>
    <row r="403" spans="1:8" ht="22.5">
      <c r="A403" s="123">
        <v>43312</v>
      </c>
      <c r="B403" s="119" t="s">
        <v>62</v>
      </c>
      <c r="C403" s="120" t="s">
        <v>51</v>
      </c>
      <c r="D403" s="192" t="s">
        <v>586</v>
      </c>
      <c r="E403" s="121"/>
      <c r="F403" s="119"/>
      <c r="G403" s="121" t="s">
        <v>753</v>
      </c>
      <c r="H403" s="123">
        <v>43312</v>
      </c>
    </row>
    <row r="404" spans="1:8">
      <c r="A404" s="123">
        <v>43312</v>
      </c>
      <c r="B404" s="119" t="s">
        <v>62</v>
      </c>
      <c r="C404" s="120" t="s">
        <v>51</v>
      </c>
      <c r="D404" s="192" t="s">
        <v>754</v>
      </c>
      <c r="E404" s="121"/>
      <c r="F404" s="119"/>
      <c r="G404" s="121" t="s">
        <v>755</v>
      </c>
      <c r="H404" s="123">
        <v>43312</v>
      </c>
    </row>
    <row r="405" spans="1:8" ht="22.5">
      <c r="A405" s="123">
        <v>43312</v>
      </c>
      <c r="B405" s="119" t="s">
        <v>62</v>
      </c>
      <c r="C405" s="120" t="s">
        <v>51</v>
      </c>
      <c r="D405" s="192" t="s">
        <v>598</v>
      </c>
      <c r="E405" s="121"/>
      <c r="F405" s="119"/>
      <c r="G405" s="121" t="s">
        <v>756</v>
      </c>
      <c r="H405" s="123">
        <v>43312</v>
      </c>
    </row>
    <row r="406" spans="1:8" ht="22.5">
      <c r="A406" s="123">
        <v>43312</v>
      </c>
      <c r="B406" s="119" t="s">
        <v>62</v>
      </c>
      <c r="C406" s="120" t="s">
        <v>51</v>
      </c>
      <c r="D406" s="192" t="s">
        <v>757</v>
      </c>
      <c r="E406" s="121"/>
      <c r="F406" s="119"/>
      <c r="G406" s="121" t="s">
        <v>758</v>
      </c>
      <c r="H406" s="123">
        <v>43312</v>
      </c>
    </row>
    <row r="407" spans="1:8" ht="22.5">
      <c r="A407" s="123">
        <v>43312</v>
      </c>
      <c r="B407" s="119" t="s">
        <v>62</v>
      </c>
      <c r="C407" s="120" t="s">
        <v>51</v>
      </c>
      <c r="D407" s="192" t="s">
        <v>759</v>
      </c>
      <c r="E407" s="121"/>
      <c r="F407" s="119"/>
      <c r="G407" s="121" t="s">
        <v>760</v>
      </c>
      <c r="H407" s="123">
        <v>43312</v>
      </c>
    </row>
    <row r="408" spans="1:8">
      <c r="A408" s="123">
        <v>43312</v>
      </c>
      <c r="B408" s="119" t="s">
        <v>80</v>
      </c>
      <c r="C408" s="120" t="s">
        <v>51</v>
      </c>
      <c r="D408" s="192" t="s">
        <v>664</v>
      </c>
      <c r="E408" s="121"/>
      <c r="F408" s="119"/>
      <c r="G408" s="121" t="s">
        <v>761</v>
      </c>
      <c r="H408" s="123">
        <v>43312</v>
      </c>
    </row>
    <row r="409" spans="1:8" ht="22.5">
      <c r="A409" s="123">
        <v>43312</v>
      </c>
      <c r="B409" s="119" t="s">
        <v>95</v>
      </c>
      <c r="C409" s="120" t="s">
        <v>51</v>
      </c>
      <c r="D409" s="192" t="s">
        <v>762</v>
      </c>
      <c r="E409" s="121"/>
      <c r="F409" s="119"/>
      <c r="G409" s="121" t="s">
        <v>763</v>
      </c>
      <c r="H409" s="123">
        <v>43312</v>
      </c>
    </row>
    <row r="410" spans="1:8" ht="22.5">
      <c r="A410" s="123">
        <v>43312</v>
      </c>
      <c r="B410" s="119" t="s">
        <v>100</v>
      </c>
      <c r="C410" s="120" t="s">
        <v>51</v>
      </c>
      <c r="D410" s="192" t="s">
        <v>666</v>
      </c>
      <c r="E410" s="121"/>
      <c r="F410" s="119"/>
      <c r="G410" s="121" t="s">
        <v>764</v>
      </c>
      <c r="H410" s="123">
        <v>43312</v>
      </c>
    </row>
    <row r="411" spans="1:8" ht="22.5">
      <c r="A411" s="123">
        <v>43312</v>
      </c>
      <c r="B411" s="119" t="s">
        <v>100</v>
      </c>
      <c r="C411" s="120" t="s">
        <v>51</v>
      </c>
      <c r="D411" s="192" t="s">
        <v>635</v>
      </c>
      <c r="E411" s="121"/>
      <c r="F411" s="119"/>
      <c r="G411" s="121" t="s">
        <v>765</v>
      </c>
      <c r="H411" s="123">
        <v>43312</v>
      </c>
    </row>
    <row r="412" spans="1:8" ht="22.5">
      <c r="A412" s="123">
        <v>43312</v>
      </c>
      <c r="B412" s="119" t="s">
        <v>100</v>
      </c>
      <c r="C412" s="120" t="s">
        <v>51</v>
      </c>
      <c r="D412" s="192" t="s">
        <v>311</v>
      </c>
      <c r="E412" s="121"/>
      <c r="F412" s="119"/>
      <c r="G412" s="121" t="s">
        <v>766</v>
      </c>
      <c r="H412" s="123">
        <v>43312</v>
      </c>
    </row>
    <row r="413" spans="1:8" ht="22.5">
      <c r="A413" s="123">
        <v>43312</v>
      </c>
      <c r="B413" s="119" t="s">
        <v>100</v>
      </c>
      <c r="C413" s="120" t="s">
        <v>51</v>
      </c>
      <c r="D413" s="192" t="s">
        <v>708</v>
      </c>
      <c r="E413" s="121"/>
      <c r="F413" s="119"/>
      <c r="G413" s="121" t="s">
        <v>767</v>
      </c>
      <c r="H413" s="123">
        <v>43312</v>
      </c>
    </row>
    <row r="414" spans="1:8" ht="22.5">
      <c r="A414" s="123">
        <v>43312</v>
      </c>
      <c r="B414" s="119" t="s">
        <v>100</v>
      </c>
      <c r="C414" s="120" t="s">
        <v>51</v>
      </c>
      <c r="D414" s="192" t="s">
        <v>671</v>
      </c>
      <c r="E414" s="121"/>
      <c r="F414" s="119"/>
      <c r="G414" s="121" t="s">
        <v>768</v>
      </c>
      <c r="H414" s="123">
        <v>43312</v>
      </c>
    </row>
    <row r="415" spans="1:8" ht="22.5">
      <c r="A415" s="123">
        <v>43312</v>
      </c>
      <c r="B415" s="119" t="s">
        <v>100</v>
      </c>
      <c r="C415" s="120" t="s">
        <v>51</v>
      </c>
      <c r="D415" s="192" t="s">
        <v>769</v>
      </c>
      <c r="E415" s="121"/>
      <c r="F415" s="119"/>
      <c r="G415" s="121" t="s">
        <v>770</v>
      </c>
      <c r="H415" s="123">
        <v>43312</v>
      </c>
    </row>
    <row r="416" spans="1:8" ht="22.5">
      <c r="A416" s="123">
        <v>43312</v>
      </c>
      <c r="B416" s="119" t="s">
        <v>100</v>
      </c>
      <c r="C416" s="120" t="s">
        <v>47</v>
      </c>
      <c r="D416" s="192" t="s">
        <v>381</v>
      </c>
      <c r="E416" s="121"/>
      <c r="F416" s="119"/>
      <c r="G416" s="121" t="s">
        <v>771</v>
      </c>
      <c r="H416" s="123">
        <v>43312</v>
      </c>
    </row>
    <row r="417" spans="1:8" ht="22.5">
      <c r="A417" s="123">
        <v>43312</v>
      </c>
      <c r="B417" s="119" t="s">
        <v>100</v>
      </c>
      <c r="C417" s="120" t="s">
        <v>51</v>
      </c>
      <c r="D417" s="192" t="s">
        <v>365</v>
      </c>
      <c r="E417" s="121"/>
      <c r="F417" s="119"/>
      <c r="G417" s="121" t="s">
        <v>772</v>
      </c>
      <c r="H417" s="123">
        <v>43312</v>
      </c>
    </row>
    <row r="418" spans="1:8" ht="22.5">
      <c r="A418" s="123">
        <v>43312</v>
      </c>
      <c r="B418" s="119" t="s">
        <v>100</v>
      </c>
      <c r="C418" s="120" t="s">
        <v>51</v>
      </c>
      <c r="D418" s="192" t="s">
        <v>773</v>
      </c>
      <c r="E418" s="121"/>
      <c r="F418" s="119"/>
      <c r="G418" s="121" t="s">
        <v>774</v>
      </c>
      <c r="H418" s="123">
        <v>43312</v>
      </c>
    </row>
    <row r="419" spans="1:8">
      <c r="A419" s="123">
        <v>43312</v>
      </c>
      <c r="B419" s="119" t="s">
        <v>100</v>
      </c>
      <c r="C419" s="120" t="s">
        <v>51</v>
      </c>
      <c r="D419" s="192" t="s">
        <v>775</v>
      </c>
      <c r="E419" s="121"/>
      <c r="F419" s="119"/>
      <c r="G419" s="121" t="s">
        <v>776</v>
      </c>
      <c r="H419" s="123">
        <v>43312</v>
      </c>
    </row>
    <row r="420" spans="1:8" ht="22.5">
      <c r="A420" s="123">
        <v>43312</v>
      </c>
      <c r="B420" s="119" t="s">
        <v>100</v>
      </c>
      <c r="C420" s="120" t="s">
        <v>51</v>
      </c>
      <c r="D420" s="192" t="s">
        <v>654</v>
      </c>
      <c r="E420" s="121"/>
      <c r="F420" s="119"/>
      <c r="G420" s="121" t="s">
        <v>777</v>
      </c>
      <c r="H420" s="123">
        <v>43312</v>
      </c>
    </row>
    <row r="421" spans="1:8" ht="22.5">
      <c r="A421" s="123">
        <v>43175</v>
      </c>
      <c r="B421" s="119" t="s">
        <v>62</v>
      </c>
      <c r="C421" s="120" t="s">
        <v>51</v>
      </c>
      <c r="D421" s="192" t="s">
        <v>397</v>
      </c>
      <c r="E421" s="121"/>
      <c r="F421" s="119"/>
      <c r="G421" s="121" t="s">
        <v>778</v>
      </c>
      <c r="H421" s="123">
        <v>43175</v>
      </c>
    </row>
    <row r="422" spans="1:8" ht="22.5">
      <c r="A422" s="123">
        <v>43175</v>
      </c>
      <c r="B422" s="119" t="s">
        <v>80</v>
      </c>
      <c r="C422" s="120" t="s">
        <v>51</v>
      </c>
      <c r="D422" s="192" t="s">
        <v>482</v>
      </c>
      <c r="E422" s="121"/>
      <c r="F422" s="119"/>
      <c r="G422" s="121" t="s">
        <v>779</v>
      </c>
      <c r="H422" s="123">
        <v>43175</v>
      </c>
    </row>
    <row r="423" spans="1:8" ht="22.5">
      <c r="A423" s="123">
        <v>43175</v>
      </c>
      <c r="B423" s="119" t="s">
        <v>80</v>
      </c>
      <c r="C423" s="120" t="s">
        <v>51</v>
      </c>
      <c r="D423" s="192" t="s">
        <v>780</v>
      </c>
      <c r="E423" s="121"/>
      <c r="F423" s="119"/>
      <c r="G423" s="121" t="s">
        <v>781</v>
      </c>
      <c r="H423" s="123">
        <v>43175</v>
      </c>
    </row>
    <row r="424" spans="1:8" ht="33.75">
      <c r="A424" s="123">
        <v>43175</v>
      </c>
      <c r="B424" s="119" t="s">
        <v>80</v>
      </c>
      <c r="C424" s="120" t="s">
        <v>47</v>
      </c>
      <c r="D424" s="192" t="s">
        <v>782</v>
      </c>
      <c r="E424" s="121"/>
      <c r="F424" s="119"/>
      <c r="G424" s="121" t="s">
        <v>783</v>
      </c>
      <c r="H424" s="123">
        <v>43175</v>
      </c>
    </row>
    <row r="425" spans="1:8" ht="22.5">
      <c r="A425" s="123">
        <v>43175</v>
      </c>
      <c r="B425" s="119" t="s">
        <v>100</v>
      </c>
      <c r="C425" s="120" t="s">
        <v>51</v>
      </c>
      <c r="D425" s="192" t="s">
        <v>784</v>
      </c>
      <c r="E425" s="121"/>
      <c r="F425" s="119"/>
      <c r="G425" s="121" t="s">
        <v>785</v>
      </c>
      <c r="H425" s="123">
        <v>43175</v>
      </c>
    </row>
    <row r="426" spans="1:8" ht="22.5">
      <c r="A426" s="123">
        <v>43091</v>
      </c>
      <c r="B426" s="119" t="s">
        <v>46</v>
      </c>
      <c r="C426" s="120" t="s">
        <v>680</v>
      </c>
      <c r="D426" s="192" t="s">
        <v>142</v>
      </c>
      <c r="E426" s="121"/>
      <c r="F426" s="119"/>
      <c r="G426" s="121" t="s">
        <v>786</v>
      </c>
      <c r="H426" s="123">
        <v>43091</v>
      </c>
    </row>
    <row r="427" spans="1:8" ht="22.5">
      <c r="A427" s="123">
        <v>43091</v>
      </c>
      <c r="B427" s="119" t="s">
        <v>46</v>
      </c>
      <c r="C427" s="120" t="s">
        <v>51</v>
      </c>
      <c r="D427" s="192" t="s">
        <v>533</v>
      </c>
      <c r="E427" s="121"/>
      <c r="F427" s="119"/>
      <c r="G427" s="121" t="s">
        <v>787</v>
      </c>
      <c r="H427" s="123">
        <v>43091</v>
      </c>
    </row>
    <row r="428" spans="1:8" ht="22.5">
      <c r="A428" s="123">
        <v>43091</v>
      </c>
      <c r="B428" s="119" t="s">
        <v>46</v>
      </c>
      <c r="C428" s="120" t="s">
        <v>51</v>
      </c>
      <c r="D428" s="192" t="s">
        <v>540</v>
      </c>
      <c r="E428" s="121"/>
      <c r="F428" s="119"/>
      <c r="G428" s="121" t="s">
        <v>788</v>
      </c>
      <c r="H428" s="123">
        <v>43091</v>
      </c>
    </row>
    <row r="429" spans="1:8" ht="22.5">
      <c r="A429" s="123">
        <v>43091</v>
      </c>
      <c r="B429" s="119" t="s">
        <v>46</v>
      </c>
      <c r="C429" s="120" t="s">
        <v>51</v>
      </c>
      <c r="D429" s="192" t="s">
        <v>789</v>
      </c>
      <c r="E429" s="121"/>
      <c r="F429" s="119"/>
      <c r="G429" s="121" t="s">
        <v>790</v>
      </c>
      <c r="H429" s="123">
        <v>43091</v>
      </c>
    </row>
    <row r="430" spans="1:8" ht="22.5">
      <c r="A430" s="123">
        <v>43091</v>
      </c>
      <c r="B430" s="119" t="s">
        <v>46</v>
      </c>
      <c r="C430" s="120" t="s">
        <v>51</v>
      </c>
      <c r="D430" s="192" t="s">
        <v>791</v>
      </c>
      <c r="E430" s="121"/>
      <c r="F430" s="119"/>
      <c r="G430" s="121" t="s">
        <v>792</v>
      </c>
      <c r="H430" s="123">
        <v>43091</v>
      </c>
    </row>
    <row r="431" spans="1:8" ht="22.5">
      <c r="A431" s="123">
        <v>43091</v>
      </c>
      <c r="B431" s="119" t="s">
        <v>46</v>
      </c>
      <c r="C431" s="120" t="s">
        <v>51</v>
      </c>
      <c r="D431" s="192" t="s">
        <v>793</v>
      </c>
      <c r="E431" s="121"/>
      <c r="F431" s="119"/>
      <c r="G431" s="121" t="s">
        <v>794</v>
      </c>
      <c r="H431" s="123">
        <v>43091</v>
      </c>
    </row>
    <row r="432" spans="1:8" ht="33.75">
      <c r="A432" s="123">
        <v>43091</v>
      </c>
      <c r="B432" s="119" t="s">
        <v>46</v>
      </c>
      <c r="C432" s="120" t="s">
        <v>680</v>
      </c>
      <c r="D432" s="192" t="s">
        <v>553</v>
      </c>
      <c r="E432" s="121"/>
      <c r="F432" s="119"/>
      <c r="G432" s="121" t="s">
        <v>795</v>
      </c>
      <c r="H432" s="123">
        <v>43091</v>
      </c>
    </row>
    <row r="433" spans="1:8" ht="22.5">
      <c r="A433" s="123">
        <v>43091</v>
      </c>
      <c r="B433" s="119" t="s">
        <v>46</v>
      </c>
      <c r="C433" s="120" t="s">
        <v>51</v>
      </c>
      <c r="D433" s="192" t="s">
        <v>796</v>
      </c>
      <c r="E433" s="121"/>
      <c r="F433" s="119"/>
      <c r="G433" s="121" t="s">
        <v>797</v>
      </c>
      <c r="H433" s="123">
        <v>43091</v>
      </c>
    </row>
    <row r="434" spans="1:8">
      <c r="A434" s="123">
        <v>43091</v>
      </c>
      <c r="B434" s="119" t="s">
        <v>62</v>
      </c>
      <c r="C434" s="120" t="s">
        <v>680</v>
      </c>
      <c r="D434" s="192" t="s">
        <v>454</v>
      </c>
      <c r="E434" s="121"/>
      <c r="F434" s="119"/>
      <c r="G434" s="121" t="s">
        <v>798</v>
      </c>
      <c r="H434" s="123">
        <v>43091</v>
      </c>
    </row>
    <row r="435" spans="1:8" ht="22.5">
      <c r="A435" s="123">
        <v>43091</v>
      </c>
      <c r="B435" s="119" t="s">
        <v>62</v>
      </c>
      <c r="C435" s="120" t="s">
        <v>51</v>
      </c>
      <c r="D435" s="192" t="s">
        <v>570</v>
      </c>
      <c r="E435" s="121"/>
      <c r="F435" s="119"/>
      <c r="G435" s="121" t="s">
        <v>799</v>
      </c>
      <c r="H435" s="123">
        <v>43091</v>
      </c>
    </row>
    <row r="436" spans="1:8" ht="22.5">
      <c r="A436" s="123">
        <v>43091</v>
      </c>
      <c r="B436" s="119" t="s">
        <v>62</v>
      </c>
      <c r="C436" s="120" t="s">
        <v>51</v>
      </c>
      <c r="D436" s="192" t="s">
        <v>800</v>
      </c>
      <c r="E436" s="121"/>
      <c r="F436" s="119"/>
      <c r="G436" s="121" t="s">
        <v>801</v>
      </c>
      <c r="H436" s="123">
        <v>43091</v>
      </c>
    </row>
    <row r="437" spans="1:8" ht="22.5">
      <c r="A437" s="123">
        <v>43091</v>
      </c>
      <c r="B437" s="119" t="s">
        <v>62</v>
      </c>
      <c r="C437" s="120" t="s">
        <v>51</v>
      </c>
      <c r="D437" s="192" t="s">
        <v>476</v>
      </c>
      <c r="E437" s="121"/>
      <c r="F437" s="119"/>
      <c r="G437" s="121" t="s">
        <v>802</v>
      </c>
      <c r="H437" s="123">
        <v>43091</v>
      </c>
    </row>
    <row r="438" spans="1:8">
      <c r="A438" s="123">
        <v>43091</v>
      </c>
      <c r="B438" s="119" t="s">
        <v>62</v>
      </c>
      <c r="C438" s="120" t="s">
        <v>51</v>
      </c>
      <c r="D438" s="192" t="s">
        <v>579</v>
      </c>
      <c r="E438" s="121"/>
      <c r="F438" s="119"/>
      <c r="G438" s="121" t="s">
        <v>803</v>
      </c>
      <c r="H438" s="123">
        <v>43091</v>
      </c>
    </row>
    <row r="439" spans="1:8" ht="22.5">
      <c r="A439" s="123">
        <v>43091</v>
      </c>
      <c r="B439" s="119" t="s">
        <v>62</v>
      </c>
      <c r="C439" s="120" t="s">
        <v>51</v>
      </c>
      <c r="D439" s="192" t="s">
        <v>583</v>
      </c>
      <c r="E439" s="121"/>
      <c r="F439" s="119"/>
      <c r="G439" s="121" t="s">
        <v>804</v>
      </c>
      <c r="H439" s="123">
        <v>43091</v>
      </c>
    </row>
    <row r="440" spans="1:8" ht="22.5">
      <c r="A440" s="123">
        <v>43091</v>
      </c>
      <c r="B440" s="119" t="s">
        <v>62</v>
      </c>
      <c r="C440" s="120" t="s">
        <v>51</v>
      </c>
      <c r="D440" s="192" t="s">
        <v>805</v>
      </c>
      <c r="E440" s="121"/>
      <c r="F440" s="119"/>
      <c r="G440" s="121" t="s">
        <v>806</v>
      </c>
      <c r="H440" s="123">
        <v>43091</v>
      </c>
    </row>
    <row r="441" spans="1:8" ht="22.5">
      <c r="A441" s="123">
        <v>43091</v>
      </c>
      <c r="B441" s="119" t="s">
        <v>62</v>
      </c>
      <c r="C441" s="120" t="s">
        <v>51</v>
      </c>
      <c r="D441" s="192" t="s">
        <v>731</v>
      </c>
      <c r="E441" s="121"/>
      <c r="F441" s="119"/>
      <c r="G441" s="121" t="s">
        <v>807</v>
      </c>
      <c r="H441" s="123">
        <v>43091</v>
      </c>
    </row>
    <row r="442" spans="1:8" ht="22.5">
      <c r="A442" s="123">
        <v>43091</v>
      </c>
      <c r="B442" s="119" t="s">
        <v>62</v>
      </c>
      <c r="C442" s="120" t="s">
        <v>51</v>
      </c>
      <c r="D442" s="192" t="s">
        <v>592</v>
      </c>
      <c r="E442" s="121"/>
      <c r="F442" s="119"/>
      <c r="G442" s="121" t="s">
        <v>808</v>
      </c>
      <c r="H442" s="123">
        <v>43091</v>
      </c>
    </row>
    <row r="443" spans="1:8" ht="22.5">
      <c r="A443" s="123">
        <v>43091</v>
      </c>
      <c r="B443" s="119" t="s">
        <v>62</v>
      </c>
      <c r="C443" s="120" t="s">
        <v>51</v>
      </c>
      <c r="D443" s="192" t="s">
        <v>733</v>
      </c>
      <c r="E443" s="121"/>
      <c r="F443" s="119"/>
      <c r="G443" s="121" t="s">
        <v>809</v>
      </c>
      <c r="H443" s="123">
        <v>43091</v>
      </c>
    </row>
    <row r="444" spans="1:8">
      <c r="A444" s="123">
        <v>43091</v>
      </c>
      <c r="B444" s="119" t="s">
        <v>62</v>
      </c>
      <c r="C444" s="120" t="s">
        <v>51</v>
      </c>
      <c r="D444" s="192" t="s">
        <v>810</v>
      </c>
      <c r="E444" s="121"/>
      <c r="F444" s="119"/>
      <c r="G444" s="121" t="s">
        <v>811</v>
      </c>
      <c r="H444" s="123">
        <v>43091</v>
      </c>
    </row>
    <row r="445" spans="1:8">
      <c r="A445" s="123">
        <v>43091</v>
      </c>
      <c r="B445" s="119" t="s">
        <v>62</v>
      </c>
      <c r="C445" s="120" t="s">
        <v>51</v>
      </c>
      <c r="D445" s="192" t="s">
        <v>812</v>
      </c>
      <c r="E445" s="121"/>
      <c r="F445" s="119"/>
      <c r="G445" s="121" t="s">
        <v>813</v>
      </c>
      <c r="H445" s="123">
        <v>43091</v>
      </c>
    </row>
    <row r="446" spans="1:8" ht="22.5">
      <c r="A446" s="123">
        <v>43091</v>
      </c>
      <c r="B446" s="119" t="s">
        <v>62</v>
      </c>
      <c r="C446" s="120" t="s">
        <v>51</v>
      </c>
      <c r="D446" s="192" t="s">
        <v>814</v>
      </c>
      <c r="E446" s="121"/>
      <c r="F446" s="119"/>
      <c r="G446" s="121" t="s">
        <v>815</v>
      </c>
      <c r="H446" s="123">
        <v>43091</v>
      </c>
    </row>
    <row r="447" spans="1:8" ht="22.5">
      <c r="A447" s="123">
        <v>43091</v>
      </c>
      <c r="B447" s="119" t="s">
        <v>62</v>
      </c>
      <c r="C447" s="120" t="s">
        <v>51</v>
      </c>
      <c r="D447" s="192" t="s">
        <v>816</v>
      </c>
      <c r="E447" s="121"/>
      <c r="F447" s="119"/>
      <c r="G447" s="121" t="s">
        <v>817</v>
      </c>
      <c r="H447" s="123">
        <v>43091</v>
      </c>
    </row>
    <row r="448" spans="1:8" ht="22.5">
      <c r="A448" s="123">
        <v>43091</v>
      </c>
      <c r="B448" s="119" t="s">
        <v>62</v>
      </c>
      <c r="C448" s="120" t="s">
        <v>51</v>
      </c>
      <c r="D448" s="192" t="s">
        <v>818</v>
      </c>
      <c r="E448" s="121"/>
      <c r="F448" s="119"/>
      <c r="G448" s="121" t="s">
        <v>819</v>
      </c>
      <c r="H448" s="123">
        <v>43091</v>
      </c>
    </row>
    <row r="449" spans="1:8" ht="22.5">
      <c r="A449" s="123">
        <v>43091</v>
      </c>
      <c r="B449" s="119" t="s">
        <v>62</v>
      </c>
      <c r="C449" s="120" t="s">
        <v>51</v>
      </c>
      <c r="D449" s="192" t="s">
        <v>820</v>
      </c>
      <c r="E449" s="121"/>
      <c r="F449" s="119"/>
      <c r="G449" s="121" t="s">
        <v>821</v>
      </c>
      <c r="H449" s="123">
        <v>43091</v>
      </c>
    </row>
    <row r="450" spans="1:8" ht="22.5">
      <c r="A450" s="123">
        <v>43091</v>
      </c>
      <c r="B450" s="119" t="s">
        <v>62</v>
      </c>
      <c r="C450" s="120" t="s">
        <v>51</v>
      </c>
      <c r="D450" s="192" t="s">
        <v>822</v>
      </c>
      <c r="E450" s="121"/>
      <c r="F450" s="119"/>
      <c r="G450" s="121" t="s">
        <v>823</v>
      </c>
      <c r="H450" s="123">
        <v>43091</v>
      </c>
    </row>
    <row r="451" spans="1:8" ht="22.5">
      <c r="A451" s="123">
        <v>43091</v>
      </c>
      <c r="B451" s="119" t="s">
        <v>62</v>
      </c>
      <c r="C451" s="120" t="s">
        <v>51</v>
      </c>
      <c r="D451" s="192" t="s">
        <v>735</v>
      </c>
      <c r="E451" s="121"/>
      <c r="F451" s="119"/>
      <c r="G451" s="121" t="s">
        <v>824</v>
      </c>
      <c r="H451" s="123">
        <v>43091</v>
      </c>
    </row>
    <row r="452" spans="1:8" ht="22.5">
      <c r="A452" s="123">
        <v>43091</v>
      </c>
      <c r="B452" s="119" t="s">
        <v>62</v>
      </c>
      <c r="C452" s="120" t="s">
        <v>51</v>
      </c>
      <c r="D452" s="192" t="s">
        <v>737</v>
      </c>
      <c r="E452" s="121"/>
      <c r="F452" s="119"/>
      <c r="G452" s="121" t="s">
        <v>825</v>
      </c>
      <c r="H452" s="123">
        <v>43091</v>
      </c>
    </row>
    <row r="453" spans="1:8" ht="22.5">
      <c r="A453" s="123">
        <v>43091</v>
      </c>
      <c r="B453" s="119" t="s">
        <v>62</v>
      </c>
      <c r="C453" s="120" t="s">
        <v>51</v>
      </c>
      <c r="D453" s="192" t="s">
        <v>826</v>
      </c>
      <c r="E453" s="121"/>
      <c r="F453" s="119"/>
      <c r="G453" s="121" t="s">
        <v>827</v>
      </c>
      <c r="H453" s="123">
        <v>43091</v>
      </c>
    </row>
    <row r="454" spans="1:8" ht="22.5">
      <c r="A454" s="123">
        <v>43091</v>
      </c>
      <c r="B454" s="119" t="s">
        <v>62</v>
      </c>
      <c r="C454" s="120" t="s">
        <v>51</v>
      </c>
      <c r="D454" s="192" t="s">
        <v>828</v>
      </c>
      <c r="E454" s="121"/>
      <c r="F454" s="119"/>
      <c r="G454" s="121" t="s">
        <v>829</v>
      </c>
      <c r="H454" s="123">
        <v>43091</v>
      </c>
    </row>
    <row r="455" spans="1:8">
      <c r="A455" s="123">
        <v>43091</v>
      </c>
      <c r="B455" s="119" t="s">
        <v>62</v>
      </c>
      <c r="C455" s="120" t="s">
        <v>47</v>
      </c>
      <c r="D455" s="192" t="s">
        <v>830</v>
      </c>
      <c r="E455" s="121"/>
      <c r="F455" s="119"/>
      <c r="G455" s="121" t="s">
        <v>831</v>
      </c>
      <c r="H455" s="123">
        <v>43091</v>
      </c>
    </row>
    <row r="456" spans="1:8">
      <c r="A456" s="123">
        <v>43091</v>
      </c>
      <c r="B456" s="119" t="s">
        <v>62</v>
      </c>
      <c r="C456" s="120" t="s">
        <v>51</v>
      </c>
      <c r="D456" s="192" t="s">
        <v>832</v>
      </c>
      <c r="E456" s="121"/>
      <c r="F456" s="119"/>
      <c r="G456" s="121" t="s">
        <v>833</v>
      </c>
      <c r="H456" s="123">
        <v>43091</v>
      </c>
    </row>
    <row r="457" spans="1:8" ht="22.5">
      <c r="A457" s="123">
        <v>43091</v>
      </c>
      <c r="B457" s="119" t="s">
        <v>62</v>
      </c>
      <c r="C457" s="120" t="s">
        <v>51</v>
      </c>
      <c r="D457" s="192" t="s">
        <v>834</v>
      </c>
      <c r="E457" s="121"/>
      <c r="F457" s="119"/>
      <c r="G457" s="121" t="s">
        <v>835</v>
      </c>
      <c r="H457" s="123">
        <v>43091</v>
      </c>
    </row>
    <row r="458" spans="1:8" ht="22.5">
      <c r="A458" s="123">
        <v>43091</v>
      </c>
      <c r="B458" s="119" t="s">
        <v>80</v>
      </c>
      <c r="C458" s="120" t="s">
        <v>661</v>
      </c>
      <c r="D458" s="192" t="s">
        <v>836</v>
      </c>
      <c r="E458" s="121"/>
      <c r="F458" s="119"/>
      <c r="G458" s="121" t="s">
        <v>837</v>
      </c>
      <c r="H458" s="123">
        <v>43091</v>
      </c>
    </row>
    <row r="459" spans="1:8">
      <c r="A459" s="123">
        <v>43091</v>
      </c>
      <c r="B459" s="119" t="s">
        <v>80</v>
      </c>
      <c r="C459" s="120" t="s">
        <v>661</v>
      </c>
      <c r="D459" s="192" t="s">
        <v>838</v>
      </c>
      <c r="E459" s="121"/>
      <c r="F459" s="119"/>
      <c r="G459" s="121" t="s">
        <v>839</v>
      </c>
      <c r="H459" s="123">
        <v>43091</v>
      </c>
    </row>
    <row r="460" spans="1:8">
      <c r="A460" s="123">
        <v>43091</v>
      </c>
      <c r="B460" s="119" t="s">
        <v>80</v>
      </c>
      <c r="C460" s="120" t="s">
        <v>661</v>
      </c>
      <c r="D460" s="192" t="s">
        <v>840</v>
      </c>
      <c r="E460" s="121"/>
      <c r="F460" s="119"/>
      <c r="G460" s="121" t="s">
        <v>841</v>
      </c>
      <c r="H460" s="123">
        <v>43091</v>
      </c>
    </row>
    <row r="461" spans="1:8" ht="22.5">
      <c r="A461" s="123">
        <v>43091</v>
      </c>
      <c r="B461" s="119" t="s">
        <v>80</v>
      </c>
      <c r="C461" s="120" t="s">
        <v>51</v>
      </c>
      <c r="D461" s="192" t="s">
        <v>842</v>
      </c>
      <c r="E461" s="121"/>
      <c r="F461" s="119"/>
      <c r="G461" s="121" t="s">
        <v>843</v>
      </c>
      <c r="H461" s="123">
        <v>43091</v>
      </c>
    </row>
    <row r="462" spans="1:8" ht="22.5">
      <c r="A462" s="123">
        <v>43091</v>
      </c>
      <c r="B462" s="119" t="s">
        <v>80</v>
      </c>
      <c r="C462" s="120" t="s">
        <v>51</v>
      </c>
      <c r="D462" s="192" t="s">
        <v>520</v>
      </c>
      <c r="E462" s="121"/>
      <c r="F462" s="119"/>
      <c r="G462" s="121" t="s">
        <v>844</v>
      </c>
      <c r="H462" s="123">
        <v>43091</v>
      </c>
    </row>
    <row r="463" spans="1:8" ht="22.5">
      <c r="A463" s="123">
        <v>43091</v>
      </c>
      <c r="B463" s="119" t="s">
        <v>95</v>
      </c>
      <c r="C463" s="120" t="s">
        <v>47</v>
      </c>
      <c r="D463" s="192" t="s">
        <v>630</v>
      </c>
      <c r="E463" s="121"/>
      <c r="F463" s="119"/>
      <c r="G463" s="121" t="s">
        <v>845</v>
      </c>
      <c r="H463" s="123">
        <v>43091</v>
      </c>
    </row>
    <row r="464" spans="1:8" ht="22.5">
      <c r="A464" s="123">
        <v>43091</v>
      </c>
      <c r="B464" s="119" t="s">
        <v>100</v>
      </c>
      <c r="C464" s="120" t="s">
        <v>51</v>
      </c>
      <c r="D464" s="192" t="s">
        <v>632</v>
      </c>
      <c r="E464" s="121"/>
      <c r="F464" s="119"/>
      <c r="G464" s="121" t="s">
        <v>846</v>
      </c>
      <c r="H464" s="123">
        <v>43091</v>
      </c>
    </row>
    <row r="465" spans="1:8" ht="22.5">
      <c r="A465" s="123">
        <v>43091</v>
      </c>
      <c r="B465" s="119" t="s">
        <v>100</v>
      </c>
      <c r="C465" s="120" t="s">
        <v>51</v>
      </c>
      <c r="D465" s="192" t="s">
        <v>422</v>
      </c>
      <c r="E465" s="121"/>
      <c r="F465" s="119"/>
      <c r="G465" s="121" t="s">
        <v>847</v>
      </c>
      <c r="H465" s="123">
        <v>43091</v>
      </c>
    </row>
    <row r="466" spans="1:8" ht="22.5">
      <c r="A466" s="123">
        <v>43091</v>
      </c>
      <c r="B466" s="119" t="s">
        <v>100</v>
      </c>
      <c r="C466" s="120" t="s">
        <v>47</v>
      </c>
      <c r="D466" s="192" t="s">
        <v>710</v>
      </c>
      <c r="E466" s="121"/>
      <c r="F466" s="119"/>
      <c r="G466" s="121" t="s">
        <v>848</v>
      </c>
      <c r="H466" s="123">
        <v>43091</v>
      </c>
    </row>
    <row r="467" spans="1:8" ht="22.5">
      <c r="A467" s="123">
        <v>43091</v>
      </c>
      <c r="B467" s="119" t="s">
        <v>100</v>
      </c>
      <c r="C467" s="120" t="s">
        <v>51</v>
      </c>
      <c r="D467" s="192" t="s">
        <v>849</v>
      </c>
      <c r="E467" s="121"/>
      <c r="F467" s="119"/>
      <c r="G467" s="121" t="s">
        <v>850</v>
      </c>
      <c r="H467" s="123">
        <v>43091</v>
      </c>
    </row>
    <row r="468" spans="1:8" ht="22.5">
      <c r="A468" s="123">
        <v>43091</v>
      </c>
      <c r="B468" s="119" t="s">
        <v>100</v>
      </c>
      <c r="C468" s="120" t="s">
        <v>51</v>
      </c>
      <c r="D468" s="192" t="s">
        <v>851</v>
      </c>
      <c r="E468" s="121"/>
      <c r="F468" s="119"/>
      <c r="G468" s="121" t="s">
        <v>852</v>
      </c>
      <c r="H468" s="123">
        <v>43091</v>
      </c>
    </row>
    <row r="469" spans="1:8">
      <c r="A469" s="123">
        <v>43091</v>
      </c>
      <c r="B469" s="119" t="s">
        <v>100</v>
      </c>
      <c r="C469" s="120" t="s">
        <v>51</v>
      </c>
      <c r="D469" s="192" t="s">
        <v>507</v>
      </c>
      <c r="E469" s="121"/>
      <c r="F469" s="119"/>
      <c r="G469" s="121" t="s">
        <v>853</v>
      </c>
      <c r="H469" s="123">
        <v>43091</v>
      </c>
    </row>
    <row r="470" spans="1:8" ht="22.5">
      <c r="A470" s="123">
        <v>43091</v>
      </c>
      <c r="B470" s="119" t="s">
        <v>100</v>
      </c>
      <c r="C470" s="120" t="s">
        <v>51</v>
      </c>
      <c r="D470" s="192" t="s">
        <v>854</v>
      </c>
      <c r="E470" s="121"/>
      <c r="F470" s="119"/>
      <c r="G470" s="121" t="s">
        <v>855</v>
      </c>
      <c r="H470" s="123">
        <v>43091</v>
      </c>
    </row>
    <row r="471" spans="1:8" ht="22.5">
      <c r="A471" s="123">
        <v>43091</v>
      </c>
      <c r="B471" s="119" t="s">
        <v>100</v>
      </c>
      <c r="C471" s="120" t="s">
        <v>51</v>
      </c>
      <c r="D471" s="192" t="s">
        <v>205</v>
      </c>
      <c r="E471" s="121"/>
      <c r="F471" s="119"/>
      <c r="G471" s="121" t="s">
        <v>856</v>
      </c>
      <c r="H471" s="123">
        <v>43091</v>
      </c>
    </row>
    <row r="472" spans="1:8" ht="22.5">
      <c r="A472" s="123">
        <v>42891</v>
      </c>
      <c r="B472" s="119" t="s">
        <v>46</v>
      </c>
      <c r="C472" s="120" t="s">
        <v>51</v>
      </c>
      <c r="D472" s="192" t="s">
        <v>857</v>
      </c>
      <c r="E472" s="121"/>
      <c r="F472" s="119"/>
      <c r="G472" s="121" t="s">
        <v>858</v>
      </c>
      <c r="H472" s="123">
        <v>42891</v>
      </c>
    </row>
    <row r="473" spans="1:8" ht="22.5">
      <c r="A473" s="123">
        <v>42891</v>
      </c>
      <c r="B473" s="119" t="s">
        <v>46</v>
      </c>
      <c r="C473" s="120" t="s">
        <v>51</v>
      </c>
      <c r="D473" s="192" t="s">
        <v>859</v>
      </c>
      <c r="E473" s="121"/>
      <c r="F473" s="119"/>
      <c r="G473" s="121" t="s">
        <v>860</v>
      </c>
      <c r="H473" s="123">
        <v>42891</v>
      </c>
    </row>
    <row r="474" spans="1:8" ht="22.5">
      <c r="A474" s="123">
        <v>42891</v>
      </c>
      <c r="B474" s="119" t="s">
        <v>46</v>
      </c>
      <c r="C474" s="120" t="s">
        <v>47</v>
      </c>
      <c r="D474" s="192" t="s">
        <v>861</v>
      </c>
      <c r="E474" s="121"/>
      <c r="F474" s="119"/>
      <c r="G474" s="121" t="s">
        <v>862</v>
      </c>
      <c r="H474" s="123">
        <v>42891</v>
      </c>
    </row>
    <row r="475" spans="1:8" ht="22.5">
      <c r="A475" s="123">
        <v>42891</v>
      </c>
      <c r="B475" s="119" t="s">
        <v>62</v>
      </c>
      <c r="C475" s="120" t="s">
        <v>47</v>
      </c>
      <c r="D475" s="192" t="s">
        <v>863</v>
      </c>
      <c r="E475" s="121"/>
      <c r="F475" s="119"/>
      <c r="G475" s="121" t="s">
        <v>864</v>
      </c>
      <c r="H475" s="123">
        <v>42891</v>
      </c>
    </row>
    <row r="476" spans="1:8" ht="33.75">
      <c r="A476" s="123">
        <v>42891</v>
      </c>
      <c r="B476" s="119" t="s">
        <v>62</v>
      </c>
      <c r="C476" s="120" t="s">
        <v>47</v>
      </c>
      <c r="D476" s="192" t="s">
        <v>865</v>
      </c>
      <c r="E476" s="121"/>
      <c r="F476" s="119"/>
      <c r="G476" s="121" t="s">
        <v>866</v>
      </c>
      <c r="H476" s="123">
        <v>42891</v>
      </c>
    </row>
    <row r="477" spans="1:8" ht="22.5">
      <c r="A477" s="123">
        <v>42891</v>
      </c>
      <c r="B477" s="119" t="s">
        <v>62</v>
      </c>
      <c r="C477" s="120" t="s">
        <v>51</v>
      </c>
      <c r="D477" s="192" t="s">
        <v>570</v>
      </c>
      <c r="E477" s="121"/>
      <c r="F477" s="119"/>
      <c r="G477" s="121" t="s">
        <v>867</v>
      </c>
      <c r="H477" s="123">
        <v>42891</v>
      </c>
    </row>
    <row r="478" spans="1:8" ht="22.5">
      <c r="A478" s="123">
        <v>42891</v>
      </c>
      <c r="B478" s="119" t="s">
        <v>62</v>
      </c>
      <c r="C478" s="120" t="s">
        <v>47</v>
      </c>
      <c r="D478" s="192" t="s">
        <v>868</v>
      </c>
      <c r="E478" s="121"/>
      <c r="F478" s="119"/>
      <c r="G478" s="121" t="s">
        <v>869</v>
      </c>
      <c r="H478" s="123">
        <v>42891</v>
      </c>
    </row>
    <row r="479" spans="1:8" ht="22.5">
      <c r="A479" s="123">
        <v>42891</v>
      </c>
      <c r="B479" s="119" t="s">
        <v>62</v>
      </c>
      <c r="C479" s="120" t="s">
        <v>51</v>
      </c>
      <c r="D479" s="192" t="s">
        <v>814</v>
      </c>
      <c r="E479" s="121"/>
      <c r="F479" s="119"/>
      <c r="G479" s="121" t="s">
        <v>870</v>
      </c>
      <c r="H479" s="123">
        <v>42891</v>
      </c>
    </row>
    <row r="480" spans="1:8" ht="22.5">
      <c r="A480" s="123">
        <v>42891</v>
      </c>
      <c r="B480" s="119" t="s">
        <v>62</v>
      </c>
      <c r="C480" s="120" t="s">
        <v>51</v>
      </c>
      <c r="D480" s="192" t="s">
        <v>596</v>
      </c>
      <c r="E480" s="121"/>
      <c r="F480" s="119"/>
      <c r="G480" s="121" t="s">
        <v>871</v>
      </c>
      <c r="H480" s="123">
        <v>42891</v>
      </c>
    </row>
    <row r="481" spans="1:8" ht="22.5">
      <c r="A481" s="123">
        <v>42891</v>
      </c>
      <c r="B481" s="119" t="s">
        <v>62</v>
      </c>
      <c r="C481" s="120" t="s">
        <v>47</v>
      </c>
      <c r="D481" s="192" t="s">
        <v>830</v>
      </c>
      <c r="E481" s="121"/>
      <c r="F481" s="119"/>
      <c r="G481" s="121" t="s">
        <v>872</v>
      </c>
      <c r="H481" s="123">
        <v>42891</v>
      </c>
    </row>
    <row r="482" spans="1:8" ht="22.5">
      <c r="A482" s="123">
        <v>42891</v>
      </c>
      <c r="B482" s="119" t="s">
        <v>62</v>
      </c>
      <c r="C482" s="120" t="s">
        <v>51</v>
      </c>
      <c r="D482" s="192" t="s">
        <v>873</v>
      </c>
      <c r="E482" s="121"/>
      <c r="F482" s="119"/>
      <c r="G482" s="121" t="s">
        <v>874</v>
      </c>
      <c r="H482" s="123">
        <v>42891</v>
      </c>
    </row>
    <row r="483" spans="1:8" ht="22.5">
      <c r="A483" s="123">
        <v>42891</v>
      </c>
      <c r="B483" s="119" t="s">
        <v>80</v>
      </c>
      <c r="C483" s="120" t="s">
        <v>51</v>
      </c>
      <c r="D483" s="192" t="s">
        <v>840</v>
      </c>
      <c r="E483" s="121"/>
      <c r="F483" s="119"/>
      <c r="G483" s="121" t="s">
        <v>875</v>
      </c>
      <c r="H483" s="123">
        <v>42891</v>
      </c>
    </row>
    <row r="484" spans="1:8" ht="22.5">
      <c r="A484" s="123">
        <v>42891</v>
      </c>
      <c r="B484" s="119" t="s">
        <v>80</v>
      </c>
      <c r="C484" s="120" t="s">
        <v>680</v>
      </c>
      <c r="D484" s="192" t="s">
        <v>697</v>
      </c>
      <c r="E484" s="121"/>
      <c r="F484" s="119"/>
      <c r="G484" s="121" t="s">
        <v>876</v>
      </c>
      <c r="H484" s="123">
        <v>42891</v>
      </c>
    </row>
    <row r="485" spans="1:8" ht="22.5">
      <c r="A485" s="123">
        <v>42891</v>
      </c>
      <c r="B485" s="119" t="s">
        <v>95</v>
      </c>
      <c r="C485" s="120" t="s">
        <v>680</v>
      </c>
      <c r="D485" s="192" t="s">
        <v>877</v>
      </c>
      <c r="E485" s="121"/>
      <c r="F485" s="119"/>
      <c r="G485" s="121" t="s">
        <v>878</v>
      </c>
      <c r="H485" s="123">
        <v>42891</v>
      </c>
    </row>
    <row r="486" spans="1:8" ht="33.75">
      <c r="A486" s="123">
        <v>42891</v>
      </c>
      <c r="B486" s="119" t="s">
        <v>95</v>
      </c>
      <c r="C486" s="120" t="s">
        <v>680</v>
      </c>
      <c r="D486" s="192" t="s">
        <v>879</v>
      </c>
      <c r="E486" s="121"/>
      <c r="F486" s="119"/>
      <c r="G486" s="121" t="s">
        <v>880</v>
      </c>
      <c r="H486" s="123">
        <v>42891</v>
      </c>
    </row>
    <row r="487" spans="1:8" ht="22.5">
      <c r="A487" s="123">
        <v>42891</v>
      </c>
      <c r="B487" s="119" t="s">
        <v>95</v>
      </c>
      <c r="C487" s="120" t="s">
        <v>680</v>
      </c>
      <c r="D487" s="192" t="s">
        <v>881</v>
      </c>
      <c r="E487" s="121"/>
      <c r="F487" s="119"/>
      <c r="G487" s="121" t="s">
        <v>882</v>
      </c>
      <c r="H487" s="123">
        <v>42891</v>
      </c>
    </row>
    <row r="488" spans="1:8" ht="22.5">
      <c r="A488" s="123">
        <v>42891</v>
      </c>
      <c r="B488" s="119" t="s">
        <v>95</v>
      </c>
      <c r="C488" s="120" t="s">
        <v>680</v>
      </c>
      <c r="D488" s="192" t="s">
        <v>883</v>
      </c>
      <c r="E488" s="121"/>
      <c r="F488" s="119"/>
      <c r="G488" s="121" t="s">
        <v>884</v>
      </c>
      <c r="H488" s="123">
        <v>42891</v>
      </c>
    </row>
    <row r="489" spans="1:8" ht="22.5">
      <c r="A489" s="123">
        <v>42891</v>
      </c>
      <c r="B489" s="119" t="s">
        <v>95</v>
      </c>
      <c r="C489" s="120" t="s">
        <v>680</v>
      </c>
      <c r="D489" s="192" t="s">
        <v>885</v>
      </c>
      <c r="E489" s="121"/>
      <c r="F489" s="119"/>
      <c r="G489" s="121" t="s">
        <v>886</v>
      </c>
      <c r="H489" s="123">
        <v>42891</v>
      </c>
    </row>
    <row r="490" spans="1:8" ht="22.5">
      <c r="A490" s="123">
        <v>42891</v>
      </c>
      <c r="B490" s="119" t="s">
        <v>95</v>
      </c>
      <c r="C490" s="120" t="s">
        <v>47</v>
      </c>
      <c r="D490" s="192" t="s">
        <v>630</v>
      </c>
      <c r="E490" s="121"/>
      <c r="F490" s="119"/>
      <c r="G490" s="121" t="s">
        <v>887</v>
      </c>
      <c r="H490" s="123">
        <v>42891</v>
      </c>
    </row>
    <row r="491" spans="1:8" ht="22.5">
      <c r="A491" s="123">
        <v>42891</v>
      </c>
      <c r="B491" s="119" t="s">
        <v>100</v>
      </c>
      <c r="C491" s="120" t="s">
        <v>47</v>
      </c>
      <c r="D491" s="192" t="s">
        <v>888</v>
      </c>
      <c r="E491" s="121"/>
      <c r="F491" s="119"/>
      <c r="G491" s="121" t="s">
        <v>889</v>
      </c>
      <c r="H491" s="123">
        <v>42891</v>
      </c>
    </row>
    <row r="492" spans="1:8" ht="22.5">
      <c r="A492" s="123">
        <v>42891</v>
      </c>
      <c r="B492" s="119" t="s">
        <v>100</v>
      </c>
      <c r="C492" s="120" t="s">
        <v>51</v>
      </c>
      <c r="D492" s="192" t="s">
        <v>710</v>
      </c>
      <c r="E492" s="121"/>
      <c r="F492" s="119"/>
      <c r="G492" s="121" t="s">
        <v>890</v>
      </c>
      <c r="H492" s="123">
        <v>42891</v>
      </c>
    </row>
    <row r="493" spans="1:8" ht="22.5">
      <c r="A493" s="123">
        <v>42891</v>
      </c>
      <c r="B493" s="119" t="s">
        <v>100</v>
      </c>
      <c r="C493" s="120" t="s">
        <v>47</v>
      </c>
      <c r="D493" s="192" t="s">
        <v>891</v>
      </c>
      <c r="E493" s="121"/>
      <c r="F493" s="119"/>
      <c r="G493" s="121" t="s">
        <v>892</v>
      </c>
      <c r="H493" s="123">
        <v>42891</v>
      </c>
    </row>
    <row r="494" spans="1:8" ht="22.5">
      <c r="A494" s="123">
        <v>42891</v>
      </c>
      <c r="B494" s="119" t="s">
        <v>100</v>
      </c>
      <c r="C494" s="120" t="s">
        <v>680</v>
      </c>
      <c r="D494" s="192" t="s">
        <v>893</v>
      </c>
      <c r="E494" s="121"/>
      <c r="F494" s="119"/>
      <c r="G494" s="121" t="s">
        <v>894</v>
      </c>
      <c r="H494" s="123">
        <v>42891</v>
      </c>
    </row>
    <row r="495" spans="1:8" ht="22.5">
      <c r="A495" s="123">
        <v>42891</v>
      </c>
      <c r="B495" s="119" t="s">
        <v>100</v>
      </c>
      <c r="C495" s="120" t="s">
        <v>51</v>
      </c>
      <c r="D495" s="192" t="s">
        <v>895</v>
      </c>
      <c r="E495" s="121"/>
      <c r="F495" s="119"/>
      <c r="G495" s="121" t="s">
        <v>896</v>
      </c>
      <c r="H495" s="123">
        <v>42891</v>
      </c>
    </row>
    <row r="496" spans="1:8" ht="22.5">
      <c r="A496" s="123">
        <v>42810</v>
      </c>
      <c r="B496" s="119" t="s">
        <v>95</v>
      </c>
      <c r="C496" s="120" t="s">
        <v>51</v>
      </c>
      <c r="D496" s="192" t="s">
        <v>897</v>
      </c>
      <c r="E496" s="121"/>
      <c r="F496" s="119"/>
      <c r="G496" s="121" t="s">
        <v>898</v>
      </c>
      <c r="H496" s="123">
        <v>42810</v>
      </c>
    </row>
    <row r="497" spans="1:8" ht="22.5">
      <c r="A497" s="123">
        <v>42793</v>
      </c>
      <c r="B497" s="119" t="s">
        <v>46</v>
      </c>
      <c r="C497" s="120" t="s">
        <v>51</v>
      </c>
      <c r="D497" s="192" t="s">
        <v>899</v>
      </c>
      <c r="E497" s="121"/>
      <c r="F497" s="119"/>
      <c r="G497" s="121" t="s">
        <v>900</v>
      </c>
      <c r="H497" s="123">
        <v>42793</v>
      </c>
    </row>
    <row r="498" spans="1:8" ht="22.5">
      <c r="A498" s="123">
        <v>42793</v>
      </c>
      <c r="B498" s="119" t="s">
        <v>46</v>
      </c>
      <c r="C498" s="120" t="s">
        <v>51</v>
      </c>
      <c r="D498" s="192" t="s">
        <v>901</v>
      </c>
      <c r="E498" s="121"/>
      <c r="F498" s="119"/>
      <c r="G498" s="121" t="s">
        <v>902</v>
      </c>
      <c r="H498" s="123">
        <v>42793</v>
      </c>
    </row>
    <row r="499" spans="1:8" ht="22.5">
      <c r="A499" s="123">
        <v>42793</v>
      </c>
      <c r="B499" s="119" t="s">
        <v>46</v>
      </c>
      <c r="C499" s="120" t="s">
        <v>47</v>
      </c>
      <c r="D499" s="192" t="s">
        <v>903</v>
      </c>
      <c r="E499" s="121"/>
      <c r="F499" s="119"/>
      <c r="G499" s="121" t="s">
        <v>904</v>
      </c>
      <c r="H499" s="123">
        <v>42793</v>
      </c>
    </row>
    <row r="500" spans="1:8" ht="22.5">
      <c r="A500" s="123">
        <v>42793</v>
      </c>
      <c r="B500" s="119" t="s">
        <v>46</v>
      </c>
      <c r="C500" s="120" t="s">
        <v>680</v>
      </c>
      <c r="D500" s="192" t="s">
        <v>905</v>
      </c>
      <c r="E500" s="121"/>
      <c r="F500" s="119"/>
      <c r="G500" s="121" t="s">
        <v>906</v>
      </c>
      <c r="H500" s="123">
        <v>42793</v>
      </c>
    </row>
    <row r="501" spans="1:8" ht="45">
      <c r="A501" s="123">
        <v>42793</v>
      </c>
      <c r="B501" s="119" t="s">
        <v>80</v>
      </c>
      <c r="C501" s="120" t="s">
        <v>47</v>
      </c>
      <c r="D501" s="192" t="s">
        <v>838</v>
      </c>
      <c r="E501" s="121"/>
      <c r="F501" s="119"/>
      <c r="G501" s="121" t="s">
        <v>907</v>
      </c>
      <c r="H501" s="123">
        <v>42793</v>
      </c>
    </row>
    <row r="502" spans="1:8" ht="33.75">
      <c r="A502" s="123">
        <v>42793</v>
      </c>
      <c r="B502" s="119" t="s">
        <v>95</v>
      </c>
      <c r="C502" s="120" t="s">
        <v>47</v>
      </c>
      <c r="D502" s="192" t="s">
        <v>630</v>
      </c>
      <c r="E502" s="121"/>
      <c r="F502" s="119"/>
      <c r="G502" s="121" t="s">
        <v>908</v>
      </c>
      <c r="H502" s="123">
        <v>42793</v>
      </c>
    </row>
    <row r="503" spans="1:8" ht="22.5">
      <c r="A503" s="123">
        <v>42793</v>
      </c>
      <c r="B503" s="119" t="s">
        <v>100</v>
      </c>
      <c r="C503" s="120" t="s">
        <v>51</v>
      </c>
      <c r="D503" s="192" t="s">
        <v>849</v>
      </c>
      <c r="E503" s="121"/>
      <c r="F503" s="119"/>
      <c r="G503" s="121" t="s">
        <v>909</v>
      </c>
      <c r="H503" s="123">
        <v>42793</v>
      </c>
    </row>
    <row r="504" spans="1:8" ht="45">
      <c r="A504" s="123">
        <v>42692</v>
      </c>
      <c r="B504" s="119" t="s">
        <v>46</v>
      </c>
      <c r="C504" s="120" t="s">
        <v>680</v>
      </c>
      <c r="D504" s="192" t="s">
        <v>488</v>
      </c>
      <c r="E504" s="121"/>
      <c r="F504" s="119"/>
      <c r="G504" s="121" t="s">
        <v>910</v>
      </c>
      <c r="H504" s="123">
        <v>42692</v>
      </c>
    </row>
    <row r="505" spans="1:8" ht="22.5">
      <c r="A505" s="123">
        <v>42692</v>
      </c>
      <c r="B505" s="119" t="s">
        <v>62</v>
      </c>
      <c r="C505" s="120" t="s">
        <v>47</v>
      </c>
      <c r="D505" s="192" t="s">
        <v>911</v>
      </c>
      <c r="E505" s="121"/>
      <c r="F505" s="119"/>
      <c r="G505" s="121" t="s">
        <v>912</v>
      </c>
      <c r="H505" s="123">
        <v>42692</v>
      </c>
    </row>
    <row r="506" spans="1:8" ht="22.5">
      <c r="A506" s="123">
        <v>42692</v>
      </c>
      <c r="B506" s="119" t="s">
        <v>62</v>
      </c>
      <c r="C506" s="120" t="s">
        <v>47</v>
      </c>
      <c r="D506" s="192" t="s">
        <v>913</v>
      </c>
      <c r="E506" s="121"/>
      <c r="F506" s="119"/>
      <c r="G506" s="121" t="s">
        <v>914</v>
      </c>
      <c r="H506" s="123">
        <v>42692</v>
      </c>
    </row>
    <row r="507" spans="1:8" ht="22.5">
      <c r="A507" s="123">
        <v>42692</v>
      </c>
      <c r="B507" s="119" t="s">
        <v>62</v>
      </c>
      <c r="C507" s="120" t="s">
        <v>47</v>
      </c>
      <c r="D507" s="192" t="s">
        <v>830</v>
      </c>
      <c r="E507" s="121"/>
      <c r="F507" s="119"/>
      <c r="G507" s="121" t="s">
        <v>915</v>
      </c>
      <c r="H507" s="123">
        <v>42692</v>
      </c>
    </row>
    <row r="508" spans="1:8" ht="22.5">
      <c r="A508" s="123">
        <v>42692</v>
      </c>
      <c r="B508" s="119" t="s">
        <v>80</v>
      </c>
      <c r="C508" s="120" t="s">
        <v>47</v>
      </c>
      <c r="D508" s="192" t="s">
        <v>916</v>
      </c>
      <c r="E508" s="121"/>
      <c r="F508" s="119"/>
      <c r="G508" s="121" t="s">
        <v>917</v>
      </c>
      <c r="H508" s="123">
        <v>42692</v>
      </c>
    </row>
    <row r="509" spans="1:8" ht="22.5">
      <c r="A509" s="123">
        <v>42692</v>
      </c>
      <c r="B509" s="119" t="s">
        <v>80</v>
      </c>
      <c r="C509" s="120" t="s">
        <v>47</v>
      </c>
      <c r="D509" s="192" t="s">
        <v>918</v>
      </c>
      <c r="E509" s="121"/>
      <c r="F509" s="119"/>
      <c r="G509" s="121" t="s">
        <v>919</v>
      </c>
      <c r="H509" s="123">
        <v>42692</v>
      </c>
    </row>
    <row r="510" spans="1:8" ht="22.5">
      <c r="A510" s="123">
        <v>42692</v>
      </c>
      <c r="B510" s="119" t="s">
        <v>95</v>
      </c>
      <c r="C510" s="120" t="s">
        <v>47</v>
      </c>
      <c r="D510" s="192" t="s">
        <v>630</v>
      </c>
      <c r="E510" s="121"/>
      <c r="F510" s="119"/>
      <c r="G510" s="121" t="s">
        <v>920</v>
      </c>
      <c r="H510" s="123">
        <v>42692</v>
      </c>
    </row>
    <row r="511" spans="1:8" ht="22.5">
      <c r="A511" s="123">
        <v>42692</v>
      </c>
      <c r="B511" s="119" t="s">
        <v>100</v>
      </c>
      <c r="C511" s="120" t="s">
        <v>47</v>
      </c>
      <c r="D511" s="192" t="s">
        <v>891</v>
      </c>
      <c r="E511" s="121"/>
      <c r="F511" s="119"/>
      <c r="G511" s="121" t="s">
        <v>921</v>
      </c>
      <c r="H511" s="123">
        <v>42692</v>
      </c>
    </row>
    <row r="512" spans="1:8" ht="22.5">
      <c r="A512" s="123">
        <v>42593</v>
      </c>
      <c r="B512" s="119" t="s">
        <v>46</v>
      </c>
      <c r="C512" s="120" t="s">
        <v>47</v>
      </c>
      <c r="D512" s="192" t="s">
        <v>922</v>
      </c>
      <c r="E512" s="121"/>
      <c r="F512" s="119"/>
      <c r="G512" s="121" t="s">
        <v>923</v>
      </c>
      <c r="H512" s="123">
        <v>42593</v>
      </c>
    </row>
    <row r="513" spans="1:8" ht="22.5">
      <c r="A513" s="123">
        <v>42593</v>
      </c>
      <c r="B513" s="119" t="s">
        <v>46</v>
      </c>
      <c r="C513" s="120" t="s">
        <v>51</v>
      </c>
      <c r="D513" s="192" t="s">
        <v>861</v>
      </c>
      <c r="E513" s="121"/>
      <c r="F513" s="119"/>
      <c r="G513" s="121" t="s">
        <v>924</v>
      </c>
      <c r="H513" s="123">
        <v>42593</v>
      </c>
    </row>
    <row r="514" spans="1:8" ht="22.5">
      <c r="A514" s="123">
        <v>42593</v>
      </c>
      <c r="B514" s="119" t="s">
        <v>46</v>
      </c>
      <c r="C514" s="120" t="s">
        <v>47</v>
      </c>
      <c r="D514" s="192" t="s">
        <v>925</v>
      </c>
      <c r="E514" s="121"/>
      <c r="F514" s="119"/>
      <c r="G514" s="121" t="s">
        <v>926</v>
      </c>
      <c r="H514" s="123">
        <v>42593</v>
      </c>
    </row>
    <row r="515" spans="1:8" ht="22.5">
      <c r="A515" s="123">
        <v>42593</v>
      </c>
      <c r="B515" s="119" t="s">
        <v>46</v>
      </c>
      <c r="C515" s="120" t="s">
        <v>51</v>
      </c>
      <c r="D515" s="192" t="s">
        <v>927</v>
      </c>
      <c r="E515" s="121"/>
      <c r="F515" s="119"/>
      <c r="G515" s="121" t="s">
        <v>928</v>
      </c>
      <c r="H515" s="123">
        <v>42593</v>
      </c>
    </row>
    <row r="516" spans="1:8" ht="22.5">
      <c r="A516" s="123">
        <v>42593</v>
      </c>
      <c r="B516" s="119" t="s">
        <v>46</v>
      </c>
      <c r="C516" s="120" t="s">
        <v>51</v>
      </c>
      <c r="D516" s="192" t="s">
        <v>903</v>
      </c>
      <c r="E516" s="121"/>
      <c r="F516" s="119"/>
      <c r="G516" s="121" t="s">
        <v>929</v>
      </c>
      <c r="H516" s="123">
        <v>42593</v>
      </c>
    </row>
    <row r="517" spans="1:8" ht="22.5">
      <c r="A517" s="123">
        <v>42593</v>
      </c>
      <c r="B517" s="119" t="s">
        <v>62</v>
      </c>
      <c r="C517" s="120" t="s">
        <v>51</v>
      </c>
      <c r="D517" s="192" t="s">
        <v>930</v>
      </c>
      <c r="E517" s="121"/>
      <c r="F517" s="119"/>
      <c r="G517" s="121" t="s">
        <v>931</v>
      </c>
      <c r="H517" s="123">
        <v>42593</v>
      </c>
    </row>
    <row r="518" spans="1:8" ht="22.5">
      <c r="A518" s="123">
        <v>42593</v>
      </c>
      <c r="B518" s="119" t="s">
        <v>62</v>
      </c>
      <c r="C518" s="120" t="s">
        <v>47</v>
      </c>
      <c r="D518" s="192" t="s">
        <v>911</v>
      </c>
      <c r="E518" s="121"/>
      <c r="F518" s="119"/>
      <c r="G518" s="121" t="s">
        <v>932</v>
      </c>
      <c r="H518" s="123">
        <v>42593</v>
      </c>
    </row>
    <row r="519" spans="1:8">
      <c r="A519" s="123">
        <v>42593</v>
      </c>
      <c r="B519" s="119" t="s">
        <v>62</v>
      </c>
      <c r="C519" s="120" t="s">
        <v>47</v>
      </c>
      <c r="D519" s="192" t="s">
        <v>933</v>
      </c>
      <c r="E519" s="121"/>
      <c r="F519" s="119"/>
      <c r="G519" s="121" t="s">
        <v>934</v>
      </c>
      <c r="H519" s="123">
        <v>42593</v>
      </c>
    </row>
    <row r="520" spans="1:8">
      <c r="A520" s="123">
        <v>42593</v>
      </c>
      <c r="B520" s="119" t="s">
        <v>62</v>
      </c>
      <c r="C520" s="120" t="s">
        <v>47</v>
      </c>
      <c r="D520" s="192" t="s">
        <v>935</v>
      </c>
      <c r="E520" s="121"/>
      <c r="F520" s="119"/>
      <c r="G520" s="121" t="s">
        <v>936</v>
      </c>
      <c r="H520" s="123">
        <v>42593</v>
      </c>
    </row>
    <row r="521" spans="1:8">
      <c r="A521" s="123">
        <v>42593</v>
      </c>
      <c r="B521" s="119" t="s">
        <v>62</v>
      </c>
      <c r="C521" s="120" t="s">
        <v>51</v>
      </c>
      <c r="D521" s="192" t="s">
        <v>913</v>
      </c>
      <c r="E521" s="121"/>
      <c r="F521" s="119"/>
      <c r="G521" s="121" t="s">
        <v>937</v>
      </c>
      <c r="H521" s="123">
        <v>42593</v>
      </c>
    </row>
    <row r="522" spans="1:8" ht="22.5">
      <c r="A522" s="123">
        <v>42593</v>
      </c>
      <c r="B522" s="119" t="s">
        <v>80</v>
      </c>
      <c r="C522" s="120" t="s">
        <v>47</v>
      </c>
      <c r="D522" s="192" t="s">
        <v>938</v>
      </c>
      <c r="E522" s="121"/>
      <c r="F522" s="119"/>
      <c r="G522" s="121" t="s">
        <v>939</v>
      </c>
      <c r="H522" s="123">
        <v>42593</v>
      </c>
    </row>
    <row r="523" spans="1:8">
      <c r="A523" s="123">
        <v>42593</v>
      </c>
      <c r="B523" s="119" t="s">
        <v>80</v>
      </c>
      <c r="C523" s="120" t="s">
        <v>51</v>
      </c>
      <c r="D523" s="192" t="s">
        <v>940</v>
      </c>
      <c r="E523" s="121"/>
      <c r="F523" s="119"/>
      <c r="G523" s="121" t="s">
        <v>941</v>
      </c>
      <c r="H523" s="123">
        <v>42593</v>
      </c>
    </row>
    <row r="524" spans="1:8" ht="22.5">
      <c r="A524" s="123">
        <v>42593</v>
      </c>
      <c r="B524" s="119" t="s">
        <v>80</v>
      </c>
      <c r="C524" s="120" t="s">
        <v>47</v>
      </c>
      <c r="D524" s="192" t="s">
        <v>925</v>
      </c>
      <c r="E524" s="121"/>
      <c r="F524" s="119"/>
      <c r="G524" s="121" t="s">
        <v>942</v>
      </c>
      <c r="H524" s="123">
        <v>42593</v>
      </c>
    </row>
    <row r="525" spans="1:8">
      <c r="A525" s="123">
        <v>42593</v>
      </c>
      <c r="B525" s="119" t="s">
        <v>80</v>
      </c>
      <c r="C525" s="120" t="s">
        <v>47</v>
      </c>
      <c r="D525" s="192" t="s">
        <v>943</v>
      </c>
      <c r="E525" s="121"/>
      <c r="F525" s="119"/>
      <c r="G525" s="121" t="s">
        <v>944</v>
      </c>
      <c r="H525" s="123">
        <v>42593</v>
      </c>
    </row>
    <row r="526" spans="1:8">
      <c r="A526" s="123">
        <v>42593</v>
      </c>
      <c r="B526" s="119" t="s">
        <v>80</v>
      </c>
      <c r="C526" s="120" t="s">
        <v>47</v>
      </c>
      <c r="D526" s="192" t="s">
        <v>945</v>
      </c>
      <c r="E526" s="121"/>
      <c r="F526" s="119"/>
      <c r="G526" s="121" t="s">
        <v>946</v>
      </c>
      <c r="H526" s="123">
        <v>42593</v>
      </c>
    </row>
    <row r="527" spans="1:8" ht="22.5">
      <c r="A527" s="123">
        <v>42593</v>
      </c>
      <c r="B527" s="119" t="s">
        <v>80</v>
      </c>
      <c r="C527" s="120" t="s">
        <v>47</v>
      </c>
      <c r="D527" s="192" t="s">
        <v>947</v>
      </c>
      <c r="E527" s="121"/>
      <c r="F527" s="119"/>
      <c r="G527" s="121" t="s">
        <v>948</v>
      </c>
      <c r="H527" s="123">
        <v>42593</v>
      </c>
    </row>
    <row r="528" spans="1:8" ht="22.5">
      <c r="A528" s="123">
        <v>42593</v>
      </c>
      <c r="B528" s="119" t="s">
        <v>80</v>
      </c>
      <c r="C528" s="120" t="s">
        <v>51</v>
      </c>
      <c r="D528" s="192" t="s">
        <v>949</v>
      </c>
      <c r="E528" s="121"/>
      <c r="F528" s="119"/>
      <c r="G528" s="121" t="s">
        <v>950</v>
      </c>
      <c r="H528" s="123">
        <v>42593</v>
      </c>
    </row>
    <row r="529" spans="1:8" ht="22.5">
      <c r="A529" s="123">
        <v>42593</v>
      </c>
      <c r="B529" s="119" t="s">
        <v>95</v>
      </c>
      <c r="C529" s="120" t="s">
        <v>47</v>
      </c>
      <c r="D529" s="192" t="s">
        <v>951</v>
      </c>
      <c r="E529" s="121"/>
      <c r="F529" s="119"/>
      <c r="G529" s="121" t="s">
        <v>952</v>
      </c>
      <c r="H529" s="123">
        <v>42593</v>
      </c>
    </row>
    <row r="530" spans="1:8" ht="22.5">
      <c r="A530" s="123">
        <v>42593</v>
      </c>
      <c r="B530" s="119" t="s">
        <v>95</v>
      </c>
      <c r="C530" s="120" t="s">
        <v>47</v>
      </c>
      <c r="D530" s="192" t="s">
        <v>630</v>
      </c>
      <c r="E530" s="121"/>
      <c r="F530" s="119"/>
      <c r="G530" s="121" t="s">
        <v>953</v>
      </c>
      <c r="H530" s="123">
        <v>42593</v>
      </c>
    </row>
    <row r="531" spans="1:8">
      <c r="A531" s="123">
        <v>42593</v>
      </c>
      <c r="B531" s="119" t="s">
        <v>100</v>
      </c>
      <c r="C531" s="120" t="s">
        <v>51</v>
      </c>
      <c r="D531" s="192" t="s">
        <v>507</v>
      </c>
      <c r="E531" s="121"/>
      <c r="F531" s="119"/>
      <c r="G531" s="121" t="s">
        <v>954</v>
      </c>
      <c r="H531" s="123">
        <v>42593</v>
      </c>
    </row>
    <row r="532" spans="1:8">
      <c r="A532" s="123">
        <v>42593</v>
      </c>
      <c r="B532" s="119" t="s">
        <v>100</v>
      </c>
      <c r="C532" s="120" t="s">
        <v>47</v>
      </c>
      <c r="D532" s="192" t="s">
        <v>925</v>
      </c>
      <c r="E532" s="121"/>
      <c r="F532" s="119"/>
      <c r="G532" s="121" t="s">
        <v>955</v>
      </c>
      <c r="H532" s="123">
        <v>42593</v>
      </c>
    </row>
    <row r="533" spans="1:8" ht="22.5">
      <c r="A533" s="123">
        <v>42475</v>
      </c>
      <c r="B533" s="119" t="s">
        <v>46</v>
      </c>
      <c r="C533" s="120" t="s">
        <v>47</v>
      </c>
      <c r="D533" s="192" t="s">
        <v>922</v>
      </c>
      <c r="E533" s="121"/>
      <c r="F533" s="119"/>
      <c r="G533" s="121" t="s">
        <v>956</v>
      </c>
      <c r="H533" s="123">
        <v>42475</v>
      </c>
    </row>
    <row r="534" spans="1:8" ht="22.5">
      <c r="A534" s="123">
        <v>42475</v>
      </c>
      <c r="B534" s="119" t="s">
        <v>46</v>
      </c>
      <c r="C534" s="120" t="s">
        <v>47</v>
      </c>
      <c r="D534" s="192" t="s">
        <v>925</v>
      </c>
      <c r="E534" s="121"/>
      <c r="F534" s="119"/>
      <c r="G534" s="121" t="s">
        <v>957</v>
      </c>
      <c r="H534" s="123">
        <v>42475</v>
      </c>
    </row>
    <row r="535" spans="1:8" ht="22.5">
      <c r="A535" s="123">
        <v>42475</v>
      </c>
      <c r="B535" s="119" t="s">
        <v>46</v>
      </c>
      <c r="C535" s="120" t="s">
        <v>47</v>
      </c>
      <c r="D535" s="192" t="s">
        <v>958</v>
      </c>
      <c r="E535" s="121"/>
      <c r="F535" s="119"/>
      <c r="G535" s="121" t="s">
        <v>959</v>
      </c>
      <c r="H535" s="123">
        <v>42475</v>
      </c>
    </row>
    <row r="536" spans="1:8">
      <c r="A536" s="123">
        <v>42475</v>
      </c>
      <c r="B536" s="119" t="s">
        <v>62</v>
      </c>
      <c r="C536" s="120" t="s">
        <v>47</v>
      </c>
      <c r="D536" s="192" t="s">
        <v>960</v>
      </c>
      <c r="E536" s="121"/>
      <c r="F536" s="119"/>
      <c r="G536" s="121" t="s">
        <v>961</v>
      </c>
      <c r="H536" s="123">
        <v>42475</v>
      </c>
    </row>
    <row r="537" spans="1:8">
      <c r="A537" s="123">
        <v>42475</v>
      </c>
      <c r="B537" s="119" t="s">
        <v>62</v>
      </c>
      <c r="C537" s="120" t="s">
        <v>47</v>
      </c>
      <c r="D537" s="192" t="s">
        <v>962</v>
      </c>
      <c r="E537" s="121"/>
      <c r="F537" s="119"/>
      <c r="G537" s="121" t="s">
        <v>963</v>
      </c>
      <c r="H537" s="123">
        <v>42475</v>
      </c>
    </row>
    <row r="538" spans="1:8">
      <c r="A538" s="123">
        <v>42475</v>
      </c>
      <c r="B538" s="119" t="s">
        <v>62</v>
      </c>
      <c r="C538" s="120" t="s">
        <v>47</v>
      </c>
      <c r="D538" s="192" t="s">
        <v>911</v>
      </c>
      <c r="E538" s="121"/>
      <c r="F538" s="119"/>
      <c r="G538" s="121" t="s">
        <v>964</v>
      </c>
      <c r="H538" s="123">
        <v>42475</v>
      </c>
    </row>
    <row r="539" spans="1:8" ht="45">
      <c r="A539" s="123">
        <v>42475</v>
      </c>
      <c r="B539" s="119" t="s">
        <v>62</v>
      </c>
      <c r="C539" s="120" t="s">
        <v>47</v>
      </c>
      <c r="D539" s="192" t="s">
        <v>925</v>
      </c>
      <c r="E539" s="121"/>
      <c r="F539" s="119"/>
      <c r="G539" s="121" t="s">
        <v>965</v>
      </c>
      <c r="H539" s="123">
        <v>42475</v>
      </c>
    </row>
    <row r="540" spans="1:8" ht="22.5">
      <c r="A540" s="123">
        <v>42475</v>
      </c>
      <c r="B540" s="119" t="s">
        <v>62</v>
      </c>
      <c r="C540" s="120" t="s">
        <v>47</v>
      </c>
      <c r="D540" s="192" t="s">
        <v>966</v>
      </c>
      <c r="E540" s="121"/>
      <c r="F540" s="119"/>
      <c r="G540" s="121" t="s">
        <v>967</v>
      </c>
      <c r="H540" s="123">
        <v>42475</v>
      </c>
    </row>
    <row r="541" spans="1:8">
      <c r="A541" s="123">
        <v>42475</v>
      </c>
      <c r="B541" s="119" t="s">
        <v>62</v>
      </c>
      <c r="C541" s="120" t="s">
        <v>47</v>
      </c>
      <c r="D541" s="192" t="s">
        <v>968</v>
      </c>
      <c r="E541" s="121"/>
      <c r="F541" s="119"/>
      <c r="G541" s="121" t="s">
        <v>969</v>
      </c>
      <c r="H541" s="123">
        <v>42475</v>
      </c>
    </row>
    <row r="542" spans="1:8" ht="22.5">
      <c r="A542" s="123">
        <v>42475</v>
      </c>
      <c r="B542" s="119" t="s">
        <v>80</v>
      </c>
      <c r="C542" s="120" t="s">
        <v>51</v>
      </c>
      <c r="D542" s="192" t="s">
        <v>970</v>
      </c>
      <c r="E542" s="121"/>
      <c r="F542" s="119"/>
      <c r="G542" s="121" t="s">
        <v>971</v>
      </c>
      <c r="H542" s="123">
        <v>42475</v>
      </c>
    </row>
    <row r="543" spans="1:8" ht="45">
      <c r="A543" s="123">
        <v>42475</v>
      </c>
      <c r="B543" s="119" t="s">
        <v>80</v>
      </c>
      <c r="C543" s="120" t="s">
        <v>47</v>
      </c>
      <c r="D543" s="192" t="s">
        <v>925</v>
      </c>
      <c r="E543" s="121"/>
      <c r="F543" s="119"/>
      <c r="G543" s="121" t="s">
        <v>972</v>
      </c>
      <c r="H543" s="123">
        <v>42475</v>
      </c>
    </row>
    <row r="544" spans="1:8" ht="22.5">
      <c r="A544" s="123">
        <v>42475</v>
      </c>
      <c r="B544" s="119" t="s">
        <v>80</v>
      </c>
      <c r="C544" s="120" t="s">
        <v>47</v>
      </c>
      <c r="D544" s="192" t="s">
        <v>943</v>
      </c>
      <c r="E544" s="121"/>
      <c r="F544" s="119"/>
      <c r="G544" s="121" t="s">
        <v>973</v>
      </c>
      <c r="H544" s="123">
        <v>42475</v>
      </c>
    </row>
    <row r="545" spans="1:8" ht="22.5">
      <c r="A545" s="123">
        <v>42475</v>
      </c>
      <c r="B545" s="119" t="s">
        <v>80</v>
      </c>
      <c r="C545" s="120" t="s">
        <v>47</v>
      </c>
      <c r="D545" s="192" t="s">
        <v>945</v>
      </c>
      <c r="E545" s="121"/>
      <c r="F545" s="119"/>
      <c r="G545" s="121" t="s">
        <v>974</v>
      </c>
      <c r="H545" s="123">
        <v>42475</v>
      </c>
    </row>
    <row r="546" spans="1:8" ht="33.75">
      <c r="A546" s="123">
        <v>42475</v>
      </c>
      <c r="B546" s="119" t="s">
        <v>95</v>
      </c>
      <c r="C546" s="120" t="s">
        <v>680</v>
      </c>
      <c r="D546" s="192" t="s">
        <v>975</v>
      </c>
      <c r="E546" s="121"/>
      <c r="F546" s="119"/>
      <c r="G546" s="121" t="s">
        <v>976</v>
      </c>
      <c r="H546" s="123">
        <v>42475</v>
      </c>
    </row>
    <row r="547" spans="1:8" ht="22.5">
      <c r="A547" s="123">
        <v>42475</v>
      </c>
      <c r="B547" s="119" t="s">
        <v>95</v>
      </c>
      <c r="C547" s="120" t="s">
        <v>47</v>
      </c>
      <c r="D547" s="192" t="s">
        <v>630</v>
      </c>
      <c r="E547" s="121"/>
      <c r="F547" s="119"/>
      <c r="G547" s="121" t="s">
        <v>977</v>
      </c>
      <c r="H547" s="123">
        <v>42475</v>
      </c>
    </row>
    <row r="548" spans="1:8" ht="22.5">
      <c r="A548" s="123">
        <v>42475</v>
      </c>
      <c r="B548" s="119" t="s">
        <v>95</v>
      </c>
      <c r="C548" s="120" t="s">
        <v>47</v>
      </c>
      <c r="D548" s="192" t="s">
        <v>978</v>
      </c>
      <c r="E548" s="121"/>
      <c r="F548" s="119"/>
      <c r="G548" s="121" t="s">
        <v>979</v>
      </c>
      <c r="H548" s="123">
        <v>42475</v>
      </c>
    </row>
    <row r="549" spans="1:8" ht="22.5">
      <c r="A549" s="123">
        <v>42475</v>
      </c>
      <c r="B549" s="119" t="s">
        <v>100</v>
      </c>
      <c r="C549" s="120" t="s">
        <v>47</v>
      </c>
      <c r="D549" s="192" t="s">
        <v>980</v>
      </c>
      <c r="E549" s="121"/>
      <c r="F549" s="119"/>
      <c r="G549" s="121" t="s">
        <v>981</v>
      </c>
      <c r="H549" s="123">
        <v>42475</v>
      </c>
    </row>
    <row r="550" spans="1:8" ht="22.5">
      <c r="A550" s="123">
        <v>42475</v>
      </c>
      <c r="B550" s="119" t="s">
        <v>100</v>
      </c>
      <c r="C550" s="120" t="s">
        <v>51</v>
      </c>
      <c r="D550" s="192" t="s">
        <v>982</v>
      </c>
      <c r="E550" s="121"/>
      <c r="F550" s="119"/>
      <c r="G550" s="121" t="s">
        <v>983</v>
      </c>
      <c r="H550" s="123">
        <v>42475</v>
      </c>
    </row>
    <row r="551" spans="1:8" ht="45">
      <c r="A551" s="123">
        <v>42432</v>
      </c>
      <c r="B551" s="119" t="s">
        <v>80</v>
      </c>
      <c r="C551" s="120" t="s">
        <v>47</v>
      </c>
      <c r="D551" s="192" t="s">
        <v>925</v>
      </c>
      <c r="E551" s="121"/>
      <c r="F551" s="119"/>
      <c r="G551" s="121" t="s">
        <v>984</v>
      </c>
      <c r="H551" s="123">
        <v>42432</v>
      </c>
    </row>
    <row r="552" spans="1:8" ht="22.5">
      <c r="A552" s="123">
        <v>42300</v>
      </c>
      <c r="B552" s="119" t="s">
        <v>46</v>
      </c>
      <c r="C552" s="120" t="s">
        <v>47</v>
      </c>
      <c r="D552" s="192" t="s">
        <v>985</v>
      </c>
      <c r="E552" s="121"/>
      <c r="F552" s="119"/>
      <c r="G552" s="121" t="s">
        <v>986</v>
      </c>
      <c r="H552" s="123">
        <v>42300</v>
      </c>
    </row>
    <row r="553" spans="1:8" ht="22.5">
      <c r="A553" s="123">
        <v>42300</v>
      </c>
      <c r="B553" s="119" t="s">
        <v>80</v>
      </c>
      <c r="C553" s="120" t="s">
        <v>51</v>
      </c>
      <c r="D553" s="192" t="s">
        <v>970</v>
      </c>
      <c r="E553" s="121"/>
      <c r="F553" s="119"/>
      <c r="G553" s="121" t="s">
        <v>987</v>
      </c>
      <c r="H553" s="123">
        <v>42300</v>
      </c>
    </row>
    <row r="554" spans="1:8" ht="22.5">
      <c r="A554" s="123">
        <v>42300</v>
      </c>
      <c r="B554" s="119" t="s">
        <v>80</v>
      </c>
      <c r="C554" s="120" t="s">
        <v>47</v>
      </c>
      <c r="D554" s="192" t="s">
        <v>943</v>
      </c>
      <c r="E554" s="121"/>
      <c r="F554" s="119"/>
      <c r="G554" s="121" t="s">
        <v>988</v>
      </c>
      <c r="H554" s="123">
        <v>42300</v>
      </c>
    </row>
    <row r="555" spans="1:8" ht="33.75">
      <c r="A555" s="123">
        <v>42300</v>
      </c>
      <c r="B555" s="119" t="s">
        <v>80</v>
      </c>
      <c r="C555" s="120" t="s">
        <v>680</v>
      </c>
      <c r="D555" s="192" t="s">
        <v>989</v>
      </c>
      <c r="E555" s="121"/>
      <c r="F555" s="119"/>
      <c r="G555" s="121" t="s">
        <v>990</v>
      </c>
      <c r="H555" s="123">
        <v>42300</v>
      </c>
    </row>
    <row r="556" spans="1:8" ht="22.5">
      <c r="A556" s="123">
        <v>42300</v>
      </c>
      <c r="B556" s="119" t="s">
        <v>80</v>
      </c>
      <c r="C556" s="120" t="s">
        <v>47</v>
      </c>
      <c r="D556" s="192" t="s">
        <v>945</v>
      </c>
      <c r="E556" s="121"/>
      <c r="F556" s="119"/>
      <c r="G556" s="121" t="s">
        <v>991</v>
      </c>
      <c r="H556" s="123">
        <v>42300</v>
      </c>
    </row>
    <row r="557" spans="1:8" ht="22.5">
      <c r="A557" s="123">
        <v>42300</v>
      </c>
      <c r="B557" s="119" t="s">
        <v>80</v>
      </c>
      <c r="C557" s="120" t="s">
        <v>47</v>
      </c>
      <c r="D557" s="192" t="s">
        <v>992</v>
      </c>
      <c r="E557" s="121"/>
      <c r="F557" s="119"/>
      <c r="G557" s="121" t="s">
        <v>993</v>
      </c>
      <c r="H557" s="123">
        <v>42300</v>
      </c>
    </row>
    <row r="558" spans="1:8" ht="22.5">
      <c r="A558" s="123">
        <v>42300</v>
      </c>
      <c r="B558" s="119" t="s">
        <v>80</v>
      </c>
      <c r="C558" s="120" t="s">
        <v>47</v>
      </c>
      <c r="D558" s="192" t="s">
        <v>994</v>
      </c>
      <c r="E558" s="121"/>
      <c r="F558" s="119"/>
      <c r="G558" s="121" t="s">
        <v>995</v>
      </c>
      <c r="H558" s="123">
        <v>42300</v>
      </c>
    </row>
    <row r="559" spans="1:8">
      <c r="A559" s="123">
        <v>42229</v>
      </c>
      <c r="B559" s="119" t="s">
        <v>46</v>
      </c>
      <c r="C559" s="120" t="s">
        <v>47</v>
      </c>
      <c r="D559" s="192" t="s">
        <v>996</v>
      </c>
      <c r="E559" s="121"/>
      <c r="F559" s="119"/>
      <c r="G559" s="121" t="s">
        <v>997</v>
      </c>
      <c r="H559" s="123">
        <v>42229</v>
      </c>
    </row>
    <row r="560" spans="1:8" ht="22.5">
      <c r="A560" s="123">
        <v>42229</v>
      </c>
      <c r="B560" s="119" t="s">
        <v>46</v>
      </c>
      <c r="C560" s="120" t="s">
        <v>47</v>
      </c>
      <c r="D560" s="192" t="s">
        <v>998</v>
      </c>
      <c r="E560" s="121"/>
      <c r="F560" s="119"/>
      <c r="G560" s="121" t="s">
        <v>999</v>
      </c>
      <c r="H560" s="123">
        <v>42229</v>
      </c>
    </row>
    <row r="561" spans="1:8" ht="33.75">
      <c r="A561" s="123">
        <v>42229</v>
      </c>
      <c r="B561" s="119" t="s">
        <v>46</v>
      </c>
      <c r="C561" s="120" t="s">
        <v>47</v>
      </c>
      <c r="D561" s="192" t="s">
        <v>1000</v>
      </c>
      <c r="E561" s="121"/>
      <c r="F561" s="119"/>
      <c r="G561" s="121" t="s">
        <v>1001</v>
      </c>
      <c r="H561" s="123">
        <v>42229</v>
      </c>
    </row>
    <row r="562" spans="1:8">
      <c r="A562" s="123">
        <v>42229</v>
      </c>
      <c r="B562" s="119" t="s">
        <v>46</v>
      </c>
      <c r="C562" s="120" t="s">
        <v>47</v>
      </c>
      <c r="D562" s="192" t="s">
        <v>958</v>
      </c>
      <c r="E562" s="121"/>
      <c r="F562" s="119"/>
      <c r="G562" s="121" t="s">
        <v>1002</v>
      </c>
      <c r="H562" s="123">
        <v>42229</v>
      </c>
    </row>
    <row r="563" spans="1:8" ht="22.5">
      <c r="A563" s="123">
        <v>42229</v>
      </c>
      <c r="B563" s="119" t="s">
        <v>46</v>
      </c>
      <c r="C563" s="120" t="s">
        <v>47</v>
      </c>
      <c r="D563" s="192" t="s">
        <v>1003</v>
      </c>
      <c r="E563" s="121"/>
      <c r="F563" s="119"/>
      <c r="G563" s="121" t="s">
        <v>1004</v>
      </c>
      <c r="H563" s="123">
        <v>42229</v>
      </c>
    </row>
    <row r="564" spans="1:8" ht="22.5">
      <c r="A564" s="123">
        <v>42229</v>
      </c>
      <c r="B564" s="119" t="s">
        <v>46</v>
      </c>
      <c r="C564" s="120" t="s">
        <v>47</v>
      </c>
      <c r="D564" s="192" t="s">
        <v>1005</v>
      </c>
      <c r="E564" s="121"/>
      <c r="F564" s="119"/>
      <c r="G564" s="121" t="s">
        <v>1006</v>
      </c>
      <c r="H564" s="123">
        <v>42229</v>
      </c>
    </row>
    <row r="565" spans="1:8" ht="22.5">
      <c r="A565" s="123">
        <v>42229</v>
      </c>
      <c r="B565" s="119" t="s">
        <v>62</v>
      </c>
      <c r="C565" s="120" t="s">
        <v>680</v>
      </c>
      <c r="D565" s="192" t="s">
        <v>968</v>
      </c>
      <c r="E565" s="121"/>
      <c r="F565" s="119"/>
      <c r="G565" s="121" t="s">
        <v>1007</v>
      </c>
      <c r="H565" s="123">
        <v>42229</v>
      </c>
    </row>
    <row r="566" spans="1:8" ht="33.75">
      <c r="A566" s="123">
        <v>42229</v>
      </c>
      <c r="B566" s="119" t="s">
        <v>80</v>
      </c>
      <c r="C566" s="120" t="s">
        <v>47</v>
      </c>
      <c r="D566" s="192" t="s">
        <v>943</v>
      </c>
      <c r="E566" s="121"/>
      <c r="F566" s="119"/>
      <c r="G566" s="121" t="s">
        <v>1008</v>
      </c>
      <c r="H566" s="123">
        <v>42229</v>
      </c>
    </row>
    <row r="567" spans="1:8">
      <c r="A567" s="123">
        <v>42229</v>
      </c>
      <c r="B567" s="119" t="s">
        <v>80</v>
      </c>
      <c r="C567" s="120" t="s">
        <v>47</v>
      </c>
      <c r="D567" s="192" t="s">
        <v>945</v>
      </c>
      <c r="E567" s="121"/>
      <c r="F567" s="119"/>
      <c r="G567" s="121" t="s">
        <v>1009</v>
      </c>
      <c r="H567" s="123">
        <v>42229</v>
      </c>
    </row>
    <row r="568" spans="1:8" ht="33.75">
      <c r="A568" s="123">
        <v>42229</v>
      </c>
      <c r="B568" s="119" t="s">
        <v>95</v>
      </c>
      <c r="C568" s="120" t="s">
        <v>680</v>
      </c>
      <c r="D568" s="192" t="s">
        <v>975</v>
      </c>
      <c r="E568" s="121"/>
      <c r="F568" s="119"/>
      <c r="G568" s="121" t="s">
        <v>1010</v>
      </c>
      <c r="H568" s="123">
        <v>42229</v>
      </c>
    </row>
    <row r="569" spans="1:8" ht="33.75">
      <c r="A569" s="123">
        <v>42229</v>
      </c>
      <c r="B569" s="119" t="s">
        <v>95</v>
      </c>
      <c r="C569" s="120" t="s">
        <v>47</v>
      </c>
      <c r="D569" s="192" t="s">
        <v>630</v>
      </c>
      <c r="E569" s="121"/>
      <c r="F569" s="119"/>
      <c r="G569" s="121" t="s">
        <v>1011</v>
      </c>
      <c r="H569" s="123">
        <v>42229</v>
      </c>
    </row>
    <row r="570" spans="1:8" ht="22.5">
      <c r="A570" s="123">
        <v>42229</v>
      </c>
      <c r="B570" s="119" t="s">
        <v>95</v>
      </c>
      <c r="C570" s="120" t="s">
        <v>47</v>
      </c>
      <c r="D570" s="192" t="s">
        <v>1012</v>
      </c>
      <c r="E570" s="121"/>
      <c r="F570" s="119"/>
      <c r="G570" s="121" t="s">
        <v>1013</v>
      </c>
      <c r="H570" s="123">
        <v>42229</v>
      </c>
    </row>
    <row r="571" spans="1:8" ht="22.5">
      <c r="A571" s="123">
        <v>42229</v>
      </c>
      <c r="B571" s="119" t="s">
        <v>100</v>
      </c>
      <c r="C571" s="120" t="s">
        <v>47</v>
      </c>
      <c r="D571" s="192" t="s">
        <v>980</v>
      </c>
      <c r="E571" s="121"/>
      <c r="F571" s="119"/>
      <c r="G571" s="121" t="s">
        <v>1014</v>
      </c>
      <c r="H571" s="123">
        <v>42229</v>
      </c>
    </row>
    <row r="572" spans="1:8" ht="45">
      <c r="A572" s="123">
        <v>42229</v>
      </c>
      <c r="B572" s="119" t="s">
        <v>100</v>
      </c>
      <c r="C572" s="120" t="s">
        <v>680</v>
      </c>
      <c r="D572" s="192" t="s">
        <v>1015</v>
      </c>
      <c r="E572" s="121"/>
      <c r="F572" s="119"/>
      <c r="G572" s="121" t="s">
        <v>1016</v>
      </c>
      <c r="H572" s="123">
        <v>42229</v>
      </c>
    </row>
    <row r="573" spans="1:8" ht="33.75">
      <c r="A573" s="123">
        <v>42229</v>
      </c>
      <c r="B573" s="119" t="s">
        <v>100</v>
      </c>
      <c r="C573" s="120" t="s">
        <v>680</v>
      </c>
      <c r="D573" s="192" t="s">
        <v>381</v>
      </c>
      <c r="E573" s="121"/>
      <c r="F573" s="119"/>
      <c r="G573" s="121" t="s">
        <v>1017</v>
      </c>
      <c r="H573" s="123">
        <v>42229</v>
      </c>
    </row>
    <row r="574" spans="1:8" ht="22.5">
      <c r="A574" s="123">
        <v>42229</v>
      </c>
      <c r="B574" s="119" t="s">
        <v>100</v>
      </c>
      <c r="C574" s="120" t="s">
        <v>47</v>
      </c>
      <c r="D574" s="192" t="s">
        <v>1018</v>
      </c>
      <c r="E574" s="121"/>
      <c r="F574" s="119"/>
      <c r="G574" s="121" t="s">
        <v>1019</v>
      </c>
      <c r="H574" s="123">
        <v>42229</v>
      </c>
    </row>
    <row r="575" spans="1:8" ht="22.5">
      <c r="A575" s="123">
        <v>42229</v>
      </c>
      <c r="B575" s="119" t="s">
        <v>100</v>
      </c>
      <c r="C575" s="120" t="s">
        <v>680</v>
      </c>
      <c r="D575" s="192" t="s">
        <v>1020</v>
      </c>
      <c r="E575" s="121"/>
      <c r="F575" s="119"/>
      <c r="G575" s="121" t="s">
        <v>1021</v>
      </c>
      <c r="H575" s="123">
        <v>42229</v>
      </c>
    </row>
    <row r="576" spans="1:8" ht="22.5">
      <c r="A576" s="123">
        <v>42139</v>
      </c>
      <c r="B576" s="119" t="s">
        <v>100</v>
      </c>
      <c r="C576" s="120" t="s">
        <v>47</v>
      </c>
      <c r="D576" s="192" t="s">
        <v>1022</v>
      </c>
      <c r="E576" s="121"/>
      <c r="F576" s="119"/>
      <c r="G576" s="121" t="s">
        <v>1023</v>
      </c>
      <c r="H576" s="123">
        <v>42139</v>
      </c>
    </row>
    <row r="577" spans="1:8" ht="22.5">
      <c r="A577" s="123">
        <v>42139</v>
      </c>
      <c r="B577" s="119" t="s">
        <v>100</v>
      </c>
      <c r="C577" s="120" t="s">
        <v>47</v>
      </c>
      <c r="D577" s="192" t="s">
        <v>980</v>
      </c>
      <c r="E577" s="121"/>
      <c r="F577" s="119"/>
      <c r="G577" s="121" t="s">
        <v>1024</v>
      </c>
      <c r="H577" s="123">
        <v>42139</v>
      </c>
    </row>
    <row r="578" spans="1:8" ht="22.5">
      <c r="A578" s="123">
        <v>42139</v>
      </c>
      <c r="B578" s="119" t="s">
        <v>100</v>
      </c>
      <c r="C578" s="120" t="s">
        <v>47</v>
      </c>
      <c r="D578" s="192" t="s">
        <v>982</v>
      </c>
      <c r="E578" s="121"/>
      <c r="F578" s="119"/>
      <c r="G578" s="121" t="s">
        <v>1025</v>
      </c>
      <c r="H578" s="123">
        <v>42139</v>
      </c>
    </row>
    <row r="579" spans="1:8" ht="22.5">
      <c r="A579" s="123">
        <v>42139</v>
      </c>
      <c r="B579" s="119" t="s">
        <v>100</v>
      </c>
      <c r="C579" s="120" t="s">
        <v>47</v>
      </c>
      <c r="D579" s="192" t="s">
        <v>1026</v>
      </c>
      <c r="E579" s="121"/>
      <c r="F579" s="119"/>
      <c r="G579" s="121" t="s">
        <v>1027</v>
      </c>
      <c r="H579" s="123">
        <v>42139</v>
      </c>
    </row>
    <row r="580" spans="1:8" ht="22.5">
      <c r="A580" s="123">
        <v>42109</v>
      </c>
      <c r="B580" s="119" t="s">
        <v>46</v>
      </c>
      <c r="C580" s="120" t="s">
        <v>47</v>
      </c>
      <c r="D580" s="192" t="s">
        <v>1028</v>
      </c>
      <c r="E580" s="121"/>
      <c r="F580" s="119"/>
      <c r="G580" s="121" t="s">
        <v>1029</v>
      </c>
      <c r="H580" s="123">
        <v>42109</v>
      </c>
    </row>
    <row r="581" spans="1:8" ht="22.5">
      <c r="A581" s="123">
        <v>42109</v>
      </c>
      <c r="B581" s="119" t="s">
        <v>46</v>
      </c>
      <c r="C581" s="120" t="s">
        <v>47</v>
      </c>
      <c r="D581" s="192" t="s">
        <v>1030</v>
      </c>
      <c r="E581" s="121"/>
      <c r="F581" s="119"/>
      <c r="G581" s="121" t="s">
        <v>1031</v>
      </c>
      <c r="H581" s="123">
        <v>42109</v>
      </c>
    </row>
    <row r="582" spans="1:8" ht="22.5">
      <c r="A582" s="123">
        <v>42109</v>
      </c>
      <c r="B582" s="119" t="s">
        <v>46</v>
      </c>
      <c r="C582" s="120" t="s">
        <v>47</v>
      </c>
      <c r="D582" s="192" t="s">
        <v>922</v>
      </c>
      <c r="E582" s="121"/>
      <c r="F582" s="119"/>
      <c r="G582" s="121" t="s">
        <v>1032</v>
      </c>
      <c r="H582" s="123">
        <v>42109</v>
      </c>
    </row>
    <row r="583" spans="1:8" ht="22.5">
      <c r="A583" s="123">
        <v>42109</v>
      </c>
      <c r="B583" s="119" t="s">
        <v>46</v>
      </c>
      <c r="C583" s="120" t="s">
        <v>47</v>
      </c>
      <c r="D583" s="192" t="s">
        <v>1033</v>
      </c>
      <c r="E583" s="121"/>
      <c r="F583" s="119"/>
      <c r="G583" s="121" t="s">
        <v>1034</v>
      </c>
      <c r="H583" s="123">
        <v>42109</v>
      </c>
    </row>
    <row r="584" spans="1:8" ht="22.5">
      <c r="A584" s="123">
        <v>42109</v>
      </c>
      <c r="B584" s="119" t="s">
        <v>46</v>
      </c>
      <c r="C584" s="120" t="s">
        <v>47</v>
      </c>
      <c r="D584" s="192" t="s">
        <v>1003</v>
      </c>
      <c r="E584" s="121"/>
      <c r="F584" s="119"/>
      <c r="G584" s="121" t="s">
        <v>1035</v>
      </c>
      <c r="H584" s="123">
        <v>42109</v>
      </c>
    </row>
    <row r="585" spans="1:8" ht="22.5">
      <c r="A585" s="123">
        <v>42109</v>
      </c>
      <c r="B585" s="119" t="s">
        <v>46</v>
      </c>
      <c r="C585" s="120" t="s">
        <v>47</v>
      </c>
      <c r="D585" s="192" t="s">
        <v>1036</v>
      </c>
      <c r="E585" s="121"/>
      <c r="F585" s="119"/>
      <c r="G585" s="121" t="s">
        <v>1037</v>
      </c>
      <c r="H585" s="123">
        <v>42109</v>
      </c>
    </row>
    <row r="586" spans="1:8">
      <c r="A586" s="123">
        <v>42109</v>
      </c>
      <c r="B586" s="119" t="s">
        <v>62</v>
      </c>
      <c r="C586" s="120" t="s">
        <v>680</v>
      </c>
      <c r="D586" s="192" t="s">
        <v>1038</v>
      </c>
      <c r="E586" s="121"/>
      <c r="F586" s="119"/>
      <c r="G586" s="121" t="s">
        <v>1039</v>
      </c>
      <c r="H586" s="123">
        <v>42109</v>
      </c>
    </row>
    <row r="587" spans="1:8" ht="22.5">
      <c r="A587" s="123">
        <v>42109</v>
      </c>
      <c r="B587" s="119" t="s">
        <v>62</v>
      </c>
      <c r="C587" s="120" t="s">
        <v>47</v>
      </c>
      <c r="D587" s="192" t="s">
        <v>962</v>
      </c>
      <c r="E587" s="121"/>
      <c r="F587" s="119"/>
      <c r="G587" s="121" t="s">
        <v>1040</v>
      </c>
      <c r="H587" s="123">
        <v>42109</v>
      </c>
    </row>
    <row r="588" spans="1:8" ht="22.5">
      <c r="A588" s="123">
        <v>42109</v>
      </c>
      <c r="B588" s="119" t="s">
        <v>80</v>
      </c>
      <c r="C588" s="120" t="s">
        <v>47</v>
      </c>
      <c r="D588" s="192" t="s">
        <v>970</v>
      </c>
      <c r="E588" s="121"/>
      <c r="F588" s="119"/>
      <c r="G588" s="121" t="s">
        <v>1041</v>
      </c>
      <c r="H588" s="123">
        <v>42109</v>
      </c>
    </row>
    <row r="589" spans="1:8" ht="22.5">
      <c r="A589" s="123">
        <v>42109</v>
      </c>
      <c r="B589" s="119" t="s">
        <v>80</v>
      </c>
      <c r="C589" s="120" t="s">
        <v>680</v>
      </c>
      <c r="D589" s="192" t="s">
        <v>989</v>
      </c>
      <c r="E589" s="121"/>
      <c r="F589" s="119"/>
      <c r="G589" s="121" t="s">
        <v>1042</v>
      </c>
      <c r="H589" s="123">
        <v>42109</v>
      </c>
    </row>
    <row r="590" spans="1:8">
      <c r="A590" s="123">
        <v>42109</v>
      </c>
      <c r="B590" s="119" t="s">
        <v>80</v>
      </c>
      <c r="C590" s="120" t="s">
        <v>47</v>
      </c>
      <c r="D590" s="192" t="s">
        <v>947</v>
      </c>
      <c r="E590" s="121"/>
      <c r="F590" s="119"/>
      <c r="G590" s="121" t="s">
        <v>1043</v>
      </c>
      <c r="H590" s="123">
        <v>42109</v>
      </c>
    </row>
    <row r="591" spans="1:8" ht="33.75">
      <c r="A591" s="123">
        <v>41983</v>
      </c>
      <c r="B591" s="119" t="s">
        <v>46</v>
      </c>
      <c r="C591" s="120" t="s">
        <v>51</v>
      </c>
      <c r="D591" s="192" t="s">
        <v>1028</v>
      </c>
      <c r="E591" s="121"/>
      <c r="F591" s="119"/>
      <c r="G591" s="121" t="s">
        <v>1044</v>
      </c>
      <c r="H591" s="123">
        <v>41983</v>
      </c>
    </row>
    <row r="592" spans="1:8" ht="22.5">
      <c r="A592" s="123">
        <v>41983</v>
      </c>
      <c r="B592" s="119" t="s">
        <v>46</v>
      </c>
      <c r="C592" s="120" t="s">
        <v>47</v>
      </c>
      <c r="D592" s="192" t="s">
        <v>1045</v>
      </c>
      <c r="E592" s="121"/>
      <c r="F592" s="119"/>
      <c r="G592" s="121" t="s">
        <v>1046</v>
      </c>
      <c r="H592" s="123">
        <v>41983</v>
      </c>
    </row>
    <row r="593" spans="1:8" ht="33.75">
      <c r="A593" s="123">
        <v>41983</v>
      </c>
      <c r="B593" s="119" t="s">
        <v>46</v>
      </c>
      <c r="C593" s="120" t="s">
        <v>51</v>
      </c>
      <c r="D593" s="192" t="s">
        <v>922</v>
      </c>
      <c r="E593" s="121"/>
      <c r="F593" s="119"/>
      <c r="G593" s="121" t="s">
        <v>1047</v>
      </c>
      <c r="H593" s="123">
        <v>41983</v>
      </c>
    </row>
    <row r="594" spans="1:8" ht="33.75">
      <c r="A594" s="123">
        <v>41983</v>
      </c>
      <c r="B594" s="119" t="s">
        <v>46</v>
      </c>
      <c r="C594" s="120" t="s">
        <v>51</v>
      </c>
      <c r="D594" s="192" t="s">
        <v>1033</v>
      </c>
      <c r="E594" s="121"/>
      <c r="F594" s="119"/>
      <c r="G594" s="121" t="s">
        <v>1048</v>
      </c>
      <c r="H594" s="123">
        <v>41983</v>
      </c>
    </row>
    <row r="595" spans="1:8" ht="33.75">
      <c r="A595" s="123">
        <v>41983</v>
      </c>
      <c r="B595" s="119" t="s">
        <v>46</v>
      </c>
      <c r="C595" s="120" t="s">
        <v>51</v>
      </c>
      <c r="D595" s="192" t="s">
        <v>1003</v>
      </c>
      <c r="E595" s="121"/>
      <c r="F595" s="119"/>
      <c r="G595" s="121" t="s">
        <v>1049</v>
      </c>
      <c r="H595" s="123">
        <v>41983</v>
      </c>
    </row>
    <row r="596" spans="1:8" ht="33.75">
      <c r="A596" s="123">
        <v>41983</v>
      </c>
      <c r="B596" s="119" t="s">
        <v>46</v>
      </c>
      <c r="C596" s="120" t="s">
        <v>47</v>
      </c>
      <c r="D596" s="192" t="s">
        <v>1005</v>
      </c>
      <c r="E596" s="121"/>
      <c r="F596" s="119"/>
      <c r="G596" s="121" t="s">
        <v>1050</v>
      </c>
      <c r="H596" s="123">
        <v>41983</v>
      </c>
    </row>
    <row r="597" spans="1:8" ht="22.5">
      <c r="A597" s="123">
        <v>41983</v>
      </c>
      <c r="B597" s="119" t="s">
        <v>46</v>
      </c>
      <c r="C597" s="120" t="s">
        <v>47</v>
      </c>
      <c r="D597" s="192" t="s">
        <v>1036</v>
      </c>
      <c r="E597" s="121"/>
      <c r="F597" s="119"/>
      <c r="G597" s="121" t="s">
        <v>1051</v>
      </c>
      <c r="H597" s="123">
        <v>41983</v>
      </c>
    </row>
    <row r="598" spans="1:8" ht="22.5">
      <c r="A598" s="123">
        <v>41983</v>
      </c>
      <c r="B598" s="119" t="s">
        <v>62</v>
      </c>
      <c r="C598" s="120" t="s">
        <v>47</v>
      </c>
      <c r="D598" s="192" t="s">
        <v>1052</v>
      </c>
      <c r="E598" s="121"/>
      <c r="F598" s="119"/>
      <c r="G598" s="121" t="s">
        <v>1053</v>
      </c>
      <c r="H598" s="123">
        <v>41983</v>
      </c>
    </row>
    <row r="599" spans="1:8" ht="22.5">
      <c r="A599" s="123">
        <v>41983</v>
      </c>
      <c r="B599" s="119" t="s">
        <v>80</v>
      </c>
      <c r="C599" s="120" t="s">
        <v>47</v>
      </c>
      <c r="D599" s="192" t="s">
        <v>943</v>
      </c>
      <c r="E599" s="121"/>
      <c r="F599" s="119"/>
      <c r="G599" s="121" t="s">
        <v>1054</v>
      </c>
      <c r="H599" s="123">
        <v>41983</v>
      </c>
    </row>
    <row r="600" spans="1:8" ht="22.5">
      <c r="A600" s="123">
        <v>41983</v>
      </c>
      <c r="B600" s="119" t="s">
        <v>80</v>
      </c>
      <c r="C600" s="120" t="s">
        <v>47</v>
      </c>
      <c r="D600" s="192" t="s">
        <v>1055</v>
      </c>
      <c r="E600" s="121"/>
      <c r="F600" s="119"/>
      <c r="G600" s="121" t="s">
        <v>1056</v>
      </c>
      <c r="H600" s="123">
        <v>41983</v>
      </c>
    </row>
    <row r="601" spans="1:8" ht="33.75">
      <c r="A601" s="123">
        <v>41983</v>
      </c>
      <c r="B601" s="119" t="s">
        <v>95</v>
      </c>
      <c r="C601" s="120" t="s">
        <v>680</v>
      </c>
      <c r="D601" s="192" t="s">
        <v>1057</v>
      </c>
      <c r="E601" s="121"/>
      <c r="F601" s="119"/>
      <c r="G601" s="121" t="s">
        <v>1058</v>
      </c>
      <c r="H601" s="123">
        <v>41983</v>
      </c>
    </row>
    <row r="602" spans="1:8" ht="45">
      <c r="A602" s="123">
        <v>41983</v>
      </c>
      <c r="B602" s="119" t="s">
        <v>95</v>
      </c>
      <c r="C602" s="120" t="s">
        <v>680</v>
      </c>
      <c r="D602" s="192" t="s">
        <v>96</v>
      </c>
      <c r="E602" s="121"/>
      <c r="F602" s="119"/>
      <c r="G602" s="121" t="s">
        <v>1059</v>
      </c>
      <c r="H602" s="123">
        <v>41983</v>
      </c>
    </row>
    <row r="603" spans="1:8" ht="22.5">
      <c r="A603" s="123">
        <v>41983</v>
      </c>
      <c r="B603" s="119" t="s">
        <v>95</v>
      </c>
      <c r="C603" s="120" t="s">
        <v>680</v>
      </c>
      <c r="D603" s="192" t="s">
        <v>1060</v>
      </c>
      <c r="E603" s="121"/>
      <c r="F603" s="119"/>
      <c r="G603" s="121" t="s">
        <v>1061</v>
      </c>
      <c r="H603" s="123">
        <v>41983</v>
      </c>
    </row>
    <row r="604" spans="1:8">
      <c r="A604" s="123">
        <v>41983</v>
      </c>
      <c r="B604" s="119" t="s">
        <v>95</v>
      </c>
      <c r="C604" s="120" t="s">
        <v>680</v>
      </c>
      <c r="D604" s="192" t="s">
        <v>1062</v>
      </c>
      <c r="E604" s="121"/>
      <c r="F604" s="119"/>
      <c r="G604" s="121" t="s">
        <v>1063</v>
      </c>
      <c r="H604" s="123">
        <v>41983</v>
      </c>
    </row>
    <row r="605" spans="1:8">
      <c r="A605" s="123">
        <v>41983</v>
      </c>
      <c r="B605" s="119" t="s">
        <v>95</v>
      </c>
      <c r="C605" s="120" t="s">
        <v>680</v>
      </c>
      <c r="D605" s="192" t="s">
        <v>1064</v>
      </c>
      <c r="E605" s="121"/>
      <c r="F605" s="119"/>
      <c r="G605" s="121" t="s">
        <v>1065</v>
      </c>
      <c r="H605" s="123">
        <v>41983</v>
      </c>
    </row>
    <row r="606" spans="1:8" ht="33.75">
      <c r="A606" s="123">
        <v>41983</v>
      </c>
      <c r="B606" s="119" t="s">
        <v>100</v>
      </c>
      <c r="C606" s="120" t="s">
        <v>51</v>
      </c>
      <c r="D606" s="192" t="s">
        <v>1066</v>
      </c>
      <c r="E606" s="121"/>
      <c r="F606" s="119"/>
      <c r="G606" s="121" t="s">
        <v>1067</v>
      </c>
      <c r="H606" s="123">
        <v>41983</v>
      </c>
    </row>
    <row r="607" spans="1:8" ht="22.5">
      <c r="A607" s="123">
        <v>41983</v>
      </c>
      <c r="B607" s="119" t="s">
        <v>100</v>
      </c>
      <c r="C607" s="120" t="s">
        <v>47</v>
      </c>
      <c r="D607" s="192" t="s">
        <v>1018</v>
      </c>
      <c r="E607" s="121"/>
      <c r="F607" s="119"/>
      <c r="G607" s="121" t="s">
        <v>1068</v>
      </c>
      <c r="H607" s="123">
        <v>41983</v>
      </c>
    </row>
    <row r="608" spans="1:8" ht="22.5">
      <c r="A608" s="123">
        <v>41983</v>
      </c>
      <c r="B608" s="119" t="s">
        <v>100</v>
      </c>
      <c r="C608" s="120" t="s">
        <v>47</v>
      </c>
      <c r="D608" s="192" t="s">
        <v>1069</v>
      </c>
      <c r="E608" s="121"/>
      <c r="F608" s="119"/>
      <c r="G608" s="121" t="s">
        <v>1070</v>
      </c>
      <c r="H608" s="123">
        <v>41983</v>
      </c>
    </row>
    <row r="609" spans="1:8" ht="33.75">
      <c r="A609" s="123">
        <v>41858</v>
      </c>
      <c r="B609" s="119" t="s">
        <v>46</v>
      </c>
      <c r="C609" s="120" t="s">
        <v>51</v>
      </c>
      <c r="D609" s="192" t="s">
        <v>922</v>
      </c>
      <c r="E609" s="121"/>
      <c r="F609" s="119"/>
      <c r="G609" s="121" t="s">
        <v>1071</v>
      </c>
      <c r="H609" s="123">
        <v>41858</v>
      </c>
    </row>
    <row r="610" spans="1:8" ht="22.5">
      <c r="A610" s="123">
        <v>41858</v>
      </c>
      <c r="B610" s="119" t="s">
        <v>46</v>
      </c>
      <c r="C610" s="120" t="s">
        <v>47</v>
      </c>
      <c r="D610" s="192" t="s">
        <v>1072</v>
      </c>
      <c r="E610" s="121"/>
      <c r="F610" s="119"/>
      <c r="G610" s="121" t="s">
        <v>1073</v>
      </c>
      <c r="H610" s="123">
        <v>41858</v>
      </c>
    </row>
    <row r="611" spans="1:8" ht="22.5">
      <c r="A611" s="123">
        <v>41858</v>
      </c>
      <c r="B611" s="119" t="s">
        <v>62</v>
      </c>
      <c r="C611" s="120" t="s">
        <v>47</v>
      </c>
      <c r="D611" s="192" t="s">
        <v>1074</v>
      </c>
      <c r="E611" s="121"/>
      <c r="F611" s="119"/>
      <c r="G611" s="121" t="s">
        <v>1075</v>
      </c>
      <c r="H611" s="123">
        <v>41858</v>
      </c>
    </row>
    <row r="612" spans="1:8" ht="22.5">
      <c r="A612" s="123">
        <v>41858</v>
      </c>
      <c r="B612" s="119" t="s">
        <v>62</v>
      </c>
      <c r="C612" s="120" t="s">
        <v>47</v>
      </c>
      <c r="D612" s="192" t="s">
        <v>1038</v>
      </c>
      <c r="E612" s="121"/>
      <c r="F612" s="119"/>
      <c r="G612" s="121" t="s">
        <v>1076</v>
      </c>
      <c r="H612" s="123">
        <v>41858</v>
      </c>
    </row>
    <row r="613" spans="1:8">
      <c r="A613" s="123">
        <v>41858</v>
      </c>
      <c r="B613" s="119" t="s">
        <v>80</v>
      </c>
      <c r="C613" s="120" t="s">
        <v>680</v>
      </c>
      <c r="D613" s="192" t="s">
        <v>1077</v>
      </c>
      <c r="E613" s="121"/>
      <c r="F613" s="119"/>
      <c r="G613" s="121" t="s">
        <v>1078</v>
      </c>
      <c r="H613" s="123">
        <v>41858</v>
      </c>
    </row>
    <row r="614" spans="1:8">
      <c r="A614" s="123">
        <v>41858</v>
      </c>
      <c r="B614" s="119" t="s">
        <v>80</v>
      </c>
      <c r="C614" s="120" t="s">
        <v>680</v>
      </c>
      <c r="D614" s="192" t="s">
        <v>1079</v>
      </c>
      <c r="E614" s="121"/>
      <c r="F614" s="119"/>
      <c r="G614" s="121" t="s">
        <v>1080</v>
      </c>
      <c r="H614" s="123">
        <v>41858</v>
      </c>
    </row>
    <row r="615" spans="1:8" ht="22.5">
      <c r="A615" s="123">
        <v>41858</v>
      </c>
      <c r="B615" s="119" t="s">
        <v>100</v>
      </c>
      <c r="C615" s="120" t="s">
        <v>47</v>
      </c>
      <c r="D615" s="192" t="s">
        <v>1022</v>
      </c>
      <c r="E615" s="121"/>
      <c r="F615" s="119"/>
      <c r="G615" s="121" t="s">
        <v>1081</v>
      </c>
      <c r="H615" s="123">
        <v>41858</v>
      </c>
    </row>
    <row r="616" spans="1:8" ht="22.5">
      <c r="A616" s="123">
        <v>41858</v>
      </c>
      <c r="B616" s="119" t="s">
        <v>100</v>
      </c>
      <c r="C616" s="120" t="s">
        <v>47</v>
      </c>
      <c r="D616" s="192" t="s">
        <v>1069</v>
      </c>
      <c r="E616" s="121"/>
      <c r="F616" s="119"/>
      <c r="G616" s="121" t="s">
        <v>1082</v>
      </c>
      <c r="H616" s="123">
        <v>41858</v>
      </c>
    </row>
    <row r="617" spans="1:8" ht="33.75">
      <c r="A617" s="123">
        <v>41789</v>
      </c>
      <c r="B617" s="119" t="s">
        <v>46</v>
      </c>
      <c r="C617" s="120" t="s">
        <v>680</v>
      </c>
      <c r="D617" s="192" t="s">
        <v>1083</v>
      </c>
      <c r="E617" s="121"/>
      <c r="F617" s="119"/>
      <c r="G617" s="121" t="s">
        <v>1084</v>
      </c>
      <c r="H617" s="123">
        <v>41789</v>
      </c>
    </row>
    <row r="618" spans="1:8" ht="33.75">
      <c r="A618" s="123">
        <v>41789</v>
      </c>
      <c r="B618" s="119" t="s">
        <v>46</v>
      </c>
      <c r="C618" s="120" t="s">
        <v>51</v>
      </c>
      <c r="D618" s="192" t="s">
        <v>1028</v>
      </c>
      <c r="E618" s="121"/>
      <c r="F618" s="119"/>
      <c r="G618" s="121" t="s">
        <v>1085</v>
      </c>
      <c r="H618" s="123">
        <v>41789</v>
      </c>
    </row>
    <row r="619" spans="1:8" ht="33.75">
      <c r="A619" s="123">
        <v>41789</v>
      </c>
      <c r="B619" s="119" t="s">
        <v>46</v>
      </c>
      <c r="C619" s="120" t="s">
        <v>51</v>
      </c>
      <c r="D619" s="192" t="s">
        <v>985</v>
      </c>
      <c r="E619" s="121"/>
      <c r="F619" s="119"/>
      <c r="G619" s="121" t="s">
        <v>1086</v>
      </c>
      <c r="H619" s="123">
        <v>41789</v>
      </c>
    </row>
    <row r="620" spans="1:8" ht="33.75">
      <c r="A620" s="123">
        <v>41789</v>
      </c>
      <c r="B620" s="119" t="s">
        <v>46</v>
      </c>
      <c r="C620" s="120" t="s">
        <v>680</v>
      </c>
      <c r="D620" s="192" t="s">
        <v>1087</v>
      </c>
      <c r="E620" s="121"/>
      <c r="F620" s="119"/>
      <c r="G620" s="121" t="s">
        <v>1088</v>
      </c>
      <c r="H620" s="123">
        <v>41789</v>
      </c>
    </row>
    <row r="621" spans="1:8">
      <c r="A621" s="123">
        <v>41789</v>
      </c>
      <c r="B621" s="119" t="s">
        <v>62</v>
      </c>
      <c r="C621" s="120" t="s">
        <v>47</v>
      </c>
      <c r="D621" s="192" t="s">
        <v>1089</v>
      </c>
      <c r="E621" s="121"/>
      <c r="F621" s="119"/>
      <c r="G621" s="121" t="s">
        <v>1090</v>
      </c>
      <c r="H621" s="123">
        <v>41789</v>
      </c>
    </row>
    <row r="622" spans="1:8" ht="22.5">
      <c r="A622" s="123">
        <v>41789</v>
      </c>
      <c r="B622" s="119" t="s">
        <v>62</v>
      </c>
      <c r="C622" s="120" t="s">
        <v>47</v>
      </c>
      <c r="D622" s="192" t="s">
        <v>1091</v>
      </c>
      <c r="E622" s="121"/>
      <c r="F622" s="119"/>
      <c r="G622" s="121" t="s">
        <v>1092</v>
      </c>
      <c r="H622" s="123">
        <v>41789</v>
      </c>
    </row>
    <row r="623" spans="1:8" ht="45">
      <c r="A623" s="123">
        <v>41789</v>
      </c>
      <c r="B623" s="119" t="s">
        <v>62</v>
      </c>
      <c r="C623" s="120" t="s">
        <v>51</v>
      </c>
      <c r="D623" s="192" t="s">
        <v>962</v>
      </c>
      <c r="E623" s="121"/>
      <c r="F623" s="119"/>
      <c r="G623" s="121" t="s">
        <v>1093</v>
      </c>
      <c r="H623" s="123">
        <v>41789</v>
      </c>
    </row>
    <row r="624" spans="1:8">
      <c r="A624" s="123">
        <v>41789</v>
      </c>
      <c r="B624" s="119" t="s">
        <v>62</v>
      </c>
      <c r="C624" s="120" t="s">
        <v>47</v>
      </c>
      <c r="D624" s="192" t="s">
        <v>933</v>
      </c>
      <c r="E624" s="121"/>
      <c r="F624" s="119"/>
      <c r="G624" s="121" t="s">
        <v>1094</v>
      </c>
      <c r="H624" s="123">
        <v>41789</v>
      </c>
    </row>
    <row r="625" spans="1:8" ht="22.5">
      <c r="A625" s="123">
        <v>41789</v>
      </c>
      <c r="B625" s="119" t="s">
        <v>62</v>
      </c>
      <c r="C625" s="120" t="s">
        <v>47</v>
      </c>
      <c r="D625" s="192" t="s">
        <v>1052</v>
      </c>
      <c r="E625" s="121"/>
      <c r="F625" s="119"/>
      <c r="G625" s="121" t="s">
        <v>1095</v>
      </c>
      <c r="H625" s="123">
        <v>41789</v>
      </c>
    </row>
    <row r="626" spans="1:8" ht="45">
      <c r="A626" s="123">
        <v>41789</v>
      </c>
      <c r="B626" s="119" t="s">
        <v>62</v>
      </c>
      <c r="C626" s="120" t="s">
        <v>680</v>
      </c>
      <c r="D626" s="192" t="s">
        <v>968</v>
      </c>
      <c r="E626" s="121"/>
      <c r="F626" s="119"/>
      <c r="G626" s="121" t="s">
        <v>1096</v>
      </c>
      <c r="H626" s="123">
        <v>41789</v>
      </c>
    </row>
    <row r="627" spans="1:8" ht="33.75">
      <c r="A627" s="123">
        <v>41789</v>
      </c>
      <c r="B627" s="119" t="s">
        <v>80</v>
      </c>
      <c r="C627" s="120" t="s">
        <v>51</v>
      </c>
      <c r="D627" s="192" t="s">
        <v>1097</v>
      </c>
      <c r="E627" s="121"/>
      <c r="F627" s="119"/>
      <c r="G627" s="121" t="s">
        <v>1098</v>
      </c>
      <c r="H627" s="123">
        <v>41789</v>
      </c>
    </row>
    <row r="628" spans="1:8" ht="22.5">
      <c r="A628" s="123">
        <v>41789</v>
      </c>
      <c r="B628" s="119" t="s">
        <v>100</v>
      </c>
      <c r="C628" s="120" t="s">
        <v>51</v>
      </c>
      <c r="D628" s="192" t="s">
        <v>1099</v>
      </c>
      <c r="E628" s="121"/>
      <c r="F628" s="119"/>
      <c r="G628" s="121" t="s">
        <v>1100</v>
      </c>
      <c r="H628" s="123">
        <v>41789</v>
      </c>
    </row>
    <row r="629" spans="1:8" ht="22.5">
      <c r="A629" s="123">
        <v>41789</v>
      </c>
      <c r="B629" s="119" t="s">
        <v>100</v>
      </c>
      <c r="C629" s="120" t="s">
        <v>661</v>
      </c>
      <c r="D629" s="192" t="s">
        <v>1015</v>
      </c>
      <c r="E629" s="121"/>
      <c r="F629" s="119"/>
      <c r="G629" s="121" t="s">
        <v>1101</v>
      </c>
      <c r="H629" s="123">
        <v>41789</v>
      </c>
    </row>
    <row r="630" spans="1:8" ht="33.75">
      <c r="A630" s="123">
        <v>41789</v>
      </c>
      <c r="B630" s="119" t="s">
        <v>100</v>
      </c>
      <c r="C630" s="120" t="s">
        <v>680</v>
      </c>
      <c r="D630" s="192" t="s">
        <v>1102</v>
      </c>
      <c r="E630" s="121"/>
      <c r="F630" s="119"/>
      <c r="G630" s="121" t="s">
        <v>1103</v>
      </c>
      <c r="H630" s="123">
        <v>41789</v>
      </c>
    </row>
    <row r="631" spans="1:8" ht="33.75">
      <c r="A631" s="123">
        <v>41789</v>
      </c>
      <c r="B631" s="119" t="s">
        <v>100</v>
      </c>
      <c r="C631" s="120" t="s">
        <v>680</v>
      </c>
      <c r="D631" s="192" t="s">
        <v>1018</v>
      </c>
      <c r="E631" s="121"/>
      <c r="F631" s="119"/>
      <c r="G631" s="121" t="s">
        <v>1104</v>
      </c>
      <c r="H631" s="123">
        <v>41789</v>
      </c>
    </row>
    <row r="632" spans="1:8" ht="22.5">
      <c r="A632" s="123">
        <v>41789</v>
      </c>
      <c r="B632" s="119" t="s">
        <v>100</v>
      </c>
      <c r="C632" s="120" t="s">
        <v>51</v>
      </c>
      <c r="D632" s="192" t="s">
        <v>1069</v>
      </c>
      <c r="E632" s="121"/>
      <c r="F632" s="119"/>
      <c r="G632" s="121" t="s">
        <v>1105</v>
      </c>
      <c r="H632" s="123">
        <v>41789</v>
      </c>
    </row>
    <row r="633" spans="1:8" ht="33.75">
      <c r="A633" s="123">
        <v>41789</v>
      </c>
      <c r="B633" s="119" t="s">
        <v>100</v>
      </c>
      <c r="C633" s="120" t="s">
        <v>51</v>
      </c>
      <c r="D633" s="192" t="s">
        <v>1026</v>
      </c>
      <c r="E633" s="121"/>
      <c r="F633" s="119"/>
      <c r="G633" s="121" t="s">
        <v>1106</v>
      </c>
      <c r="H633" s="123">
        <v>41789</v>
      </c>
    </row>
    <row r="634" spans="1:8" ht="33.75">
      <c r="A634" s="123">
        <v>41698</v>
      </c>
      <c r="B634" s="119" t="s">
        <v>46</v>
      </c>
      <c r="C634" s="120" t="s">
        <v>680</v>
      </c>
      <c r="D634" s="192" t="s">
        <v>1107</v>
      </c>
      <c r="E634" s="121"/>
      <c r="F634" s="119"/>
      <c r="G634" s="121" t="s">
        <v>1108</v>
      </c>
      <c r="H634" s="123">
        <v>41698</v>
      </c>
    </row>
    <row r="635" spans="1:8" ht="33.75">
      <c r="A635" s="123">
        <v>41698</v>
      </c>
      <c r="B635" s="119" t="s">
        <v>46</v>
      </c>
      <c r="C635" s="120" t="s">
        <v>51</v>
      </c>
      <c r="D635" s="192" t="s">
        <v>998</v>
      </c>
      <c r="E635" s="121"/>
      <c r="F635" s="119"/>
      <c r="G635" s="121" t="s">
        <v>1109</v>
      </c>
      <c r="H635" s="123">
        <v>41698</v>
      </c>
    </row>
    <row r="636" spans="1:8" ht="33.75">
      <c r="A636" s="123">
        <v>41698</v>
      </c>
      <c r="B636" s="119" t="s">
        <v>46</v>
      </c>
      <c r="C636" s="120" t="s">
        <v>47</v>
      </c>
      <c r="D636" s="192" t="s">
        <v>1110</v>
      </c>
      <c r="E636" s="121"/>
      <c r="F636" s="119"/>
      <c r="G636" s="121" t="s">
        <v>1111</v>
      </c>
      <c r="H636" s="123">
        <v>41698</v>
      </c>
    </row>
    <row r="637" spans="1:8" ht="22.5">
      <c r="A637" s="123">
        <v>41698</v>
      </c>
      <c r="B637" s="119" t="s">
        <v>62</v>
      </c>
      <c r="C637" s="120" t="s">
        <v>47</v>
      </c>
      <c r="D637" s="192" t="s">
        <v>1052</v>
      </c>
      <c r="E637" s="121"/>
      <c r="F637" s="119"/>
      <c r="G637" s="121" t="s">
        <v>1112</v>
      </c>
      <c r="H637" s="123">
        <v>41698</v>
      </c>
    </row>
    <row r="638" spans="1:8" ht="22.5">
      <c r="A638" s="123">
        <v>41698</v>
      </c>
      <c r="B638" s="119" t="s">
        <v>80</v>
      </c>
      <c r="C638" s="120" t="s">
        <v>47</v>
      </c>
      <c r="D638" s="192" t="s">
        <v>1097</v>
      </c>
      <c r="E638" s="121"/>
      <c r="F638" s="119"/>
      <c r="G638" s="121" t="s">
        <v>1113</v>
      </c>
      <c r="H638" s="123">
        <v>41698</v>
      </c>
    </row>
    <row r="639" spans="1:8" ht="33.75">
      <c r="A639" s="123">
        <v>41593</v>
      </c>
      <c r="B639" s="119" t="s">
        <v>46</v>
      </c>
      <c r="C639" s="120" t="s">
        <v>47</v>
      </c>
      <c r="D639" s="192" t="s">
        <v>1114</v>
      </c>
      <c r="E639" s="121"/>
      <c r="F639" s="119"/>
      <c r="G639" s="121" t="s">
        <v>1115</v>
      </c>
      <c r="H639" s="123">
        <v>41593</v>
      </c>
    </row>
    <row r="640" spans="1:8" ht="22.5">
      <c r="A640" s="123">
        <v>41593</v>
      </c>
      <c r="B640" s="119" t="s">
        <v>46</v>
      </c>
      <c r="C640" s="120" t="s">
        <v>47</v>
      </c>
      <c r="D640" s="192" t="s">
        <v>1116</v>
      </c>
      <c r="E640" s="121"/>
      <c r="F640" s="119"/>
      <c r="G640" s="121" t="s">
        <v>1117</v>
      </c>
      <c r="H640" s="123">
        <v>41593</v>
      </c>
    </row>
    <row r="641" spans="1:8" ht="22.5">
      <c r="A641" s="123">
        <v>41593</v>
      </c>
      <c r="B641" s="119" t="s">
        <v>46</v>
      </c>
      <c r="C641" s="120" t="s">
        <v>47</v>
      </c>
      <c r="D641" s="192" t="s">
        <v>1118</v>
      </c>
      <c r="E641" s="121"/>
      <c r="F641" s="119"/>
      <c r="G641" s="121" t="s">
        <v>1119</v>
      </c>
      <c r="H641" s="123">
        <v>41593</v>
      </c>
    </row>
    <row r="642" spans="1:8" ht="33.75">
      <c r="A642" s="123">
        <v>41593</v>
      </c>
      <c r="B642" s="119" t="s">
        <v>46</v>
      </c>
      <c r="C642" s="120" t="s">
        <v>47</v>
      </c>
      <c r="D642" s="192" t="s">
        <v>1120</v>
      </c>
      <c r="E642" s="121"/>
      <c r="F642" s="119"/>
      <c r="G642" s="121" t="s">
        <v>1121</v>
      </c>
      <c r="H642" s="123">
        <v>41593</v>
      </c>
    </row>
    <row r="643" spans="1:8" ht="22.5">
      <c r="A643" s="123">
        <v>41593</v>
      </c>
      <c r="B643" s="119" t="s">
        <v>46</v>
      </c>
      <c r="C643" s="120" t="s">
        <v>47</v>
      </c>
      <c r="D643" s="192" t="s">
        <v>1122</v>
      </c>
      <c r="E643" s="121"/>
      <c r="F643" s="119"/>
      <c r="G643" s="121" t="s">
        <v>1123</v>
      </c>
      <c r="H643" s="123">
        <v>41593</v>
      </c>
    </row>
    <row r="644" spans="1:8" ht="33.75">
      <c r="A644" s="123">
        <v>41593</v>
      </c>
      <c r="B644" s="119" t="s">
        <v>46</v>
      </c>
      <c r="C644" s="120" t="s">
        <v>51</v>
      </c>
      <c r="D644" s="192" t="s">
        <v>1033</v>
      </c>
      <c r="E644" s="121"/>
      <c r="F644" s="119"/>
      <c r="G644" s="121" t="s">
        <v>1124</v>
      </c>
      <c r="H644" s="123">
        <v>41593</v>
      </c>
    </row>
    <row r="645" spans="1:8" ht="45">
      <c r="A645" s="123">
        <v>41593</v>
      </c>
      <c r="B645" s="119" t="s">
        <v>62</v>
      </c>
      <c r="C645" s="120" t="s">
        <v>47</v>
      </c>
      <c r="D645" s="192" t="s">
        <v>1125</v>
      </c>
      <c r="E645" s="121"/>
      <c r="F645" s="119"/>
      <c r="G645" s="121" t="s">
        <v>1126</v>
      </c>
      <c r="H645" s="123">
        <v>41593</v>
      </c>
    </row>
    <row r="646" spans="1:8" ht="22.5">
      <c r="A646" s="123">
        <v>41593</v>
      </c>
      <c r="B646" s="119" t="s">
        <v>80</v>
      </c>
      <c r="C646" s="120" t="s">
        <v>47</v>
      </c>
      <c r="D646" s="192" t="s">
        <v>1127</v>
      </c>
      <c r="E646" s="121"/>
      <c r="F646" s="119"/>
      <c r="G646" s="121" t="s">
        <v>1128</v>
      </c>
      <c r="H646" s="123">
        <v>41593</v>
      </c>
    </row>
    <row r="647" spans="1:8" ht="22.5">
      <c r="A647" s="123">
        <v>41593</v>
      </c>
      <c r="B647" s="119" t="s">
        <v>80</v>
      </c>
      <c r="C647" s="120" t="s">
        <v>51</v>
      </c>
      <c r="D647" s="192" t="s">
        <v>1097</v>
      </c>
      <c r="E647" s="121"/>
      <c r="F647" s="119"/>
      <c r="G647" s="121" t="s">
        <v>1129</v>
      </c>
      <c r="H647" s="123">
        <v>41593</v>
      </c>
    </row>
    <row r="648" spans="1:8" ht="22.5">
      <c r="A648" s="123">
        <v>41593</v>
      </c>
      <c r="B648" s="119" t="s">
        <v>95</v>
      </c>
      <c r="C648" s="120" t="s">
        <v>47</v>
      </c>
      <c r="D648" s="192" t="s">
        <v>1130</v>
      </c>
      <c r="E648" s="121"/>
      <c r="F648" s="119"/>
      <c r="G648" s="121" t="s">
        <v>1131</v>
      </c>
      <c r="H648" s="123">
        <v>41593</v>
      </c>
    </row>
    <row r="649" spans="1:8">
      <c r="A649" s="123">
        <v>41593</v>
      </c>
      <c r="B649" s="119" t="s">
        <v>95</v>
      </c>
      <c r="C649" s="120" t="s">
        <v>47</v>
      </c>
      <c r="D649" s="192" t="s">
        <v>1132</v>
      </c>
      <c r="E649" s="121"/>
      <c r="F649" s="119"/>
      <c r="G649" s="121" t="s">
        <v>1133</v>
      </c>
      <c r="H649" s="123">
        <v>41593</v>
      </c>
    </row>
    <row r="650" spans="1:8" ht="22.5">
      <c r="A650" s="123">
        <v>41593</v>
      </c>
      <c r="B650" s="119" t="s">
        <v>100</v>
      </c>
      <c r="C650" s="120" t="s">
        <v>47</v>
      </c>
      <c r="D650" s="192" t="s">
        <v>1134</v>
      </c>
      <c r="E650" s="121"/>
      <c r="F650" s="119"/>
      <c r="G650" s="121" t="s">
        <v>1135</v>
      </c>
      <c r="H650" s="123">
        <v>41593</v>
      </c>
    </row>
    <row r="651" spans="1:8" ht="33.75">
      <c r="A651" s="123">
        <v>41593</v>
      </c>
      <c r="B651" s="119" t="s">
        <v>100</v>
      </c>
      <c r="C651" s="120" t="s">
        <v>47</v>
      </c>
      <c r="D651" s="192" t="s">
        <v>1026</v>
      </c>
      <c r="E651" s="121"/>
      <c r="F651" s="119"/>
      <c r="G651" s="121" t="s">
        <v>1136</v>
      </c>
      <c r="H651" s="123">
        <v>41593</v>
      </c>
    </row>
    <row r="652" spans="1:8" ht="33.75">
      <c r="A652" s="123">
        <v>41499</v>
      </c>
      <c r="B652" s="119" t="s">
        <v>46</v>
      </c>
      <c r="C652" s="120" t="s">
        <v>51</v>
      </c>
      <c r="D652" s="192" t="s">
        <v>1028</v>
      </c>
      <c r="E652" s="121"/>
      <c r="F652" s="119"/>
      <c r="G652" s="121" t="s">
        <v>1137</v>
      </c>
      <c r="H652" s="123">
        <v>41499</v>
      </c>
    </row>
    <row r="653" spans="1:8" ht="33.75">
      <c r="A653" s="123">
        <v>41499</v>
      </c>
      <c r="B653" s="119" t="s">
        <v>46</v>
      </c>
      <c r="C653" s="120" t="s">
        <v>51</v>
      </c>
      <c r="D653" s="192" t="s">
        <v>1003</v>
      </c>
      <c r="E653" s="121"/>
      <c r="F653" s="119"/>
      <c r="G653" s="121" t="s">
        <v>1138</v>
      </c>
      <c r="H653" s="123">
        <v>41499</v>
      </c>
    </row>
    <row r="654" spans="1:8" ht="22.5">
      <c r="A654" s="123">
        <v>41499</v>
      </c>
      <c r="B654" s="119" t="s">
        <v>100</v>
      </c>
      <c r="C654" s="120" t="s">
        <v>680</v>
      </c>
      <c r="D654" s="192" t="s">
        <v>1134</v>
      </c>
      <c r="E654" s="121"/>
      <c r="F654" s="119"/>
      <c r="G654" s="121" t="s">
        <v>1139</v>
      </c>
      <c r="H654" s="123">
        <v>41499</v>
      </c>
    </row>
    <row r="655" spans="1:8" ht="22.5">
      <c r="A655" s="123">
        <v>41455</v>
      </c>
      <c r="B655" s="119" t="s">
        <v>46</v>
      </c>
      <c r="C655" s="120" t="s">
        <v>51</v>
      </c>
      <c r="D655" s="192" t="s">
        <v>1116</v>
      </c>
      <c r="E655" s="121"/>
      <c r="F655" s="119"/>
      <c r="G655" s="121" t="s">
        <v>1140</v>
      </c>
      <c r="H655" s="123">
        <v>41455</v>
      </c>
    </row>
    <row r="656" spans="1:8" ht="22.5">
      <c r="A656" s="123">
        <v>41455</v>
      </c>
      <c r="B656" s="119" t="s">
        <v>46</v>
      </c>
      <c r="C656" s="120" t="s">
        <v>51</v>
      </c>
      <c r="D656" s="192" t="s">
        <v>1045</v>
      </c>
      <c r="E656" s="121"/>
      <c r="F656" s="119"/>
      <c r="G656" s="121" t="s">
        <v>1141</v>
      </c>
      <c r="H656" s="123">
        <v>41455</v>
      </c>
    </row>
    <row r="657" spans="1:8" ht="22.5">
      <c r="A657" s="123">
        <v>41455</v>
      </c>
      <c r="B657" s="119" t="s">
        <v>46</v>
      </c>
      <c r="C657" s="120" t="s">
        <v>680</v>
      </c>
      <c r="D657" s="192" t="s">
        <v>996</v>
      </c>
      <c r="E657" s="121"/>
      <c r="F657" s="119"/>
      <c r="G657" s="121" t="s">
        <v>1142</v>
      </c>
      <c r="H657" s="123">
        <v>41455</v>
      </c>
    </row>
    <row r="658" spans="1:8" ht="22.5">
      <c r="A658" s="123">
        <v>41455</v>
      </c>
      <c r="B658" s="119" t="s">
        <v>46</v>
      </c>
      <c r="C658" s="120" t="s">
        <v>680</v>
      </c>
      <c r="D658" s="192" t="s">
        <v>1143</v>
      </c>
      <c r="E658" s="121"/>
      <c r="F658" s="119"/>
      <c r="G658" s="121" t="s">
        <v>1144</v>
      </c>
      <c r="H658" s="123">
        <v>41455</v>
      </c>
    </row>
    <row r="659" spans="1:8" ht="33.75">
      <c r="A659" s="123">
        <v>41455</v>
      </c>
      <c r="B659" s="119" t="s">
        <v>46</v>
      </c>
      <c r="C659" s="120" t="s">
        <v>680</v>
      </c>
      <c r="D659" s="192" t="s">
        <v>1145</v>
      </c>
      <c r="E659" s="121"/>
      <c r="F659" s="119"/>
      <c r="G659" s="121" t="s">
        <v>1146</v>
      </c>
      <c r="H659" s="123">
        <v>41455</v>
      </c>
    </row>
    <row r="660" spans="1:8" ht="45">
      <c r="A660" s="123">
        <v>41455</v>
      </c>
      <c r="B660" s="119" t="s">
        <v>62</v>
      </c>
      <c r="C660" s="120" t="s">
        <v>680</v>
      </c>
      <c r="D660" s="192" t="s">
        <v>1147</v>
      </c>
      <c r="E660" s="121"/>
      <c r="F660" s="119"/>
      <c r="G660" s="121" t="s">
        <v>1148</v>
      </c>
      <c r="H660" s="123">
        <v>41455</v>
      </c>
    </row>
    <row r="661" spans="1:8" ht="22.5">
      <c r="A661" s="123">
        <v>41455</v>
      </c>
      <c r="B661" s="119" t="s">
        <v>62</v>
      </c>
      <c r="C661" s="120" t="s">
        <v>680</v>
      </c>
      <c r="D661" s="192" t="s">
        <v>1149</v>
      </c>
      <c r="E661" s="121"/>
      <c r="F661" s="119"/>
      <c r="G661" s="121" t="s">
        <v>1150</v>
      </c>
      <c r="H661" s="123">
        <v>41455</v>
      </c>
    </row>
    <row r="662" spans="1:8" ht="22.5">
      <c r="A662" s="123">
        <v>41455</v>
      </c>
      <c r="B662" s="119" t="s">
        <v>62</v>
      </c>
      <c r="C662" s="120" t="s">
        <v>51</v>
      </c>
      <c r="D662" s="192" t="s">
        <v>962</v>
      </c>
      <c r="E662" s="121"/>
      <c r="F662" s="119"/>
      <c r="G662" s="121" t="s">
        <v>1151</v>
      </c>
      <c r="H662" s="123">
        <v>41455</v>
      </c>
    </row>
    <row r="663" spans="1:8" ht="22.5">
      <c r="A663" s="123">
        <v>41455</v>
      </c>
      <c r="B663" s="119" t="s">
        <v>80</v>
      </c>
      <c r="C663" s="120" t="s">
        <v>680</v>
      </c>
      <c r="D663" s="192" t="s">
        <v>1152</v>
      </c>
      <c r="E663" s="121"/>
      <c r="F663" s="119"/>
      <c r="G663" s="121" t="s">
        <v>1153</v>
      </c>
      <c r="H663" s="123">
        <v>41455</v>
      </c>
    </row>
    <row r="664" spans="1:8" ht="22.5">
      <c r="A664" s="123">
        <v>41455</v>
      </c>
      <c r="B664" s="119" t="s">
        <v>80</v>
      </c>
      <c r="C664" s="120" t="s">
        <v>680</v>
      </c>
      <c r="D664" s="192" t="s">
        <v>1154</v>
      </c>
      <c r="E664" s="121"/>
      <c r="F664" s="119"/>
      <c r="G664" s="121" t="s">
        <v>1155</v>
      </c>
      <c r="H664" s="123">
        <v>41455</v>
      </c>
    </row>
    <row r="665" spans="1:8" ht="22.5">
      <c r="A665" s="123">
        <v>41455</v>
      </c>
      <c r="B665" s="119" t="s">
        <v>80</v>
      </c>
      <c r="C665" s="120" t="s">
        <v>47</v>
      </c>
      <c r="D665" s="192" t="s">
        <v>945</v>
      </c>
      <c r="E665" s="121"/>
      <c r="F665" s="119"/>
      <c r="G665" s="121" t="s">
        <v>1156</v>
      </c>
      <c r="H665" s="123">
        <v>41455</v>
      </c>
    </row>
    <row r="666" spans="1:8" ht="33.75">
      <c r="A666" s="123">
        <v>41455</v>
      </c>
      <c r="B666" s="119" t="s">
        <v>95</v>
      </c>
      <c r="C666" s="120" t="s">
        <v>47</v>
      </c>
      <c r="D666" s="192" t="s">
        <v>1157</v>
      </c>
      <c r="E666" s="121"/>
      <c r="F666" s="119"/>
      <c r="G666" s="121" t="s">
        <v>1158</v>
      </c>
      <c r="H666" s="123">
        <v>41455</v>
      </c>
    </row>
    <row r="667" spans="1:8" ht="22.5">
      <c r="A667" s="123">
        <v>41455</v>
      </c>
      <c r="B667" s="119" t="s">
        <v>95</v>
      </c>
      <c r="C667" s="120" t="s">
        <v>47</v>
      </c>
      <c r="D667" s="192" t="s">
        <v>1157</v>
      </c>
      <c r="E667" s="121"/>
      <c r="F667" s="119"/>
      <c r="G667" s="121" t="s">
        <v>1159</v>
      </c>
      <c r="H667" s="123">
        <v>41455</v>
      </c>
    </row>
    <row r="668" spans="1:8" ht="22.5">
      <c r="A668" s="123">
        <v>41455</v>
      </c>
      <c r="B668" s="119" t="s">
        <v>100</v>
      </c>
      <c r="C668" s="120" t="s">
        <v>680</v>
      </c>
      <c r="D668" s="192" t="s">
        <v>1160</v>
      </c>
      <c r="E668" s="121"/>
      <c r="F668" s="119"/>
      <c r="G668" s="121" t="s">
        <v>1161</v>
      </c>
      <c r="H668" s="123">
        <v>41455</v>
      </c>
    </row>
    <row r="669" spans="1:8" ht="22.5">
      <c r="A669" s="123">
        <v>41455</v>
      </c>
      <c r="B669" s="119" t="s">
        <v>100</v>
      </c>
      <c r="C669" s="120" t="s">
        <v>47</v>
      </c>
      <c r="D669" s="192" t="s">
        <v>1162</v>
      </c>
      <c r="E669" s="121"/>
      <c r="F669" s="119"/>
      <c r="G669" s="121" t="s">
        <v>1163</v>
      </c>
      <c r="H669" s="123">
        <v>41455</v>
      </c>
    </row>
    <row r="670" spans="1:8" ht="33.75">
      <c r="A670" s="123">
        <v>41455</v>
      </c>
      <c r="B670" s="119" t="s">
        <v>100</v>
      </c>
      <c r="C670" s="120" t="s">
        <v>51</v>
      </c>
      <c r="D670" s="192" t="s">
        <v>1134</v>
      </c>
      <c r="E670" s="121"/>
      <c r="F670" s="119"/>
      <c r="G670" s="121" t="s">
        <v>1164</v>
      </c>
      <c r="H670" s="123">
        <v>41455</v>
      </c>
    </row>
    <row r="671" spans="1:8" ht="22.5">
      <c r="A671" s="123">
        <v>41455</v>
      </c>
      <c r="B671" s="119" t="s">
        <v>100</v>
      </c>
      <c r="C671" s="120" t="s">
        <v>47</v>
      </c>
      <c r="D671" s="192" t="s">
        <v>1165</v>
      </c>
      <c r="E671" s="121"/>
      <c r="F671" s="119"/>
      <c r="G671" s="121" t="s">
        <v>1166</v>
      </c>
      <c r="H671" s="123">
        <v>41455</v>
      </c>
    </row>
    <row r="672" spans="1:8" ht="22.5">
      <c r="A672" s="123">
        <v>41455</v>
      </c>
      <c r="B672" s="119" t="s">
        <v>100</v>
      </c>
      <c r="C672" s="120" t="s">
        <v>51</v>
      </c>
      <c r="D672" s="192" t="s">
        <v>1069</v>
      </c>
      <c r="E672" s="121"/>
      <c r="F672" s="119"/>
      <c r="G672" s="121" t="s">
        <v>1167</v>
      </c>
      <c r="H672" s="123">
        <v>41455</v>
      </c>
    </row>
    <row r="673" spans="1:8" ht="22.5">
      <c r="A673" s="123">
        <v>41455</v>
      </c>
      <c r="B673" s="119" t="s">
        <v>100</v>
      </c>
      <c r="C673" s="120" t="s">
        <v>47</v>
      </c>
      <c r="D673" s="192" t="s">
        <v>1168</v>
      </c>
      <c r="E673" s="121"/>
      <c r="F673" s="119"/>
      <c r="G673" s="121" t="s">
        <v>1169</v>
      </c>
      <c r="H673" s="123">
        <v>41455</v>
      </c>
    </row>
    <row r="674" spans="1:8" ht="22.5">
      <c r="A674" s="123">
        <v>41327</v>
      </c>
      <c r="B674" s="119" t="s">
        <v>46</v>
      </c>
      <c r="C674" s="120" t="s">
        <v>680</v>
      </c>
      <c r="D674" s="192" t="s">
        <v>1170</v>
      </c>
      <c r="E674" s="121"/>
      <c r="F674" s="119"/>
      <c r="G674" s="121" t="s">
        <v>1171</v>
      </c>
      <c r="H674" s="123">
        <v>41327</v>
      </c>
    </row>
    <row r="675" spans="1:8" ht="45">
      <c r="A675" s="123">
        <v>41327</v>
      </c>
      <c r="B675" s="119" t="s">
        <v>46</v>
      </c>
      <c r="C675" s="120" t="s">
        <v>680</v>
      </c>
      <c r="D675" s="192" t="s">
        <v>1145</v>
      </c>
      <c r="E675" s="121"/>
      <c r="F675" s="119"/>
      <c r="G675" s="121" t="s">
        <v>1172</v>
      </c>
      <c r="H675" s="123">
        <v>41327</v>
      </c>
    </row>
    <row r="676" spans="1:8" ht="22.5">
      <c r="A676" s="123">
        <v>41327</v>
      </c>
      <c r="B676" s="119" t="s">
        <v>62</v>
      </c>
      <c r="C676" s="120" t="s">
        <v>680</v>
      </c>
      <c r="D676" s="192" t="s">
        <v>1147</v>
      </c>
      <c r="E676" s="121"/>
      <c r="F676" s="119"/>
      <c r="G676" s="121" t="s">
        <v>1173</v>
      </c>
      <c r="H676" s="123">
        <v>41327</v>
      </c>
    </row>
    <row r="677" spans="1:8" ht="33.75">
      <c r="A677" s="123">
        <v>41327</v>
      </c>
      <c r="B677" s="119" t="s">
        <v>62</v>
      </c>
      <c r="C677" s="120" t="s">
        <v>680</v>
      </c>
      <c r="D677" s="192" t="s">
        <v>1174</v>
      </c>
      <c r="E677" s="121"/>
      <c r="F677" s="119"/>
      <c r="G677" s="121" t="s">
        <v>1175</v>
      </c>
      <c r="H677" s="123">
        <v>41327</v>
      </c>
    </row>
    <row r="678" spans="1:8" ht="22.5">
      <c r="A678" s="123">
        <v>41327</v>
      </c>
      <c r="B678" s="119" t="s">
        <v>95</v>
      </c>
      <c r="C678" s="120" t="s">
        <v>51</v>
      </c>
      <c r="D678" s="192" t="s">
        <v>1130</v>
      </c>
      <c r="E678" s="121"/>
      <c r="F678" s="119"/>
      <c r="G678" s="121" t="s">
        <v>1176</v>
      </c>
      <c r="H678" s="123">
        <v>41327</v>
      </c>
    </row>
    <row r="679" spans="1:8" ht="22.5">
      <c r="A679" s="123">
        <v>41327</v>
      </c>
      <c r="B679" s="119" t="s">
        <v>95</v>
      </c>
      <c r="C679" s="120" t="s">
        <v>680</v>
      </c>
      <c r="D679" s="192" t="s">
        <v>1177</v>
      </c>
      <c r="E679" s="121"/>
      <c r="F679" s="119"/>
      <c r="G679" s="121" t="s">
        <v>1178</v>
      </c>
      <c r="H679" s="123">
        <v>41327</v>
      </c>
    </row>
    <row r="680" spans="1:8">
      <c r="A680" s="123">
        <v>41263</v>
      </c>
      <c r="B680" s="119" t="s">
        <v>46</v>
      </c>
      <c r="C680" s="120" t="s">
        <v>47</v>
      </c>
      <c r="D680" s="192" t="s">
        <v>1179</v>
      </c>
      <c r="E680" s="121"/>
      <c r="F680" s="119"/>
      <c r="G680" s="121" t="s">
        <v>1180</v>
      </c>
      <c r="H680" s="123">
        <v>41263</v>
      </c>
    </row>
    <row r="681" spans="1:8" ht="33.75">
      <c r="A681" s="123">
        <v>41263</v>
      </c>
      <c r="B681" s="119" t="s">
        <v>62</v>
      </c>
      <c r="C681" s="120" t="s">
        <v>680</v>
      </c>
      <c r="D681" s="192" t="s">
        <v>1089</v>
      </c>
      <c r="E681" s="121"/>
      <c r="F681" s="119"/>
      <c r="G681" s="121" t="s">
        <v>1181</v>
      </c>
      <c r="H681" s="123">
        <v>41263</v>
      </c>
    </row>
    <row r="682" spans="1:8" ht="22.5">
      <c r="A682" s="123">
        <v>41263</v>
      </c>
      <c r="B682" s="119" t="s">
        <v>62</v>
      </c>
      <c r="C682" s="120" t="s">
        <v>47</v>
      </c>
      <c r="D682" s="192" t="s">
        <v>1182</v>
      </c>
      <c r="E682" s="121"/>
      <c r="F682" s="119"/>
      <c r="G682" s="121" t="s">
        <v>1183</v>
      </c>
      <c r="H682" s="123">
        <v>41263</v>
      </c>
    </row>
    <row r="683" spans="1:8" ht="45">
      <c r="A683" s="123">
        <v>41263</v>
      </c>
      <c r="B683" s="119" t="s">
        <v>62</v>
      </c>
      <c r="C683" s="120" t="s">
        <v>680</v>
      </c>
      <c r="D683" s="192" t="s">
        <v>968</v>
      </c>
      <c r="E683" s="121"/>
      <c r="F683" s="119"/>
      <c r="G683" s="121" t="s">
        <v>1184</v>
      </c>
      <c r="H683" s="123">
        <v>41263</v>
      </c>
    </row>
    <row r="684" spans="1:8" ht="22.5">
      <c r="A684" s="123">
        <v>41263</v>
      </c>
      <c r="B684" s="119" t="s">
        <v>80</v>
      </c>
      <c r="C684" s="120" t="s">
        <v>51</v>
      </c>
      <c r="D684" s="192" t="s">
        <v>1055</v>
      </c>
      <c r="E684" s="121"/>
      <c r="F684" s="119"/>
      <c r="G684" s="121" t="s">
        <v>1185</v>
      </c>
      <c r="H684" s="123">
        <v>41263</v>
      </c>
    </row>
    <row r="685" spans="1:8" ht="22.5">
      <c r="A685" s="123">
        <v>41263</v>
      </c>
      <c r="B685" s="119" t="s">
        <v>95</v>
      </c>
      <c r="C685" s="120" t="s">
        <v>51</v>
      </c>
      <c r="D685" s="192" t="s">
        <v>1157</v>
      </c>
      <c r="E685" s="121"/>
      <c r="F685" s="119"/>
      <c r="G685" s="121" t="s">
        <v>1186</v>
      </c>
      <c r="H685" s="123">
        <v>41263</v>
      </c>
    </row>
    <row r="686" spans="1:8" ht="45">
      <c r="A686" s="123">
        <v>41263</v>
      </c>
      <c r="B686" s="119" t="s">
        <v>100</v>
      </c>
      <c r="C686" s="120" t="s">
        <v>661</v>
      </c>
      <c r="D686" s="192" t="s">
        <v>1187</v>
      </c>
      <c r="E686" s="121"/>
      <c r="F686" s="119"/>
      <c r="G686" s="121" t="s">
        <v>1188</v>
      </c>
      <c r="H686" s="123">
        <v>41263</v>
      </c>
    </row>
    <row r="687" spans="1:8" ht="33.75">
      <c r="A687" s="123">
        <v>41263</v>
      </c>
      <c r="B687" s="119" t="s">
        <v>100</v>
      </c>
      <c r="C687" s="120" t="s">
        <v>51</v>
      </c>
      <c r="D687" s="192" t="s">
        <v>1168</v>
      </c>
      <c r="E687" s="121"/>
      <c r="F687" s="119"/>
      <c r="G687" s="121" t="s">
        <v>1189</v>
      </c>
      <c r="H687" s="123">
        <v>41263</v>
      </c>
    </row>
  </sheetData>
  <sheetProtection algorithmName="SHA-512" hashValue="aQMan++HTKWkEZyMob7njkzTyAmBGq5vYQ80iMxvrvXnKvp4rINIpa0phkernDifUI+s7zRaqLAi6SuG92K3Mg==" saltValue="uIgXWHmTwjSr2De3c1DerA==" spinCount="100000" sheet="1" formatColumns="0" formatRows="0" sort="0" autoFilter="0" pivotTables="0"/>
  <phoneticPr fontId="53" type="noConversion"/>
  <conditionalFormatting sqref="A103:H687 A99:H101 A88:H96 A7:H17 A19:H19 A48:H59 A21:H46">
    <cfRule type="expression" dxfId="1960" priority="372">
      <formula>$A7&lt;&gt;OFFSET($A7,-1,0,1,1)</formula>
    </cfRule>
  </conditionalFormatting>
  <conditionalFormatting sqref="B90:B96 B103:B122 B99:B101 B7:B17 B19 B48:B59 B21:B46">
    <cfRule type="expression" dxfId="1959" priority="371">
      <formula>AND($A7=OFFSET($A7,-1,0,1,1),$B7=OFFSET($B7,-1,0,1,1))</formula>
    </cfRule>
  </conditionalFormatting>
  <conditionalFormatting sqref="G90:G96 G103:G122 G99:G101 G7:G17 G19 G48:G59 G21:G46">
    <cfRule type="expression" dxfId="1958" priority="369">
      <formula>ISNUMBER(SEARCH("committed",$G7,1))</formula>
    </cfRule>
  </conditionalFormatting>
  <conditionalFormatting sqref="F90:H96 F103:H122 F99:H101 F7:H17 F19:H19 F48:H59 F21:H46">
    <cfRule type="expression" dxfId="1957" priority="370">
      <formula>$F7&lt;&gt;OFFSET($F7,-1,0,1,1)</formula>
    </cfRule>
  </conditionalFormatting>
  <conditionalFormatting sqref="A90:A96 A103:A122 A99:A101 A7:A17 A19 A48:A59 A21:A46">
    <cfRule type="expression" dxfId="1956" priority="367">
      <formula>$A7&lt;&gt;OFFSET($A7,-1,0,1,1)</formula>
    </cfRule>
    <cfRule type="expression" dxfId="1955" priority="368">
      <formula>$A7=OFFSET($A7,-1,0,1,1)</formula>
    </cfRule>
  </conditionalFormatting>
  <conditionalFormatting sqref="A97:H98">
    <cfRule type="expression" dxfId="1954" priority="350">
      <formula>$A97&lt;&gt;OFFSET($A97,-1,0,1,1)</formula>
    </cfRule>
  </conditionalFormatting>
  <conditionalFormatting sqref="H97:H98 H7:H17 H19 H48:H59 H21:H46">
    <cfRule type="expression" dxfId="1953" priority="352">
      <formula>AND($C7=OFFSET($C7,-1,0,1,1),$G7=OFFSET($G7,-1,0,1,1),H7=OFFSET(H7,-1,0,1,1))</formula>
    </cfRule>
  </conditionalFormatting>
  <conditionalFormatting sqref="D97:D98 D7:D17 D19 D48:D59 D21:D46">
    <cfRule type="expression" dxfId="1952" priority="351">
      <formula>$C7="Project commitment"</formula>
    </cfRule>
    <cfRule type="expression" dxfId="1951" priority="355">
      <formula>$D7=OFFSET($D7,-1,0,1,1)</formula>
    </cfRule>
  </conditionalFormatting>
  <conditionalFormatting sqref="C97:H98 C7:H17 C19:H19 C48:H59 C21:H46">
    <cfRule type="expression" dxfId="1950" priority="353">
      <formula>$C7="Project commitment"</formula>
    </cfRule>
    <cfRule type="expression" dxfId="1949" priority="354">
      <formula>$D7&lt;&gt;OFFSET($D7,-1,0,1,1)</formula>
    </cfRule>
  </conditionalFormatting>
  <conditionalFormatting sqref="B97:B98">
    <cfRule type="expression" dxfId="1948" priority="349">
      <formula>AND($A97=OFFSET($A97,-1,0,1,1),$B97=OFFSET($B97,-1,0,1,1))</formula>
    </cfRule>
  </conditionalFormatting>
  <conditionalFormatting sqref="G97:G98">
    <cfRule type="expression" dxfId="1947" priority="347">
      <formula>ISNUMBER(SEARCH("committed",$G97,1))</formula>
    </cfRule>
  </conditionalFormatting>
  <conditionalFormatting sqref="F97:H98">
    <cfRule type="expression" dxfId="1946" priority="348">
      <formula>$F97&lt;&gt;OFFSET($F97,-1,0,1,1)</formula>
    </cfRule>
  </conditionalFormatting>
  <conditionalFormatting sqref="A97:A98">
    <cfRule type="expression" dxfId="1945" priority="345">
      <formula>$A97&lt;&gt;OFFSET($A97,-1,0,1,1)</formula>
    </cfRule>
    <cfRule type="expression" dxfId="1944" priority="346">
      <formula>$A97=OFFSET($A97,-1,0,1,1)</formula>
    </cfRule>
  </conditionalFormatting>
  <conditionalFormatting sqref="A67:H87">
    <cfRule type="expression" dxfId="1943" priority="334">
      <formula>$A67&lt;&gt;OFFSET($A67,-1,0,1,1)</formula>
    </cfRule>
  </conditionalFormatting>
  <conditionalFormatting sqref="B67:B87">
    <cfRule type="expression" dxfId="1942" priority="344">
      <formula>AND($A67=OFFSET($A67,-1,0,1,1),$B67=OFFSET($B67,-1,0,1,1))</formula>
    </cfRule>
  </conditionalFormatting>
  <conditionalFormatting sqref="G67:G87">
    <cfRule type="expression" dxfId="1941" priority="339">
      <formula>ISNUMBER(SEARCH("committed",$G67,1))</formula>
    </cfRule>
  </conditionalFormatting>
  <conditionalFormatting sqref="H67:H87">
    <cfRule type="expression" dxfId="1940" priority="338">
      <formula>AND($C67=OFFSET($C67,-1,0,1,1),$G67=OFFSET($G67,-1,0,1,1),H67=OFFSET(H67,-1,0,1,1))</formula>
    </cfRule>
  </conditionalFormatting>
  <conditionalFormatting sqref="F67:H87">
    <cfRule type="expression" dxfId="1939" priority="342">
      <formula>$F67&lt;&gt;OFFSET($F67,-1,0,1,1)</formula>
    </cfRule>
  </conditionalFormatting>
  <conditionalFormatting sqref="D67:D87">
    <cfRule type="expression" dxfId="1938" priority="335">
      <formula>$C67="Project commitment"</formula>
    </cfRule>
    <cfRule type="expression" dxfId="1937" priority="343">
      <formula>$D67=OFFSET($D67,-1,0,1,1)</formula>
    </cfRule>
  </conditionalFormatting>
  <conditionalFormatting sqref="C67:H87">
    <cfRule type="expression" dxfId="1936" priority="340">
      <formula>$C67="Project commitment"</formula>
    </cfRule>
    <cfRule type="expression" dxfId="1935" priority="341">
      <formula>$D67&lt;&gt;OFFSET($D67,-1,0,1,1)</formula>
    </cfRule>
  </conditionalFormatting>
  <conditionalFormatting sqref="A67:A87">
    <cfRule type="expression" dxfId="1934" priority="336">
      <formula>$A67&lt;&gt;OFFSET($A67,-1,0,1,1)</formula>
    </cfRule>
    <cfRule type="expression" dxfId="1933" priority="337">
      <formula>$A67=OFFSET($A67,-1,0,1,1)</formula>
    </cfRule>
  </conditionalFormatting>
  <conditionalFormatting sqref="B123:B687 B88:B89">
    <cfRule type="expression" dxfId="1932" priority="382">
      <formula>AND($A88=OFFSET($A88,-1,0,1,1),$B88=OFFSET($B88,-1,0,1,1))</formula>
    </cfRule>
  </conditionalFormatting>
  <conditionalFormatting sqref="G123:G687 G88:G89">
    <cfRule type="expression" dxfId="1931" priority="377">
      <formula>ISNUMBER(SEARCH("committed",$G88,1))</formula>
    </cfRule>
  </conditionalFormatting>
  <conditionalFormatting sqref="H103:H687 H99:H101 H88:H96">
    <cfRule type="expression" dxfId="1930" priority="376">
      <formula>AND($C88=OFFSET($C88,-1,0,1,1),$G88=OFFSET($G88,-1,0,1,1),H88=OFFSET(H88,-1,0,1,1))</formula>
    </cfRule>
  </conditionalFormatting>
  <conditionalFormatting sqref="F123:H687 F88:H89">
    <cfRule type="expression" dxfId="1929" priority="380">
      <formula>$F88&lt;&gt;OFFSET($F88,-1,0,1,1)</formula>
    </cfRule>
  </conditionalFormatting>
  <conditionalFormatting sqref="D103:D687 D99:D101 D88:D96">
    <cfRule type="expression" dxfId="1928" priority="373">
      <formula>$C88="Project commitment"</formula>
    </cfRule>
    <cfRule type="expression" dxfId="1927" priority="381">
      <formula>$D88=OFFSET($D88,-1,0,1,1)</formula>
    </cfRule>
  </conditionalFormatting>
  <conditionalFormatting sqref="C103:H687 C99:H101 C88:H96">
    <cfRule type="expression" dxfId="1926" priority="378">
      <formula>$C88="Project commitment"</formula>
    </cfRule>
    <cfRule type="expression" dxfId="1925" priority="379">
      <formula>$D88&lt;&gt;OFFSET($D88,-1,0,1,1)</formula>
    </cfRule>
  </conditionalFormatting>
  <conditionalFormatting sqref="A123:A687 A88:A89">
    <cfRule type="expression" dxfId="1924" priority="374">
      <formula>$A88&lt;&gt;OFFSET($A88,-1,0,1,1)</formula>
    </cfRule>
    <cfRule type="expression" dxfId="1923" priority="375">
      <formula>$A88=OFFSET($A88,-1,0,1,1)</formula>
    </cfRule>
  </conditionalFormatting>
  <conditionalFormatting sqref="A102:H102">
    <cfRule type="expression" dxfId="1922" priority="361">
      <formula>$A102&lt;&gt;OFFSET($A102,-1,0,1,1)</formula>
    </cfRule>
  </conditionalFormatting>
  <conditionalFormatting sqref="H102">
    <cfRule type="expression" dxfId="1921" priority="363">
      <formula>AND($C102=OFFSET($C102,-1,0,1,1),$G102=OFFSET($G102,-1,0,1,1),H102=OFFSET(H102,-1,0,1,1))</formula>
    </cfRule>
  </conditionalFormatting>
  <conditionalFormatting sqref="D102">
    <cfRule type="expression" dxfId="1920" priority="362">
      <formula>$C102="Project commitment"</formula>
    </cfRule>
    <cfRule type="expression" dxfId="1919" priority="366">
      <formula>$D102=OFFSET($D102,-1,0,1,1)</formula>
    </cfRule>
  </conditionalFormatting>
  <conditionalFormatting sqref="C102:H102">
    <cfRule type="expression" dxfId="1918" priority="364">
      <formula>$C102="Project commitment"</formula>
    </cfRule>
    <cfRule type="expression" dxfId="1917" priority="365">
      <formula>$D102&lt;&gt;OFFSET($D102,-1,0,1,1)</formula>
    </cfRule>
  </conditionalFormatting>
  <conditionalFormatting sqref="B102">
    <cfRule type="expression" dxfId="1916" priority="360">
      <formula>AND($A102=OFFSET($A102,-1,0,1,1),$B102=OFFSET($B102,-1,0,1,1))</formula>
    </cfRule>
  </conditionalFormatting>
  <conditionalFormatting sqref="G102">
    <cfRule type="expression" dxfId="1915" priority="358">
      <formula>ISNUMBER(SEARCH("committed",$G102,1))</formula>
    </cfRule>
  </conditionalFormatting>
  <conditionalFormatting sqref="F102:H102">
    <cfRule type="expression" dxfId="1914" priority="359">
      <formula>$F102&lt;&gt;OFFSET($F102,-1,0,1,1)</formula>
    </cfRule>
  </conditionalFormatting>
  <conditionalFormatting sqref="A102">
    <cfRule type="expression" dxfId="1913" priority="356">
      <formula>$A102&lt;&gt;OFFSET($A102,-1,0,1,1)</formula>
    </cfRule>
    <cfRule type="expression" dxfId="1912" priority="357">
      <formula>$A102=OFFSET($A102,-1,0,1,1)</formula>
    </cfRule>
  </conditionalFormatting>
  <conditionalFormatting sqref="A66:H66">
    <cfRule type="expression" dxfId="1911" priority="323">
      <formula>$A66&lt;&gt;OFFSET($A66,-1,0,1,1)</formula>
    </cfRule>
  </conditionalFormatting>
  <conditionalFormatting sqref="B66">
    <cfRule type="expression" dxfId="1910" priority="333">
      <formula>AND($A66=OFFSET($A66,-1,0,1,1),$B66=OFFSET($B66,-1,0,1,1))</formula>
    </cfRule>
  </conditionalFormatting>
  <conditionalFormatting sqref="G66">
    <cfRule type="expression" dxfId="1909" priority="328">
      <formula>ISNUMBER(SEARCH("committed",$G66,1))</formula>
    </cfRule>
  </conditionalFormatting>
  <conditionalFormatting sqref="H66">
    <cfRule type="expression" dxfId="1908" priority="327">
      <formula>AND($C66=OFFSET($C66,-1,0,1,1),$G66=OFFSET($G66,-1,0,1,1),H66=OFFSET(H66,-1,0,1,1))</formula>
    </cfRule>
  </conditionalFormatting>
  <conditionalFormatting sqref="F66:H66">
    <cfRule type="expression" dxfId="1907" priority="331">
      <formula>$F66&lt;&gt;OFFSET($F66,-1,0,1,1)</formula>
    </cfRule>
  </conditionalFormatting>
  <conditionalFormatting sqref="D66">
    <cfRule type="expression" dxfId="1906" priority="324">
      <formula>$C66="Project commitment"</formula>
    </cfRule>
    <cfRule type="expression" dxfId="1905" priority="332">
      <formula>$D66=OFFSET($D66,-1,0,1,1)</formula>
    </cfRule>
  </conditionalFormatting>
  <conditionalFormatting sqref="C66:H66">
    <cfRule type="expression" dxfId="1904" priority="329">
      <formula>$C66="Project commitment"</formula>
    </cfRule>
    <cfRule type="expression" dxfId="1903" priority="330">
      <formula>$D66&lt;&gt;OFFSET($D66,-1,0,1,1)</formula>
    </cfRule>
  </conditionalFormatting>
  <conditionalFormatting sqref="A66">
    <cfRule type="expression" dxfId="1902" priority="325">
      <formula>$A66&lt;&gt;OFFSET($A66,-1,0,1,1)</formula>
    </cfRule>
    <cfRule type="expression" dxfId="1901" priority="326">
      <formula>$A66=OFFSET($A66,-1,0,1,1)</formula>
    </cfRule>
  </conditionalFormatting>
  <conditionalFormatting sqref="A65:D65 F65:H65">
    <cfRule type="expression" dxfId="1900" priority="312">
      <formula>$A65&lt;&gt;OFFSET($A65,-1,0,1,1)</formula>
    </cfRule>
  </conditionalFormatting>
  <conditionalFormatting sqref="B65">
    <cfRule type="expression" dxfId="1899" priority="322">
      <formula>AND($A65=OFFSET($A65,-1,0,1,1),$B65=OFFSET($B65,-1,0,1,1))</formula>
    </cfRule>
  </conditionalFormatting>
  <conditionalFormatting sqref="G65">
    <cfRule type="expression" dxfId="1898" priority="317">
      <formula>ISNUMBER(SEARCH("committed",$G65,1))</formula>
    </cfRule>
  </conditionalFormatting>
  <conditionalFormatting sqref="H65">
    <cfRule type="expression" dxfId="1897" priority="316">
      <formula>AND($C65=OFFSET($C65,-1,0,1,1),$G65=OFFSET($G65,-1,0,1,1),H65=OFFSET(H65,-1,0,1,1))</formula>
    </cfRule>
  </conditionalFormatting>
  <conditionalFormatting sqref="F65:H65">
    <cfRule type="expression" dxfId="1896" priority="320">
      <formula>$F65&lt;&gt;OFFSET($F65,-1,0,1,1)</formula>
    </cfRule>
  </conditionalFormatting>
  <conditionalFormatting sqref="D65">
    <cfRule type="expression" dxfId="1895" priority="313">
      <formula>$C65="Project commitment"</formula>
    </cfRule>
    <cfRule type="expression" dxfId="1894" priority="321">
      <formula>$D65=OFFSET($D65,-1,0,1,1)</formula>
    </cfRule>
  </conditionalFormatting>
  <conditionalFormatting sqref="C65:D65 F65:H65">
    <cfRule type="expression" dxfId="1893" priority="318">
      <formula>$C65="Project commitment"</formula>
    </cfRule>
    <cfRule type="expression" dxfId="1892" priority="319">
      <formula>$D65&lt;&gt;OFFSET($D65,-1,0,1,1)</formula>
    </cfRule>
  </conditionalFormatting>
  <conditionalFormatting sqref="A65">
    <cfRule type="expression" dxfId="1891" priority="314">
      <formula>$A65&lt;&gt;OFFSET($A65,-1,0,1,1)</formula>
    </cfRule>
    <cfRule type="expression" dxfId="1890" priority="315">
      <formula>$A65=OFFSET($A65,-1,0,1,1)</formula>
    </cfRule>
  </conditionalFormatting>
  <conditionalFormatting sqref="A62:H62">
    <cfRule type="expression" dxfId="1889" priority="301">
      <formula>$A62&lt;&gt;OFFSET($A62,-1,0,1,1)</formula>
    </cfRule>
  </conditionalFormatting>
  <conditionalFormatting sqref="B62">
    <cfRule type="expression" dxfId="1888" priority="311">
      <formula>AND($A62=OFFSET($A62,-1,0,1,1),$B62=OFFSET($B62,-1,0,1,1))</formula>
    </cfRule>
  </conditionalFormatting>
  <conditionalFormatting sqref="G62">
    <cfRule type="expression" dxfId="1887" priority="306">
      <formula>ISNUMBER(SEARCH("committed",$G62,1))</formula>
    </cfRule>
  </conditionalFormatting>
  <conditionalFormatting sqref="H62">
    <cfRule type="expression" dxfId="1886" priority="305">
      <formula>AND($C62=OFFSET($C62,-1,0,1,1),$G62=OFFSET($G62,-1,0,1,1),H62=OFFSET(H62,-1,0,1,1))</formula>
    </cfRule>
  </conditionalFormatting>
  <conditionalFormatting sqref="F62:H62">
    <cfRule type="expression" dxfId="1885" priority="309">
      <formula>$F62&lt;&gt;OFFSET($F62,-1,0,1,1)</formula>
    </cfRule>
  </conditionalFormatting>
  <conditionalFormatting sqref="D62">
    <cfRule type="expression" dxfId="1884" priority="302">
      <formula>$C62="Project commitment"</formula>
    </cfRule>
    <cfRule type="expression" dxfId="1883" priority="310">
      <formula>$D62=OFFSET($D62,-1,0,1,1)</formula>
    </cfRule>
  </conditionalFormatting>
  <conditionalFormatting sqref="C62:H62">
    <cfRule type="expression" dxfId="1882" priority="307">
      <formula>$C62="Project commitment"</formula>
    </cfRule>
    <cfRule type="expression" dxfId="1881" priority="308">
      <formula>$D62&lt;&gt;OFFSET($D62,-1,0,1,1)</formula>
    </cfRule>
  </conditionalFormatting>
  <conditionalFormatting sqref="A62">
    <cfRule type="expression" dxfId="1880" priority="303">
      <formula>$A62&lt;&gt;OFFSET($A62,-1,0,1,1)</formula>
    </cfRule>
    <cfRule type="expression" dxfId="1879" priority="304">
      <formula>$A62=OFFSET($A62,-1,0,1,1)</formula>
    </cfRule>
  </conditionalFormatting>
  <conditionalFormatting sqref="E65">
    <cfRule type="expression" dxfId="1878" priority="298">
      <formula>$B65="Project"</formula>
    </cfRule>
  </conditionalFormatting>
  <conditionalFormatting sqref="E65">
    <cfRule type="expression" dxfId="1877" priority="297">
      <formula>AND($C65=OFFSET($C65,-1,0,1,1),E65=OFFSET(E65,-1,0,1,1))</formula>
    </cfRule>
  </conditionalFormatting>
  <conditionalFormatting sqref="E65">
    <cfRule type="expression" dxfId="1876" priority="296">
      <formula>$C65&lt;&gt;OFFSET($C65,-1,0,1,1)</formula>
    </cfRule>
  </conditionalFormatting>
  <conditionalFormatting sqref="E65">
    <cfRule type="expression" dxfId="1875" priority="299">
      <formula>AND($C65=OFFSET($C65,-1,0,1,1),$G65&lt;&gt;OFFSET($G65,-1,0,1,1))</formula>
    </cfRule>
    <cfRule type="expression" dxfId="1874" priority="300">
      <formula>AND($C65=OFFSET($C65,-1,0,1,1),$G65=OFFSET($G65,-1,0,1,1),E65=OFFSET(E65,-1,0,1,1))</formula>
    </cfRule>
  </conditionalFormatting>
  <conditionalFormatting sqref="A63:D63 F63 H63">
    <cfRule type="expression" dxfId="1873" priority="285">
      <formula>$A63&lt;&gt;OFFSET($A63,-1,0,1,1)</formula>
    </cfRule>
  </conditionalFormatting>
  <conditionalFormatting sqref="B63">
    <cfRule type="expression" dxfId="1872" priority="295">
      <formula>AND($A63=OFFSET($A63,-1,0,1,1),$B63=OFFSET($B63,-1,0,1,1))</formula>
    </cfRule>
  </conditionalFormatting>
  <conditionalFormatting sqref="H63">
    <cfRule type="expression" dxfId="1871" priority="289">
      <formula>AND($C63=OFFSET($C63,-1,0,1,1),$G63=OFFSET($G63,-1,0,1,1),H63=OFFSET(H63,-1,0,1,1))</formula>
    </cfRule>
  </conditionalFormatting>
  <conditionalFormatting sqref="F63 H63">
    <cfRule type="expression" dxfId="1870" priority="293">
      <formula>$F63&lt;&gt;OFFSET($F63,-1,0,1,1)</formula>
    </cfRule>
  </conditionalFormatting>
  <conditionalFormatting sqref="D63">
    <cfRule type="expression" dxfId="1869" priority="286">
      <formula>$C63="Project commitment"</formula>
    </cfRule>
    <cfRule type="expression" dxfId="1868" priority="294">
      <formula>$D63=OFFSET($D63,-1,0,1,1)</formula>
    </cfRule>
  </conditionalFormatting>
  <conditionalFormatting sqref="C63:D63 F63 H63">
    <cfRule type="expression" dxfId="1867" priority="291">
      <formula>$C63="Project commitment"</formula>
    </cfRule>
    <cfRule type="expression" dxfId="1866" priority="292">
      <formula>$D63&lt;&gt;OFFSET($D63,-1,0,1,1)</formula>
    </cfRule>
  </conditionalFormatting>
  <conditionalFormatting sqref="A63">
    <cfRule type="expression" dxfId="1865" priority="287">
      <formula>$A63&lt;&gt;OFFSET($A63,-1,0,1,1)</formula>
    </cfRule>
    <cfRule type="expression" dxfId="1864" priority="288">
      <formula>$A63=OFFSET($A63,-1,0,1,1)</formula>
    </cfRule>
  </conditionalFormatting>
  <conditionalFormatting sqref="E63">
    <cfRule type="expression" dxfId="1863" priority="282">
      <formula>$B63="Project"</formula>
    </cfRule>
  </conditionalFormatting>
  <conditionalFormatting sqref="E63">
    <cfRule type="expression" dxfId="1862" priority="281">
      <formula>AND($C63=OFFSET($C63,-1,0,1,1),E63=OFFSET(E63,-1,0,1,1))</formula>
    </cfRule>
  </conditionalFormatting>
  <conditionalFormatting sqref="E63">
    <cfRule type="expression" dxfId="1861" priority="280">
      <formula>$C63&lt;&gt;OFFSET($C63,-1,0,1,1)</formula>
    </cfRule>
  </conditionalFormatting>
  <conditionalFormatting sqref="E63">
    <cfRule type="expression" dxfId="1860" priority="283">
      <formula>AND($C63=OFFSET($C63,-1,0,1,1),$G63&lt;&gt;OFFSET($G63,-1,0,1,1))</formula>
    </cfRule>
    <cfRule type="expression" dxfId="1859" priority="284">
      <formula>AND($C63=OFFSET($C63,-1,0,1,1),$G63=OFFSET($G63,-1,0,1,1),E63=OFFSET(E63,-1,0,1,1))</formula>
    </cfRule>
  </conditionalFormatting>
  <conditionalFormatting sqref="A64:B64 F64 H64 D64">
    <cfRule type="expression" dxfId="1858" priority="269">
      <formula>$A64&lt;&gt;OFFSET($A64,-1,0,1,1)</formula>
    </cfRule>
  </conditionalFormatting>
  <conditionalFormatting sqref="B64">
    <cfRule type="expression" dxfId="1857" priority="279">
      <formula>AND($A64=OFFSET($A64,-1,0,1,1),$B64=OFFSET($B64,-1,0,1,1))</formula>
    </cfRule>
  </conditionalFormatting>
  <conditionalFormatting sqref="H64">
    <cfRule type="expression" dxfId="1856" priority="273">
      <formula>AND($C64=OFFSET($C64,-1,0,1,1),$G64=OFFSET($G64,-1,0,1,1),H64=OFFSET(H64,-1,0,1,1))</formula>
    </cfRule>
  </conditionalFormatting>
  <conditionalFormatting sqref="F64 H64">
    <cfRule type="expression" dxfId="1855" priority="277">
      <formula>$F64&lt;&gt;OFFSET($F64,-1,0,1,1)</formula>
    </cfRule>
  </conditionalFormatting>
  <conditionalFormatting sqref="D64">
    <cfRule type="expression" dxfId="1854" priority="270">
      <formula>$C64="Project commitment"</formula>
    </cfRule>
    <cfRule type="expression" dxfId="1853" priority="278">
      <formula>$D64=OFFSET($D64,-1,0,1,1)</formula>
    </cfRule>
  </conditionalFormatting>
  <conditionalFormatting sqref="D64 F64 H64">
    <cfRule type="expression" dxfId="1852" priority="275">
      <formula>$C64="Project commitment"</formula>
    </cfRule>
    <cfRule type="expression" dxfId="1851" priority="276">
      <formula>$D64&lt;&gt;OFFSET($D64,-1,0,1,1)</formula>
    </cfRule>
  </conditionalFormatting>
  <conditionalFormatting sqref="A64">
    <cfRule type="expression" dxfId="1850" priority="271">
      <formula>$A64&lt;&gt;OFFSET($A64,-1,0,1,1)</formula>
    </cfRule>
    <cfRule type="expression" dxfId="1849" priority="272">
      <formula>$A64=OFFSET($A64,-1,0,1,1)</formula>
    </cfRule>
  </conditionalFormatting>
  <conditionalFormatting sqref="E64">
    <cfRule type="expression" dxfId="1848" priority="266">
      <formula>$B64="Project"</formula>
    </cfRule>
  </conditionalFormatting>
  <conditionalFormatting sqref="E64">
    <cfRule type="expression" dxfId="1847" priority="265">
      <formula>AND($C64=OFFSET($C64,-1,0,1,1),E64=OFFSET(E64,-1,0,1,1))</formula>
    </cfRule>
  </conditionalFormatting>
  <conditionalFormatting sqref="E64">
    <cfRule type="expression" dxfId="1846" priority="264">
      <formula>$C64&lt;&gt;OFFSET($C64,-1,0,1,1)</formula>
    </cfRule>
  </conditionalFormatting>
  <conditionalFormatting sqref="E64">
    <cfRule type="expression" dxfId="1845" priority="267">
      <formula>AND($C64=OFFSET($C64,-1,0,1,1),$G64&lt;&gt;OFFSET($G64,-1,0,1,1))</formula>
    </cfRule>
    <cfRule type="expression" dxfId="1844" priority="268">
      <formula>AND($C64=OFFSET($C64,-1,0,1,1),$G64=OFFSET($G64,-1,0,1,1),E64=OFFSET(E64,-1,0,1,1))</formula>
    </cfRule>
  </conditionalFormatting>
  <conditionalFormatting sqref="G63:G64">
    <cfRule type="expression" dxfId="1843" priority="259">
      <formula>$A63&lt;&gt;OFFSET($A63,-1,0,1,1)</formula>
    </cfRule>
  </conditionalFormatting>
  <conditionalFormatting sqref="G63:G64">
    <cfRule type="expression" dxfId="1842" priority="260">
      <formula>ISNUMBER(SEARCH("committed",$G63,1))</formula>
    </cfRule>
  </conditionalFormatting>
  <conditionalFormatting sqref="G63:G64">
    <cfRule type="expression" dxfId="1841" priority="263">
      <formula>$F63&lt;&gt;OFFSET($F63,-1,0,1,1)</formula>
    </cfRule>
  </conditionalFormatting>
  <conditionalFormatting sqref="G63:G64">
    <cfRule type="expression" dxfId="1840" priority="261">
      <formula>$C63="Project commitment"</formula>
    </cfRule>
    <cfRule type="expression" dxfId="1839" priority="262">
      <formula>$D63&lt;&gt;OFFSET($D63,-1,0,1,1)</formula>
    </cfRule>
  </conditionalFormatting>
  <conditionalFormatting sqref="C64">
    <cfRule type="expression" dxfId="1838" priority="256">
      <formula>$A64&lt;&gt;OFFSET($A64,-1,0,1,1)</formula>
    </cfRule>
  </conditionalFormatting>
  <conditionalFormatting sqref="C64">
    <cfRule type="expression" dxfId="1837" priority="257">
      <formula>$C64="Project commitment"</formula>
    </cfRule>
    <cfRule type="expression" dxfId="1836" priority="258">
      <formula>$D64&lt;&gt;OFFSET($D64,-1,0,1,1)</formula>
    </cfRule>
  </conditionalFormatting>
  <conditionalFormatting sqref="A60:H60">
    <cfRule type="expression" dxfId="1835" priority="77">
      <formula>$A60&lt;&gt;OFFSET($A60,-1,0,1,1)</formula>
    </cfRule>
  </conditionalFormatting>
  <conditionalFormatting sqref="B60">
    <cfRule type="expression" dxfId="1834" priority="76">
      <formula>AND($A60=OFFSET($A60,-1,0,1,1),$B60=OFFSET($B60,-1,0,1,1))</formula>
    </cfRule>
  </conditionalFormatting>
  <conditionalFormatting sqref="G60">
    <cfRule type="expression" dxfId="1833" priority="74">
      <formula>ISNUMBER(SEARCH("committed",$G60,1))</formula>
    </cfRule>
  </conditionalFormatting>
  <conditionalFormatting sqref="F60:H60">
    <cfRule type="expression" dxfId="1832" priority="75">
      <formula>$F60&lt;&gt;OFFSET($F60,-1,0,1,1)</formula>
    </cfRule>
  </conditionalFormatting>
  <conditionalFormatting sqref="A60">
    <cfRule type="expression" dxfId="1831" priority="72">
      <formula>$A60&lt;&gt;OFFSET($A60,-1,0,1,1)</formula>
    </cfRule>
    <cfRule type="expression" dxfId="1830" priority="73">
      <formula>$A60=OFFSET($A60,-1,0,1,1)</formula>
    </cfRule>
  </conditionalFormatting>
  <conditionalFormatting sqref="H60">
    <cfRule type="expression" dxfId="1829" priority="68">
      <formula>AND($C60=OFFSET($C60,-1,0,1,1),$G60=OFFSET($G60,-1,0,1,1),H60=OFFSET(H60,-1,0,1,1))</formula>
    </cfRule>
  </conditionalFormatting>
  <conditionalFormatting sqref="D60">
    <cfRule type="expression" dxfId="1828" priority="67">
      <formula>$C60="Project commitment"</formula>
    </cfRule>
    <cfRule type="expression" dxfId="1827" priority="71">
      <formula>$D60=OFFSET($D60,-1,0,1,1)</formula>
    </cfRule>
  </conditionalFormatting>
  <conditionalFormatting sqref="C60:H60">
    <cfRule type="expression" dxfId="1826" priority="69">
      <formula>$C60="Project commitment"</formula>
    </cfRule>
    <cfRule type="expression" dxfId="1825" priority="70">
      <formula>$D60&lt;&gt;OFFSET($D60,-1,0,1,1)</formula>
    </cfRule>
  </conditionalFormatting>
  <conditionalFormatting sqref="A18:H18">
    <cfRule type="expression" dxfId="1824" priority="55">
      <formula>$A18&lt;&gt;OFFSET($A18,-1,0,1,1)</formula>
    </cfRule>
  </conditionalFormatting>
  <conditionalFormatting sqref="B18">
    <cfRule type="expression" dxfId="1823" priority="54">
      <formula>AND($A18=OFFSET($A18,-1,0,1,1),$B18=OFFSET($B18,-1,0,1,1))</formula>
    </cfRule>
  </conditionalFormatting>
  <conditionalFormatting sqref="G18">
    <cfRule type="expression" dxfId="1822" priority="52">
      <formula>ISNUMBER(SEARCH("committed",$G18,1))</formula>
    </cfRule>
  </conditionalFormatting>
  <conditionalFormatting sqref="F18:H18">
    <cfRule type="expression" dxfId="1821" priority="53">
      <formula>$F18&lt;&gt;OFFSET($F18,-1,0,1,1)</formula>
    </cfRule>
  </conditionalFormatting>
  <conditionalFormatting sqref="A18">
    <cfRule type="expression" dxfId="1820" priority="50">
      <formula>$A18&lt;&gt;OFFSET($A18,-1,0,1,1)</formula>
    </cfRule>
    <cfRule type="expression" dxfId="1819" priority="51">
      <formula>$A18=OFFSET($A18,-1,0,1,1)</formula>
    </cfRule>
  </conditionalFormatting>
  <conditionalFormatting sqref="H18">
    <cfRule type="expression" dxfId="1818" priority="46">
      <formula>AND($C18=OFFSET($C18,-1,0,1,1),$G18=OFFSET($G18,-1,0,1,1),H18=OFFSET(H18,-1,0,1,1))</formula>
    </cfRule>
  </conditionalFormatting>
  <conditionalFormatting sqref="D18">
    <cfRule type="expression" dxfId="1817" priority="45">
      <formula>$C18="Project commitment"</formula>
    </cfRule>
    <cfRule type="expression" dxfId="1816" priority="49">
      <formula>$D18=OFFSET($D18,-1,0,1,1)</formula>
    </cfRule>
  </conditionalFormatting>
  <conditionalFormatting sqref="C18:H18">
    <cfRule type="expression" dxfId="1815" priority="47">
      <formula>$C18="Project commitment"</formula>
    </cfRule>
    <cfRule type="expression" dxfId="1814" priority="48">
      <formula>$D18&lt;&gt;OFFSET($D18,-1,0,1,1)</formula>
    </cfRule>
  </conditionalFormatting>
  <conditionalFormatting sqref="A61:H61">
    <cfRule type="expression" dxfId="1813" priority="34">
      <formula>$A61&lt;&gt;OFFSET($A61,-1,0,1,1)</formula>
    </cfRule>
  </conditionalFormatting>
  <conditionalFormatting sqref="B61">
    <cfRule type="expression" dxfId="1812" priority="44">
      <formula>AND($A61=OFFSET($A61,-1,0,1,1),$B61=OFFSET($B61,-1,0,1,1))</formula>
    </cfRule>
  </conditionalFormatting>
  <conditionalFormatting sqref="G61">
    <cfRule type="expression" dxfId="1811" priority="39">
      <formula>ISNUMBER(SEARCH("committed",$G61,1))</formula>
    </cfRule>
  </conditionalFormatting>
  <conditionalFormatting sqref="H61">
    <cfRule type="expression" dxfId="1810" priority="38">
      <formula>AND($C61=OFFSET($C61,-1,0,1,1),$G61=OFFSET($G61,-1,0,1,1),H61=OFFSET(H61,-1,0,1,1))</formula>
    </cfRule>
  </conditionalFormatting>
  <conditionalFormatting sqref="F61:H61">
    <cfRule type="expression" dxfId="1809" priority="42">
      <formula>$F61&lt;&gt;OFFSET($F61,-1,0,1,1)</formula>
    </cfRule>
  </conditionalFormatting>
  <conditionalFormatting sqref="D61">
    <cfRule type="expression" dxfId="1808" priority="35">
      <formula>$C61="Project commitment"</formula>
    </cfRule>
    <cfRule type="expression" dxfId="1807" priority="43">
      <formula>$D61=OFFSET($D61,-1,0,1,1)</formula>
    </cfRule>
  </conditionalFormatting>
  <conditionalFormatting sqref="C61:H61">
    <cfRule type="expression" dxfId="1806" priority="40">
      <formula>$C61="Project commitment"</formula>
    </cfRule>
    <cfRule type="expression" dxfId="1805" priority="41">
      <formula>$D61&lt;&gt;OFFSET($D61,-1,0,1,1)</formula>
    </cfRule>
  </conditionalFormatting>
  <conditionalFormatting sqref="A61">
    <cfRule type="expression" dxfId="1804" priority="36">
      <formula>$A61&lt;&gt;OFFSET($A61,-1,0,1,1)</formula>
    </cfRule>
    <cfRule type="expression" dxfId="1803" priority="37">
      <formula>$A61=OFFSET($A61,-1,0,1,1)</formula>
    </cfRule>
  </conditionalFormatting>
  <conditionalFormatting sqref="A47:H47">
    <cfRule type="expression" dxfId="1802" priority="23">
      <formula>$A47&lt;&gt;OFFSET($A47,-1,0,1,1)</formula>
    </cfRule>
  </conditionalFormatting>
  <conditionalFormatting sqref="B47">
    <cfRule type="expression" dxfId="1801" priority="33">
      <formula>AND($A47=OFFSET($A47,-1,0,1,1),$B47=OFFSET($B47,-1,0,1,1))</formula>
    </cfRule>
  </conditionalFormatting>
  <conditionalFormatting sqref="G47">
    <cfRule type="expression" dxfId="1800" priority="28">
      <formula>ISNUMBER(SEARCH("committed",$G47,1))</formula>
    </cfRule>
  </conditionalFormatting>
  <conditionalFormatting sqref="H47">
    <cfRule type="expression" dxfId="1799" priority="27">
      <formula>AND($C47=OFFSET($C47,-1,0,1,1),$G47=OFFSET($G47,-1,0,1,1),H47=OFFSET(H47,-1,0,1,1))</formula>
    </cfRule>
  </conditionalFormatting>
  <conditionalFormatting sqref="F47:H47">
    <cfRule type="expression" dxfId="1798" priority="31">
      <formula>$F47&lt;&gt;OFFSET($F47,-1,0,1,1)</formula>
    </cfRule>
  </conditionalFormatting>
  <conditionalFormatting sqref="D47">
    <cfRule type="expression" dxfId="1797" priority="24">
      <formula>$C47="Project commitment"</formula>
    </cfRule>
    <cfRule type="expression" dxfId="1796" priority="32">
      <formula>$D47=OFFSET($D47,-1,0,1,1)</formula>
    </cfRule>
  </conditionalFormatting>
  <conditionalFormatting sqref="C47:H47">
    <cfRule type="expression" dxfId="1795" priority="29">
      <formula>$C47="Project commitment"</formula>
    </cfRule>
    <cfRule type="expression" dxfId="1794" priority="30">
      <formula>$D47&lt;&gt;OFFSET($D47,-1,0,1,1)</formula>
    </cfRule>
  </conditionalFormatting>
  <conditionalFormatting sqref="A47">
    <cfRule type="expression" dxfId="1793" priority="25">
      <formula>$A47&lt;&gt;OFFSET($A47,-1,0,1,1)</formula>
    </cfRule>
    <cfRule type="expression" dxfId="1792" priority="26">
      <formula>$A47=OFFSET($A47,-1,0,1,1)</formula>
    </cfRule>
  </conditionalFormatting>
  <conditionalFormatting sqref="A20:H20">
    <cfRule type="expression" dxfId="1791" priority="12">
      <formula>$A20&lt;&gt;OFFSET($A20,-1,0,1,1)</formula>
    </cfRule>
  </conditionalFormatting>
  <conditionalFormatting sqref="B20">
    <cfRule type="expression" dxfId="1790" priority="22">
      <formula>AND($A20=OFFSET($A20,-1,0,1,1),$B20=OFFSET($B20,-1,0,1,1))</formula>
    </cfRule>
  </conditionalFormatting>
  <conditionalFormatting sqref="G20">
    <cfRule type="expression" dxfId="1789" priority="17">
      <formula>ISNUMBER(SEARCH("committed",$G20,1))</formula>
    </cfRule>
  </conditionalFormatting>
  <conditionalFormatting sqref="H20">
    <cfRule type="expression" dxfId="1788" priority="16">
      <formula>AND($C20=OFFSET($C20,-1,0,1,1),$G20=OFFSET($G20,-1,0,1,1),H20=OFFSET(H20,-1,0,1,1))</formula>
    </cfRule>
  </conditionalFormatting>
  <conditionalFormatting sqref="F20:H20">
    <cfRule type="expression" dxfId="1787" priority="20">
      <formula>$F20&lt;&gt;OFFSET($F20,-1,0,1,1)</formula>
    </cfRule>
  </conditionalFormatting>
  <conditionalFormatting sqref="D20">
    <cfRule type="expression" dxfId="1786" priority="13">
      <formula>$C20="Project commitment"</formula>
    </cfRule>
    <cfRule type="expression" dxfId="1785" priority="21">
      <formula>$D20=OFFSET($D20,-1,0,1,1)</formula>
    </cfRule>
  </conditionalFormatting>
  <conditionalFormatting sqref="C20:H20">
    <cfRule type="expression" dxfId="1784" priority="18">
      <formula>$C20="Project commitment"</formula>
    </cfRule>
    <cfRule type="expression" dxfId="1783" priority="19">
      <formula>$D20&lt;&gt;OFFSET($D20,-1,0,1,1)</formula>
    </cfRule>
  </conditionalFormatting>
  <conditionalFormatting sqref="A20">
    <cfRule type="expression" dxfId="1782" priority="14">
      <formula>$A20&lt;&gt;OFFSET($A20,-1,0,1,1)</formula>
    </cfRule>
    <cfRule type="expression" dxfId="1781" priority="15">
      <formula>$A20=OFFSET($A20,-1,0,1,1)</formula>
    </cfRule>
  </conditionalFormatting>
  <conditionalFormatting sqref="A6:H6">
    <cfRule type="expression" dxfId="1780" priority="1">
      <formula>$A6&lt;&gt;OFFSET($A6,-1,0,1,1)</formula>
    </cfRule>
  </conditionalFormatting>
  <conditionalFormatting sqref="B6">
    <cfRule type="expression" dxfId="1779" priority="11">
      <formula>AND($A6=OFFSET($A6,-1,0,1,1),$B6=OFFSET($B6,-1,0,1,1))</formula>
    </cfRule>
  </conditionalFormatting>
  <conditionalFormatting sqref="G6">
    <cfRule type="expression" dxfId="1778" priority="6">
      <formula>ISNUMBER(SEARCH("committed",$G6,1))</formula>
    </cfRule>
  </conditionalFormatting>
  <conditionalFormatting sqref="H6">
    <cfRule type="expression" dxfId="1777" priority="5">
      <formula>AND($C6=OFFSET($C6,-1,0,1,1),$G6=OFFSET($G6,-1,0,1,1),H6=OFFSET(H6,-1,0,1,1))</formula>
    </cfRule>
  </conditionalFormatting>
  <conditionalFormatting sqref="F6:H6">
    <cfRule type="expression" dxfId="1776" priority="9">
      <formula>$F6&lt;&gt;OFFSET($F6,-1,0,1,1)</formula>
    </cfRule>
  </conditionalFormatting>
  <conditionalFormatting sqref="D6">
    <cfRule type="expression" dxfId="1775" priority="2">
      <formula>$C6="Project commitment"</formula>
    </cfRule>
    <cfRule type="expression" dxfId="1774" priority="10">
      <formula>$D6=OFFSET($D6,-1,0,1,1)</formula>
    </cfRule>
  </conditionalFormatting>
  <conditionalFormatting sqref="C6:H6">
    <cfRule type="expression" dxfId="1773" priority="7">
      <formula>$C6="Project commitment"</formula>
    </cfRule>
    <cfRule type="expression" dxfId="1772" priority="8">
      <formula>$D6&lt;&gt;OFFSET($D6,-1,0,1,1)</formula>
    </cfRule>
  </conditionalFormatting>
  <conditionalFormatting sqref="A6">
    <cfRule type="expression" dxfId="1771" priority="3">
      <formula>$A6&lt;&gt;OFFSET($A6,-1,0,1,1)</formula>
    </cfRule>
    <cfRule type="expression" dxfId="1770" priority="4">
      <formula>$A6=OFFSET($A6,-1,0,1,1)</formula>
    </cfRule>
  </conditionalFormatting>
  <pageMargins left="0.70866141732283472" right="0.70866141732283472" top="0.74803149606299213" bottom="0.74803149606299213" header="0.31496062992125984" footer="0.31496062992125984"/>
  <pageSetup paperSize="8" scale="62" fitToHeight="0"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35"/>
  <sheetViews>
    <sheetView workbookViewId="0"/>
  </sheetViews>
  <sheetFormatPr defaultColWidth="9.42578125" defaultRowHeight="14.25"/>
  <cols>
    <col min="1" max="1" width="2.42578125" style="21" customWidth="1"/>
    <col min="2" max="2" width="12" style="21" customWidth="1"/>
    <col min="3" max="3" width="9.42578125" style="21" bestFit="1" customWidth="1"/>
    <col min="4" max="13" width="9.5703125" style="21" customWidth="1"/>
    <col min="14" max="14" width="8.42578125" style="21" bestFit="1" customWidth="1"/>
    <col min="15" max="15" width="6.42578125" style="21" customWidth="1"/>
    <col min="16" max="17" width="9.42578125" style="21" customWidth="1"/>
    <col min="18" max="16384" width="9.42578125" style="21"/>
  </cols>
  <sheetData>
    <row r="1" spans="1:17" ht="19.5">
      <c r="A1" s="24"/>
      <c r="B1" s="25" t="s">
        <v>1190</v>
      </c>
      <c r="C1" s="24"/>
      <c r="D1" s="24"/>
      <c r="E1" s="24"/>
      <c r="F1" s="24"/>
      <c r="G1" s="24"/>
      <c r="H1" s="24"/>
      <c r="I1" s="24"/>
      <c r="J1" s="24"/>
      <c r="K1" s="24"/>
      <c r="L1" s="24"/>
      <c r="M1" s="24"/>
      <c r="N1" s="24"/>
      <c r="O1" s="24"/>
      <c r="P1" s="24"/>
      <c r="Q1" s="24"/>
    </row>
    <row r="2" spans="1:17">
      <c r="A2" s="24"/>
      <c r="B2" s="26" t="s">
        <v>1191</v>
      </c>
      <c r="C2" s="24"/>
      <c r="D2" s="24"/>
      <c r="E2" s="24"/>
      <c r="F2" s="24"/>
      <c r="G2" s="24"/>
      <c r="H2" s="24"/>
      <c r="I2" s="24"/>
      <c r="J2" s="24"/>
      <c r="K2" s="24"/>
      <c r="L2" s="24"/>
      <c r="M2" s="24"/>
      <c r="N2" s="24"/>
      <c r="O2" s="24"/>
      <c r="P2" s="24"/>
      <c r="Q2" s="24"/>
    </row>
    <row r="3" spans="1:17">
      <c r="A3" s="24"/>
      <c r="B3" s="26"/>
      <c r="C3" s="24"/>
      <c r="D3" s="24"/>
      <c r="E3" s="24"/>
      <c r="F3" s="24"/>
      <c r="G3" s="24"/>
      <c r="H3" s="24"/>
      <c r="I3" s="24"/>
      <c r="J3" s="24"/>
      <c r="K3" s="24"/>
      <c r="L3" s="24"/>
      <c r="M3" s="24"/>
      <c r="N3" s="24"/>
      <c r="O3" s="24"/>
      <c r="P3" s="24"/>
      <c r="Q3" s="24"/>
    </row>
    <row r="4" spans="1:17">
      <c r="A4" s="24"/>
      <c r="B4" s="27" t="s">
        <v>1192</v>
      </c>
      <c r="C4" s="28"/>
      <c r="D4" s="28"/>
      <c r="E4" s="28"/>
      <c r="F4" s="28"/>
      <c r="G4" s="28"/>
      <c r="H4" s="28"/>
      <c r="I4" s="28"/>
      <c r="J4" s="28"/>
      <c r="K4" s="28"/>
      <c r="L4" s="28"/>
      <c r="M4" s="28"/>
      <c r="N4" s="28"/>
      <c r="O4" s="28"/>
      <c r="P4" s="28"/>
      <c r="Q4" s="28"/>
    </row>
    <row r="5" spans="1:17">
      <c r="A5" s="24"/>
      <c r="B5" s="29" t="s">
        <v>1193</v>
      </c>
      <c r="C5" s="24"/>
      <c r="D5" s="24"/>
      <c r="E5" s="24"/>
      <c r="F5" s="24"/>
      <c r="G5" s="24"/>
      <c r="H5" s="24"/>
      <c r="I5" s="24"/>
      <c r="J5" s="24"/>
      <c r="K5" s="24"/>
      <c r="L5" s="24"/>
      <c r="M5" s="24"/>
      <c r="N5" s="24"/>
      <c r="O5" s="24"/>
      <c r="P5" s="24"/>
      <c r="Q5" s="24"/>
    </row>
    <row r="6" spans="1:17">
      <c r="A6" s="24"/>
      <c r="B6" s="29" t="s">
        <v>1194</v>
      </c>
      <c r="C6" s="24"/>
      <c r="D6" s="24"/>
      <c r="E6" s="24"/>
      <c r="F6" s="24"/>
      <c r="G6" s="24"/>
      <c r="H6" s="24"/>
      <c r="I6" s="24"/>
      <c r="J6" s="24"/>
      <c r="K6" s="24"/>
      <c r="L6" s="24"/>
      <c r="M6" s="24"/>
      <c r="N6" s="24"/>
      <c r="O6" s="24"/>
      <c r="P6" s="24"/>
      <c r="Q6" s="24"/>
    </row>
    <row r="7" spans="1:17">
      <c r="A7" s="24"/>
      <c r="B7" s="343" t="s">
        <v>1195</v>
      </c>
      <c r="C7" s="343"/>
      <c r="D7" s="343"/>
      <c r="E7" s="343"/>
      <c r="F7" s="343"/>
      <c r="G7" s="343"/>
      <c r="H7" s="343"/>
      <c r="I7" s="343"/>
      <c r="J7" s="343"/>
      <c r="K7" s="343"/>
      <c r="L7" s="343"/>
      <c r="M7" s="343"/>
      <c r="N7" s="343"/>
      <c r="O7" s="343"/>
      <c r="P7" s="343"/>
      <c r="Q7" s="343"/>
    </row>
    <row r="8" spans="1:17" ht="13.5" customHeight="1">
      <c r="A8" s="24"/>
      <c r="B8" s="343" t="s">
        <v>1196</v>
      </c>
      <c r="C8" s="343"/>
      <c r="D8" s="343"/>
      <c r="E8" s="343"/>
      <c r="F8" s="343"/>
      <c r="G8" s="343"/>
      <c r="H8" s="343"/>
      <c r="I8" s="343"/>
      <c r="J8" s="343"/>
      <c r="K8" s="343"/>
      <c r="L8" s="343"/>
      <c r="M8" s="343"/>
      <c r="N8" s="343"/>
      <c r="O8" s="343"/>
      <c r="P8" s="343"/>
      <c r="Q8" s="343"/>
    </row>
    <row r="9" spans="1:17">
      <c r="A9" s="24"/>
      <c r="B9" s="343"/>
      <c r="C9" s="343"/>
      <c r="D9" s="343"/>
      <c r="E9" s="343"/>
      <c r="F9" s="343"/>
      <c r="G9" s="343"/>
      <c r="H9" s="343"/>
      <c r="I9" s="343"/>
      <c r="J9" s="343"/>
      <c r="K9" s="343"/>
      <c r="L9" s="343"/>
      <c r="M9" s="343"/>
      <c r="N9" s="343"/>
      <c r="O9" s="343"/>
      <c r="P9" s="343"/>
      <c r="Q9" s="343"/>
    </row>
    <row r="10" spans="1:17" ht="28.5" customHeight="1">
      <c r="A10" s="24"/>
      <c r="B10" s="343"/>
      <c r="C10" s="343"/>
      <c r="D10" s="343"/>
      <c r="E10" s="343"/>
      <c r="F10" s="343"/>
      <c r="G10" s="343"/>
      <c r="H10" s="343"/>
      <c r="I10" s="343"/>
      <c r="J10" s="343"/>
      <c r="K10" s="343"/>
      <c r="L10" s="343"/>
      <c r="M10" s="343"/>
      <c r="N10" s="343"/>
      <c r="O10" s="343"/>
      <c r="P10" s="343"/>
      <c r="Q10" s="343"/>
    </row>
    <row r="11" spans="1:17" ht="28.5" customHeight="1">
      <c r="A11" s="24"/>
      <c r="B11" s="138"/>
      <c r="C11" s="138"/>
      <c r="D11" s="138"/>
      <c r="E11" s="138"/>
      <c r="F11" s="138"/>
      <c r="G11" s="138"/>
      <c r="H11" s="138"/>
      <c r="I11" s="138"/>
      <c r="J11" s="138"/>
      <c r="K11" s="138"/>
      <c r="L11" s="138"/>
      <c r="M11" s="138"/>
      <c r="N11" s="138"/>
      <c r="O11" s="138"/>
      <c r="P11" s="138"/>
      <c r="Q11" s="138"/>
    </row>
    <row r="12" spans="1:17">
      <c r="A12" s="24"/>
      <c r="B12" s="29"/>
      <c r="C12" s="24"/>
      <c r="D12" s="24"/>
      <c r="E12" s="24"/>
      <c r="F12" s="24"/>
      <c r="G12" s="24"/>
      <c r="H12" s="24"/>
      <c r="I12" s="24"/>
      <c r="J12" s="24"/>
      <c r="K12" s="24"/>
      <c r="L12" s="24"/>
      <c r="M12" s="24"/>
      <c r="N12" s="24"/>
      <c r="O12" s="24"/>
      <c r="P12" s="24"/>
      <c r="Q12" s="24"/>
    </row>
    <row r="13" spans="1:17" ht="18">
      <c r="A13" s="24"/>
      <c r="B13" s="30" t="s">
        <v>1197</v>
      </c>
      <c r="C13" s="24"/>
      <c r="D13" s="24"/>
      <c r="E13" s="24"/>
      <c r="F13" s="24"/>
      <c r="G13" s="24"/>
      <c r="H13" s="24"/>
      <c r="I13" s="24"/>
      <c r="J13" s="24"/>
      <c r="K13" s="24"/>
      <c r="L13" s="24"/>
      <c r="M13" s="24"/>
      <c r="N13" s="24"/>
      <c r="O13" s="24"/>
      <c r="P13" s="24"/>
      <c r="Q13" s="24"/>
    </row>
    <row r="14" spans="1:17">
      <c r="A14" s="24"/>
      <c r="B14" s="26" t="s">
        <v>1198</v>
      </c>
      <c r="C14" s="24"/>
      <c r="D14" s="24"/>
      <c r="E14" s="24"/>
      <c r="F14" s="24"/>
      <c r="G14" s="24"/>
      <c r="H14" s="24"/>
      <c r="I14" s="24"/>
      <c r="J14" s="24"/>
      <c r="K14" s="24"/>
      <c r="L14" s="24"/>
      <c r="M14" s="24"/>
      <c r="N14" s="24"/>
      <c r="O14" s="24"/>
      <c r="P14" s="24"/>
      <c r="Q14" s="24"/>
    </row>
    <row r="15" spans="1:17" ht="28.5" customHeight="1">
      <c r="A15" s="24"/>
      <c r="B15" s="344" t="s">
        <v>1199</v>
      </c>
      <c r="C15" s="344"/>
      <c r="D15" s="344"/>
      <c r="E15" s="344"/>
      <c r="F15" s="344"/>
      <c r="G15" s="344"/>
      <c r="H15" s="344"/>
      <c r="I15" s="344"/>
      <c r="J15" s="344"/>
      <c r="K15" s="344"/>
      <c r="L15" s="344"/>
      <c r="M15" s="344"/>
      <c r="N15" s="344"/>
      <c r="O15" s="344"/>
      <c r="P15" s="344"/>
      <c r="Q15" s="344"/>
    </row>
    <row r="16" spans="1:17" ht="16.7" customHeight="1">
      <c r="A16" s="24"/>
      <c r="B16" s="24"/>
      <c r="C16" s="24"/>
      <c r="D16" s="24"/>
      <c r="E16" s="24"/>
      <c r="F16" s="24"/>
      <c r="G16" s="24"/>
      <c r="H16" s="24"/>
      <c r="I16" s="24"/>
      <c r="J16" s="24"/>
      <c r="K16" s="24"/>
      <c r="L16" s="24"/>
      <c r="M16" s="24"/>
      <c r="N16" s="339" t="s">
        <v>1200</v>
      </c>
      <c r="O16" s="340"/>
      <c r="P16" s="340"/>
      <c r="Q16" s="340"/>
    </row>
    <row r="17" spans="1:17" s="22" customFormat="1" ht="45">
      <c r="A17" s="31"/>
      <c r="B17" s="341" t="s">
        <v>1201</v>
      </c>
      <c r="C17" s="341"/>
      <c r="D17" s="342"/>
      <c r="E17" s="32" t="s">
        <v>1202</v>
      </c>
      <c r="F17" s="33"/>
      <c r="G17" s="33"/>
      <c r="H17" s="33"/>
      <c r="I17" s="33"/>
      <c r="J17" s="33"/>
      <c r="K17" s="33"/>
      <c r="L17" s="33"/>
      <c r="M17" s="33"/>
      <c r="N17" s="34" t="s">
        <v>0</v>
      </c>
      <c r="O17" s="34" t="s">
        <v>1203</v>
      </c>
      <c r="P17" s="34" t="s">
        <v>1204</v>
      </c>
      <c r="Q17" s="34" t="s">
        <v>1205</v>
      </c>
    </row>
    <row r="18" spans="1:17" s="22" customFormat="1" ht="39" customHeight="1">
      <c r="A18" s="31"/>
      <c r="B18" s="309" t="s">
        <v>1206</v>
      </c>
      <c r="C18" s="309"/>
      <c r="D18" s="310"/>
      <c r="E18" s="311" t="s">
        <v>1207</v>
      </c>
      <c r="F18" s="312"/>
      <c r="G18" s="312"/>
      <c r="H18" s="312"/>
      <c r="I18" s="312"/>
      <c r="J18" s="312"/>
      <c r="K18" s="312"/>
      <c r="L18" s="312"/>
      <c r="M18" s="312"/>
      <c r="N18" s="35"/>
      <c r="O18" s="35"/>
      <c r="P18" s="35" t="s">
        <v>1208</v>
      </c>
      <c r="Q18" s="35"/>
    </row>
    <row r="19" spans="1:17" s="22" customFormat="1" ht="38.25" customHeight="1">
      <c r="A19" s="31"/>
      <c r="B19" s="309" t="s">
        <v>1209</v>
      </c>
      <c r="C19" s="309"/>
      <c r="D19" s="310"/>
      <c r="E19" s="311" t="s">
        <v>1210</v>
      </c>
      <c r="F19" s="312"/>
      <c r="G19" s="312"/>
      <c r="H19" s="312"/>
      <c r="I19" s="312"/>
      <c r="J19" s="312"/>
      <c r="K19" s="312"/>
      <c r="L19" s="312"/>
      <c r="M19" s="312"/>
      <c r="N19" s="35"/>
      <c r="O19" s="35" t="s">
        <v>1208</v>
      </c>
      <c r="P19" s="35" t="s">
        <v>1208</v>
      </c>
      <c r="Q19" s="35"/>
    </row>
    <row r="20" spans="1:17" s="22" customFormat="1" ht="38.25" customHeight="1">
      <c r="A20" s="31"/>
      <c r="B20" s="309" t="s">
        <v>1211</v>
      </c>
      <c r="C20" s="309"/>
      <c r="D20" s="310"/>
      <c r="E20" s="311" t="s">
        <v>1212</v>
      </c>
      <c r="F20" s="312"/>
      <c r="G20" s="312"/>
      <c r="H20" s="312"/>
      <c r="I20" s="312"/>
      <c r="J20" s="312"/>
      <c r="K20" s="312"/>
      <c r="L20" s="312"/>
      <c r="M20" s="312"/>
      <c r="N20" s="35"/>
      <c r="O20" s="35"/>
      <c r="P20" s="35" t="s">
        <v>1208</v>
      </c>
      <c r="Q20" s="35" t="s">
        <v>1208</v>
      </c>
    </row>
    <row r="21" spans="1:17" s="22" customFormat="1" ht="49.35" customHeight="1">
      <c r="A21" s="31"/>
      <c r="B21" s="309" t="s">
        <v>1213</v>
      </c>
      <c r="C21" s="309"/>
      <c r="D21" s="310"/>
      <c r="E21" s="311" t="s">
        <v>1214</v>
      </c>
      <c r="F21" s="312"/>
      <c r="G21" s="312"/>
      <c r="H21" s="312"/>
      <c r="I21" s="312"/>
      <c r="J21" s="312"/>
      <c r="K21" s="312"/>
      <c r="L21" s="312"/>
      <c r="M21" s="312"/>
      <c r="N21" s="35"/>
      <c r="O21" s="35"/>
      <c r="P21" s="35" t="s">
        <v>1208</v>
      </c>
      <c r="Q21" s="35" t="s">
        <v>1208</v>
      </c>
    </row>
    <row r="22" spans="1:17" s="22" customFormat="1" ht="39" customHeight="1">
      <c r="A22" s="31"/>
      <c r="B22" s="309" t="s">
        <v>1215</v>
      </c>
      <c r="C22" s="309"/>
      <c r="D22" s="310"/>
      <c r="E22" s="311" t="s">
        <v>1216</v>
      </c>
      <c r="F22" s="312"/>
      <c r="G22" s="312"/>
      <c r="H22" s="312"/>
      <c r="I22" s="312"/>
      <c r="J22" s="312"/>
      <c r="K22" s="312"/>
      <c r="L22" s="312"/>
      <c r="M22" s="312"/>
      <c r="N22" s="35"/>
      <c r="O22" s="35"/>
      <c r="P22" s="35" t="s">
        <v>1208</v>
      </c>
      <c r="Q22" s="35"/>
    </row>
    <row r="23" spans="1:17" s="22" customFormat="1" ht="48" customHeight="1">
      <c r="A23" s="31"/>
      <c r="B23" s="309" t="s">
        <v>499</v>
      </c>
      <c r="C23" s="309"/>
      <c r="D23" s="310"/>
      <c r="E23" s="311" t="s">
        <v>1217</v>
      </c>
      <c r="F23" s="312"/>
      <c r="G23" s="312"/>
      <c r="H23" s="312"/>
      <c r="I23" s="312"/>
      <c r="J23" s="312"/>
      <c r="K23" s="312"/>
      <c r="L23" s="312"/>
      <c r="M23" s="312"/>
      <c r="N23" s="35"/>
      <c r="O23" s="35" t="s">
        <v>1208</v>
      </c>
      <c r="P23" s="35" t="s">
        <v>1208</v>
      </c>
      <c r="Q23" s="35" t="s">
        <v>1208</v>
      </c>
    </row>
    <row r="24" spans="1:17" s="22" customFormat="1" ht="27.6" customHeight="1">
      <c r="A24" s="31"/>
      <c r="B24" s="309" t="s">
        <v>141</v>
      </c>
      <c r="C24" s="309"/>
      <c r="D24" s="310"/>
      <c r="E24" s="311" t="s">
        <v>1218</v>
      </c>
      <c r="F24" s="312"/>
      <c r="G24" s="312"/>
      <c r="H24" s="312"/>
      <c r="I24" s="312"/>
      <c r="J24" s="312"/>
      <c r="K24" s="312"/>
      <c r="L24" s="312"/>
      <c r="M24" s="312"/>
      <c r="N24" s="35"/>
      <c r="O24" s="35"/>
      <c r="P24" s="35" t="s">
        <v>1208</v>
      </c>
      <c r="Q24" s="35"/>
    </row>
    <row r="25" spans="1:17" s="22" customFormat="1" ht="27.6" customHeight="1">
      <c r="A25" s="31"/>
      <c r="B25" s="309" t="s">
        <v>1219</v>
      </c>
      <c r="C25" s="309"/>
      <c r="D25" s="310"/>
      <c r="E25" s="311" t="s">
        <v>1220</v>
      </c>
      <c r="F25" s="312"/>
      <c r="G25" s="312"/>
      <c r="H25" s="312"/>
      <c r="I25" s="312"/>
      <c r="J25" s="312"/>
      <c r="K25" s="312"/>
      <c r="L25" s="312"/>
      <c r="M25" s="312"/>
      <c r="N25" s="35"/>
      <c r="O25" s="35"/>
      <c r="P25" s="35" t="s">
        <v>1208</v>
      </c>
      <c r="Q25" s="35"/>
    </row>
    <row r="26" spans="1:17" s="22" customFormat="1" ht="27.6" customHeight="1">
      <c r="A26" s="31"/>
      <c r="B26" s="309" t="s">
        <v>1221</v>
      </c>
      <c r="C26" s="309"/>
      <c r="D26" s="310"/>
      <c r="E26" s="311" t="s">
        <v>1222</v>
      </c>
      <c r="F26" s="312"/>
      <c r="G26" s="312"/>
      <c r="H26" s="312"/>
      <c r="I26" s="312"/>
      <c r="J26" s="312"/>
      <c r="K26" s="312"/>
      <c r="L26" s="312"/>
      <c r="M26" s="312"/>
      <c r="N26" s="35"/>
      <c r="O26" s="35"/>
      <c r="P26" s="35" t="s">
        <v>1208</v>
      </c>
      <c r="Q26" s="35" t="s">
        <v>1208</v>
      </c>
    </row>
    <row r="27" spans="1:17" s="22" customFormat="1" ht="27.6" customHeight="1">
      <c r="A27" s="31"/>
      <c r="B27" s="135" t="s">
        <v>1223</v>
      </c>
      <c r="C27" s="135"/>
      <c r="D27" s="136"/>
      <c r="E27" s="311" t="s">
        <v>1224</v>
      </c>
      <c r="F27" s="312"/>
      <c r="G27" s="312"/>
      <c r="H27" s="312"/>
      <c r="I27" s="312"/>
      <c r="J27" s="312"/>
      <c r="K27" s="312"/>
      <c r="L27" s="312"/>
      <c r="M27" s="312"/>
      <c r="N27" s="35"/>
      <c r="O27" s="35"/>
      <c r="P27" s="35" t="s">
        <v>1208</v>
      </c>
      <c r="Q27" s="35"/>
    </row>
    <row r="28" spans="1:17" s="22" customFormat="1" ht="27.6" customHeight="1">
      <c r="A28" s="31"/>
      <c r="B28" s="309" t="s">
        <v>1225</v>
      </c>
      <c r="C28" s="309"/>
      <c r="D28" s="310"/>
      <c r="E28" s="311" t="s">
        <v>1226</v>
      </c>
      <c r="F28" s="312"/>
      <c r="G28" s="312"/>
      <c r="H28" s="312"/>
      <c r="I28" s="312"/>
      <c r="J28" s="312"/>
      <c r="K28" s="312"/>
      <c r="L28" s="312"/>
      <c r="M28" s="312"/>
      <c r="N28" s="35"/>
      <c r="O28" s="35"/>
      <c r="P28" s="35" t="s">
        <v>1208</v>
      </c>
      <c r="Q28" s="35" t="s">
        <v>1208</v>
      </c>
    </row>
    <row r="29" spans="1:17" s="22" customFormat="1" ht="13.35" customHeight="1">
      <c r="A29" s="31"/>
      <c r="B29" s="309" t="s">
        <v>1227</v>
      </c>
      <c r="C29" s="309"/>
      <c r="D29" s="310"/>
      <c r="E29" s="311" t="s">
        <v>1228</v>
      </c>
      <c r="F29" s="312"/>
      <c r="G29" s="312"/>
      <c r="H29" s="312"/>
      <c r="I29" s="312"/>
      <c r="J29" s="312"/>
      <c r="K29" s="312"/>
      <c r="L29" s="312"/>
      <c r="M29" s="312"/>
      <c r="N29" s="35"/>
      <c r="O29" s="35"/>
      <c r="P29" s="35" t="s">
        <v>1208</v>
      </c>
      <c r="Q29" s="35" t="s">
        <v>1208</v>
      </c>
    </row>
    <row r="30" spans="1:17" s="22" customFormat="1" ht="12">
      <c r="A30" s="31"/>
      <c r="B30" s="309" t="s">
        <v>6</v>
      </c>
      <c r="C30" s="309"/>
      <c r="D30" s="310"/>
      <c r="E30" s="311" t="s">
        <v>1229</v>
      </c>
      <c r="F30" s="312"/>
      <c r="G30" s="312"/>
      <c r="H30" s="312"/>
      <c r="I30" s="312"/>
      <c r="J30" s="312"/>
      <c r="K30" s="312"/>
      <c r="L30" s="312"/>
      <c r="M30" s="312"/>
      <c r="N30" s="35" t="s">
        <v>1208</v>
      </c>
      <c r="O30" s="35" t="s">
        <v>1208</v>
      </c>
      <c r="P30" s="35" t="s">
        <v>1208</v>
      </c>
      <c r="Q30" s="35" t="s">
        <v>1208</v>
      </c>
    </row>
    <row r="31" spans="1:17" s="22" customFormat="1" ht="26.25" customHeight="1">
      <c r="A31" s="31"/>
      <c r="B31" s="309" t="s">
        <v>1230</v>
      </c>
      <c r="C31" s="309"/>
      <c r="D31" s="310"/>
      <c r="E31" s="311" t="s">
        <v>1231</v>
      </c>
      <c r="F31" s="312"/>
      <c r="G31" s="312"/>
      <c r="H31" s="312"/>
      <c r="I31" s="312"/>
      <c r="J31" s="312"/>
      <c r="K31" s="312"/>
      <c r="L31" s="312"/>
      <c r="M31" s="312"/>
      <c r="N31" s="35"/>
      <c r="O31" s="35"/>
      <c r="P31" s="35" t="s">
        <v>1208</v>
      </c>
      <c r="Q31" s="35" t="s">
        <v>1208</v>
      </c>
    </row>
    <row r="32" spans="1:17" s="22" customFormat="1" ht="27.6" customHeight="1">
      <c r="A32" s="31"/>
      <c r="B32" s="309" t="s">
        <v>1232</v>
      </c>
      <c r="C32" s="309"/>
      <c r="D32" s="310"/>
      <c r="E32" s="311" t="s">
        <v>1233</v>
      </c>
      <c r="F32" s="312"/>
      <c r="G32" s="312"/>
      <c r="H32" s="312"/>
      <c r="I32" s="312"/>
      <c r="J32" s="312"/>
      <c r="K32" s="312"/>
      <c r="L32" s="312"/>
      <c r="M32" s="312"/>
      <c r="N32" s="35"/>
      <c r="O32" s="35" t="s">
        <v>1208</v>
      </c>
      <c r="P32" s="35" t="s">
        <v>1208</v>
      </c>
      <c r="Q32" s="35" t="s">
        <v>1208</v>
      </c>
    </row>
    <row r="33" spans="1:17" s="22" customFormat="1" ht="39" customHeight="1">
      <c r="A33" s="31"/>
      <c r="B33" s="309" t="s">
        <v>1234</v>
      </c>
      <c r="C33" s="309"/>
      <c r="D33" s="310"/>
      <c r="E33" s="311" t="s">
        <v>1235</v>
      </c>
      <c r="F33" s="312"/>
      <c r="G33" s="312"/>
      <c r="H33" s="312"/>
      <c r="I33" s="312"/>
      <c r="J33" s="312"/>
      <c r="K33" s="312"/>
      <c r="L33" s="312"/>
      <c r="M33" s="312"/>
      <c r="N33" s="35"/>
      <c r="O33" s="35"/>
      <c r="P33" s="35"/>
      <c r="Q33" s="35"/>
    </row>
    <row r="34" spans="1:17" s="22" customFormat="1" ht="106.7" customHeight="1">
      <c r="A34" s="31"/>
      <c r="B34" s="309" t="s">
        <v>1236</v>
      </c>
      <c r="C34" s="309"/>
      <c r="D34" s="310"/>
      <c r="E34" s="311" t="s">
        <v>1237</v>
      </c>
      <c r="F34" s="312"/>
      <c r="G34" s="312"/>
      <c r="H34" s="312"/>
      <c r="I34" s="312"/>
      <c r="J34" s="312"/>
      <c r="K34" s="312"/>
      <c r="L34" s="312"/>
      <c r="M34" s="312"/>
      <c r="N34" s="35" t="s">
        <v>1208</v>
      </c>
      <c r="O34" s="35"/>
      <c r="P34" s="35" t="s">
        <v>1208</v>
      </c>
      <c r="Q34" s="35"/>
    </row>
    <row r="35" spans="1:17" s="22" customFormat="1" ht="62.25" customHeight="1">
      <c r="A35" s="31"/>
      <c r="B35" s="309" t="s">
        <v>1238</v>
      </c>
      <c r="C35" s="309"/>
      <c r="D35" s="310"/>
      <c r="E35" s="311" t="s">
        <v>1239</v>
      </c>
      <c r="F35" s="312"/>
      <c r="G35" s="312"/>
      <c r="H35" s="312"/>
      <c r="I35" s="312"/>
      <c r="J35" s="312"/>
      <c r="K35" s="312"/>
      <c r="L35" s="312"/>
      <c r="M35" s="312"/>
      <c r="N35" s="35"/>
      <c r="O35" s="35"/>
      <c r="P35" s="35"/>
      <c r="Q35" s="35" t="s">
        <v>1208</v>
      </c>
    </row>
    <row r="36" spans="1:17" s="22" customFormat="1" ht="61.5" customHeight="1">
      <c r="A36" s="31"/>
      <c r="B36" s="309" t="s">
        <v>8</v>
      </c>
      <c r="C36" s="309"/>
      <c r="D36" s="310"/>
      <c r="E36" s="311" t="s">
        <v>1240</v>
      </c>
      <c r="F36" s="312"/>
      <c r="G36" s="312"/>
      <c r="H36" s="312"/>
      <c r="I36" s="312"/>
      <c r="J36" s="312"/>
      <c r="K36" s="312"/>
      <c r="L36" s="312"/>
      <c r="M36" s="312"/>
      <c r="N36" s="35" t="s">
        <v>1208</v>
      </c>
      <c r="O36" s="35"/>
      <c r="P36" s="35" t="s">
        <v>1208</v>
      </c>
      <c r="Q36" s="35" t="s">
        <v>1208</v>
      </c>
    </row>
    <row r="37" spans="1:17" s="22" customFormat="1" ht="50.25" customHeight="1">
      <c r="A37" s="31"/>
      <c r="B37" s="309" t="s">
        <v>1241</v>
      </c>
      <c r="C37" s="309"/>
      <c r="D37" s="310"/>
      <c r="E37" s="311" t="s">
        <v>1242</v>
      </c>
      <c r="F37" s="312"/>
      <c r="G37" s="312"/>
      <c r="H37" s="312"/>
      <c r="I37" s="312"/>
      <c r="J37" s="312"/>
      <c r="K37" s="312"/>
      <c r="L37" s="312"/>
      <c r="M37" s="312"/>
      <c r="N37" s="35"/>
      <c r="O37" s="35"/>
      <c r="P37" s="35"/>
      <c r="Q37" s="35"/>
    </row>
    <row r="38" spans="1:17" s="22" customFormat="1" ht="40.5" customHeight="1">
      <c r="A38" s="31"/>
      <c r="B38" s="309" t="s">
        <v>1243</v>
      </c>
      <c r="C38" s="309"/>
      <c r="D38" s="310"/>
      <c r="E38" s="311" t="s">
        <v>1244</v>
      </c>
      <c r="F38" s="312"/>
      <c r="G38" s="312"/>
      <c r="H38" s="312"/>
      <c r="I38" s="312"/>
      <c r="J38" s="312"/>
      <c r="K38" s="312"/>
      <c r="L38" s="312"/>
      <c r="M38" s="312"/>
      <c r="N38" s="35"/>
      <c r="O38" s="35"/>
      <c r="P38" s="35"/>
      <c r="Q38" s="35"/>
    </row>
    <row r="39" spans="1:17" s="22" customFormat="1" ht="175.5" customHeight="1">
      <c r="A39" s="31"/>
      <c r="B39" s="319" t="s">
        <v>1245</v>
      </c>
      <c r="C39" s="319"/>
      <c r="D39" s="319"/>
      <c r="E39" s="311" t="s">
        <v>1246</v>
      </c>
      <c r="F39" s="312"/>
      <c r="G39" s="312"/>
      <c r="H39" s="312"/>
      <c r="I39" s="345"/>
      <c r="J39" s="345"/>
      <c r="K39" s="345"/>
      <c r="L39" s="345"/>
      <c r="M39" s="345"/>
      <c r="N39" s="303"/>
      <c r="O39" s="303"/>
      <c r="P39" s="303"/>
      <c r="Q39" s="303" t="s">
        <v>1208</v>
      </c>
    </row>
    <row r="40" spans="1:17" ht="33.75">
      <c r="A40" s="24"/>
      <c r="B40" s="320"/>
      <c r="C40" s="320"/>
      <c r="D40" s="320"/>
      <c r="E40" s="317" t="s">
        <v>6</v>
      </c>
      <c r="F40" s="318"/>
      <c r="G40" s="36" t="s">
        <v>1247</v>
      </c>
      <c r="H40" s="37" t="s">
        <v>1248</v>
      </c>
      <c r="I40" s="36" t="s">
        <v>1249</v>
      </c>
      <c r="J40" s="61"/>
      <c r="K40" s="61"/>
      <c r="L40" s="61"/>
      <c r="M40" s="62"/>
      <c r="N40" s="304"/>
      <c r="O40" s="304"/>
      <c r="P40" s="304"/>
      <c r="Q40" s="304"/>
    </row>
    <row r="41" spans="1:17" ht="15" customHeight="1">
      <c r="A41" s="24"/>
      <c r="B41" s="320"/>
      <c r="C41" s="320"/>
      <c r="D41" s="320"/>
      <c r="E41" s="315" t="s">
        <v>1250</v>
      </c>
      <c r="F41" s="316"/>
      <c r="G41" s="127">
        <v>37</v>
      </c>
      <c r="H41" s="38">
        <v>15</v>
      </c>
      <c r="I41" s="133">
        <v>32</v>
      </c>
      <c r="J41" s="61"/>
      <c r="K41" s="61"/>
      <c r="L41" s="61"/>
      <c r="M41" s="61"/>
      <c r="N41" s="304"/>
      <c r="O41" s="304"/>
      <c r="P41" s="304"/>
      <c r="Q41" s="304"/>
    </row>
    <row r="42" spans="1:17">
      <c r="A42" s="24"/>
      <c r="B42" s="320"/>
      <c r="C42" s="320"/>
      <c r="D42" s="320"/>
      <c r="E42" s="315" t="s">
        <v>1251</v>
      </c>
      <c r="F42" s="316"/>
      <c r="G42" s="127">
        <v>42</v>
      </c>
      <c r="H42" s="38">
        <v>9</v>
      </c>
      <c r="I42" s="133">
        <v>32</v>
      </c>
      <c r="J42" s="61"/>
      <c r="K42" s="61"/>
      <c r="L42" s="61"/>
      <c r="M42" s="61"/>
      <c r="N42" s="304"/>
      <c r="O42" s="304"/>
      <c r="P42" s="304"/>
      <c r="Q42" s="304"/>
    </row>
    <row r="43" spans="1:17">
      <c r="A43" s="24"/>
      <c r="B43" s="320"/>
      <c r="C43" s="320"/>
      <c r="D43" s="320"/>
      <c r="E43" s="315" t="s">
        <v>1252</v>
      </c>
      <c r="F43" s="316"/>
      <c r="G43" s="127">
        <v>41</v>
      </c>
      <c r="H43" s="38">
        <v>8</v>
      </c>
      <c r="I43" s="133">
        <v>32</v>
      </c>
      <c r="J43" s="61"/>
      <c r="K43" s="61"/>
      <c r="L43" s="61"/>
      <c r="M43" s="61"/>
      <c r="N43" s="304"/>
      <c r="O43" s="304"/>
      <c r="P43" s="304"/>
      <c r="Q43" s="304"/>
    </row>
    <row r="44" spans="1:17">
      <c r="A44" s="24"/>
      <c r="B44" s="320"/>
      <c r="C44" s="320"/>
      <c r="D44" s="320"/>
      <c r="E44" s="315" t="s">
        <v>1253</v>
      </c>
      <c r="F44" s="316"/>
      <c r="G44" s="127">
        <v>43</v>
      </c>
      <c r="H44" s="38">
        <v>11</v>
      </c>
      <c r="I44" s="133">
        <v>35</v>
      </c>
      <c r="J44" s="61"/>
      <c r="K44" s="61"/>
      <c r="L44" s="61"/>
      <c r="M44" s="61"/>
      <c r="N44" s="304"/>
      <c r="O44" s="304"/>
      <c r="P44" s="304"/>
      <c r="Q44" s="304"/>
    </row>
    <row r="45" spans="1:17">
      <c r="A45" s="24"/>
      <c r="B45" s="320"/>
      <c r="C45" s="320"/>
      <c r="D45" s="320"/>
      <c r="E45" s="315" t="s">
        <v>1254</v>
      </c>
      <c r="F45" s="316"/>
      <c r="G45" s="127">
        <v>7.7</v>
      </c>
      <c r="H45" s="38">
        <v>1.2</v>
      </c>
      <c r="I45" s="133" t="s">
        <v>1255</v>
      </c>
      <c r="J45" s="61"/>
      <c r="K45" s="61"/>
      <c r="L45" s="61"/>
      <c r="M45" s="61"/>
      <c r="N45" s="305"/>
      <c r="O45" s="305"/>
      <c r="P45" s="305"/>
      <c r="Q45" s="305"/>
    </row>
    <row r="46" spans="1:17">
      <c r="A46" s="24"/>
      <c r="B46" s="39"/>
      <c r="C46" s="24"/>
      <c r="D46" s="24"/>
      <c r="E46" s="24"/>
      <c r="F46" s="24"/>
      <c r="G46" s="24"/>
      <c r="H46" s="24"/>
      <c r="I46" s="24"/>
      <c r="J46" s="24"/>
      <c r="K46" s="24"/>
      <c r="L46" s="24"/>
      <c r="M46" s="24"/>
      <c r="N46" s="24"/>
      <c r="O46" s="24"/>
      <c r="P46" s="24"/>
      <c r="Q46" s="24"/>
    </row>
    <row r="47" spans="1:17">
      <c r="A47" s="24"/>
      <c r="B47" s="39"/>
      <c r="C47" s="24"/>
      <c r="D47" s="24"/>
      <c r="E47" s="24"/>
      <c r="F47" s="24"/>
      <c r="G47" s="24"/>
      <c r="H47" s="24"/>
      <c r="I47" s="24"/>
      <c r="J47" s="24"/>
      <c r="K47" s="24"/>
      <c r="L47" s="24"/>
      <c r="M47" s="24"/>
      <c r="N47" s="24"/>
      <c r="O47" s="24"/>
      <c r="P47" s="24"/>
      <c r="Q47" s="24"/>
    </row>
    <row r="48" spans="1:17" ht="18">
      <c r="A48" s="24"/>
      <c r="B48" s="30" t="s">
        <v>1256</v>
      </c>
      <c r="C48" s="24"/>
      <c r="D48" s="24"/>
      <c r="E48" s="24"/>
      <c r="F48" s="24"/>
      <c r="G48" s="24"/>
      <c r="H48" s="24"/>
      <c r="I48" s="24"/>
      <c r="J48" s="24"/>
      <c r="K48" s="24"/>
      <c r="L48" s="24"/>
      <c r="M48" s="24"/>
      <c r="N48" s="24"/>
      <c r="O48" s="24"/>
      <c r="P48" s="24"/>
      <c r="Q48" s="24"/>
    </row>
    <row r="49" spans="1:17">
      <c r="A49" s="24"/>
      <c r="B49" s="141" t="s">
        <v>1257</v>
      </c>
      <c r="C49" s="16"/>
      <c r="D49" s="16"/>
      <c r="E49" s="16"/>
      <c r="F49" s="16"/>
      <c r="G49" s="16"/>
      <c r="H49" s="16"/>
      <c r="I49" s="16"/>
      <c r="J49" s="16"/>
      <c r="K49" s="16"/>
      <c r="L49" s="24"/>
      <c r="M49" s="24"/>
      <c r="N49" s="24"/>
      <c r="O49" s="24"/>
      <c r="P49" s="24"/>
      <c r="Q49" s="24"/>
    </row>
    <row r="50" spans="1:17" ht="32.25" customHeight="1">
      <c r="A50" s="24"/>
      <c r="B50" s="324" t="s">
        <v>1258</v>
      </c>
      <c r="C50" s="324"/>
      <c r="D50" s="324"/>
      <c r="E50" s="324"/>
      <c r="F50" s="324"/>
      <c r="G50" s="324"/>
      <c r="H50" s="324"/>
      <c r="I50" s="324"/>
      <c r="J50" s="324"/>
      <c r="K50" s="324"/>
      <c r="L50" s="24"/>
      <c r="M50" s="24"/>
      <c r="N50" s="24"/>
      <c r="O50" s="24"/>
      <c r="P50" s="24"/>
      <c r="Q50" s="24"/>
    </row>
    <row r="51" spans="1:17" ht="13.35" customHeight="1">
      <c r="A51" s="24"/>
      <c r="B51" s="14"/>
      <c r="C51" s="14"/>
      <c r="D51" s="14"/>
      <c r="E51" s="14"/>
      <c r="F51" s="14"/>
      <c r="G51" s="14"/>
      <c r="H51" s="14"/>
      <c r="I51" s="14"/>
      <c r="J51" s="14"/>
      <c r="K51" s="14"/>
      <c r="L51" s="24"/>
      <c r="M51" s="24"/>
      <c r="N51" s="24"/>
      <c r="O51" s="24"/>
      <c r="P51" s="24"/>
      <c r="Q51" s="24"/>
    </row>
    <row r="52" spans="1:17" ht="13.35" customHeight="1">
      <c r="A52" s="24"/>
      <c r="B52" s="14"/>
      <c r="C52" s="14"/>
      <c r="D52" s="14"/>
      <c r="E52" s="14"/>
      <c r="F52" s="14"/>
      <c r="G52" s="14"/>
      <c r="H52" s="14"/>
      <c r="I52" s="14"/>
      <c r="J52" s="14"/>
      <c r="K52" s="14"/>
      <c r="L52" s="24"/>
      <c r="M52" s="24"/>
      <c r="N52" s="24"/>
      <c r="O52" s="24"/>
      <c r="P52" s="24"/>
      <c r="Q52" s="24"/>
    </row>
    <row r="53" spans="1:17" s="22" customFormat="1" ht="15.75" customHeight="1">
      <c r="A53" s="31"/>
      <c r="B53" s="40" t="s">
        <v>1259</v>
      </c>
      <c r="C53" s="41"/>
      <c r="D53" s="41"/>
      <c r="E53" s="41"/>
      <c r="F53" s="41"/>
      <c r="G53" s="41"/>
      <c r="H53" s="41"/>
      <c r="I53" s="41"/>
      <c r="J53" s="41"/>
      <c r="K53" s="41"/>
      <c r="L53" s="31"/>
      <c r="M53" s="31"/>
      <c r="N53" s="31"/>
      <c r="O53" s="31"/>
      <c r="P53" s="31"/>
      <c r="Q53" s="31"/>
    </row>
    <row r="54" spans="1:17" ht="15" thickBot="1">
      <c r="A54" s="24"/>
      <c r="B54" s="42" t="s">
        <v>1260</v>
      </c>
      <c r="C54" s="313" t="s">
        <v>1261</v>
      </c>
      <c r="D54" s="314"/>
      <c r="E54" s="314"/>
      <c r="F54" s="314"/>
      <c r="G54" s="314"/>
      <c r="H54" s="314"/>
      <c r="I54" s="314"/>
      <c r="J54" s="314"/>
      <c r="K54" s="314"/>
      <c r="L54" s="314"/>
      <c r="M54" s="314"/>
      <c r="N54" s="24"/>
      <c r="O54" s="24"/>
      <c r="P54" s="24"/>
      <c r="Q54" s="24"/>
    </row>
    <row r="55" spans="1:17" ht="23.25" customHeight="1" thickTop="1" thickBot="1">
      <c r="A55" s="24"/>
      <c r="B55" s="43" t="s">
        <v>1262</v>
      </c>
      <c r="C55" s="321" t="s">
        <v>1263</v>
      </c>
      <c r="D55" s="322"/>
      <c r="E55" s="322"/>
      <c r="F55" s="322"/>
      <c r="G55" s="322"/>
      <c r="H55" s="322"/>
      <c r="I55" s="322"/>
      <c r="J55" s="322"/>
      <c r="K55" s="322"/>
      <c r="L55" s="322"/>
      <c r="M55" s="322"/>
      <c r="N55" s="24"/>
      <c r="O55" s="24"/>
      <c r="P55" s="24"/>
      <c r="Q55" s="24"/>
    </row>
    <row r="56" spans="1:17" ht="23.25" customHeight="1" thickBot="1">
      <c r="A56" s="24"/>
      <c r="B56" s="43" t="s">
        <v>1264</v>
      </c>
      <c r="C56" s="333" t="s">
        <v>1265</v>
      </c>
      <c r="D56" s="334"/>
      <c r="E56" s="334"/>
      <c r="F56" s="334"/>
      <c r="G56" s="334"/>
      <c r="H56" s="334"/>
      <c r="I56" s="334"/>
      <c r="J56" s="334"/>
      <c r="K56" s="334"/>
      <c r="L56" s="334"/>
      <c r="M56" s="334"/>
      <c r="N56" s="24"/>
      <c r="O56" s="24"/>
      <c r="P56" s="24"/>
      <c r="Q56" s="24"/>
    </row>
    <row r="57" spans="1:17" ht="36" customHeight="1" thickBot="1">
      <c r="A57" s="24"/>
      <c r="B57" s="43" t="s">
        <v>1266</v>
      </c>
      <c r="C57" s="321" t="s">
        <v>1267</v>
      </c>
      <c r="D57" s="322"/>
      <c r="E57" s="322"/>
      <c r="F57" s="322"/>
      <c r="G57" s="322"/>
      <c r="H57" s="322"/>
      <c r="I57" s="322"/>
      <c r="J57" s="322"/>
      <c r="K57" s="322"/>
      <c r="L57" s="322"/>
      <c r="M57" s="322"/>
      <c r="N57" s="24"/>
      <c r="O57" s="24"/>
      <c r="P57" s="24"/>
      <c r="Q57" s="24"/>
    </row>
    <row r="58" spans="1:17" ht="23.25" customHeight="1" thickBot="1">
      <c r="A58" s="24"/>
      <c r="B58" s="43" t="s">
        <v>1268</v>
      </c>
      <c r="C58" s="333" t="s">
        <v>1269</v>
      </c>
      <c r="D58" s="334"/>
      <c r="E58" s="334"/>
      <c r="F58" s="334"/>
      <c r="G58" s="334"/>
      <c r="H58" s="334"/>
      <c r="I58" s="334"/>
      <c r="J58" s="334"/>
      <c r="K58" s="334"/>
      <c r="L58" s="334"/>
      <c r="M58" s="334"/>
      <c r="N58" s="24"/>
      <c r="O58" s="24"/>
      <c r="P58" s="24"/>
      <c r="Q58" s="24"/>
    </row>
    <row r="59" spans="1:17" ht="23.25" customHeight="1" thickBot="1">
      <c r="A59" s="24"/>
      <c r="B59" s="43" t="s">
        <v>1270</v>
      </c>
      <c r="C59" s="321" t="s">
        <v>1271</v>
      </c>
      <c r="D59" s="322"/>
      <c r="E59" s="322"/>
      <c r="F59" s="322"/>
      <c r="G59" s="322"/>
      <c r="H59" s="322"/>
      <c r="I59" s="322"/>
      <c r="J59" s="322"/>
      <c r="K59" s="322"/>
      <c r="L59" s="322"/>
      <c r="M59" s="322"/>
      <c r="N59" s="24"/>
      <c r="O59" s="24"/>
      <c r="P59" s="24"/>
      <c r="Q59" s="24"/>
    </row>
    <row r="60" spans="1:17" ht="13.35" customHeight="1">
      <c r="A60" s="24"/>
      <c r="B60" s="14"/>
      <c r="C60" s="14"/>
      <c r="D60" s="14"/>
      <c r="E60" s="14"/>
      <c r="F60" s="14"/>
      <c r="G60" s="14"/>
      <c r="H60" s="14"/>
      <c r="I60" s="14"/>
      <c r="J60" s="14"/>
      <c r="K60" s="14"/>
      <c r="L60" s="24"/>
      <c r="M60" s="24"/>
      <c r="N60" s="24"/>
      <c r="O60" s="24"/>
      <c r="P60" s="24"/>
      <c r="Q60" s="24"/>
    </row>
    <row r="61" spans="1:17" ht="13.35" customHeight="1">
      <c r="A61" s="24"/>
      <c r="B61" s="14"/>
      <c r="C61" s="14"/>
      <c r="D61" s="14"/>
      <c r="E61" s="14"/>
      <c r="F61" s="14"/>
      <c r="G61" s="14"/>
      <c r="H61" s="14"/>
      <c r="I61" s="14"/>
      <c r="J61" s="14"/>
      <c r="K61" s="14"/>
      <c r="L61" s="24"/>
      <c r="M61" s="24"/>
      <c r="N61" s="24"/>
      <c r="O61" s="24"/>
      <c r="P61" s="24"/>
      <c r="Q61" s="24"/>
    </row>
    <row r="62" spans="1:17" s="22" customFormat="1" ht="15.75" customHeight="1">
      <c r="A62" s="31"/>
      <c r="B62" s="40" t="s">
        <v>1272</v>
      </c>
      <c r="C62" s="41"/>
      <c r="D62" s="41"/>
      <c r="E62" s="41"/>
      <c r="F62" s="41"/>
      <c r="G62" s="41"/>
      <c r="H62" s="41"/>
      <c r="I62" s="41"/>
      <c r="J62" s="41"/>
      <c r="K62" s="41"/>
      <c r="L62" s="31"/>
      <c r="M62" s="31"/>
      <c r="N62" s="31"/>
      <c r="O62" s="31"/>
      <c r="P62" s="31"/>
      <c r="Q62" s="31"/>
    </row>
    <row r="63" spans="1:17" s="22" customFormat="1" ht="23.25" thickBot="1">
      <c r="A63" s="31"/>
      <c r="B63" s="44" t="s">
        <v>1273</v>
      </c>
      <c r="C63" s="137" t="s">
        <v>1274</v>
      </c>
      <c r="D63" s="41"/>
      <c r="E63" s="41"/>
      <c r="F63" s="41"/>
      <c r="G63" s="41"/>
      <c r="H63" s="41"/>
      <c r="I63" s="41"/>
      <c r="J63" s="41"/>
      <c r="K63" s="41"/>
      <c r="L63" s="31"/>
      <c r="M63" s="31"/>
      <c r="N63" s="31"/>
      <c r="O63" s="31"/>
      <c r="P63" s="31"/>
      <c r="Q63" s="31"/>
    </row>
    <row r="64" spans="1:17" s="22" customFormat="1" ht="12.75" thickBot="1">
      <c r="A64" s="31"/>
      <c r="B64" s="45" t="s">
        <v>1275</v>
      </c>
      <c r="C64" s="142"/>
      <c r="D64" s="41"/>
      <c r="E64" s="41"/>
      <c r="F64" s="41"/>
      <c r="G64" s="41"/>
      <c r="H64" s="41"/>
      <c r="I64" s="41"/>
      <c r="J64" s="41"/>
      <c r="K64" s="41"/>
      <c r="L64" s="31"/>
      <c r="M64" s="31"/>
      <c r="N64" s="31"/>
      <c r="O64" s="31"/>
      <c r="P64" s="31"/>
      <c r="Q64" s="31"/>
    </row>
    <row r="65" spans="1:17" s="22" customFormat="1" ht="12.75" thickBot="1">
      <c r="A65" s="31"/>
      <c r="B65" s="45" t="s">
        <v>1276</v>
      </c>
      <c r="C65" s="143"/>
      <c r="D65" s="41"/>
      <c r="E65" s="41"/>
      <c r="F65" s="41"/>
      <c r="G65" s="41"/>
      <c r="H65" s="41"/>
      <c r="I65" s="41"/>
      <c r="J65" s="41"/>
      <c r="K65" s="41"/>
      <c r="L65" s="31"/>
      <c r="M65" s="31"/>
      <c r="N65" s="31"/>
      <c r="O65" s="31"/>
      <c r="P65" s="31"/>
      <c r="Q65" s="31"/>
    </row>
    <row r="66" spans="1:17" s="22" customFormat="1" ht="12.75" thickBot="1">
      <c r="A66" s="31"/>
      <c r="B66" s="45" t="s">
        <v>1277</v>
      </c>
      <c r="C66" s="142"/>
      <c r="D66" s="41"/>
      <c r="E66" s="41"/>
      <c r="F66" s="41"/>
      <c r="G66" s="41"/>
      <c r="H66" s="41"/>
      <c r="I66" s="41"/>
      <c r="J66" s="41"/>
      <c r="K66" s="41"/>
      <c r="L66" s="31"/>
      <c r="M66" s="31"/>
      <c r="N66" s="31"/>
      <c r="O66" s="31"/>
      <c r="P66" s="31"/>
      <c r="Q66" s="31"/>
    </row>
    <row r="67" spans="1:17" s="22" customFormat="1" ht="12">
      <c r="A67" s="31"/>
      <c r="B67" s="46" t="s">
        <v>1278</v>
      </c>
      <c r="C67" s="41"/>
      <c r="D67" s="41"/>
      <c r="E67" s="41"/>
      <c r="F67" s="41"/>
      <c r="G67" s="41"/>
      <c r="H67" s="41"/>
      <c r="I67" s="41"/>
      <c r="J67" s="41"/>
      <c r="K67" s="41"/>
      <c r="L67" s="31"/>
      <c r="M67" s="31"/>
      <c r="N67" s="31"/>
      <c r="O67" s="31"/>
      <c r="P67" s="31"/>
      <c r="Q67" s="31"/>
    </row>
    <row r="68" spans="1:17" s="22" customFormat="1" ht="12">
      <c r="A68" s="31"/>
      <c r="B68" s="144" t="s">
        <v>1279</v>
      </c>
      <c r="C68" s="41"/>
      <c r="D68" s="41"/>
      <c r="E68" s="41"/>
      <c r="F68" s="41"/>
      <c r="G68" s="41"/>
      <c r="H68" s="41"/>
      <c r="I68" s="41"/>
      <c r="J68" s="41"/>
      <c r="K68" s="41"/>
      <c r="L68" s="31"/>
      <c r="M68" s="31"/>
      <c r="N68" s="31"/>
      <c r="O68" s="31"/>
      <c r="P68" s="31"/>
      <c r="Q68" s="31"/>
    </row>
    <row r="69" spans="1:17" s="22" customFormat="1" ht="12">
      <c r="A69" s="31"/>
      <c r="B69" s="144" t="s">
        <v>1280</v>
      </c>
      <c r="C69" s="41"/>
      <c r="D69" s="41"/>
      <c r="E69" s="41"/>
      <c r="F69" s="41"/>
      <c r="G69" s="41"/>
      <c r="H69" s="41"/>
      <c r="I69" s="41"/>
      <c r="J69" s="41"/>
      <c r="K69" s="41"/>
      <c r="L69" s="31"/>
      <c r="M69" s="31"/>
      <c r="N69" s="31"/>
      <c r="O69" s="31"/>
      <c r="P69" s="31"/>
      <c r="Q69" s="31"/>
    </row>
    <row r="70" spans="1:17" ht="13.35" customHeight="1">
      <c r="A70" s="24"/>
      <c r="B70" s="14"/>
      <c r="C70" s="14"/>
      <c r="D70" s="14"/>
      <c r="E70" s="14"/>
      <c r="F70" s="14"/>
      <c r="G70" s="14"/>
      <c r="H70" s="14"/>
      <c r="I70" s="14"/>
      <c r="J70" s="14"/>
      <c r="K70" s="14"/>
      <c r="L70" s="24"/>
      <c r="M70" s="24"/>
      <c r="N70" s="24"/>
      <c r="O70" s="24"/>
      <c r="P70" s="24"/>
      <c r="Q70" s="24"/>
    </row>
    <row r="71" spans="1:17" ht="13.35" customHeight="1">
      <c r="A71" s="24"/>
      <c r="B71" s="14"/>
      <c r="C71" s="14"/>
      <c r="D71" s="14"/>
      <c r="E71" s="14"/>
      <c r="F71" s="14"/>
      <c r="G71" s="14"/>
      <c r="H71" s="14"/>
      <c r="I71" s="14"/>
      <c r="J71" s="14"/>
      <c r="K71" s="14"/>
      <c r="L71" s="24"/>
      <c r="M71" s="24"/>
      <c r="N71" s="24"/>
      <c r="O71" s="24"/>
      <c r="P71" s="24"/>
      <c r="Q71" s="24"/>
    </row>
    <row r="72" spans="1:17" s="22" customFormat="1" ht="15.75" customHeight="1">
      <c r="A72" s="31"/>
      <c r="B72" s="40" t="s">
        <v>1281</v>
      </c>
      <c r="C72" s="41"/>
      <c r="D72" s="41"/>
      <c r="E72" s="41"/>
      <c r="F72" s="41"/>
      <c r="G72" s="41"/>
      <c r="H72" s="41"/>
      <c r="I72" s="41"/>
      <c r="J72" s="41"/>
      <c r="K72" s="41"/>
      <c r="L72" s="31"/>
      <c r="M72" s="31"/>
      <c r="N72" s="31"/>
      <c r="O72" s="31"/>
      <c r="P72" s="31"/>
      <c r="Q72" s="31"/>
    </row>
    <row r="73" spans="1:17" s="22" customFormat="1" ht="26.25" customHeight="1">
      <c r="A73" s="31"/>
      <c r="B73" s="323" t="s">
        <v>1282</v>
      </c>
      <c r="C73" s="323"/>
      <c r="D73" s="323"/>
      <c r="E73" s="323"/>
      <c r="F73" s="323"/>
      <c r="G73" s="323"/>
      <c r="H73" s="323"/>
      <c r="I73" s="323"/>
      <c r="J73" s="323"/>
      <c r="K73" s="323"/>
      <c r="L73" s="323"/>
      <c r="M73" s="323"/>
      <c r="N73" s="31"/>
      <c r="O73" s="31"/>
      <c r="P73" s="31"/>
      <c r="Q73" s="31"/>
    </row>
    <row r="74" spans="1:17" ht="13.35" customHeight="1" thickBot="1">
      <c r="A74" s="24"/>
      <c r="B74" s="14"/>
      <c r="C74" s="14"/>
      <c r="D74" s="14"/>
      <c r="E74" s="14"/>
      <c r="F74" s="14"/>
      <c r="G74" s="14"/>
      <c r="H74" s="14"/>
      <c r="I74" s="14"/>
      <c r="J74" s="14"/>
      <c r="K74" s="14"/>
      <c r="L74" s="24"/>
      <c r="M74" s="24"/>
      <c r="N74" s="24"/>
      <c r="O74" s="24"/>
      <c r="P74" s="24"/>
      <c r="Q74" s="24"/>
    </row>
    <row r="75" spans="1:17" ht="21.75" customHeight="1">
      <c r="A75" s="24"/>
      <c r="B75" s="145"/>
      <c r="C75" s="146"/>
      <c r="D75" s="349" t="s">
        <v>1283</v>
      </c>
      <c r="E75" s="350"/>
      <c r="F75" s="350"/>
      <c r="G75" s="350"/>
      <c r="H75" s="351"/>
      <c r="I75" s="24"/>
      <c r="J75" s="24"/>
      <c r="K75" s="24"/>
      <c r="L75" s="24"/>
      <c r="M75" s="24"/>
      <c r="N75" s="24"/>
      <c r="O75" s="24"/>
      <c r="P75" s="24"/>
      <c r="Q75" s="24"/>
    </row>
    <row r="76" spans="1:17" ht="34.5" thickBot="1">
      <c r="A76" s="24"/>
      <c r="B76" s="47"/>
      <c r="C76" s="48" t="s">
        <v>1284</v>
      </c>
      <c r="D76" s="137" t="s">
        <v>27</v>
      </c>
      <c r="E76" s="325" t="s">
        <v>94</v>
      </c>
      <c r="F76" s="326"/>
      <c r="G76" s="186" t="s">
        <v>28</v>
      </c>
      <c r="H76" s="191" t="s">
        <v>1285</v>
      </c>
      <c r="I76" s="24"/>
      <c r="J76" s="24"/>
      <c r="K76" s="24"/>
      <c r="L76" s="24"/>
      <c r="M76" s="24"/>
      <c r="N76" s="24"/>
      <c r="O76" s="24"/>
      <c r="P76" s="24"/>
      <c r="Q76" s="24"/>
    </row>
    <row r="77" spans="1:17" ht="15.75" customHeight="1" thickBot="1">
      <c r="A77" s="24"/>
      <c r="B77" s="327" t="s">
        <v>1286</v>
      </c>
      <c r="C77" s="49" t="s">
        <v>1262</v>
      </c>
      <c r="D77" s="142"/>
      <c r="E77" s="143"/>
      <c r="F77" s="143"/>
      <c r="G77" s="142"/>
      <c r="H77" s="143"/>
      <c r="I77" s="24"/>
      <c r="J77" s="24"/>
      <c r="K77" s="24"/>
      <c r="L77" s="24"/>
      <c r="M77" s="24"/>
      <c r="N77" s="24"/>
      <c r="O77" s="24"/>
      <c r="P77" s="24"/>
      <c r="Q77" s="24"/>
    </row>
    <row r="78" spans="1:17" ht="15.75" customHeight="1" thickBot="1">
      <c r="A78" s="24"/>
      <c r="B78" s="328"/>
      <c r="C78" s="49" t="s">
        <v>1264</v>
      </c>
      <c r="D78" s="142"/>
      <c r="E78" s="143"/>
      <c r="F78" s="143"/>
      <c r="G78" s="142"/>
      <c r="H78" s="143"/>
      <c r="I78" s="24"/>
      <c r="J78" s="24"/>
      <c r="K78" s="24"/>
      <c r="L78" s="24"/>
      <c r="M78" s="24"/>
      <c r="N78" s="24"/>
      <c r="O78" s="24"/>
      <c r="P78" s="24"/>
      <c r="Q78" s="24"/>
    </row>
    <row r="79" spans="1:17" ht="15.75" customHeight="1" thickBot="1">
      <c r="A79" s="24"/>
      <c r="B79" s="328"/>
      <c r="C79" s="49" t="s">
        <v>1266</v>
      </c>
      <c r="D79" s="142"/>
      <c r="E79" s="143"/>
      <c r="F79" s="143"/>
      <c r="G79" s="142"/>
      <c r="H79" s="143"/>
      <c r="I79" s="24"/>
      <c r="J79" s="24"/>
      <c r="K79" s="24"/>
      <c r="L79" s="24"/>
      <c r="M79" s="24"/>
      <c r="N79" s="24"/>
      <c r="O79" s="24"/>
      <c r="P79" s="24"/>
      <c r="Q79" s="24"/>
    </row>
    <row r="80" spans="1:17" ht="15.75" customHeight="1" thickBot="1">
      <c r="A80" s="24"/>
      <c r="B80" s="328"/>
      <c r="C80" s="49" t="s">
        <v>1268</v>
      </c>
      <c r="D80" s="142"/>
      <c r="E80" s="143"/>
      <c r="F80" s="143"/>
      <c r="G80" s="142"/>
      <c r="H80" s="143"/>
      <c r="I80" s="24"/>
      <c r="J80" s="24"/>
      <c r="K80" s="24"/>
      <c r="L80" s="24"/>
      <c r="M80" s="24"/>
      <c r="N80" s="24"/>
      <c r="O80" s="24"/>
      <c r="P80" s="24"/>
      <c r="Q80" s="24"/>
    </row>
    <row r="81" spans="1:17" ht="15.75" customHeight="1" thickBot="1">
      <c r="A81" s="24"/>
      <c r="B81" s="329"/>
      <c r="C81" s="49" t="s">
        <v>1270</v>
      </c>
      <c r="D81" s="142"/>
      <c r="E81" s="143"/>
      <c r="F81" s="143"/>
      <c r="G81" s="142"/>
      <c r="H81" s="143"/>
      <c r="I81" s="24"/>
      <c r="J81" s="24"/>
      <c r="K81" s="24"/>
      <c r="L81" s="24"/>
      <c r="M81" s="24"/>
      <c r="N81" s="24"/>
      <c r="O81" s="24"/>
      <c r="P81" s="24"/>
      <c r="Q81" s="24"/>
    </row>
    <row r="82" spans="1:17" ht="13.35" customHeight="1">
      <c r="A82" s="24"/>
      <c r="B82" s="14"/>
      <c r="C82" s="14"/>
      <c r="D82" s="14"/>
      <c r="E82" s="14"/>
      <c r="F82" s="14"/>
      <c r="G82" s="14"/>
      <c r="H82" s="14"/>
      <c r="I82" s="14"/>
      <c r="J82" s="14"/>
      <c r="K82" s="14"/>
      <c r="L82" s="24"/>
      <c r="M82" s="24"/>
      <c r="N82" s="24"/>
      <c r="O82" s="24"/>
      <c r="P82" s="24"/>
      <c r="Q82" s="24"/>
    </row>
    <row r="83" spans="1:17" ht="13.35" customHeight="1">
      <c r="A83" s="24"/>
      <c r="B83" s="14"/>
      <c r="C83" s="14"/>
      <c r="D83" s="14"/>
      <c r="E83" s="14"/>
      <c r="F83" s="14"/>
      <c r="G83" s="14"/>
      <c r="H83" s="14"/>
      <c r="I83" s="14"/>
      <c r="J83" s="14"/>
      <c r="K83" s="14"/>
      <c r="L83" s="24"/>
      <c r="M83" s="24"/>
      <c r="N83" s="24"/>
      <c r="O83" s="24"/>
      <c r="P83" s="24"/>
      <c r="Q83" s="24"/>
    </row>
    <row r="84" spans="1:17" s="22" customFormat="1" ht="15.75" customHeight="1">
      <c r="A84" s="31"/>
      <c r="B84" s="40" t="s">
        <v>1287</v>
      </c>
      <c r="C84" s="41"/>
      <c r="D84" s="41"/>
      <c r="E84" s="41"/>
      <c r="F84" s="41"/>
      <c r="G84" s="41"/>
      <c r="H84" s="41"/>
      <c r="I84" s="41"/>
      <c r="J84" s="41"/>
      <c r="K84" s="41"/>
      <c r="L84" s="31"/>
      <c r="M84" s="31"/>
      <c r="N84" s="31"/>
      <c r="O84" s="31"/>
      <c r="P84" s="31"/>
      <c r="Q84" s="31"/>
    </row>
    <row r="85" spans="1:17">
      <c r="A85" s="24"/>
      <c r="B85" s="141" t="s">
        <v>1288</v>
      </c>
      <c r="C85" s="16"/>
      <c r="D85" s="24"/>
      <c r="E85" s="16"/>
      <c r="F85" s="16"/>
      <c r="G85" s="16"/>
      <c r="H85" s="16"/>
      <c r="I85" s="16"/>
      <c r="J85" s="16"/>
      <c r="K85" s="16"/>
      <c r="L85" s="24"/>
      <c r="M85" s="24"/>
      <c r="N85" s="24"/>
      <c r="O85" s="24"/>
      <c r="P85" s="24"/>
      <c r="Q85" s="24"/>
    </row>
    <row r="86" spans="1:17" ht="15" thickBot="1">
      <c r="A86" s="24"/>
      <c r="B86" s="141" t="s">
        <v>1289</v>
      </c>
      <c r="C86" s="24"/>
      <c r="D86" s="24"/>
      <c r="E86" s="24"/>
      <c r="F86" s="24"/>
      <c r="G86" s="24"/>
      <c r="H86" s="24"/>
      <c r="I86" s="24"/>
      <c r="J86" s="24"/>
      <c r="K86" s="24"/>
      <c r="L86" s="24"/>
      <c r="M86" s="24"/>
      <c r="N86" s="24"/>
      <c r="O86" s="24"/>
      <c r="P86" s="24"/>
      <c r="Q86" s="24"/>
    </row>
    <row r="87" spans="1:17" s="22" customFormat="1" ht="24.75" customHeight="1" thickBot="1">
      <c r="A87" s="31"/>
      <c r="B87" s="50" t="s">
        <v>1290</v>
      </c>
      <c r="C87" s="51" t="s">
        <v>11</v>
      </c>
      <c r="D87" s="331" t="s">
        <v>1261</v>
      </c>
      <c r="E87" s="314"/>
      <c r="F87" s="314"/>
      <c r="G87" s="314"/>
      <c r="H87" s="314"/>
      <c r="I87" s="314"/>
      <c r="J87" s="314"/>
      <c r="K87" s="314"/>
      <c r="L87" s="314"/>
      <c r="M87" s="332"/>
      <c r="N87" s="31"/>
      <c r="O87" s="31"/>
      <c r="P87" s="31"/>
      <c r="Q87" s="31"/>
    </row>
    <row r="88" spans="1:17" s="22" customFormat="1" ht="23.25" customHeight="1" thickBot="1">
      <c r="A88" s="31"/>
      <c r="B88" s="52" t="s">
        <v>27</v>
      </c>
      <c r="C88" s="53" t="s">
        <v>27</v>
      </c>
      <c r="D88" s="306" t="s">
        <v>1291</v>
      </c>
      <c r="E88" s="307"/>
      <c r="F88" s="307"/>
      <c r="G88" s="307"/>
      <c r="H88" s="307"/>
      <c r="I88" s="307"/>
      <c r="J88" s="307"/>
      <c r="K88" s="307"/>
      <c r="L88" s="307"/>
      <c r="M88" s="308"/>
      <c r="N88" s="31"/>
      <c r="O88" s="31"/>
      <c r="P88" s="31"/>
      <c r="Q88" s="31"/>
    </row>
    <row r="89" spans="1:17" s="22" customFormat="1" ht="37.35" customHeight="1" thickBot="1">
      <c r="A89" s="31"/>
      <c r="B89" s="52" t="s">
        <v>1292</v>
      </c>
      <c r="C89" s="53" t="s">
        <v>27</v>
      </c>
      <c r="D89" s="306" t="s">
        <v>1293</v>
      </c>
      <c r="E89" s="307"/>
      <c r="F89" s="307"/>
      <c r="G89" s="307"/>
      <c r="H89" s="307"/>
      <c r="I89" s="307"/>
      <c r="J89" s="307"/>
      <c r="K89" s="307"/>
      <c r="L89" s="307"/>
      <c r="M89" s="308"/>
      <c r="N89" s="31"/>
      <c r="O89" s="31"/>
      <c r="P89" s="31"/>
      <c r="Q89" s="31"/>
    </row>
    <row r="90" spans="1:17" s="22" customFormat="1" ht="46.35" customHeight="1" thickBot="1">
      <c r="A90" s="31"/>
      <c r="B90" s="52" t="s">
        <v>28</v>
      </c>
      <c r="C90" s="53" t="s">
        <v>29</v>
      </c>
      <c r="D90" s="306" t="s">
        <v>1294</v>
      </c>
      <c r="E90" s="307"/>
      <c r="F90" s="307"/>
      <c r="G90" s="307"/>
      <c r="H90" s="307"/>
      <c r="I90" s="307"/>
      <c r="J90" s="307"/>
      <c r="K90" s="307"/>
      <c r="L90" s="307"/>
      <c r="M90" s="308"/>
      <c r="N90" s="31"/>
      <c r="O90" s="31"/>
      <c r="P90" s="31"/>
      <c r="Q90" s="31"/>
    </row>
    <row r="91" spans="1:17" s="22" customFormat="1" ht="27.6" customHeight="1" thickBot="1">
      <c r="A91" s="31"/>
      <c r="B91" s="52" t="s">
        <v>1295</v>
      </c>
      <c r="C91" s="53" t="s">
        <v>29</v>
      </c>
      <c r="D91" s="306" t="s">
        <v>1296</v>
      </c>
      <c r="E91" s="307"/>
      <c r="F91" s="307"/>
      <c r="G91" s="307"/>
      <c r="H91" s="307"/>
      <c r="I91" s="307"/>
      <c r="J91" s="307"/>
      <c r="K91" s="307"/>
      <c r="L91" s="307"/>
      <c r="M91" s="308"/>
      <c r="N91" s="31"/>
      <c r="O91" s="31"/>
      <c r="P91" s="31"/>
      <c r="Q91" s="31"/>
    </row>
    <row r="92" spans="1:17" ht="13.35" customHeight="1">
      <c r="A92" s="24"/>
      <c r="B92" s="14"/>
      <c r="C92" s="14"/>
      <c r="D92" s="14"/>
      <c r="E92" s="14"/>
      <c r="F92" s="14"/>
      <c r="G92" s="14"/>
      <c r="H92" s="14"/>
      <c r="I92" s="14"/>
      <c r="J92" s="14"/>
      <c r="K92" s="14"/>
      <c r="L92" s="24"/>
      <c r="M92" s="24"/>
      <c r="N92" s="24"/>
      <c r="O92" s="24"/>
      <c r="P92" s="24"/>
      <c r="Q92" s="24"/>
    </row>
    <row r="93" spans="1:17" ht="13.35" customHeight="1">
      <c r="A93" s="24"/>
      <c r="B93" s="14"/>
      <c r="C93" s="14"/>
      <c r="D93" s="14"/>
      <c r="E93" s="14"/>
      <c r="F93" s="14"/>
      <c r="G93" s="14"/>
      <c r="H93" s="14"/>
      <c r="I93" s="14"/>
      <c r="J93" s="14"/>
      <c r="K93" s="14"/>
      <c r="L93" s="24"/>
      <c r="M93" s="24"/>
      <c r="N93" s="24"/>
      <c r="O93" s="24"/>
      <c r="P93" s="24"/>
      <c r="Q93" s="24"/>
    </row>
    <row r="94" spans="1:17" s="22" customFormat="1" ht="15.75" customHeight="1">
      <c r="A94" s="31"/>
      <c r="B94" s="40" t="s">
        <v>1297</v>
      </c>
      <c r="C94" s="41"/>
      <c r="D94" s="41"/>
      <c r="E94" s="41"/>
      <c r="F94" s="41"/>
      <c r="G94" s="41"/>
      <c r="H94" s="41"/>
      <c r="I94" s="41"/>
      <c r="J94" s="41"/>
      <c r="K94" s="41"/>
      <c r="L94" s="31"/>
      <c r="M94" s="31"/>
      <c r="N94" s="31"/>
      <c r="O94" s="31"/>
      <c r="P94" s="31"/>
      <c r="Q94" s="31"/>
    </row>
    <row r="95" spans="1:17" s="22" customFormat="1" ht="12">
      <c r="A95" s="31"/>
      <c r="B95" s="147" t="s">
        <v>1231</v>
      </c>
      <c r="C95" s="41"/>
      <c r="D95" s="31"/>
      <c r="E95" s="31"/>
      <c r="F95" s="31"/>
      <c r="G95" s="31"/>
      <c r="H95" s="31"/>
      <c r="I95" s="31"/>
      <c r="J95" s="31"/>
      <c r="K95" s="31"/>
      <c r="L95" s="31"/>
      <c r="M95" s="31"/>
      <c r="N95" s="31"/>
      <c r="O95" s="31"/>
      <c r="P95" s="31"/>
      <c r="Q95" s="31"/>
    </row>
    <row r="96" spans="1:17" s="22" customFormat="1" ht="12">
      <c r="A96" s="31"/>
      <c r="B96" s="147"/>
      <c r="C96" s="41"/>
      <c r="D96" s="31"/>
      <c r="E96" s="31"/>
      <c r="F96" s="31"/>
      <c r="G96" s="31"/>
      <c r="H96" s="31"/>
      <c r="I96" s="31"/>
      <c r="J96" s="31"/>
      <c r="K96" s="31"/>
      <c r="L96" s="31"/>
      <c r="M96" s="31"/>
      <c r="N96" s="31"/>
      <c r="O96" s="31"/>
      <c r="P96" s="31"/>
      <c r="Q96" s="31"/>
    </row>
    <row r="97" spans="1:17" s="23" customFormat="1" ht="15.75" customHeight="1">
      <c r="A97" s="16"/>
      <c r="B97" s="54" t="s">
        <v>1298</v>
      </c>
      <c r="C97" s="148"/>
      <c r="D97" s="16"/>
      <c r="E97" s="16"/>
      <c r="F97" s="16"/>
      <c r="G97" s="16"/>
      <c r="H97" s="16"/>
      <c r="I97" s="16"/>
      <c r="J97" s="16"/>
      <c r="K97" s="16"/>
      <c r="L97" s="16"/>
      <c r="M97" s="16"/>
      <c r="N97" s="16"/>
      <c r="O97" s="16"/>
      <c r="P97" s="16"/>
      <c r="Q97" s="16"/>
    </row>
    <row r="98" spans="1:17" s="23" customFormat="1" ht="11.25">
      <c r="A98" s="16"/>
      <c r="B98" s="149" t="s">
        <v>1299</v>
      </c>
      <c r="C98" s="148"/>
      <c r="D98" s="16"/>
      <c r="E98" s="16"/>
      <c r="F98" s="16"/>
      <c r="G98" s="16"/>
      <c r="H98" s="16"/>
      <c r="I98" s="16"/>
      <c r="J98" s="16"/>
      <c r="K98" s="16"/>
      <c r="L98" s="16"/>
      <c r="M98" s="16"/>
      <c r="N98" s="16"/>
      <c r="O98" s="16"/>
      <c r="P98" s="16"/>
      <c r="Q98" s="16"/>
    </row>
    <row r="99" spans="1:17" s="23" customFormat="1" ht="11.25">
      <c r="A99" s="16"/>
      <c r="B99" s="150" t="s">
        <v>1300</v>
      </c>
      <c r="C99" s="148"/>
      <c r="D99" s="16"/>
      <c r="E99" s="16"/>
      <c r="F99" s="16"/>
      <c r="G99" s="16"/>
      <c r="H99" s="16"/>
      <c r="I99" s="16"/>
      <c r="J99" s="16"/>
      <c r="K99" s="16"/>
      <c r="L99" s="16"/>
      <c r="M99" s="16"/>
      <c r="N99" s="16"/>
      <c r="O99" s="16"/>
      <c r="P99" s="16"/>
      <c r="Q99" s="16"/>
    </row>
    <row r="100" spans="1:17" s="23" customFormat="1" ht="11.25">
      <c r="A100" s="16"/>
      <c r="B100" s="150" t="s">
        <v>1301</v>
      </c>
      <c r="C100" s="148"/>
      <c r="D100" s="16"/>
      <c r="E100" s="16"/>
      <c r="F100" s="16"/>
      <c r="G100" s="16"/>
      <c r="H100" s="16"/>
      <c r="I100" s="16"/>
      <c r="J100" s="16"/>
      <c r="K100" s="16"/>
      <c r="L100" s="16"/>
      <c r="M100" s="16"/>
      <c r="N100" s="16"/>
      <c r="O100" s="16"/>
      <c r="P100" s="16"/>
      <c r="Q100" s="16"/>
    </row>
    <row r="101" spans="1:17" s="23" customFormat="1" ht="11.25">
      <c r="A101" s="16"/>
      <c r="B101" s="150" t="s">
        <v>1302</v>
      </c>
      <c r="C101" s="148"/>
      <c r="D101" s="16"/>
      <c r="E101" s="16"/>
      <c r="F101" s="16"/>
      <c r="G101" s="16"/>
      <c r="H101" s="16"/>
      <c r="I101" s="16"/>
      <c r="J101" s="16"/>
      <c r="K101" s="16"/>
      <c r="L101" s="16"/>
      <c r="M101" s="16"/>
      <c r="N101" s="16"/>
      <c r="O101" s="16"/>
      <c r="P101" s="16"/>
      <c r="Q101" s="16"/>
    </row>
    <row r="102" spans="1:17" s="23" customFormat="1" ht="11.25">
      <c r="A102" s="16"/>
      <c r="B102" s="144"/>
      <c r="C102" s="148"/>
      <c r="D102" s="16"/>
      <c r="E102" s="16"/>
      <c r="F102" s="16"/>
      <c r="G102" s="16"/>
      <c r="H102" s="16"/>
      <c r="I102" s="16"/>
      <c r="J102" s="16"/>
      <c r="K102" s="16"/>
      <c r="L102" s="16"/>
      <c r="M102" s="16"/>
      <c r="N102" s="16"/>
      <c r="O102" s="16"/>
      <c r="P102" s="16"/>
      <c r="Q102" s="16"/>
    </row>
    <row r="103" spans="1:17" s="22" customFormat="1" ht="12">
      <c r="A103" s="31"/>
      <c r="B103" s="63" t="s">
        <v>1303</v>
      </c>
      <c r="C103" s="41"/>
      <c r="D103" s="31"/>
      <c r="E103" s="31"/>
      <c r="F103" s="31"/>
      <c r="G103" s="31"/>
      <c r="H103" s="31"/>
      <c r="I103" s="31"/>
      <c r="J103" s="31"/>
      <c r="K103" s="31"/>
      <c r="L103" s="31"/>
      <c r="M103" s="31"/>
      <c r="N103" s="31"/>
      <c r="O103" s="31"/>
      <c r="P103" s="31"/>
      <c r="Q103" s="31"/>
    </row>
    <row r="104" spans="1:17" s="23" customFormat="1" ht="11.25">
      <c r="A104" s="16"/>
      <c r="B104" s="151" t="s">
        <v>1304</v>
      </c>
      <c r="C104" s="148"/>
      <c r="D104" s="16"/>
      <c r="E104" s="16"/>
      <c r="F104" s="16"/>
      <c r="G104" s="16"/>
      <c r="H104" s="16"/>
      <c r="I104" s="16"/>
      <c r="J104" s="16"/>
      <c r="K104" s="16"/>
      <c r="L104" s="16"/>
      <c r="M104" s="16"/>
      <c r="N104" s="16"/>
      <c r="O104" s="16"/>
      <c r="P104" s="16"/>
      <c r="Q104" s="16"/>
    </row>
    <row r="105" spans="1:17" s="23" customFormat="1" ht="11.25">
      <c r="A105" s="16"/>
      <c r="B105" s="149"/>
      <c r="C105" s="148"/>
      <c r="D105" s="16"/>
      <c r="E105" s="16"/>
      <c r="F105" s="16"/>
      <c r="G105" s="16"/>
      <c r="H105" s="16"/>
      <c r="I105" s="16"/>
      <c r="J105" s="16"/>
      <c r="K105" s="16"/>
      <c r="L105" s="16"/>
      <c r="M105" s="16"/>
      <c r="N105" s="16"/>
      <c r="O105" s="16"/>
      <c r="P105" s="16"/>
      <c r="Q105" s="16"/>
    </row>
    <row r="106" spans="1:17" s="22" customFormat="1" ht="12">
      <c r="A106" s="31"/>
      <c r="B106" s="56"/>
      <c r="C106" s="41"/>
      <c r="D106" s="31"/>
      <c r="E106" s="31"/>
      <c r="F106" s="31"/>
      <c r="G106" s="31"/>
      <c r="H106" s="31"/>
      <c r="I106" s="31"/>
      <c r="J106" s="31"/>
      <c r="K106" s="31"/>
      <c r="L106" s="31"/>
      <c r="M106" s="31"/>
      <c r="N106" s="31"/>
      <c r="O106" s="31"/>
      <c r="P106" s="31"/>
      <c r="Q106" s="31"/>
    </row>
    <row r="107" spans="1:17" s="22" customFormat="1" ht="12">
      <c r="A107" s="31"/>
      <c r="B107" s="55" t="s">
        <v>1305</v>
      </c>
      <c r="C107" s="41"/>
      <c r="D107" s="31"/>
      <c r="E107" s="31"/>
      <c r="F107" s="31"/>
      <c r="G107" s="31"/>
      <c r="H107" s="31"/>
      <c r="I107" s="31"/>
      <c r="J107" s="31"/>
      <c r="K107" s="31"/>
      <c r="L107" s="31"/>
      <c r="M107" s="31"/>
      <c r="N107" s="31"/>
      <c r="O107" s="31"/>
      <c r="P107" s="31"/>
      <c r="Q107" s="31"/>
    </row>
    <row r="108" spans="1:17" s="23" customFormat="1" ht="11.25">
      <c r="A108" s="16"/>
      <c r="B108" s="149" t="s">
        <v>1306</v>
      </c>
      <c r="C108" s="148"/>
      <c r="D108" s="16"/>
      <c r="E108" s="16"/>
      <c r="F108" s="16"/>
      <c r="G108" s="16"/>
      <c r="H108" s="16"/>
      <c r="I108" s="16"/>
      <c r="J108" s="16"/>
      <c r="K108" s="16"/>
      <c r="L108" s="16"/>
      <c r="M108" s="16"/>
      <c r="N108" s="16"/>
      <c r="O108" s="16"/>
      <c r="P108" s="16"/>
      <c r="Q108" s="16"/>
    </row>
    <row r="109" spans="1:17" s="22" customFormat="1" ht="12">
      <c r="A109" s="31"/>
      <c r="B109" s="56"/>
      <c r="C109" s="41"/>
      <c r="D109" s="31"/>
      <c r="E109" s="31"/>
      <c r="F109" s="31"/>
      <c r="G109" s="31"/>
      <c r="H109" s="31"/>
      <c r="I109" s="31"/>
      <c r="J109" s="31"/>
      <c r="K109" s="31"/>
      <c r="L109" s="31"/>
      <c r="M109" s="31"/>
      <c r="N109" s="31"/>
      <c r="O109" s="31"/>
      <c r="P109" s="31"/>
      <c r="Q109" s="31"/>
    </row>
    <row r="110" spans="1:17" s="22" customFormat="1" ht="12">
      <c r="A110" s="31"/>
      <c r="B110" s="63" t="s">
        <v>1307</v>
      </c>
      <c r="C110" s="41"/>
      <c r="D110" s="31"/>
      <c r="E110" s="31"/>
      <c r="F110" s="31"/>
      <c r="G110" s="31"/>
      <c r="H110" s="31"/>
      <c r="I110" s="31"/>
      <c r="J110" s="31"/>
      <c r="K110" s="31"/>
      <c r="L110" s="31"/>
      <c r="M110" s="31"/>
      <c r="N110" s="31"/>
      <c r="O110" s="31"/>
      <c r="P110" s="31"/>
      <c r="Q110" s="31"/>
    </row>
    <row r="111" spans="1:17" s="23" customFormat="1" ht="11.25">
      <c r="A111" s="16"/>
      <c r="B111" s="151" t="s">
        <v>1308</v>
      </c>
      <c r="C111" s="148"/>
      <c r="D111" s="16"/>
      <c r="E111" s="16"/>
      <c r="F111" s="16"/>
      <c r="G111" s="16"/>
      <c r="H111" s="16"/>
      <c r="I111" s="16"/>
      <c r="J111" s="16"/>
      <c r="K111" s="16"/>
      <c r="L111" s="16"/>
      <c r="M111" s="16"/>
      <c r="N111" s="16"/>
      <c r="O111" s="16"/>
      <c r="P111" s="16"/>
      <c r="Q111" s="16"/>
    </row>
    <row r="112" spans="1:17" s="23" customFormat="1" ht="11.25">
      <c r="A112" s="16"/>
      <c r="B112" s="149"/>
      <c r="C112" s="148"/>
      <c r="D112" s="16"/>
      <c r="E112" s="16"/>
      <c r="F112" s="16"/>
      <c r="G112" s="16"/>
      <c r="H112" s="16"/>
      <c r="I112" s="16"/>
      <c r="J112" s="16"/>
      <c r="K112" s="16"/>
      <c r="L112" s="16"/>
      <c r="M112" s="16"/>
      <c r="N112" s="16"/>
      <c r="O112" s="16"/>
      <c r="P112" s="16"/>
      <c r="Q112" s="16"/>
    </row>
    <row r="113" spans="1:17" s="22" customFormat="1" ht="12">
      <c r="A113" s="31"/>
      <c r="B113" s="57"/>
      <c r="C113" s="41"/>
      <c r="D113" s="31"/>
      <c r="E113" s="31"/>
      <c r="F113" s="31"/>
      <c r="G113" s="31"/>
      <c r="H113" s="31"/>
      <c r="I113" s="31"/>
      <c r="J113" s="31"/>
      <c r="K113" s="31"/>
      <c r="L113" s="31"/>
      <c r="M113" s="31"/>
      <c r="N113" s="31"/>
      <c r="O113" s="31"/>
      <c r="P113" s="31"/>
      <c r="Q113" s="31"/>
    </row>
    <row r="114" spans="1:17" s="22" customFormat="1" ht="12">
      <c r="A114" s="31"/>
      <c r="B114" s="58" t="s">
        <v>1309</v>
      </c>
      <c r="C114" s="41"/>
      <c r="D114" s="31"/>
      <c r="E114" s="31"/>
      <c r="F114" s="31"/>
      <c r="G114" s="31"/>
      <c r="H114" s="31"/>
      <c r="I114" s="31"/>
      <c r="J114" s="31"/>
      <c r="K114" s="31"/>
      <c r="L114" s="31"/>
      <c r="M114" s="31"/>
      <c r="N114" s="31"/>
      <c r="O114" s="31"/>
      <c r="P114" s="31"/>
      <c r="Q114" s="31"/>
    </row>
    <row r="115" spans="1:17" s="23" customFormat="1" ht="11.25">
      <c r="A115" s="16"/>
      <c r="B115" s="152" t="s">
        <v>1310</v>
      </c>
      <c r="C115" s="148"/>
      <c r="D115" s="16"/>
      <c r="E115" s="16"/>
      <c r="F115" s="16"/>
      <c r="G115" s="16"/>
      <c r="H115" s="16"/>
      <c r="I115" s="16"/>
      <c r="J115" s="16"/>
      <c r="K115" s="16"/>
      <c r="L115" s="16"/>
      <c r="M115" s="16"/>
      <c r="N115" s="16"/>
      <c r="O115" s="16"/>
      <c r="P115" s="16"/>
      <c r="Q115" s="16"/>
    </row>
    <row r="116" spans="1:17" s="23" customFormat="1" ht="11.25">
      <c r="A116" s="16"/>
      <c r="B116" s="152" t="s">
        <v>1311</v>
      </c>
      <c r="C116" s="148"/>
      <c r="D116" s="16"/>
      <c r="E116" s="16"/>
      <c r="F116" s="16"/>
      <c r="G116" s="16"/>
      <c r="H116" s="16"/>
      <c r="I116" s="16"/>
      <c r="J116" s="16"/>
      <c r="K116" s="16"/>
      <c r="L116" s="16"/>
      <c r="M116" s="16"/>
      <c r="N116" s="16"/>
      <c r="O116" s="16"/>
      <c r="P116" s="16"/>
      <c r="Q116" s="16"/>
    </row>
    <row r="117" spans="1:17" s="23" customFormat="1" ht="11.25">
      <c r="A117" s="16"/>
      <c r="B117" s="152" t="s">
        <v>1312</v>
      </c>
      <c r="C117" s="148"/>
      <c r="D117" s="16"/>
      <c r="E117" s="16"/>
      <c r="F117" s="16"/>
      <c r="G117" s="16"/>
      <c r="H117" s="16"/>
      <c r="I117" s="16"/>
      <c r="J117" s="16"/>
      <c r="K117" s="16"/>
      <c r="L117" s="16"/>
      <c r="M117" s="16"/>
      <c r="N117" s="16"/>
      <c r="O117" s="16"/>
      <c r="P117" s="16"/>
      <c r="Q117" s="16"/>
    </row>
    <row r="118" spans="1:17" s="23" customFormat="1" ht="11.25">
      <c r="A118" s="16"/>
      <c r="B118" s="152" t="s">
        <v>1313</v>
      </c>
      <c r="C118" s="148"/>
      <c r="D118" s="16"/>
      <c r="E118" s="16"/>
      <c r="F118" s="16"/>
      <c r="G118" s="16"/>
      <c r="H118" s="16"/>
      <c r="I118" s="16"/>
      <c r="J118" s="16"/>
      <c r="K118" s="16"/>
      <c r="L118" s="16"/>
      <c r="M118" s="16"/>
      <c r="N118" s="16"/>
      <c r="O118" s="16"/>
      <c r="P118" s="16"/>
      <c r="Q118" s="16"/>
    </row>
    <row r="119" spans="1:17" s="23" customFormat="1" ht="11.25">
      <c r="A119" s="16"/>
      <c r="B119" s="152" t="s">
        <v>1314</v>
      </c>
      <c r="C119" s="148"/>
      <c r="D119" s="16"/>
      <c r="E119" s="16"/>
      <c r="F119" s="16"/>
      <c r="G119" s="16"/>
      <c r="H119" s="16"/>
      <c r="I119" s="16"/>
      <c r="J119" s="16"/>
      <c r="K119" s="16"/>
      <c r="L119" s="16"/>
      <c r="M119" s="16"/>
      <c r="N119" s="16"/>
      <c r="O119" s="16"/>
      <c r="P119" s="16"/>
      <c r="Q119" s="16"/>
    </row>
    <row r="120" spans="1:17" s="23" customFormat="1" ht="11.25">
      <c r="A120" s="16"/>
      <c r="B120" s="153"/>
      <c r="C120" s="148"/>
      <c r="D120" s="16"/>
      <c r="E120" s="16"/>
      <c r="F120" s="16"/>
      <c r="G120" s="16"/>
      <c r="H120" s="16"/>
      <c r="I120" s="16"/>
      <c r="J120" s="16"/>
      <c r="K120" s="16"/>
      <c r="L120" s="16"/>
      <c r="M120" s="16"/>
      <c r="N120" s="16"/>
      <c r="O120" s="16"/>
      <c r="P120" s="16"/>
      <c r="Q120" s="16"/>
    </row>
    <row r="121" spans="1:17" s="23" customFormat="1" ht="11.25">
      <c r="A121" s="16"/>
      <c r="B121" s="153"/>
      <c r="C121" s="148"/>
      <c r="D121" s="16"/>
      <c r="E121" s="16"/>
      <c r="F121" s="16"/>
      <c r="G121" s="16"/>
      <c r="H121" s="16"/>
      <c r="I121" s="16"/>
      <c r="J121" s="16"/>
      <c r="K121" s="16"/>
      <c r="L121" s="16"/>
      <c r="M121" s="16"/>
      <c r="N121" s="16"/>
      <c r="O121" s="16"/>
      <c r="P121" s="16"/>
      <c r="Q121" s="16"/>
    </row>
    <row r="122" spans="1:17" s="23" customFormat="1" ht="12.75">
      <c r="A122" s="16"/>
      <c r="B122" s="40" t="s">
        <v>1315</v>
      </c>
      <c r="C122" s="148"/>
      <c r="D122" s="16"/>
      <c r="E122" s="16"/>
      <c r="F122" s="16"/>
      <c r="G122" s="16"/>
      <c r="H122" s="16"/>
      <c r="I122" s="16"/>
      <c r="J122" s="16"/>
      <c r="K122" s="16"/>
      <c r="L122" s="16"/>
      <c r="M122" s="16"/>
      <c r="N122" s="16"/>
      <c r="O122" s="16"/>
      <c r="P122" s="16"/>
      <c r="Q122" s="16"/>
    </row>
    <row r="123" spans="1:17" s="23" customFormat="1" ht="11.25">
      <c r="A123" s="16"/>
      <c r="B123" s="153" t="s">
        <v>1316</v>
      </c>
      <c r="C123" s="148"/>
      <c r="D123" s="16"/>
      <c r="E123" s="16"/>
      <c r="F123" s="16"/>
      <c r="G123" s="16"/>
      <c r="H123" s="16"/>
      <c r="I123" s="16"/>
      <c r="J123" s="16"/>
      <c r="K123" s="16"/>
      <c r="L123" s="16"/>
      <c r="M123" s="16"/>
      <c r="N123" s="16"/>
      <c r="O123" s="16"/>
      <c r="P123" s="16"/>
      <c r="Q123" s="16"/>
    </row>
    <row r="124" spans="1:17" s="23" customFormat="1" ht="11.25">
      <c r="A124" s="16"/>
      <c r="B124" s="154" t="s">
        <v>1317</v>
      </c>
      <c r="C124" s="148"/>
      <c r="D124" s="16"/>
      <c r="E124" s="16"/>
      <c r="F124" s="16"/>
      <c r="G124" s="16"/>
      <c r="H124" s="16"/>
      <c r="I124" s="16"/>
      <c r="J124" s="16"/>
      <c r="K124" s="16"/>
      <c r="L124" s="16"/>
      <c r="M124" s="16"/>
      <c r="N124" s="16"/>
      <c r="O124" s="16"/>
      <c r="P124" s="16"/>
      <c r="Q124" s="16"/>
    </row>
    <row r="125" spans="1:17" s="23" customFormat="1" ht="11.25">
      <c r="A125" s="16"/>
      <c r="B125" s="154" t="s">
        <v>1318</v>
      </c>
      <c r="C125" s="148"/>
      <c r="D125" s="16"/>
      <c r="E125" s="16"/>
      <c r="F125" s="16"/>
      <c r="G125" s="16"/>
      <c r="H125" s="16"/>
      <c r="I125" s="16"/>
      <c r="J125" s="16"/>
      <c r="K125" s="16"/>
      <c r="L125" s="16"/>
      <c r="M125" s="16"/>
      <c r="N125" s="16"/>
      <c r="O125" s="16"/>
      <c r="P125" s="16"/>
      <c r="Q125" s="16"/>
    </row>
    <row r="126" spans="1:17" s="23" customFormat="1" ht="12" thickBot="1">
      <c r="A126" s="16"/>
      <c r="B126" s="153"/>
      <c r="C126" s="148"/>
      <c r="D126" s="16"/>
      <c r="E126" s="16"/>
      <c r="F126" s="16"/>
      <c r="G126" s="16"/>
      <c r="H126" s="16"/>
      <c r="I126" s="16"/>
      <c r="J126" s="16"/>
      <c r="K126" s="16"/>
      <c r="L126" s="16"/>
      <c r="M126" s="16"/>
      <c r="N126" s="16"/>
      <c r="O126" s="16"/>
      <c r="P126" s="16"/>
      <c r="Q126" s="16"/>
    </row>
    <row r="127" spans="1:17" s="23" customFormat="1" ht="23.25" customHeight="1" thickBot="1">
      <c r="A127" s="16"/>
      <c r="B127" s="352" t="s">
        <v>1230</v>
      </c>
      <c r="C127" s="353"/>
      <c r="D127" s="60" t="s">
        <v>1230</v>
      </c>
      <c r="E127" s="294" t="s">
        <v>1290</v>
      </c>
      <c r="F127" s="294"/>
      <c r="G127" s="294" t="s">
        <v>1261</v>
      </c>
      <c r="H127" s="294"/>
      <c r="I127" s="294"/>
      <c r="J127" s="294"/>
      <c r="K127" s="294"/>
      <c r="L127" s="294"/>
      <c r="M127" s="295"/>
      <c r="N127" s="16"/>
      <c r="O127" s="16"/>
      <c r="P127" s="16"/>
      <c r="Q127" s="16"/>
    </row>
    <row r="128" spans="1:17" s="23" customFormat="1" ht="28.5" customHeight="1">
      <c r="A128" s="16"/>
      <c r="B128" s="346" t="s">
        <v>1319</v>
      </c>
      <c r="C128" s="347"/>
      <c r="D128" s="301" t="s">
        <v>1320</v>
      </c>
      <c r="E128" s="302" t="s">
        <v>27</v>
      </c>
      <c r="F128" s="302"/>
      <c r="G128" s="290" t="s">
        <v>1321</v>
      </c>
      <c r="H128" s="290"/>
      <c r="I128" s="290"/>
      <c r="J128" s="290"/>
      <c r="K128" s="290"/>
      <c r="L128" s="290"/>
      <c r="M128" s="291"/>
      <c r="N128" s="16"/>
      <c r="O128" s="16"/>
      <c r="P128" s="16"/>
      <c r="Q128" s="16"/>
    </row>
    <row r="129" spans="1:17" s="23" customFormat="1" ht="28.5" customHeight="1">
      <c r="A129" s="16"/>
      <c r="B129" s="335"/>
      <c r="C129" s="336"/>
      <c r="D129" s="292"/>
      <c r="E129" s="348" t="s">
        <v>131</v>
      </c>
      <c r="F129" s="348"/>
      <c r="G129" s="296" t="s">
        <v>1322</v>
      </c>
      <c r="H129" s="296"/>
      <c r="I129" s="296"/>
      <c r="J129" s="296"/>
      <c r="K129" s="296"/>
      <c r="L129" s="296"/>
      <c r="M129" s="297"/>
      <c r="N129" s="16"/>
      <c r="O129" s="16"/>
      <c r="P129" s="16"/>
      <c r="Q129" s="16"/>
    </row>
    <row r="130" spans="1:17" s="23" customFormat="1" ht="28.5" customHeight="1" thickBot="1">
      <c r="A130" s="16"/>
      <c r="B130" s="337"/>
      <c r="C130" s="338"/>
      <c r="D130" s="293"/>
      <c r="E130" s="300" t="s">
        <v>55</v>
      </c>
      <c r="F130" s="300"/>
      <c r="G130" s="298" t="s">
        <v>1323</v>
      </c>
      <c r="H130" s="298"/>
      <c r="I130" s="298"/>
      <c r="J130" s="298"/>
      <c r="K130" s="298"/>
      <c r="L130" s="298"/>
      <c r="M130" s="299"/>
      <c r="N130" s="16"/>
      <c r="O130" s="16"/>
      <c r="P130" s="16"/>
      <c r="Q130" s="16"/>
    </row>
    <row r="131" spans="1:17" s="23" customFormat="1" ht="28.5" customHeight="1">
      <c r="A131" s="16"/>
      <c r="B131" s="335" t="s">
        <v>1324</v>
      </c>
      <c r="C131" s="336"/>
      <c r="D131" s="292" t="s">
        <v>1320</v>
      </c>
      <c r="E131" s="302" t="s">
        <v>27</v>
      </c>
      <c r="F131" s="302"/>
      <c r="G131" s="290" t="s">
        <v>1325</v>
      </c>
      <c r="H131" s="290"/>
      <c r="I131" s="290"/>
      <c r="J131" s="290"/>
      <c r="K131" s="290"/>
      <c r="L131" s="290"/>
      <c r="M131" s="291"/>
      <c r="N131" s="16"/>
      <c r="O131" s="16"/>
      <c r="P131" s="16"/>
      <c r="Q131" s="16"/>
    </row>
    <row r="132" spans="1:17" s="23" customFormat="1" ht="28.5" customHeight="1" thickBot="1">
      <c r="A132" s="16"/>
      <c r="B132" s="337"/>
      <c r="C132" s="338"/>
      <c r="D132" s="293"/>
      <c r="E132" s="300" t="s">
        <v>55</v>
      </c>
      <c r="F132" s="300"/>
      <c r="G132" s="298" t="s">
        <v>1326</v>
      </c>
      <c r="H132" s="298"/>
      <c r="I132" s="298"/>
      <c r="J132" s="298"/>
      <c r="K132" s="298"/>
      <c r="L132" s="298"/>
      <c r="M132" s="299"/>
      <c r="N132" s="16"/>
      <c r="O132" s="16"/>
      <c r="P132" s="16"/>
      <c r="Q132" s="16"/>
    </row>
    <row r="133" spans="1:17" s="23" customFormat="1" ht="11.25">
      <c r="A133" s="16"/>
      <c r="B133" s="59"/>
      <c r="C133" s="155"/>
      <c r="D133" s="156"/>
      <c r="E133" s="330"/>
      <c r="F133" s="330"/>
      <c r="G133" s="330"/>
      <c r="H133" s="330"/>
      <c r="I133" s="330"/>
      <c r="J133" s="330"/>
      <c r="K133" s="330"/>
      <c r="L133" s="330"/>
      <c r="M133" s="330"/>
      <c r="N133" s="16"/>
      <c r="O133" s="16"/>
      <c r="P133" s="16"/>
      <c r="Q133" s="16"/>
    </row>
    <row r="134" spans="1:17" s="23" customFormat="1" ht="32.1" customHeight="1">
      <c r="A134" s="16"/>
      <c r="B134" s="323" t="s">
        <v>1327</v>
      </c>
      <c r="C134" s="323"/>
      <c r="D134" s="323"/>
      <c r="E134" s="323"/>
      <c r="F134" s="323"/>
      <c r="G134" s="323"/>
      <c r="H134" s="323"/>
      <c r="I134" s="323"/>
      <c r="J134" s="323"/>
      <c r="K134" s="323"/>
      <c r="L134" s="323"/>
      <c r="M134" s="323"/>
      <c r="N134" s="16"/>
      <c r="O134" s="16"/>
      <c r="P134" s="16"/>
      <c r="Q134" s="16"/>
    </row>
    <row r="135" spans="1:17" s="22" customFormat="1" ht="12">
      <c r="A135" s="31"/>
      <c r="B135" s="31"/>
      <c r="C135" s="31"/>
      <c r="D135" s="31"/>
      <c r="E135" s="31"/>
      <c r="F135" s="31"/>
      <c r="G135" s="31"/>
      <c r="H135" s="31"/>
      <c r="I135" s="31"/>
      <c r="J135" s="31"/>
      <c r="K135" s="31"/>
      <c r="L135" s="31"/>
      <c r="M135" s="31"/>
      <c r="N135" s="31"/>
      <c r="O135" s="31"/>
      <c r="P135" s="31"/>
      <c r="Q135" s="31"/>
    </row>
  </sheetData>
  <sheetProtection algorithmName="SHA-512" hashValue="vu+EJdc4KuIuPqGuE9zVkwSPq/sLulYsF/LxHIdHi44aEcO5BS7V+LAq0pi8RmXqUVPkI5JXHOkjIrhd9Qm7lg==" saltValue="OGgsEYjOeb1T0eIUTZU1LA==" spinCount="100000" sheet="1" formatColumns="0" formatRows="0" sort="0" autoFilter="0" pivotTables="0"/>
  <mergeCells count="95">
    <mergeCell ref="B128:C130"/>
    <mergeCell ref="D90:M90"/>
    <mergeCell ref="E34:M34"/>
    <mergeCell ref="B35:D35"/>
    <mergeCell ref="B36:D36"/>
    <mergeCell ref="B37:D37"/>
    <mergeCell ref="E129:F129"/>
    <mergeCell ref="D75:H75"/>
    <mergeCell ref="B127:C127"/>
    <mergeCell ref="E32:M32"/>
    <mergeCell ref="E33:M33"/>
    <mergeCell ref="E35:M35"/>
    <mergeCell ref="E36:M36"/>
    <mergeCell ref="E39:M39"/>
    <mergeCell ref="E37:M37"/>
    <mergeCell ref="E27:M27"/>
    <mergeCell ref="E21:M21"/>
    <mergeCell ref="E22:M22"/>
    <mergeCell ref="E24:M24"/>
    <mergeCell ref="E25:M25"/>
    <mergeCell ref="E26:M26"/>
    <mergeCell ref="E23:M23"/>
    <mergeCell ref="B7:Q7"/>
    <mergeCell ref="B8:Q8"/>
    <mergeCell ref="B9:Q9"/>
    <mergeCell ref="B10:Q10"/>
    <mergeCell ref="B15:Q15"/>
    <mergeCell ref="B17:D17"/>
    <mergeCell ref="B32:D32"/>
    <mergeCell ref="B33:D33"/>
    <mergeCell ref="B34:D34"/>
    <mergeCell ref="B19:D19"/>
    <mergeCell ref="B20:D20"/>
    <mergeCell ref="B21:D21"/>
    <mergeCell ref="B22:D22"/>
    <mergeCell ref="B23:D23"/>
    <mergeCell ref="N16:Q16"/>
    <mergeCell ref="E28:M28"/>
    <mergeCell ref="E29:M29"/>
    <mergeCell ref="E30:M30"/>
    <mergeCell ref="B31:D31"/>
    <mergeCell ref="E31:M31"/>
    <mergeCell ref="E18:M18"/>
    <mergeCell ref="E19:M19"/>
    <mergeCell ref="E20:M20"/>
    <mergeCell ref="B30:D30"/>
    <mergeCell ref="B24:D24"/>
    <mergeCell ref="B25:D25"/>
    <mergeCell ref="B26:D26"/>
    <mergeCell ref="B28:D28"/>
    <mergeCell ref="B29:D29"/>
    <mergeCell ref="B18:D18"/>
    <mergeCell ref="B134:M134"/>
    <mergeCell ref="B73:M73"/>
    <mergeCell ref="D88:M88"/>
    <mergeCell ref="B50:K50"/>
    <mergeCell ref="E76:F76"/>
    <mergeCell ref="B77:B81"/>
    <mergeCell ref="D91:M91"/>
    <mergeCell ref="E133:M133"/>
    <mergeCell ref="D87:M87"/>
    <mergeCell ref="C56:M56"/>
    <mergeCell ref="C57:M57"/>
    <mergeCell ref="C58:M58"/>
    <mergeCell ref="C59:M59"/>
    <mergeCell ref="B131:C132"/>
    <mergeCell ref="E131:F131"/>
    <mergeCell ref="E132:F132"/>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 ref="G131:M131"/>
    <mergeCell ref="D131:D132"/>
    <mergeCell ref="G127:M127"/>
    <mergeCell ref="G128:M128"/>
    <mergeCell ref="G129:M129"/>
    <mergeCell ref="G130:M130"/>
    <mergeCell ref="E130:F130"/>
    <mergeCell ref="D128:D130"/>
    <mergeCell ref="G132:M132"/>
    <mergeCell ref="E127:F127"/>
    <mergeCell ref="E128:F128"/>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showGridLines="0" workbookViewId="0"/>
  </sheetViews>
  <sheetFormatPr defaultColWidth="9.42578125" defaultRowHeight="15"/>
  <cols>
    <col min="1" max="1" width="1.5703125" style="2" customWidth="1"/>
    <col min="2" max="2" width="59.5703125" style="2" customWidth="1"/>
    <col min="3" max="16384" width="9.42578125" style="2"/>
  </cols>
  <sheetData>
    <row r="1" spans="1:15" ht="19.5">
      <c r="A1" s="11"/>
      <c r="B1" s="12" t="s">
        <v>1328</v>
      </c>
      <c r="C1" s="11"/>
      <c r="D1" s="11"/>
      <c r="E1" s="11"/>
      <c r="F1" s="11"/>
      <c r="G1" s="11"/>
      <c r="H1" s="11"/>
      <c r="I1" s="11"/>
      <c r="J1" s="11"/>
      <c r="K1" s="11"/>
      <c r="L1" s="11"/>
      <c r="M1" s="11"/>
      <c r="N1" s="11"/>
      <c r="O1" s="11"/>
    </row>
    <row r="2" spans="1:15" ht="19.5">
      <c r="A2" s="11"/>
      <c r="B2" s="12"/>
      <c r="C2" s="11"/>
      <c r="D2" s="11"/>
      <c r="E2" s="11"/>
      <c r="F2" s="11"/>
      <c r="G2" s="11"/>
      <c r="H2" s="11"/>
      <c r="I2" s="11"/>
      <c r="J2" s="11"/>
      <c r="K2" s="11"/>
      <c r="L2" s="11"/>
      <c r="M2" s="11"/>
      <c r="N2" s="11"/>
      <c r="O2" s="11"/>
    </row>
    <row r="3" spans="1:15">
      <c r="A3" s="11"/>
      <c r="B3" s="354" t="s">
        <v>1329</v>
      </c>
      <c r="C3" s="355"/>
      <c r="D3" s="355"/>
      <c r="E3" s="355"/>
      <c r="F3" s="355"/>
      <c r="G3" s="355"/>
      <c r="H3" s="355"/>
      <c r="I3" s="355"/>
      <c r="J3" s="355"/>
      <c r="K3" s="355"/>
      <c r="L3" s="11"/>
      <c r="M3" s="11"/>
      <c r="N3" s="11"/>
      <c r="O3" s="11"/>
    </row>
    <row r="4" spans="1:15" ht="15.75">
      <c r="A4" s="11"/>
      <c r="B4" s="139"/>
      <c r="C4" s="140"/>
      <c r="D4" s="140"/>
      <c r="E4" s="140"/>
      <c r="F4" s="140"/>
      <c r="G4" s="140"/>
      <c r="H4" s="140"/>
      <c r="I4" s="140"/>
      <c r="J4" s="140"/>
      <c r="K4" s="140"/>
      <c r="L4" s="11"/>
      <c r="M4" s="11"/>
      <c r="N4" s="11"/>
      <c r="O4" s="11"/>
    </row>
    <row r="5" spans="1:15">
      <c r="A5" s="11"/>
      <c r="B5" s="13" t="s">
        <v>1330</v>
      </c>
      <c r="C5" s="14"/>
      <c r="D5" s="14"/>
      <c r="E5" s="14"/>
      <c r="F5" s="14"/>
      <c r="G5" s="14"/>
      <c r="H5" s="14"/>
      <c r="I5" s="14"/>
      <c r="J5" s="14"/>
      <c r="K5" s="14"/>
      <c r="L5" s="11"/>
      <c r="M5" s="11"/>
      <c r="N5" s="11"/>
      <c r="O5" s="11"/>
    </row>
    <row r="6" spans="1:15">
      <c r="A6" s="11"/>
      <c r="B6" s="14"/>
      <c r="C6" s="14"/>
      <c r="D6" s="14"/>
      <c r="E6" s="14"/>
      <c r="F6" s="14"/>
      <c r="G6" s="14"/>
      <c r="H6" s="14"/>
      <c r="I6" s="14"/>
      <c r="J6" s="14"/>
      <c r="K6" s="14"/>
      <c r="L6" s="11"/>
      <c r="M6" s="11"/>
      <c r="N6" s="11"/>
      <c r="O6" s="11"/>
    </row>
    <row r="7" spans="1:15">
      <c r="A7" s="11"/>
      <c r="B7" s="14"/>
      <c r="C7" s="14"/>
      <c r="D7" s="14"/>
      <c r="E7" s="14"/>
      <c r="F7" s="14"/>
      <c r="G7" s="14"/>
      <c r="H7" s="14"/>
      <c r="I7" s="14"/>
      <c r="J7" s="14"/>
      <c r="K7" s="14"/>
      <c r="L7" s="11"/>
      <c r="M7" s="11"/>
      <c r="N7" s="11"/>
      <c r="O7" s="11"/>
    </row>
    <row r="8" spans="1:15" ht="19.5">
      <c r="A8" s="11"/>
      <c r="B8" s="12"/>
      <c r="C8" s="11"/>
      <c r="D8" s="11"/>
      <c r="E8" s="11"/>
      <c r="F8" s="11"/>
      <c r="G8" s="11"/>
      <c r="H8" s="11"/>
      <c r="I8" s="11"/>
      <c r="J8" s="11"/>
      <c r="K8" s="11"/>
      <c r="L8" s="11"/>
      <c r="M8" s="11"/>
      <c r="N8" s="11"/>
      <c r="O8" s="11"/>
    </row>
    <row r="9" spans="1:15" ht="19.5">
      <c r="A9" s="11"/>
      <c r="B9" s="12"/>
      <c r="C9" s="11"/>
      <c r="D9" s="11"/>
      <c r="E9" s="11"/>
      <c r="F9" s="11"/>
      <c r="G9" s="11"/>
      <c r="H9" s="11"/>
      <c r="I9" s="11"/>
      <c r="J9" s="11"/>
      <c r="K9" s="11"/>
      <c r="L9" s="11"/>
      <c r="M9" s="11"/>
      <c r="N9" s="11"/>
      <c r="O9" s="11"/>
    </row>
    <row r="10" spans="1:15" ht="19.5">
      <c r="A10" s="11"/>
      <c r="B10" s="12"/>
      <c r="C10" s="11"/>
      <c r="D10" s="11"/>
      <c r="E10" s="11"/>
      <c r="F10" s="11"/>
      <c r="G10" s="11"/>
      <c r="H10" s="11"/>
      <c r="I10" s="11"/>
      <c r="J10" s="11"/>
      <c r="K10" s="11"/>
      <c r="L10" s="11"/>
      <c r="M10" s="11"/>
      <c r="N10" s="11"/>
      <c r="O10" s="11"/>
    </row>
    <row r="11" spans="1:15" ht="19.5">
      <c r="A11" s="11"/>
      <c r="B11" s="12"/>
      <c r="C11" s="11"/>
      <c r="D11" s="11"/>
      <c r="E11" s="11"/>
      <c r="F11" s="11"/>
      <c r="G11" s="11"/>
      <c r="H11" s="11"/>
      <c r="I11" s="11"/>
      <c r="J11" s="11"/>
      <c r="K11" s="11"/>
      <c r="L11" s="11"/>
      <c r="M11" s="11"/>
      <c r="N11" s="11"/>
      <c r="O11" s="11"/>
    </row>
    <row r="12" spans="1:15" ht="19.5">
      <c r="A12" s="11"/>
      <c r="B12" s="12"/>
      <c r="C12" s="11"/>
      <c r="D12" s="11"/>
      <c r="E12" s="11"/>
      <c r="F12" s="11"/>
      <c r="G12" s="11"/>
      <c r="H12" s="11"/>
      <c r="I12" s="11"/>
      <c r="J12" s="11"/>
      <c r="K12" s="11"/>
      <c r="L12" s="11"/>
      <c r="M12" s="11"/>
      <c r="N12" s="11"/>
      <c r="O12" s="11"/>
    </row>
    <row r="13" spans="1:15" ht="19.5">
      <c r="A13" s="11"/>
      <c r="B13" s="12"/>
      <c r="C13" s="11"/>
      <c r="D13" s="11"/>
      <c r="E13" s="11"/>
      <c r="F13" s="11"/>
      <c r="G13" s="11"/>
      <c r="H13" s="11"/>
      <c r="I13" s="11"/>
      <c r="J13" s="11"/>
      <c r="K13" s="11"/>
      <c r="L13" s="11"/>
      <c r="M13" s="11"/>
      <c r="N13" s="11"/>
      <c r="O13" s="11"/>
    </row>
    <row r="14" spans="1:15">
      <c r="A14" s="11"/>
      <c r="B14" s="11"/>
      <c r="C14" s="11"/>
      <c r="D14" s="11"/>
      <c r="E14" s="11"/>
      <c r="F14" s="11"/>
      <c r="G14" s="11"/>
      <c r="H14" s="11"/>
      <c r="I14" s="11"/>
      <c r="J14" s="11"/>
      <c r="K14" s="11"/>
      <c r="L14" s="11"/>
      <c r="M14" s="11"/>
      <c r="N14" s="11"/>
      <c r="O14" s="11"/>
    </row>
    <row r="15" spans="1:15">
      <c r="A15" s="11"/>
      <c r="B15" s="15" t="s">
        <v>1331</v>
      </c>
      <c r="C15" s="11"/>
      <c r="D15" s="11"/>
      <c r="E15" s="11"/>
      <c r="F15" s="11"/>
      <c r="G15" s="11"/>
      <c r="H15" s="11"/>
      <c r="I15" s="11"/>
      <c r="J15" s="11"/>
      <c r="K15" s="11"/>
      <c r="L15" s="11"/>
      <c r="M15" s="11"/>
      <c r="N15" s="11"/>
      <c r="O15" s="11"/>
    </row>
    <row r="16" spans="1:15">
      <c r="A16" s="11"/>
      <c r="B16" s="11"/>
      <c r="C16" s="11"/>
      <c r="D16" s="11"/>
      <c r="E16" s="11"/>
      <c r="F16" s="11"/>
      <c r="G16" s="11"/>
      <c r="H16" s="11"/>
      <c r="I16" s="11"/>
      <c r="J16" s="11"/>
      <c r="K16" s="11"/>
      <c r="L16" s="11"/>
      <c r="M16" s="11"/>
      <c r="N16" s="11"/>
      <c r="O16" s="11"/>
    </row>
    <row r="17" spans="1:15" s="20" customFormat="1" ht="60.75" customHeight="1">
      <c r="A17" s="16"/>
      <c r="B17" s="324" t="s">
        <v>1332</v>
      </c>
      <c r="C17" s="324"/>
      <c r="D17" s="324"/>
      <c r="E17" s="324"/>
      <c r="F17" s="324"/>
      <c r="G17" s="324"/>
      <c r="H17" s="324"/>
      <c r="I17" s="324"/>
      <c r="J17" s="324"/>
      <c r="K17" s="324"/>
      <c r="L17" s="16"/>
      <c r="M17" s="16"/>
      <c r="N17" s="16"/>
      <c r="O17" s="16"/>
    </row>
    <row r="18" spans="1:15">
      <c r="A18" s="11"/>
      <c r="B18" s="11"/>
      <c r="C18" s="11"/>
      <c r="D18" s="11"/>
      <c r="E18" s="11"/>
      <c r="F18" s="11"/>
      <c r="G18" s="11"/>
      <c r="H18" s="11"/>
      <c r="I18" s="11"/>
      <c r="J18" s="11"/>
      <c r="K18" s="11"/>
      <c r="L18" s="11"/>
      <c r="M18" s="11"/>
      <c r="N18" s="11"/>
      <c r="O18" s="11"/>
    </row>
    <row r="19" spans="1:15">
      <c r="A19" s="11"/>
      <c r="B19" s="13" t="s">
        <v>1333</v>
      </c>
      <c r="C19" s="11"/>
      <c r="D19" s="11"/>
      <c r="E19" s="11"/>
      <c r="F19" s="11"/>
      <c r="G19" s="11"/>
      <c r="H19" s="11"/>
      <c r="I19" s="11"/>
      <c r="J19" s="11"/>
      <c r="K19" s="11"/>
      <c r="L19" s="11"/>
      <c r="M19" s="11"/>
      <c r="N19" s="11"/>
      <c r="O19" s="11"/>
    </row>
    <row r="20" spans="1:15">
      <c r="A20" s="11"/>
      <c r="B20" s="11"/>
      <c r="C20" s="11"/>
      <c r="D20" s="11"/>
      <c r="E20" s="11"/>
      <c r="F20" s="11"/>
      <c r="G20" s="11"/>
      <c r="H20" s="11"/>
      <c r="I20" s="11"/>
      <c r="J20" s="11"/>
      <c r="K20" s="11"/>
      <c r="L20" s="11"/>
      <c r="M20" s="11"/>
      <c r="N20" s="11"/>
      <c r="O20" s="11"/>
    </row>
    <row r="21" spans="1:15">
      <c r="A21" s="11"/>
      <c r="B21" s="11"/>
      <c r="C21" s="11"/>
      <c r="D21" s="11"/>
      <c r="E21" s="11"/>
      <c r="F21" s="11"/>
      <c r="G21" s="11"/>
      <c r="H21" s="11"/>
      <c r="I21" s="11"/>
      <c r="J21" s="11"/>
      <c r="K21" s="11"/>
      <c r="L21" s="11"/>
      <c r="M21" s="11"/>
      <c r="N21" s="11"/>
      <c r="O21" s="11"/>
    </row>
    <row r="22" spans="1:15">
      <c r="A22" s="11"/>
      <c r="B22" s="11"/>
      <c r="C22" s="11"/>
      <c r="D22" s="11"/>
      <c r="E22" s="11"/>
      <c r="F22" s="11"/>
      <c r="G22" s="11"/>
      <c r="H22" s="11"/>
      <c r="I22" s="11"/>
      <c r="J22" s="11"/>
      <c r="K22" s="11"/>
      <c r="L22" s="11"/>
      <c r="M22" s="11"/>
      <c r="N22" s="11"/>
      <c r="O22" s="11"/>
    </row>
    <row r="23" spans="1:15">
      <c r="A23" s="11"/>
      <c r="B23" s="11"/>
      <c r="C23" s="11"/>
      <c r="D23" s="11"/>
      <c r="E23" s="11"/>
      <c r="F23" s="11"/>
      <c r="G23" s="11"/>
      <c r="H23" s="11"/>
      <c r="I23" s="11"/>
      <c r="J23" s="11"/>
      <c r="K23" s="11"/>
      <c r="L23" s="11"/>
      <c r="M23" s="11"/>
      <c r="N23" s="11"/>
      <c r="O23" s="11"/>
    </row>
    <row r="24" spans="1:15">
      <c r="A24" s="11"/>
      <c r="B24" s="11"/>
      <c r="C24" s="11"/>
      <c r="D24" s="11"/>
      <c r="E24" s="11"/>
      <c r="F24" s="11"/>
      <c r="G24" s="11"/>
      <c r="H24" s="11"/>
      <c r="I24" s="11"/>
      <c r="J24" s="11"/>
      <c r="K24" s="11"/>
      <c r="L24" s="11"/>
      <c r="M24" s="11"/>
      <c r="N24" s="11"/>
      <c r="O24" s="11"/>
    </row>
    <row r="25" spans="1:15">
      <c r="A25" s="11"/>
      <c r="B25" s="11"/>
      <c r="C25" s="11"/>
      <c r="D25" s="11"/>
      <c r="E25" s="11"/>
      <c r="F25" s="11"/>
      <c r="G25" s="11"/>
      <c r="H25" s="11"/>
      <c r="I25" s="11"/>
      <c r="J25" s="11"/>
      <c r="K25" s="11"/>
      <c r="L25" s="11"/>
      <c r="M25" s="11"/>
      <c r="N25" s="11"/>
      <c r="O25" s="11"/>
    </row>
    <row r="26" spans="1:15">
      <c r="A26" s="11"/>
      <c r="B26" s="11"/>
      <c r="C26" s="11"/>
      <c r="D26" s="11"/>
      <c r="E26" s="11"/>
      <c r="F26" s="11"/>
      <c r="G26" s="11"/>
      <c r="H26" s="11"/>
      <c r="I26" s="11"/>
      <c r="J26" s="11"/>
      <c r="K26" s="11"/>
      <c r="L26" s="11"/>
      <c r="M26" s="11"/>
      <c r="N26" s="11"/>
      <c r="O26" s="11"/>
    </row>
    <row r="27" spans="1:15">
      <c r="A27" s="11"/>
      <c r="B27" s="11"/>
      <c r="C27" s="11"/>
      <c r="D27" s="11"/>
      <c r="E27" s="11"/>
      <c r="F27" s="11"/>
      <c r="G27" s="11"/>
      <c r="H27" s="11"/>
      <c r="I27" s="11"/>
      <c r="J27" s="11"/>
      <c r="K27" s="11"/>
      <c r="L27" s="11"/>
      <c r="M27" s="11"/>
      <c r="N27" s="11"/>
      <c r="O27" s="11"/>
    </row>
    <row r="28" spans="1:15">
      <c r="A28" s="11"/>
      <c r="B28" s="11"/>
      <c r="C28" s="11"/>
      <c r="D28" s="11"/>
      <c r="E28" s="11"/>
      <c r="F28" s="11"/>
      <c r="G28" s="11"/>
      <c r="H28" s="11"/>
      <c r="I28" s="11"/>
      <c r="J28" s="11"/>
      <c r="K28" s="11"/>
      <c r="L28" s="11"/>
      <c r="M28" s="11"/>
      <c r="N28" s="11"/>
      <c r="O28" s="11"/>
    </row>
    <row r="29" spans="1:15">
      <c r="A29" s="11"/>
      <c r="B29" s="11"/>
      <c r="C29" s="11"/>
      <c r="D29" s="11"/>
      <c r="E29" s="11"/>
      <c r="F29" s="11"/>
      <c r="G29" s="11"/>
      <c r="H29" s="11"/>
      <c r="I29" s="11"/>
      <c r="J29" s="11"/>
      <c r="K29" s="11"/>
      <c r="L29" s="11"/>
      <c r="M29" s="11"/>
      <c r="N29" s="11"/>
      <c r="O29" s="11"/>
    </row>
    <row r="30" spans="1:15">
      <c r="A30" s="11"/>
      <c r="B30" s="11"/>
      <c r="C30" s="11"/>
      <c r="D30" s="11"/>
      <c r="E30" s="11"/>
      <c r="F30" s="11"/>
      <c r="G30" s="11"/>
      <c r="H30" s="11"/>
      <c r="I30" s="11"/>
      <c r="J30" s="11"/>
      <c r="K30" s="11"/>
      <c r="L30" s="11"/>
      <c r="M30" s="11"/>
      <c r="N30" s="11"/>
      <c r="O30" s="11"/>
    </row>
    <row r="31" spans="1:15">
      <c r="A31" s="11"/>
      <c r="B31" s="11"/>
      <c r="C31" s="11"/>
      <c r="D31" s="11"/>
      <c r="E31" s="11"/>
      <c r="F31" s="11"/>
      <c r="G31" s="11"/>
      <c r="H31" s="11"/>
      <c r="I31" s="11"/>
      <c r="J31" s="11"/>
      <c r="K31" s="11"/>
      <c r="L31" s="11"/>
      <c r="M31" s="11"/>
      <c r="N31" s="11"/>
      <c r="O31" s="11"/>
    </row>
    <row r="32" spans="1:15">
      <c r="A32" s="11"/>
      <c r="B32" s="11"/>
      <c r="C32" s="11"/>
      <c r="D32" s="11"/>
      <c r="E32" s="11"/>
      <c r="F32" s="11"/>
      <c r="G32" s="11"/>
      <c r="H32" s="11"/>
      <c r="I32" s="11"/>
      <c r="J32" s="11"/>
      <c r="K32" s="11"/>
      <c r="L32" s="11"/>
      <c r="M32" s="11"/>
      <c r="N32" s="11"/>
      <c r="O32" s="11"/>
    </row>
    <row r="33" spans="1:15">
      <c r="A33" s="11"/>
      <c r="B33" s="11"/>
      <c r="C33" s="11"/>
      <c r="D33" s="11"/>
      <c r="E33" s="11"/>
      <c r="F33" s="11"/>
      <c r="G33" s="11"/>
      <c r="H33" s="11"/>
      <c r="I33" s="11"/>
      <c r="J33" s="11"/>
      <c r="K33" s="11"/>
      <c r="L33" s="11"/>
      <c r="M33" s="11"/>
      <c r="N33" s="11"/>
      <c r="O33" s="11"/>
    </row>
    <row r="34" spans="1:15">
      <c r="A34" s="11"/>
      <c r="B34" s="11"/>
      <c r="C34" s="11"/>
      <c r="D34" s="11"/>
      <c r="E34" s="11"/>
      <c r="F34" s="11"/>
      <c r="G34" s="11"/>
      <c r="H34" s="11"/>
      <c r="I34" s="11"/>
      <c r="J34" s="11"/>
      <c r="K34" s="11"/>
      <c r="L34" s="11"/>
      <c r="M34" s="11"/>
      <c r="N34" s="11"/>
      <c r="O34" s="11"/>
    </row>
    <row r="35" spans="1:15">
      <c r="A35" s="11"/>
      <c r="B35" s="11"/>
      <c r="C35" s="11"/>
      <c r="D35" s="11"/>
      <c r="E35" s="11"/>
      <c r="F35" s="11"/>
      <c r="G35" s="11"/>
      <c r="H35" s="11"/>
      <c r="I35" s="11"/>
      <c r="J35" s="11"/>
      <c r="K35" s="11"/>
      <c r="L35" s="11"/>
      <c r="M35" s="11"/>
      <c r="N35" s="11"/>
      <c r="O35" s="11"/>
    </row>
    <row r="36" spans="1:15">
      <c r="A36" s="11"/>
      <c r="B36" s="11"/>
      <c r="C36" s="11"/>
      <c r="D36" s="11"/>
      <c r="E36" s="11"/>
      <c r="F36" s="11"/>
      <c r="G36" s="11"/>
      <c r="H36" s="11"/>
      <c r="I36" s="11"/>
      <c r="J36" s="11"/>
      <c r="K36" s="11"/>
      <c r="L36" s="11"/>
      <c r="M36" s="11"/>
      <c r="N36" s="11"/>
      <c r="O36" s="11"/>
    </row>
    <row r="37" spans="1:15">
      <c r="A37" s="11"/>
      <c r="B37" s="11"/>
      <c r="C37" s="11"/>
      <c r="D37" s="11"/>
      <c r="E37" s="11"/>
      <c r="F37" s="11"/>
      <c r="G37" s="11"/>
      <c r="H37" s="11"/>
      <c r="I37" s="11"/>
      <c r="J37" s="11"/>
      <c r="K37" s="11"/>
      <c r="L37" s="11"/>
      <c r="M37" s="11"/>
      <c r="N37" s="11"/>
      <c r="O37" s="11"/>
    </row>
    <row r="38" spans="1:15">
      <c r="A38" s="11"/>
      <c r="B38" s="11"/>
      <c r="C38" s="11"/>
      <c r="D38" s="11"/>
      <c r="E38" s="11"/>
      <c r="F38" s="11"/>
      <c r="G38" s="11"/>
      <c r="H38" s="11"/>
      <c r="I38" s="11"/>
      <c r="J38" s="11"/>
      <c r="K38" s="11"/>
      <c r="L38" s="11"/>
      <c r="M38" s="11"/>
      <c r="N38" s="11"/>
      <c r="O38" s="11"/>
    </row>
    <row r="39" spans="1:15">
      <c r="A39" s="11"/>
      <c r="B39" s="11"/>
      <c r="C39" s="11"/>
      <c r="D39" s="11"/>
      <c r="E39" s="11"/>
      <c r="F39" s="11"/>
      <c r="G39" s="11"/>
      <c r="H39" s="11"/>
      <c r="I39" s="11"/>
      <c r="J39" s="11"/>
      <c r="K39" s="11"/>
      <c r="L39" s="11"/>
      <c r="M39" s="11"/>
      <c r="N39" s="11"/>
      <c r="O39" s="11"/>
    </row>
    <row r="40" spans="1:15">
      <c r="A40" s="11"/>
      <c r="B40" s="11"/>
      <c r="C40" s="11"/>
      <c r="D40" s="11"/>
      <c r="E40" s="11"/>
      <c r="F40" s="11"/>
      <c r="G40" s="11"/>
      <c r="H40" s="11"/>
      <c r="I40" s="11"/>
      <c r="J40" s="11"/>
      <c r="K40" s="11"/>
      <c r="L40" s="11"/>
      <c r="M40" s="11"/>
      <c r="N40" s="11"/>
      <c r="O40" s="11"/>
    </row>
    <row r="41" spans="1:15">
      <c r="A41" s="11"/>
      <c r="B41" s="11"/>
      <c r="C41" s="11"/>
      <c r="D41" s="11"/>
      <c r="E41" s="11"/>
      <c r="F41" s="11"/>
      <c r="G41" s="11"/>
      <c r="H41" s="11"/>
      <c r="I41" s="11"/>
      <c r="J41" s="11"/>
      <c r="K41" s="11"/>
      <c r="L41" s="11"/>
      <c r="M41" s="11"/>
      <c r="N41" s="11"/>
      <c r="O41" s="11"/>
    </row>
    <row r="42" spans="1:15">
      <c r="A42" s="11"/>
      <c r="B42" s="11"/>
      <c r="C42" s="11"/>
      <c r="D42" s="11"/>
      <c r="E42" s="11"/>
      <c r="F42" s="11"/>
      <c r="G42" s="11"/>
      <c r="H42" s="11"/>
      <c r="I42" s="11"/>
      <c r="J42" s="11"/>
      <c r="K42" s="11"/>
      <c r="L42" s="11"/>
      <c r="M42" s="11"/>
      <c r="N42" s="11"/>
      <c r="O42" s="11"/>
    </row>
    <row r="43" spans="1:15">
      <c r="A43" s="11"/>
      <c r="B43" s="11"/>
      <c r="C43" s="11"/>
      <c r="D43" s="11"/>
      <c r="E43" s="11"/>
      <c r="F43" s="11"/>
      <c r="G43" s="11"/>
      <c r="H43" s="11"/>
      <c r="I43" s="11"/>
      <c r="J43" s="11"/>
      <c r="K43" s="11"/>
      <c r="L43" s="11"/>
      <c r="M43" s="11"/>
      <c r="N43" s="11"/>
      <c r="O43" s="11"/>
    </row>
    <row r="44" spans="1:15">
      <c r="A44" s="11"/>
      <c r="B44" s="11"/>
      <c r="C44" s="11"/>
      <c r="D44" s="11"/>
      <c r="E44" s="11"/>
      <c r="F44" s="11"/>
      <c r="G44" s="11"/>
      <c r="H44" s="11"/>
      <c r="I44" s="11"/>
      <c r="J44" s="11"/>
      <c r="K44" s="11"/>
      <c r="L44" s="11"/>
      <c r="M44" s="11"/>
      <c r="N44" s="11"/>
      <c r="O44" s="11"/>
    </row>
    <row r="45" spans="1:15">
      <c r="A45" s="11"/>
      <c r="B45" s="11"/>
      <c r="C45" s="11"/>
      <c r="D45" s="11"/>
      <c r="E45" s="11"/>
      <c r="F45" s="11"/>
      <c r="G45" s="11"/>
      <c r="H45" s="11"/>
      <c r="I45" s="11"/>
      <c r="J45" s="11"/>
      <c r="K45" s="11"/>
      <c r="L45" s="11"/>
      <c r="M45" s="11"/>
      <c r="N45" s="11"/>
      <c r="O45" s="11"/>
    </row>
    <row r="46" spans="1:15">
      <c r="A46" s="11"/>
      <c r="B46" s="11"/>
      <c r="C46" s="11"/>
      <c r="D46" s="11"/>
      <c r="E46" s="11"/>
      <c r="F46" s="11"/>
      <c r="G46" s="11"/>
      <c r="H46" s="11"/>
      <c r="I46" s="11"/>
      <c r="J46" s="11"/>
      <c r="K46" s="11"/>
      <c r="L46" s="11"/>
      <c r="M46" s="11"/>
      <c r="N46" s="11"/>
      <c r="O46" s="11"/>
    </row>
    <row r="47" spans="1:15">
      <c r="A47" s="11"/>
      <c r="B47" s="11"/>
      <c r="C47" s="11"/>
      <c r="D47" s="11"/>
      <c r="E47" s="11"/>
      <c r="F47" s="11"/>
      <c r="G47" s="11"/>
      <c r="H47" s="11"/>
      <c r="I47" s="11"/>
      <c r="J47" s="11"/>
      <c r="K47" s="11"/>
      <c r="L47" s="11"/>
      <c r="M47" s="11"/>
      <c r="N47" s="11"/>
      <c r="O47" s="11"/>
    </row>
    <row r="48" spans="1:15">
      <c r="A48" s="11"/>
      <c r="B48" s="11"/>
      <c r="C48" s="11"/>
      <c r="D48" s="11"/>
      <c r="E48" s="11"/>
      <c r="F48" s="11"/>
      <c r="G48" s="11"/>
      <c r="H48" s="11"/>
      <c r="I48" s="11"/>
      <c r="J48" s="11"/>
      <c r="K48" s="11"/>
      <c r="L48" s="11"/>
      <c r="M48" s="11"/>
      <c r="N48" s="11"/>
      <c r="O48" s="11"/>
    </row>
    <row r="49" spans="1:15">
      <c r="A49" s="11"/>
      <c r="B49" s="11"/>
      <c r="C49" s="11"/>
      <c r="D49" s="11"/>
      <c r="E49" s="11"/>
      <c r="F49" s="11"/>
      <c r="G49" s="11"/>
      <c r="H49" s="11"/>
      <c r="I49" s="11"/>
      <c r="J49" s="11"/>
      <c r="K49" s="11"/>
      <c r="L49" s="11"/>
      <c r="M49" s="11"/>
      <c r="N49" s="11"/>
      <c r="O49" s="11"/>
    </row>
    <row r="50" spans="1:15">
      <c r="A50" s="11"/>
      <c r="B50" s="11"/>
      <c r="C50" s="11"/>
      <c r="D50" s="11"/>
      <c r="E50" s="11"/>
      <c r="F50" s="11"/>
      <c r="G50" s="11"/>
      <c r="H50" s="11"/>
      <c r="I50" s="11"/>
      <c r="J50" s="11"/>
      <c r="K50" s="11"/>
      <c r="L50" s="11"/>
      <c r="M50" s="11"/>
      <c r="N50" s="11"/>
      <c r="O50" s="11"/>
    </row>
    <row r="51" spans="1:15">
      <c r="A51" s="11"/>
      <c r="B51" s="11"/>
      <c r="C51" s="11"/>
      <c r="D51" s="11"/>
      <c r="E51" s="11"/>
      <c r="F51" s="11"/>
      <c r="G51" s="11"/>
      <c r="H51" s="11"/>
      <c r="I51" s="11"/>
      <c r="J51" s="11"/>
      <c r="K51" s="11"/>
      <c r="L51" s="11"/>
      <c r="M51" s="11"/>
      <c r="N51" s="11"/>
      <c r="O51" s="11"/>
    </row>
    <row r="52" spans="1:15">
      <c r="A52" s="11"/>
      <c r="B52" s="11"/>
      <c r="C52" s="11"/>
      <c r="D52" s="11"/>
      <c r="E52" s="11"/>
      <c r="F52" s="11"/>
      <c r="G52" s="11"/>
      <c r="H52" s="11"/>
      <c r="I52" s="11"/>
      <c r="J52" s="11"/>
      <c r="K52" s="11"/>
      <c r="L52" s="11"/>
      <c r="M52" s="11"/>
      <c r="N52" s="11"/>
      <c r="O52" s="11"/>
    </row>
    <row r="53" spans="1:15">
      <c r="A53" s="11"/>
      <c r="B53" s="11"/>
      <c r="C53" s="11"/>
      <c r="D53" s="11"/>
      <c r="E53" s="11"/>
      <c r="F53" s="11"/>
      <c r="G53" s="11"/>
      <c r="H53" s="11"/>
      <c r="I53" s="11"/>
      <c r="J53" s="11"/>
      <c r="K53" s="11"/>
      <c r="L53" s="11"/>
      <c r="M53" s="11"/>
      <c r="N53" s="11"/>
      <c r="O53" s="11"/>
    </row>
    <row r="54" spans="1:15">
      <c r="A54" s="11"/>
      <c r="B54" s="11"/>
      <c r="C54" s="11"/>
      <c r="D54" s="11"/>
      <c r="E54" s="11"/>
      <c r="F54" s="11"/>
      <c r="G54" s="11"/>
      <c r="H54" s="11"/>
      <c r="I54" s="11"/>
      <c r="J54" s="11"/>
      <c r="K54" s="11"/>
      <c r="L54" s="11"/>
      <c r="M54" s="11"/>
      <c r="N54" s="11"/>
      <c r="O54" s="11"/>
    </row>
    <row r="55" spans="1:15">
      <c r="A55" s="11"/>
      <c r="B55" s="11"/>
      <c r="C55" s="11"/>
      <c r="D55" s="11"/>
      <c r="E55" s="11"/>
      <c r="F55" s="11"/>
      <c r="G55" s="11"/>
      <c r="H55" s="11"/>
      <c r="I55" s="11"/>
      <c r="J55" s="11"/>
      <c r="K55" s="11"/>
      <c r="L55" s="11"/>
      <c r="M55" s="11"/>
      <c r="N55" s="11"/>
      <c r="O55" s="11"/>
    </row>
    <row r="56" spans="1:15">
      <c r="A56" s="11"/>
      <c r="B56" s="11"/>
      <c r="C56" s="11"/>
      <c r="D56" s="11"/>
      <c r="E56" s="11"/>
      <c r="F56" s="11"/>
      <c r="G56" s="11"/>
      <c r="H56" s="11"/>
      <c r="I56" s="11"/>
      <c r="J56" s="11"/>
      <c r="K56" s="11"/>
      <c r="L56" s="11"/>
      <c r="M56" s="11"/>
      <c r="N56" s="11"/>
      <c r="O56" s="11"/>
    </row>
    <row r="57" spans="1:15">
      <c r="A57" s="11"/>
      <c r="B57" s="11"/>
      <c r="C57" s="11"/>
      <c r="D57" s="11"/>
      <c r="E57" s="11"/>
      <c r="F57" s="11"/>
      <c r="G57" s="11"/>
      <c r="H57" s="11"/>
      <c r="I57" s="11"/>
      <c r="J57" s="11"/>
      <c r="K57" s="11"/>
      <c r="L57" s="11"/>
      <c r="M57" s="11"/>
      <c r="N57" s="11"/>
      <c r="O57" s="11"/>
    </row>
    <row r="58" spans="1:15">
      <c r="A58" s="11"/>
      <c r="B58" s="11"/>
      <c r="C58" s="11"/>
      <c r="D58" s="11"/>
      <c r="E58" s="11"/>
      <c r="F58" s="11"/>
      <c r="G58" s="11"/>
      <c r="H58" s="11"/>
      <c r="I58" s="11"/>
      <c r="J58" s="11"/>
      <c r="K58" s="11"/>
      <c r="L58" s="11"/>
      <c r="M58" s="11"/>
      <c r="N58" s="11"/>
      <c r="O58" s="11"/>
    </row>
    <row r="59" spans="1:15">
      <c r="A59" s="11"/>
      <c r="B59" s="11"/>
      <c r="C59" s="11"/>
      <c r="D59" s="11"/>
      <c r="E59" s="11"/>
      <c r="F59" s="11"/>
      <c r="G59" s="11"/>
      <c r="H59" s="11"/>
      <c r="I59" s="11"/>
      <c r="J59" s="11"/>
      <c r="K59" s="11"/>
      <c r="L59" s="11"/>
      <c r="M59" s="11"/>
      <c r="N59" s="11"/>
      <c r="O59" s="11"/>
    </row>
    <row r="60" spans="1:15">
      <c r="A60" s="11"/>
      <c r="B60" s="11"/>
      <c r="C60" s="11"/>
      <c r="D60" s="11"/>
      <c r="E60" s="11"/>
      <c r="F60" s="11"/>
      <c r="G60" s="11"/>
      <c r="H60" s="11"/>
      <c r="I60" s="11"/>
      <c r="J60" s="11"/>
      <c r="K60" s="11"/>
      <c r="L60" s="11"/>
      <c r="M60" s="11"/>
      <c r="N60" s="11"/>
      <c r="O60" s="11"/>
    </row>
    <row r="61" spans="1:15" ht="16.5">
      <c r="A61" s="11"/>
      <c r="B61" s="17" t="s">
        <v>1334</v>
      </c>
      <c r="C61" s="11"/>
      <c r="D61" s="11"/>
      <c r="E61" s="11"/>
      <c r="F61" s="11"/>
      <c r="G61" s="11"/>
      <c r="H61" s="11"/>
      <c r="I61" s="11"/>
      <c r="J61" s="11"/>
      <c r="K61" s="11"/>
      <c r="L61" s="11"/>
      <c r="M61" s="11"/>
      <c r="N61" s="11"/>
      <c r="O61" s="11"/>
    </row>
    <row r="62" spans="1:15">
      <c r="A62" s="11"/>
      <c r="B62" s="11"/>
      <c r="C62" s="11"/>
      <c r="D62" s="11"/>
      <c r="E62" s="11"/>
      <c r="F62" s="11"/>
      <c r="G62" s="11"/>
      <c r="H62" s="11"/>
      <c r="I62" s="11"/>
      <c r="J62" s="11"/>
      <c r="K62" s="11"/>
      <c r="L62" s="11"/>
      <c r="M62" s="11"/>
      <c r="N62" s="11"/>
      <c r="O62" s="11"/>
    </row>
    <row r="63" spans="1:15" ht="51" customHeight="1">
      <c r="A63" s="11"/>
      <c r="B63" s="324" t="s">
        <v>1335</v>
      </c>
      <c r="C63" s="324"/>
      <c r="D63" s="324"/>
      <c r="E63" s="324"/>
      <c r="F63" s="324"/>
      <c r="G63" s="324"/>
      <c r="H63" s="324"/>
      <c r="I63" s="324"/>
      <c r="J63" s="324"/>
      <c r="K63" s="324"/>
      <c r="L63" s="11"/>
      <c r="M63" s="11"/>
      <c r="N63" s="11"/>
      <c r="O63" s="11"/>
    </row>
    <row r="64" spans="1:15">
      <c r="A64" s="11"/>
      <c r="B64" s="11"/>
      <c r="C64" s="11"/>
      <c r="D64" s="11"/>
      <c r="E64" s="11"/>
      <c r="F64" s="11"/>
      <c r="G64" s="11"/>
      <c r="H64" s="11"/>
      <c r="I64" s="11"/>
      <c r="J64" s="11"/>
      <c r="K64" s="11"/>
      <c r="L64" s="11"/>
      <c r="M64" s="11"/>
      <c r="N64" s="11"/>
      <c r="O64" s="11"/>
    </row>
    <row r="65" spans="1:15">
      <c r="A65" s="11"/>
      <c r="B65" s="15" t="s">
        <v>1336</v>
      </c>
      <c r="C65" s="11"/>
      <c r="D65" s="11"/>
      <c r="E65" s="11"/>
      <c r="F65" s="11"/>
      <c r="G65" s="11"/>
      <c r="H65" s="11"/>
      <c r="I65" s="11"/>
      <c r="J65" s="11"/>
      <c r="K65" s="11"/>
      <c r="L65" s="11"/>
      <c r="M65" s="11"/>
      <c r="N65" s="11"/>
      <c r="O65" s="11"/>
    </row>
    <row r="66" spans="1:15">
      <c r="A66" s="11"/>
      <c r="B66" s="15"/>
      <c r="C66" s="11"/>
      <c r="D66" s="11"/>
      <c r="E66" s="11"/>
      <c r="F66" s="11"/>
      <c r="G66" s="11"/>
      <c r="H66" s="11"/>
      <c r="I66" s="11"/>
      <c r="J66" s="11"/>
      <c r="K66" s="11"/>
      <c r="L66" s="11"/>
      <c r="M66" s="11"/>
      <c r="N66" s="11"/>
      <c r="O66" s="11"/>
    </row>
    <row r="67" spans="1:15">
      <c r="A67" s="11"/>
      <c r="B67" s="18" t="s">
        <v>1337</v>
      </c>
      <c r="C67" s="11"/>
      <c r="D67" s="11"/>
      <c r="E67" s="11"/>
      <c r="F67" s="11"/>
      <c r="G67" s="11"/>
      <c r="H67" s="11"/>
      <c r="I67" s="11"/>
      <c r="J67" s="11"/>
      <c r="K67" s="11"/>
      <c r="L67" s="11"/>
      <c r="M67" s="11"/>
      <c r="N67" s="11"/>
      <c r="O67" s="11"/>
    </row>
    <row r="68" spans="1:15">
      <c r="A68" s="11"/>
      <c r="B68" s="4"/>
      <c r="C68" s="11"/>
      <c r="D68" s="11"/>
      <c r="E68" s="11"/>
      <c r="F68" s="11"/>
      <c r="G68" s="11"/>
      <c r="H68" s="11"/>
      <c r="I68" s="11"/>
      <c r="J68" s="11"/>
      <c r="K68" s="11"/>
      <c r="L68" s="11"/>
      <c r="M68" s="11"/>
      <c r="N68" s="11"/>
      <c r="O68" s="11"/>
    </row>
    <row r="69" spans="1:15" ht="27.6" customHeight="1">
      <c r="A69" s="11"/>
      <c r="B69" s="324" t="s">
        <v>1338</v>
      </c>
      <c r="C69" s="324"/>
      <c r="D69" s="324"/>
      <c r="E69" s="324"/>
      <c r="F69" s="324"/>
      <c r="G69" s="324"/>
      <c r="H69" s="324"/>
      <c r="I69" s="324"/>
      <c r="J69" s="324"/>
      <c r="K69" s="324"/>
      <c r="L69" s="11"/>
      <c r="M69" s="11"/>
      <c r="N69" s="11"/>
      <c r="O69" s="11"/>
    </row>
    <row r="70" spans="1:15">
      <c r="A70" s="11"/>
      <c r="B70" s="11"/>
      <c r="C70" s="11"/>
      <c r="D70" s="11"/>
      <c r="E70" s="11"/>
      <c r="F70" s="11"/>
      <c r="G70" s="11"/>
      <c r="H70" s="11"/>
      <c r="I70" s="11"/>
      <c r="J70" s="11"/>
      <c r="K70" s="11"/>
      <c r="L70" s="11"/>
      <c r="M70" s="11"/>
      <c r="N70" s="11"/>
      <c r="O70" s="11"/>
    </row>
    <row r="71" spans="1:15">
      <c r="A71" s="11"/>
      <c r="B71" s="13" t="s">
        <v>1339</v>
      </c>
      <c r="C71" s="11"/>
      <c r="D71" s="11"/>
      <c r="E71" s="11"/>
      <c r="F71" s="11"/>
      <c r="G71" s="11"/>
      <c r="H71" s="11"/>
      <c r="I71" s="11"/>
      <c r="J71" s="11"/>
      <c r="K71" s="11"/>
      <c r="L71" s="11"/>
      <c r="M71" s="11"/>
      <c r="N71" s="11"/>
      <c r="O71" s="11"/>
    </row>
    <row r="72" spans="1:15">
      <c r="A72" s="11"/>
      <c r="B72" s="11"/>
      <c r="C72" s="11"/>
      <c r="D72" s="11"/>
      <c r="E72" s="11"/>
      <c r="F72" s="11"/>
      <c r="G72" s="11"/>
      <c r="H72" s="11"/>
      <c r="I72" s="11"/>
      <c r="J72" s="11"/>
      <c r="K72" s="11"/>
      <c r="L72" s="11"/>
      <c r="M72" s="11"/>
      <c r="N72" s="11"/>
      <c r="O72" s="11"/>
    </row>
    <row r="73" spans="1:15">
      <c r="A73" s="11"/>
      <c r="B73" s="11"/>
      <c r="C73" s="11"/>
      <c r="D73" s="11"/>
      <c r="E73" s="11"/>
      <c r="F73" s="11"/>
      <c r="G73" s="11"/>
      <c r="H73" s="11"/>
      <c r="I73" s="11"/>
      <c r="J73" s="11"/>
      <c r="K73" s="11"/>
      <c r="L73" s="11"/>
      <c r="M73" s="11"/>
      <c r="N73" s="11"/>
      <c r="O73" s="11"/>
    </row>
    <row r="74" spans="1:15">
      <c r="A74" s="11"/>
      <c r="B74" s="11"/>
      <c r="C74" s="11"/>
      <c r="D74" s="11"/>
      <c r="E74" s="11"/>
      <c r="F74" s="11"/>
      <c r="G74" s="11"/>
      <c r="H74" s="11"/>
      <c r="I74" s="11"/>
      <c r="J74" s="11"/>
      <c r="K74" s="11"/>
      <c r="L74" s="11"/>
      <c r="M74" s="11"/>
      <c r="N74" s="11"/>
      <c r="O74" s="11"/>
    </row>
    <row r="75" spans="1:15">
      <c r="A75" s="11"/>
      <c r="B75" s="11"/>
      <c r="C75" s="11"/>
      <c r="D75" s="11"/>
      <c r="E75" s="11"/>
      <c r="F75" s="11"/>
      <c r="G75" s="11"/>
      <c r="H75" s="11"/>
      <c r="I75" s="11"/>
      <c r="J75" s="11"/>
      <c r="K75" s="11"/>
      <c r="L75" s="11"/>
      <c r="M75" s="11"/>
      <c r="N75" s="11"/>
      <c r="O75" s="11"/>
    </row>
    <row r="76" spans="1:15">
      <c r="A76" s="11"/>
      <c r="B76" s="11"/>
      <c r="C76" s="11"/>
      <c r="D76" s="11"/>
      <c r="E76" s="11"/>
      <c r="F76" s="11"/>
      <c r="G76" s="11"/>
      <c r="H76" s="11"/>
      <c r="I76" s="11"/>
      <c r="J76" s="11"/>
      <c r="K76" s="11"/>
      <c r="L76" s="11"/>
      <c r="M76" s="11"/>
      <c r="N76" s="11"/>
      <c r="O76" s="11"/>
    </row>
    <row r="77" spans="1:15">
      <c r="A77" s="11"/>
      <c r="B77" s="11"/>
      <c r="C77" s="11"/>
      <c r="D77" s="11"/>
      <c r="E77" s="11"/>
      <c r="F77" s="11"/>
      <c r="G77" s="11"/>
      <c r="H77" s="11"/>
      <c r="I77" s="11"/>
      <c r="J77" s="11"/>
      <c r="K77" s="11"/>
      <c r="L77" s="11"/>
      <c r="M77" s="11"/>
      <c r="N77" s="11"/>
      <c r="O77" s="11"/>
    </row>
    <row r="78" spans="1:15">
      <c r="A78" s="11"/>
      <c r="B78" s="11"/>
      <c r="C78" s="11"/>
      <c r="D78" s="11"/>
      <c r="E78" s="11"/>
      <c r="F78" s="11"/>
      <c r="G78" s="11"/>
      <c r="H78" s="11"/>
      <c r="I78" s="11"/>
      <c r="J78" s="11"/>
      <c r="K78" s="11"/>
      <c r="L78" s="11"/>
      <c r="M78" s="11"/>
      <c r="N78" s="11"/>
      <c r="O78" s="11"/>
    </row>
    <row r="79" spans="1:15">
      <c r="A79" s="11"/>
      <c r="B79" s="11"/>
      <c r="C79" s="11"/>
      <c r="D79" s="11"/>
      <c r="E79" s="11"/>
      <c r="F79" s="11"/>
      <c r="G79" s="11"/>
      <c r="H79" s="11"/>
      <c r="I79" s="11"/>
      <c r="J79" s="11"/>
      <c r="K79" s="11"/>
      <c r="L79" s="11"/>
      <c r="M79" s="11"/>
      <c r="N79" s="11"/>
      <c r="O79" s="11"/>
    </row>
    <row r="80" spans="1:15">
      <c r="A80" s="11"/>
      <c r="B80" s="11"/>
      <c r="C80" s="11"/>
      <c r="D80" s="11"/>
      <c r="E80" s="11"/>
      <c r="F80" s="11"/>
      <c r="G80" s="11"/>
      <c r="H80" s="11"/>
      <c r="I80" s="11"/>
      <c r="J80" s="11"/>
      <c r="K80" s="11"/>
      <c r="L80" s="11"/>
      <c r="M80" s="11"/>
      <c r="N80" s="11"/>
      <c r="O80" s="11"/>
    </row>
    <row r="81" spans="1:15">
      <c r="A81" s="11"/>
      <c r="B81" s="11"/>
      <c r="C81" s="11"/>
      <c r="D81" s="11"/>
      <c r="E81" s="11"/>
      <c r="F81" s="11"/>
      <c r="G81" s="11"/>
      <c r="H81" s="11"/>
      <c r="I81" s="11"/>
      <c r="J81" s="11"/>
      <c r="K81" s="11"/>
      <c r="L81" s="11"/>
      <c r="M81" s="11"/>
      <c r="N81" s="11"/>
      <c r="O81" s="11"/>
    </row>
    <row r="82" spans="1:15">
      <c r="A82" s="11"/>
      <c r="B82" s="11"/>
      <c r="C82" s="11"/>
      <c r="D82" s="11"/>
      <c r="E82" s="11"/>
      <c r="F82" s="11"/>
      <c r="G82" s="11"/>
      <c r="H82" s="11"/>
      <c r="I82" s="11"/>
      <c r="J82" s="11"/>
      <c r="K82" s="11"/>
      <c r="L82" s="11"/>
      <c r="M82" s="11"/>
      <c r="N82" s="11"/>
      <c r="O82" s="11"/>
    </row>
    <row r="83" spans="1:15">
      <c r="A83" s="11"/>
      <c r="B83" s="11"/>
      <c r="C83" s="11"/>
      <c r="D83" s="11"/>
      <c r="E83" s="11"/>
      <c r="F83" s="11"/>
      <c r="G83" s="11"/>
      <c r="H83" s="11"/>
      <c r="I83" s="11"/>
      <c r="J83" s="11"/>
      <c r="K83" s="11"/>
      <c r="L83" s="11"/>
      <c r="M83" s="11"/>
      <c r="N83" s="11"/>
      <c r="O83" s="11"/>
    </row>
    <row r="84" spans="1:15">
      <c r="A84" s="11"/>
      <c r="B84" s="11"/>
      <c r="C84" s="11"/>
      <c r="D84" s="11"/>
      <c r="E84" s="11"/>
      <c r="F84" s="11"/>
      <c r="G84" s="11"/>
      <c r="H84" s="11"/>
      <c r="I84" s="11"/>
      <c r="J84" s="11"/>
      <c r="K84" s="11"/>
      <c r="L84" s="11"/>
      <c r="M84" s="11"/>
      <c r="N84" s="11"/>
      <c r="O84" s="11"/>
    </row>
    <row r="85" spans="1:15">
      <c r="A85" s="11"/>
      <c r="B85" s="11"/>
      <c r="C85" s="11"/>
      <c r="D85" s="11"/>
      <c r="E85" s="11"/>
      <c r="F85" s="11"/>
      <c r="G85" s="11"/>
      <c r="H85" s="11"/>
      <c r="I85" s="11"/>
      <c r="J85" s="11"/>
      <c r="K85" s="11"/>
      <c r="L85" s="11"/>
      <c r="M85" s="11"/>
      <c r="N85" s="11"/>
      <c r="O85" s="11"/>
    </row>
    <row r="86" spans="1:15">
      <c r="A86" s="11"/>
      <c r="B86" s="11"/>
      <c r="C86" s="11"/>
      <c r="D86" s="11"/>
      <c r="E86" s="11"/>
      <c r="F86" s="11"/>
      <c r="G86" s="11"/>
      <c r="H86" s="11"/>
      <c r="I86" s="11"/>
      <c r="J86" s="11"/>
      <c r="K86" s="11"/>
      <c r="L86" s="11"/>
      <c r="M86" s="11"/>
      <c r="N86" s="11"/>
      <c r="O86" s="11"/>
    </row>
    <row r="87" spans="1:15">
      <c r="A87" s="11"/>
      <c r="B87" s="11"/>
      <c r="C87" s="11"/>
      <c r="D87" s="11"/>
      <c r="E87" s="11"/>
      <c r="F87" s="11"/>
      <c r="G87" s="11"/>
      <c r="H87" s="11"/>
      <c r="I87" s="11"/>
      <c r="J87" s="11"/>
      <c r="K87" s="11"/>
      <c r="L87" s="11"/>
      <c r="M87" s="11"/>
      <c r="N87" s="11"/>
      <c r="O87" s="11"/>
    </row>
    <row r="88" spans="1:15">
      <c r="A88" s="11"/>
      <c r="B88" s="11"/>
      <c r="C88" s="11"/>
      <c r="D88" s="11"/>
      <c r="E88" s="11"/>
      <c r="F88" s="11"/>
      <c r="G88" s="11"/>
      <c r="H88" s="11"/>
      <c r="I88" s="11"/>
      <c r="J88" s="11"/>
      <c r="K88" s="11"/>
      <c r="L88" s="11"/>
      <c r="M88" s="11"/>
      <c r="N88" s="11"/>
      <c r="O88" s="11"/>
    </row>
    <row r="89" spans="1:15">
      <c r="A89" s="11"/>
      <c r="B89" s="11"/>
      <c r="C89" s="11"/>
      <c r="D89" s="11"/>
      <c r="E89" s="11"/>
      <c r="F89" s="11"/>
      <c r="G89" s="11"/>
      <c r="H89" s="11"/>
      <c r="I89" s="11"/>
      <c r="J89" s="11"/>
      <c r="K89" s="11"/>
      <c r="L89" s="11"/>
      <c r="M89" s="11"/>
      <c r="N89" s="11"/>
      <c r="O89" s="11"/>
    </row>
    <row r="90" spans="1:15">
      <c r="A90" s="11"/>
      <c r="B90" s="11"/>
      <c r="C90" s="11"/>
      <c r="D90" s="11"/>
      <c r="E90" s="11"/>
      <c r="F90" s="11"/>
      <c r="G90" s="11"/>
      <c r="H90" s="11"/>
      <c r="I90" s="11"/>
      <c r="J90" s="11"/>
      <c r="K90" s="11"/>
      <c r="L90" s="11"/>
      <c r="M90" s="11"/>
      <c r="N90" s="11"/>
      <c r="O90" s="11"/>
    </row>
    <row r="91" spans="1:15">
      <c r="A91" s="11"/>
      <c r="B91" s="11"/>
      <c r="C91" s="11"/>
      <c r="D91" s="11"/>
      <c r="E91" s="11"/>
      <c r="F91" s="11"/>
      <c r="G91" s="11"/>
      <c r="H91" s="11"/>
      <c r="I91" s="11"/>
      <c r="J91" s="11"/>
      <c r="K91" s="11"/>
      <c r="L91" s="11"/>
      <c r="M91" s="11"/>
      <c r="N91" s="11"/>
      <c r="O91" s="11"/>
    </row>
    <row r="92" spans="1:15">
      <c r="A92" s="11"/>
      <c r="B92" s="11"/>
      <c r="C92" s="11"/>
      <c r="D92" s="11"/>
      <c r="E92" s="11"/>
      <c r="F92" s="11"/>
      <c r="G92" s="11"/>
      <c r="H92" s="11"/>
      <c r="I92" s="11"/>
      <c r="J92" s="11"/>
      <c r="K92" s="11"/>
      <c r="L92" s="11"/>
      <c r="M92" s="11"/>
      <c r="N92" s="11"/>
      <c r="O92" s="11"/>
    </row>
    <row r="93" spans="1:15">
      <c r="A93" s="11"/>
      <c r="B93" s="11"/>
      <c r="C93" s="11"/>
      <c r="D93" s="11"/>
      <c r="E93" s="11"/>
      <c r="F93" s="11"/>
      <c r="G93" s="11"/>
      <c r="H93" s="11"/>
      <c r="I93" s="11"/>
      <c r="J93" s="11"/>
      <c r="K93" s="11"/>
      <c r="L93" s="11"/>
      <c r="M93" s="11"/>
      <c r="N93" s="11"/>
      <c r="O93" s="11"/>
    </row>
    <row r="94" spans="1:15">
      <c r="A94" s="11"/>
      <c r="B94" s="11"/>
      <c r="C94" s="11"/>
      <c r="D94" s="11"/>
      <c r="E94" s="11"/>
      <c r="F94" s="11"/>
      <c r="G94" s="11"/>
      <c r="H94" s="11"/>
      <c r="I94" s="11"/>
      <c r="J94" s="11"/>
      <c r="K94" s="11"/>
      <c r="L94" s="11"/>
      <c r="M94" s="11"/>
      <c r="N94" s="11"/>
      <c r="O94" s="11"/>
    </row>
    <row r="95" spans="1:15">
      <c r="A95" s="11"/>
      <c r="B95" s="11"/>
      <c r="C95" s="11"/>
      <c r="D95" s="11"/>
      <c r="E95" s="11"/>
      <c r="F95" s="11"/>
      <c r="G95" s="11"/>
      <c r="H95" s="11"/>
      <c r="I95" s="11"/>
      <c r="J95" s="11"/>
      <c r="K95" s="11"/>
      <c r="L95" s="11"/>
      <c r="M95" s="11"/>
      <c r="N95" s="11"/>
      <c r="O95" s="11"/>
    </row>
    <row r="96" spans="1:15">
      <c r="A96" s="11"/>
      <c r="B96" s="11"/>
      <c r="C96" s="11"/>
      <c r="D96" s="11"/>
      <c r="E96" s="11"/>
      <c r="F96" s="11"/>
      <c r="G96" s="11"/>
      <c r="H96" s="11"/>
      <c r="I96" s="11"/>
      <c r="J96" s="11"/>
      <c r="K96" s="11"/>
      <c r="L96" s="11"/>
      <c r="M96" s="11"/>
      <c r="N96" s="11"/>
      <c r="O96" s="11"/>
    </row>
    <row r="97" spans="1:15">
      <c r="A97" s="11"/>
      <c r="B97" s="11"/>
      <c r="C97" s="11"/>
      <c r="D97" s="11"/>
      <c r="E97" s="11"/>
      <c r="F97" s="11"/>
      <c r="G97" s="11"/>
      <c r="H97" s="11"/>
      <c r="I97" s="11"/>
      <c r="J97" s="11"/>
      <c r="K97" s="11"/>
      <c r="L97" s="11"/>
      <c r="M97" s="11"/>
      <c r="N97" s="11"/>
      <c r="O97" s="11"/>
    </row>
    <row r="98" spans="1:15">
      <c r="A98" s="11"/>
      <c r="B98" s="11"/>
      <c r="C98" s="11"/>
      <c r="D98" s="11"/>
      <c r="E98" s="11"/>
      <c r="F98" s="11"/>
      <c r="G98" s="11"/>
      <c r="H98" s="11"/>
      <c r="I98" s="11"/>
      <c r="J98" s="11"/>
      <c r="K98" s="11"/>
      <c r="L98" s="11"/>
      <c r="M98" s="11"/>
      <c r="N98" s="11"/>
      <c r="O98" s="11"/>
    </row>
    <row r="99" spans="1:15">
      <c r="A99" s="11"/>
      <c r="B99" s="11"/>
      <c r="C99" s="11"/>
      <c r="D99" s="11"/>
      <c r="E99" s="11"/>
      <c r="F99" s="11"/>
      <c r="G99" s="11"/>
      <c r="H99" s="11"/>
      <c r="I99" s="11"/>
      <c r="J99" s="11"/>
      <c r="K99" s="11"/>
      <c r="L99" s="11"/>
      <c r="M99" s="11"/>
      <c r="N99" s="11"/>
      <c r="O99" s="11"/>
    </row>
    <row r="100" spans="1:15">
      <c r="A100" s="11"/>
      <c r="B100" s="11"/>
      <c r="C100" s="11"/>
      <c r="D100" s="11"/>
      <c r="E100" s="11"/>
      <c r="F100" s="11"/>
      <c r="G100" s="11"/>
      <c r="H100" s="11"/>
      <c r="I100" s="11"/>
      <c r="J100" s="11"/>
      <c r="K100" s="11"/>
      <c r="L100" s="11"/>
      <c r="M100" s="11"/>
      <c r="N100" s="11"/>
      <c r="O100" s="11"/>
    </row>
    <row r="101" spans="1:15">
      <c r="A101" s="11"/>
      <c r="B101" s="11"/>
      <c r="C101" s="11"/>
      <c r="D101" s="11"/>
      <c r="E101" s="11"/>
      <c r="F101" s="11"/>
      <c r="G101" s="11"/>
      <c r="H101" s="11"/>
      <c r="I101" s="11"/>
      <c r="J101" s="11"/>
      <c r="K101" s="11"/>
      <c r="L101" s="11"/>
      <c r="M101" s="11"/>
      <c r="N101" s="11"/>
      <c r="O101" s="11"/>
    </row>
    <row r="102" spans="1:15">
      <c r="A102" s="11"/>
      <c r="B102" s="11"/>
      <c r="C102" s="11"/>
      <c r="D102" s="11"/>
      <c r="E102" s="11"/>
      <c r="F102" s="11"/>
      <c r="G102" s="11"/>
      <c r="H102" s="11"/>
      <c r="I102" s="11"/>
      <c r="J102" s="11"/>
      <c r="K102" s="11"/>
      <c r="L102" s="11"/>
      <c r="M102" s="11"/>
      <c r="N102" s="11"/>
      <c r="O102" s="11"/>
    </row>
    <row r="103" spans="1:15">
      <c r="A103" s="11"/>
      <c r="B103" s="11"/>
      <c r="C103" s="11"/>
      <c r="D103" s="11"/>
      <c r="E103" s="11"/>
      <c r="F103" s="11"/>
      <c r="G103" s="11"/>
      <c r="H103" s="11"/>
      <c r="I103" s="11"/>
      <c r="J103" s="11"/>
      <c r="K103" s="11"/>
      <c r="L103" s="11"/>
      <c r="M103" s="11"/>
      <c r="N103" s="11"/>
      <c r="O103" s="11"/>
    </row>
    <row r="104" spans="1:15">
      <c r="A104" s="11"/>
      <c r="B104" s="11"/>
      <c r="C104" s="11"/>
      <c r="D104" s="11"/>
      <c r="E104" s="11"/>
      <c r="F104" s="11"/>
      <c r="G104" s="11"/>
      <c r="H104" s="11"/>
      <c r="I104" s="11"/>
      <c r="J104" s="11"/>
      <c r="K104" s="11"/>
      <c r="L104" s="11"/>
      <c r="M104" s="11"/>
      <c r="N104" s="11"/>
      <c r="O104" s="11"/>
    </row>
    <row r="105" spans="1:15">
      <c r="A105" s="11"/>
      <c r="B105" s="11"/>
      <c r="C105" s="11"/>
      <c r="D105" s="11"/>
      <c r="E105" s="11"/>
      <c r="F105" s="11"/>
      <c r="G105" s="11"/>
      <c r="H105" s="11"/>
      <c r="I105" s="11"/>
      <c r="J105" s="11"/>
      <c r="K105" s="11"/>
      <c r="L105" s="11"/>
      <c r="M105" s="11"/>
      <c r="N105" s="11"/>
      <c r="O105" s="11"/>
    </row>
    <row r="106" spans="1:15">
      <c r="A106" s="11"/>
      <c r="B106" s="11"/>
      <c r="C106" s="11"/>
      <c r="D106" s="11"/>
      <c r="E106" s="11"/>
      <c r="F106" s="11"/>
      <c r="G106" s="11"/>
      <c r="H106" s="11"/>
      <c r="I106" s="11"/>
      <c r="J106" s="11"/>
      <c r="K106" s="11"/>
      <c r="L106" s="11"/>
      <c r="M106" s="11"/>
      <c r="N106" s="11"/>
      <c r="O106" s="11"/>
    </row>
    <row r="107" spans="1:15">
      <c r="A107" s="11"/>
      <c r="B107" s="11"/>
      <c r="C107" s="11"/>
      <c r="D107" s="11"/>
      <c r="E107" s="11"/>
      <c r="F107" s="11"/>
      <c r="G107" s="11"/>
      <c r="H107" s="11"/>
      <c r="I107" s="11"/>
      <c r="J107" s="11"/>
      <c r="K107" s="11"/>
      <c r="L107" s="11"/>
      <c r="M107" s="11"/>
      <c r="N107" s="11"/>
      <c r="O107" s="11"/>
    </row>
    <row r="108" spans="1:15">
      <c r="A108" s="11"/>
      <c r="B108" s="11"/>
      <c r="C108" s="11"/>
      <c r="D108" s="11"/>
      <c r="E108" s="11"/>
      <c r="F108" s="11"/>
      <c r="G108" s="11"/>
      <c r="H108" s="11"/>
      <c r="I108" s="11"/>
      <c r="J108" s="11"/>
      <c r="K108" s="11"/>
      <c r="L108" s="11"/>
      <c r="M108" s="11"/>
      <c r="N108" s="11"/>
      <c r="O108" s="11"/>
    </row>
    <row r="109" spans="1:15">
      <c r="A109" s="11"/>
      <c r="B109" s="11"/>
      <c r="C109" s="11"/>
      <c r="D109" s="11"/>
      <c r="E109" s="11"/>
      <c r="F109" s="11"/>
      <c r="G109" s="11"/>
      <c r="H109" s="11"/>
      <c r="I109" s="11"/>
      <c r="J109" s="11"/>
      <c r="K109" s="11"/>
      <c r="L109" s="11"/>
      <c r="M109" s="11"/>
      <c r="N109" s="11"/>
      <c r="O109" s="11"/>
    </row>
    <row r="110" spans="1:15">
      <c r="A110" s="11"/>
      <c r="B110" s="11"/>
      <c r="C110" s="11"/>
      <c r="D110" s="11"/>
      <c r="E110" s="11"/>
      <c r="F110" s="11"/>
      <c r="G110" s="11"/>
      <c r="H110" s="11"/>
      <c r="I110" s="11"/>
      <c r="J110" s="11"/>
      <c r="K110" s="11"/>
      <c r="L110" s="11"/>
      <c r="M110" s="11"/>
      <c r="N110" s="11"/>
      <c r="O110" s="11"/>
    </row>
    <row r="111" spans="1:15">
      <c r="A111" s="11"/>
      <c r="B111" s="11"/>
      <c r="C111" s="11"/>
      <c r="D111" s="11"/>
      <c r="E111" s="11"/>
      <c r="F111" s="11"/>
      <c r="G111" s="11"/>
      <c r="H111" s="11"/>
      <c r="I111" s="11"/>
      <c r="J111" s="11"/>
      <c r="K111" s="11"/>
      <c r="L111" s="11"/>
      <c r="M111" s="11"/>
      <c r="N111" s="11"/>
      <c r="O111" s="11"/>
    </row>
    <row r="112" spans="1:15">
      <c r="A112" s="11"/>
      <c r="B112" s="19" t="s">
        <v>1340</v>
      </c>
      <c r="C112" s="11"/>
      <c r="D112" s="11"/>
      <c r="E112" s="11"/>
      <c r="F112" s="11"/>
      <c r="G112" s="11"/>
      <c r="H112" s="11"/>
      <c r="I112" s="11"/>
      <c r="J112" s="11"/>
      <c r="K112" s="11"/>
      <c r="L112" s="11"/>
      <c r="M112" s="11"/>
      <c r="N112" s="11"/>
      <c r="O112" s="11"/>
    </row>
    <row r="113" spans="1:15">
      <c r="A113" s="11"/>
      <c r="B113" s="11"/>
      <c r="C113" s="11"/>
      <c r="D113" s="11"/>
      <c r="E113" s="11"/>
      <c r="F113" s="11"/>
      <c r="G113" s="11"/>
      <c r="H113" s="11"/>
      <c r="I113" s="11"/>
      <c r="J113" s="11"/>
      <c r="K113" s="11"/>
      <c r="L113" s="11"/>
      <c r="M113" s="11"/>
      <c r="N113" s="11"/>
      <c r="O113" s="11"/>
    </row>
    <row r="114" spans="1:15">
      <c r="A114" s="11"/>
      <c r="B114" s="324" t="s">
        <v>1341</v>
      </c>
      <c r="C114" s="324"/>
      <c r="D114" s="324"/>
      <c r="E114" s="324"/>
      <c r="F114" s="324"/>
      <c r="G114" s="324"/>
      <c r="H114" s="324"/>
      <c r="I114" s="324"/>
      <c r="J114" s="324"/>
      <c r="K114" s="324"/>
      <c r="L114" s="11"/>
      <c r="M114" s="11"/>
      <c r="N114" s="11"/>
      <c r="O114" s="11"/>
    </row>
    <row r="115" spans="1:15">
      <c r="A115" s="11"/>
      <c r="B115" s="11"/>
      <c r="C115" s="11"/>
      <c r="D115" s="11"/>
      <c r="E115" s="11"/>
      <c r="F115" s="11"/>
      <c r="G115" s="11"/>
      <c r="H115" s="11"/>
      <c r="I115" s="11"/>
      <c r="J115" s="11"/>
      <c r="K115" s="11"/>
      <c r="L115" s="11"/>
      <c r="M115" s="11"/>
      <c r="N115" s="11"/>
      <c r="O115" s="11"/>
    </row>
    <row r="116" spans="1:15">
      <c r="A116" s="11"/>
      <c r="B116" s="13" t="s">
        <v>1342</v>
      </c>
      <c r="C116" s="11"/>
      <c r="D116" s="11"/>
      <c r="E116" s="11"/>
      <c r="F116" s="11"/>
      <c r="G116" s="11"/>
      <c r="H116" s="11"/>
      <c r="I116" s="11"/>
      <c r="J116" s="11"/>
      <c r="K116" s="11"/>
      <c r="L116" s="11"/>
      <c r="M116" s="11"/>
      <c r="N116" s="11"/>
      <c r="O116" s="11"/>
    </row>
    <row r="117" spans="1:15">
      <c r="A117" s="11"/>
      <c r="B117" s="11"/>
      <c r="C117" s="11"/>
      <c r="D117" s="11"/>
      <c r="E117" s="11"/>
      <c r="F117" s="11"/>
      <c r="G117" s="11"/>
      <c r="H117" s="11"/>
      <c r="I117" s="11"/>
      <c r="J117" s="11"/>
      <c r="K117" s="11"/>
      <c r="L117" s="11"/>
      <c r="M117" s="11"/>
      <c r="N117" s="11"/>
      <c r="O117" s="11"/>
    </row>
    <row r="118" spans="1:15">
      <c r="A118" s="11"/>
      <c r="B118" s="11"/>
      <c r="C118" s="11"/>
      <c r="D118" s="11"/>
      <c r="E118" s="11"/>
      <c r="F118" s="11"/>
      <c r="G118" s="11"/>
      <c r="H118" s="11"/>
      <c r="I118" s="11"/>
      <c r="J118" s="11"/>
      <c r="K118" s="11"/>
      <c r="L118" s="11"/>
      <c r="M118" s="11"/>
      <c r="N118" s="11"/>
      <c r="O118" s="11"/>
    </row>
    <row r="119" spans="1:15">
      <c r="A119" s="11"/>
      <c r="B119" s="11"/>
      <c r="C119" s="11"/>
      <c r="D119" s="11"/>
      <c r="E119" s="11"/>
      <c r="F119" s="11"/>
      <c r="G119" s="11"/>
      <c r="H119" s="11"/>
      <c r="I119" s="11"/>
      <c r="J119" s="11"/>
      <c r="K119" s="11"/>
      <c r="L119" s="11"/>
      <c r="M119" s="11"/>
      <c r="N119" s="11"/>
      <c r="O119" s="11"/>
    </row>
    <row r="120" spans="1:15">
      <c r="A120" s="11"/>
      <c r="B120" s="11"/>
      <c r="C120" s="11"/>
      <c r="D120" s="11"/>
      <c r="E120" s="11"/>
      <c r="F120" s="11"/>
      <c r="G120" s="11"/>
      <c r="H120" s="11"/>
      <c r="I120" s="11"/>
      <c r="J120" s="11"/>
      <c r="K120" s="11"/>
      <c r="L120" s="11"/>
      <c r="M120" s="11"/>
      <c r="N120" s="11"/>
      <c r="O120" s="11"/>
    </row>
    <row r="121" spans="1:15">
      <c r="A121" s="11"/>
      <c r="B121" s="11"/>
      <c r="C121" s="11"/>
      <c r="D121" s="11"/>
      <c r="E121" s="11"/>
      <c r="F121" s="11"/>
      <c r="G121" s="11"/>
      <c r="H121" s="11"/>
      <c r="I121" s="11"/>
      <c r="J121" s="11"/>
      <c r="K121" s="11"/>
      <c r="L121" s="11"/>
      <c r="M121" s="11"/>
      <c r="N121" s="11"/>
      <c r="O121" s="11"/>
    </row>
    <row r="122" spans="1:15">
      <c r="A122" s="11"/>
      <c r="B122" s="11"/>
      <c r="C122" s="11"/>
      <c r="D122" s="11"/>
      <c r="E122" s="11"/>
      <c r="F122" s="11"/>
      <c r="G122" s="11"/>
      <c r="H122" s="11"/>
      <c r="I122" s="11"/>
      <c r="J122" s="11"/>
      <c r="K122" s="11"/>
      <c r="L122" s="11"/>
      <c r="M122" s="11"/>
      <c r="N122" s="11"/>
      <c r="O122" s="11"/>
    </row>
    <row r="123" spans="1:15">
      <c r="A123" s="11"/>
      <c r="B123" s="11"/>
      <c r="C123" s="11"/>
      <c r="D123" s="11"/>
      <c r="E123" s="11"/>
      <c r="F123" s="11"/>
      <c r="G123" s="11"/>
      <c r="H123" s="11"/>
      <c r="I123" s="11"/>
      <c r="J123" s="11"/>
      <c r="K123" s="11"/>
      <c r="L123" s="11"/>
      <c r="M123" s="11"/>
      <c r="N123" s="11"/>
      <c r="O123" s="11"/>
    </row>
    <row r="124" spans="1:15">
      <c r="A124" s="11"/>
      <c r="B124" s="11"/>
      <c r="C124" s="11"/>
      <c r="D124" s="11"/>
      <c r="E124" s="11"/>
      <c r="F124" s="11"/>
      <c r="G124" s="11"/>
      <c r="H124" s="11"/>
      <c r="I124" s="11"/>
      <c r="J124" s="11"/>
      <c r="K124" s="11"/>
      <c r="L124" s="11"/>
      <c r="M124" s="11"/>
      <c r="N124" s="11"/>
      <c r="O124" s="11"/>
    </row>
    <row r="125" spans="1:15">
      <c r="A125" s="11"/>
      <c r="B125" s="11"/>
      <c r="C125" s="11"/>
      <c r="D125" s="11"/>
      <c r="E125" s="11"/>
      <c r="F125" s="11"/>
      <c r="G125" s="11"/>
      <c r="H125" s="11"/>
      <c r="I125" s="11"/>
      <c r="J125" s="11"/>
      <c r="K125" s="11"/>
      <c r="L125" s="11"/>
      <c r="M125" s="11"/>
      <c r="N125" s="11"/>
      <c r="O125" s="11"/>
    </row>
    <row r="126" spans="1:15">
      <c r="A126" s="11"/>
      <c r="B126" s="11"/>
      <c r="C126" s="11"/>
      <c r="D126" s="11"/>
      <c r="E126" s="11"/>
      <c r="F126" s="11"/>
      <c r="G126" s="11"/>
      <c r="H126" s="11"/>
      <c r="I126" s="11"/>
      <c r="J126" s="11"/>
      <c r="K126" s="11"/>
      <c r="L126" s="11"/>
      <c r="M126" s="11"/>
      <c r="N126" s="11"/>
      <c r="O126" s="11"/>
    </row>
    <row r="127" spans="1:15">
      <c r="A127" s="11"/>
      <c r="B127" s="11"/>
      <c r="C127" s="11"/>
      <c r="D127" s="11"/>
      <c r="E127" s="11"/>
      <c r="F127" s="11"/>
      <c r="G127" s="11"/>
      <c r="H127" s="11"/>
      <c r="I127" s="11"/>
      <c r="J127" s="11"/>
      <c r="K127" s="11"/>
      <c r="L127" s="11"/>
      <c r="M127" s="11"/>
      <c r="N127" s="11"/>
      <c r="O127" s="11"/>
    </row>
    <row r="128" spans="1:15">
      <c r="A128" s="11"/>
      <c r="B128" s="11"/>
      <c r="C128" s="11"/>
      <c r="D128" s="11"/>
      <c r="E128" s="11"/>
      <c r="F128" s="11"/>
      <c r="G128" s="11"/>
      <c r="H128" s="11"/>
      <c r="I128" s="11"/>
      <c r="J128" s="11"/>
      <c r="K128" s="11"/>
      <c r="L128" s="11"/>
      <c r="M128" s="11"/>
      <c r="N128" s="11"/>
      <c r="O128" s="11"/>
    </row>
    <row r="129" spans="1:15">
      <c r="A129" s="11"/>
      <c r="B129" s="11"/>
      <c r="C129" s="11"/>
      <c r="D129" s="11"/>
      <c r="E129" s="11"/>
      <c r="F129" s="11"/>
      <c r="G129" s="11"/>
      <c r="H129" s="11"/>
      <c r="I129" s="11"/>
      <c r="J129" s="11"/>
      <c r="K129" s="11"/>
      <c r="L129" s="11"/>
      <c r="M129" s="11"/>
      <c r="N129" s="11"/>
      <c r="O129" s="11"/>
    </row>
    <row r="130" spans="1:15">
      <c r="A130" s="11"/>
      <c r="B130" s="11"/>
      <c r="C130" s="11"/>
      <c r="D130" s="11"/>
      <c r="E130" s="11"/>
      <c r="F130" s="11"/>
      <c r="G130" s="11"/>
      <c r="H130" s="11"/>
      <c r="I130" s="11"/>
      <c r="J130" s="11"/>
      <c r="K130" s="11"/>
      <c r="L130" s="11"/>
      <c r="M130" s="11"/>
      <c r="N130" s="11"/>
      <c r="O130" s="11"/>
    </row>
    <row r="131" spans="1:15">
      <c r="A131" s="11"/>
      <c r="B131" s="11"/>
      <c r="C131" s="11"/>
      <c r="D131" s="11"/>
      <c r="E131" s="11"/>
      <c r="F131" s="11"/>
      <c r="G131" s="11"/>
      <c r="H131" s="11"/>
      <c r="I131" s="11"/>
      <c r="J131" s="11"/>
      <c r="K131" s="11"/>
      <c r="L131" s="11"/>
      <c r="M131" s="11"/>
      <c r="N131" s="11"/>
      <c r="O131" s="11"/>
    </row>
    <row r="132" spans="1:15">
      <c r="A132" s="11"/>
      <c r="B132" s="11"/>
      <c r="C132" s="11"/>
      <c r="D132" s="11"/>
      <c r="E132" s="11"/>
      <c r="F132" s="11"/>
      <c r="G132" s="11"/>
      <c r="H132" s="11"/>
      <c r="I132" s="11"/>
      <c r="J132" s="11"/>
      <c r="K132" s="11"/>
      <c r="L132" s="11"/>
      <c r="M132" s="11"/>
      <c r="N132" s="11"/>
      <c r="O132" s="11"/>
    </row>
    <row r="133" spans="1:15">
      <c r="A133" s="11"/>
      <c r="B133" s="11"/>
      <c r="C133" s="11"/>
      <c r="D133" s="11"/>
      <c r="E133" s="11"/>
      <c r="F133" s="11"/>
      <c r="G133" s="11"/>
      <c r="H133" s="11"/>
      <c r="I133" s="11"/>
      <c r="J133" s="11"/>
      <c r="K133" s="11"/>
      <c r="L133" s="11"/>
      <c r="M133" s="11"/>
      <c r="N133" s="11"/>
      <c r="O133" s="11"/>
    </row>
    <row r="134" spans="1:15">
      <c r="A134" s="11"/>
      <c r="B134" s="11"/>
      <c r="C134" s="11"/>
      <c r="D134" s="11"/>
      <c r="E134" s="11"/>
      <c r="F134" s="11"/>
      <c r="G134" s="11"/>
      <c r="H134" s="11"/>
      <c r="I134" s="11"/>
      <c r="J134" s="11"/>
      <c r="K134" s="11"/>
      <c r="L134" s="11"/>
      <c r="M134" s="11"/>
      <c r="N134" s="11"/>
      <c r="O134" s="11"/>
    </row>
    <row r="135" spans="1:15">
      <c r="A135" s="11"/>
      <c r="B135" s="11"/>
      <c r="C135" s="11"/>
      <c r="D135" s="11"/>
      <c r="E135" s="11"/>
      <c r="F135" s="11"/>
      <c r="G135" s="11"/>
      <c r="H135" s="11"/>
      <c r="I135" s="11"/>
      <c r="J135" s="11"/>
      <c r="K135" s="11"/>
      <c r="L135" s="11"/>
      <c r="M135" s="11"/>
      <c r="N135" s="11"/>
      <c r="O135" s="11"/>
    </row>
    <row r="136" spans="1:15">
      <c r="A136" s="11"/>
      <c r="B136" s="11"/>
      <c r="C136" s="11"/>
      <c r="D136" s="11"/>
      <c r="E136" s="11"/>
      <c r="F136" s="11"/>
      <c r="G136" s="11"/>
      <c r="H136" s="11"/>
      <c r="I136" s="11"/>
      <c r="J136" s="11"/>
      <c r="K136" s="11"/>
      <c r="L136" s="11"/>
      <c r="M136" s="11"/>
      <c r="N136" s="11"/>
      <c r="O136" s="11"/>
    </row>
    <row r="137" spans="1:15">
      <c r="A137" s="11"/>
      <c r="B137" s="11"/>
      <c r="C137" s="11"/>
      <c r="D137" s="11"/>
      <c r="E137" s="11"/>
      <c r="F137" s="11"/>
      <c r="G137" s="11"/>
      <c r="H137" s="11"/>
      <c r="I137" s="11"/>
      <c r="J137" s="11"/>
      <c r="K137" s="11"/>
      <c r="L137" s="11"/>
      <c r="M137" s="11"/>
      <c r="N137" s="11"/>
      <c r="O137" s="11"/>
    </row>
    <row r="138" spans="1:15">
      <c r="A138" s="11"/>
      <c r="B138" s="11"/>
      <c r="C138" s="11"/>
      <c r="D138" s="11"/>
      <c r="E138" s="11"/>
      <c r="F138" s="11"/>
      <c r="G138" s="11"/>
      <c r="H138" s="11"/>
      <c r="I138" s="11"/>
      <c r="J138" s="11"/>
      <c r="K138" s="11"/>
      <c r="L138" s="11"/>
      <c r="M138" s="11"/>
      <c r="N138" s="11"/>
      <c r="O138" s="11"/>
    </row>
    <row r="139" spans="1:15">
      <c r="A139" s="11"/>
      <c r="B139" s="11"/>
      <c r="C139" s="11"/>
      <c r="D139" s="11"/>
      <c r="E139" s="11"/>
      <c r="F139" s="11"/>
      <c r="G139" s="11"/>
      <c r="H139" s="11"/>
      <c r="I139" s="11"/>
      <c r="J139" s="11"/>
      <c r="K139" s="11"/>
      <c r="L139" s="11"/>
      <c r="M139" s="11"/>
      <c r="N139" s="11"/>
      <c r="O139" s="11"/>
    </row>
    <row r="140" spans="1:15">
      <c r="A140" s="11"/>
      <c r="B140" s="11"/>
      <c r="C140" s="11"/>
      <c r="D140" s="11"/>
      <c r="E140" s="11"/>
      <c r="F140" s="11"/>
      <c r="G140" s="11"/>
      <c r="H140" s="11"/>
      <c r="I140" s="11"/>
      <c r="J140" s="11"/>
      <c r="K140" s="11"/>
      <c r="L140" s="11"/>
      <c r="M140" s="11"/>
      <c r="N140" s="11"/>
      <c r="O140" s="11"/>
    </row>
    <row r="141" spans="1:15">
      <c r="A141" s="11"/>
      <c r="B141" s="11"/>
      <c r="C141" s="11"/>
      <c r="D141" s="11"/>
      <c r="E141" s="11"/>
      <c r="F141" s="11"/>
      <c r="G141" s="11"/>
      <c r="H141" s="11"/>
      <c r="I141" s="11"/>
      <c r="J141" s="11"/>
      <c r="K141" s="11"/>
      <c r="L141" s="11"/>
      <c r="M141" s="11"/>
      <c r="N141" s="11"/>
      <c r="O141" s="11"/>
    </row>
    <row r="142" spans="1:15">
      <c r="A142" s="11"/>
      <c r="B142" s="11"/>
      <c r="C142" s="11"/>
      <c r="D142" s="11"/>
      <c r="E142" s="11"/>
      <c r="F142" s="11"/>
      <c r="G142" s="11"/>
      <c r="H142" s="11"/>
      <c r="I142" s="11"/>
      <c r="J142" s="11"/>
      <c r="K142" s="11"/>
      <c r="L142" s="11"/>
      <c r="M142" s="11"/>
      <c r="N142" s="11"/>
      <c r="O142" s="11"/>
    </row>
    <row r="143" spans="1:15">
      <c r="A143" s="11"/>
      <c r="B143" s="11"/>
      <c r="C143" s="11"/>
      <c r="D143" s="11"/>
      <c r="E143" s="11"/>
      <c r="F143" s="11"/>
      <c r="G143" s="11"/>
      <c r="H143" s="11"/>
      <c r="I143" s="11"/>
      <c r="J143" s="11"/>
      <c r="K143" s="11"/>
      <c r="L143" s="11"/>
      <c r="M143" s="11"/>
      <c r="N143" s="11"/>
      <c r="O143" s="11"/>
    </row>
    <row r="144" spans="1:15">
      <c r="A144" s="11"/>
      <c r="B144" s="11"/>
      <c r="C144" s="11"/>
      <c r="D144" s="11"/>
      <c r="E144" s="11"/>
      <c r="F144" s="11"/>
      <c r="G144" s="11"/>
      <c r="H144" s="11"/>
      <c r="I144" s="11"/>
      <c r="J144" s="11"/>
      <c r="K144" s="11"/>
      <c r="L144" s="11"/>
      <c r="M144" s="11"/>
      <c r="N144" s="11"/>
      <c r="O144" s="11"/>
    </row>
    <row r="145" spans="1:15">
      <c r="A145" s="11"/>
      <c r="B145" s="11"/>
      <c r="C145" s="11"/>
      <c r="D145" s="11"/>
      <c r="E145" s="11"/>
      <c r="F145" s="11"/>
      <c r="G145" s="11"/>
      <c r="H145" s="11"/>
      <c r="I145" s="11"/>
      <c r="J145" s="11"/>
      <c r="K145" s="11"/>
      <c r="L145" s="11"/>
      <c r="M145" s="11"/>
      <c r="N145" s="11"/>
      <c r="O145" s="11"/>
    </row>
    <row r="146" spans="1:15">
      <c r="A146" s="11"/>
      <c r="B146" s="11"/>
      <c r="C146" s="11"/>
      <c r="D146" s="11"/>
      <c r="E146" s="11"/>
      <c r="F146" s="11"/>
      <c r="G146" s="11"/>
      <c r="H146" s="11"/>
      <c r="I146" s="11"/>
      <c r="J146" s="11"/>
      <c r="K146" s="11"/>
      <c r="L146" s="11"/>
      <c r="M146" s="11"/>
      <c r="N146" s="11"/>
      <c r="O146" s="11"/>
    </row>
    <row r="147" spans="1:15">
      <c r="A147" s="11"/>
      <c r="B147" s="11"/>
      <c r="C147" s="11"/>
      <c r="D147" s="11"/>
      <c r="E147" s="11"/>
      <c r="F147" s="11"/>
      <c r="G147" s="11"/>
      <c r="H147" s="11"/>
      <c r="I147" s="11"/>
      <c r="J147" s="11"/>
      <c r="K147" s="11"/>
      <c r="L147" s="11"/>
      <c r="M147" s="11"/>
      <c r="N147" s="11"/>
      <c r="O147" s="11"/>
    </row>
    <row r="148" spans="1:15">
      <c r="A148" s="11"/>
      <c r="B148" s="11"/>
      <c r="C148" s="11"/>
      <c r="D148" s="11"/>
      <c r="E148" s="11"/>
      <c r="F148" s="11"/>
      <c r="G148" s="11"/>
      <c r="H148" s="11"/>
      <c r="I148" s="11"/>
      <c r="J148" s="11"/>
      <c r="K148" s="11"/>
      <c r="L148" s="11"/>
      <c r="M148" s="11"/>
      <c r="N148" s="11"/>
      <c r="O148" s="11"/>
    </row>
    <row r="149" spans="1:15">
      <c r="A149" s="11"/>
      <c r="B149" s="11"/>
      <c r="C149" s="11"/>
      <c r="D149" s="11"/>
      <c r="E149" s="11"/>
      <c r="F149" s="11"/>
      <c r="G149" s="11"/>
      <c r="H149" s="11"/>
      <c r="I149" s="11"/>
      <c r="J149" s="11"/>
      <c r="K149" s="11"/>
      <c r="L149" s="11"/>
      <c r="M149" s="11"/>
      <c r="N149" s="11"/>
      <c r="O149" s="11"/>
    </row>
    <row r="150" spans="1:15">
      <c r="A150" s="11"/>
      <c r="B150" s="11"/>
      <c r="C150" s="11"/>
      <c r="D150" s="11"/>
      <c r="E150" s="11"/>
      <c r="F150" s="11"/>
      <c r="G150" s="11"/>
      <c r="H150" s="11"/>
      <c r="I150" s="11"/>
      <c r="J150" s="11"/>
      <c r="K150" s="11"/>
      <c r="L150" s="11"/>
      <c r="M150" s="11"/>
      <c r="N150" s="11"/>
      <c r="O150" s="11"/>
    </row>
    <row r="151" spans="1:15">
      <c r="A151" s="11"/>
      <c r="B151" s="11"/>
      <c r="C151" s="11"/>
      <c r="D151" s="11"/>
      <c r="E151" s="11"/>
      <c r="F151" s="11"/>
      <c r="G151" s="11"/>
      <c r="H151" s="11"/>
      <c r="I151" s="11"/>
      <c r="J151" s="11"/>
      <c r="K151" s="11"/>
      <c r="L151" s="11"/>
      <c r="M151" s="11"/>
      <c r="N151" s="11"/>
      <c r="O151" s="11"/>
    </row>
    <row r="152" spans="1:15">
      <c r="A152" s="11"/>
      <c r="B152" s="11"/>
      <c r="C152" s="11"/>
      <c r="D152" s="11"/>
      <c r="E152" s="11"/>
      <c r="F152" s="11"/>
      <c r="G152" s="11"/>
      <c r="H152" s="11"/>
      <c r="I152" s="11"/>
      <c r="J152" s="11"/>
      <c r="K152" s="11"/>
      <c r="L152" s="11"/>
      <c r="M152" s="11"/>
      <c r="N152" s="11"/>
      <c r="O152" s="11"/>
    </row>
    <row r="153" spans="1:15">
      <c r="A153" s="11"/>
      <c r="B153" s="11"/>
      <c r="C153" s="11"/>
      <c r="D153" s="11"/>
      <c r="E153" s="11"/>
      <c r="F153" s="11"/>
      <c r="G153" s="11"/>
      <c r="H153" s="11"/>
      <c r="I153" s="11"/>
      <c r="J153" s="11"/>
      <c r="K153" s="11"/>
      <c r="L153" s="11"/>
      <c r="M153" s="11"/>
      <c r="N153" s="11"/>
      <c r="O153" s="11"/>
    </row>
    <row r="154" spans="1:15">
      <c r="A154" s="11"/>
      <c r="B154" s="11"/>
      <c r="C154" s="11"/>
      <c r="D154" s="11"/>
      <c r="E154" s="11"/>
      <c r="F154" s="11"/>
      <c r="G154" s="11"/>
      <c r="H154" s="11"/>
      <c r="I154" s="11"/>
      <c r="J154" s="11"/>
      <c r="K154" s="11"/>
      <c r="L154" s="11"/>
      <c r="M154" s="11"/>
      <c r="N154" s="11"/>
      <c r="O154" s="11"/>
    </row>
    <row r="155" spans="1:15">
      <c r="A155" s="11"/>
      <c r="B155" s="11"/>
      <c r="C155" s="11"/>
      <c r="D155" s="11"/>
      <c r="E155" s="11"/>
      <c r="F155" s="11"/>
      <c r="G155" s="11"/>
      <c r="H155" s="11"/>
      <c r="I155" s="11"/>
      <c r="J155" s="11"/>
      <c r="K155" s="11"/>
      <c r="L155" s="11"/>
      <c r="M155" s="11"/>
      <c r="N155" s="11"/>
      <c r="O155" s="11"/>
    </row>
    <row r="156" spans="1:15">
      <c r="A156" s="11"/>
      <c r="B156" s="11"/>
      <c r="C156" s="11"/>
      <c r="D156" s="11"/>
      <c r="E156" s="11"/>
      <c r="F156" s="11"/>
      <c r="G156" s="11"/>
      <c r="H156" s="11"/>
      <c r="I156" s="11"/>
      <c r="J156" s="11"/>
      <c r="K156" s="11"/>
      <c r="L156" s="11"/>
      <c r="M156" s="11"/>
      <c r="N156" s="11"/>
      <c r="O156" s="11"/>
    </row>
    <row r="157" spans="1:15">
      <c r="A157" s="11"/>
      <c r="B157" s="15" t="s">
        <v>1343</v>
      </c>
      <c r="C157" s="11"/>
      <c r="D157" s="11"/>
      <c r="E157" s="11"/>
      <c r="F157" s="11"/>
      <c r="G157" s="11"/>
      <c r="H157" s="11"/>
      <c r="I157" s="11"/>
      <c r="J157" s="11"/>
      <c r="K157" s="11"/>
      <c r="L157" s="11"/>
      <c r="M157" s="11"/>
      <c r="N157" s="11"/>
      <c r="O157" s="11"/>
    </row>
    <row r="158" spans="1:15">
      <c r="A158" s="11"/>
      <c r="B158" s="11"/>
      <c r="C158" s="11"/>
      <c r="D158" s="11"/>
      <c r="E158" s="11"/>
      <c r="F158" s="11"/>
      <c r="G158" s="11"/>
      <c r="H158" s="11"/>
      <c r="I158" s="11"/>
      <c r="J158" s="11"/>
      <c r="K158" s="11"/>
      <c r="L158" s="11"/>
      <c r="M158" s="11"/>
      <c r="N158" s="11"/>
      <c r="O158" s="11"/>
    </row>
    <row r="159" spans="1:15" ht="25.5" customHeight="1">
      <c r="A159" s="11"/>
      <c r="B159" s="324" t="s">
        <v>1344</v>
      </c>
      <c r="C159" s="324"/>
      <c r="D159" s="324"/>
      <c r="E159" s="324"/>
      <c r="F159" s="324"/>
      <c r="G159" s="324"/>
      <c r="H159" s="324"/>
      <c r="I159" s="324"/>
      <c r="J159" s="324"/>
      <c r="K159" s="324"/>
      <c r="L159" s="11"/>
      <c r="M159" s="11"/>
      <c r="N159" s="11"/>
      <c r="O159" s="11"/>
    </row>
    <row r="160" spans="1:15">
      <c r="A160" s="11"/>
      <c r="B160" s="11"/>
      <c r="C160" s="11"/>
      <c r="D160" s="11"/>
      <c r="E160" s="11"/>
      <c r="F160" s="11"/>
      <c r="G160" s="11"/>
      <c r="H160" s="11"/>
      <c r="I160" s="11"/>
      <c r="J160" s="11"/>
      <c r="K160" s="11"/>
      <c r="L160" s="11"/>
      <c r="M160" s="11"/>
      <c r="N160" s="11"/>
      <c r="O160" s="11"/>
    </row>
    <row r="161" spans="1:15">
      <c r="A161" s="11"/>
      <c r="B161" s="13" t="s">
        <v>1345</v>
      </c>
      <c r="C161" s="11"/>
      <c r="D161" s="11"/>
      <c r="E161" s="11"/>
      <c r="F161" s="11"/>
      <c r="G161" s="11"/>
      <c r="H161" s="11"/>
      <c r="I161" s="11"/>
      <c r="J161" s="11"/>
      <c r="K161" s="11"/>
      <c r="L161" s="11"/>
      <c r="M161" s="11"/>
      <c r="N161" s="11"/>
      <c r="O161" s="11"/>
    </row>
    <row r="162" spans="1:15">
      <c r="A162" s="11"/>
      <c r="B162" s="11"/>
      <c r="C162" s="11"/>
      <c r="D162" s="11"/>
      <c r="E162" s="11"/>
      <c r="F162" s="11"/>
      <c r="G162" s="11"/>
      <c r="H162" s="11"/>
      <c r="I162" s="11"/>
      <c r="J162" s="11"/>
      <c r="K162" s="11"/>
      <c r="L162" s="11"/>
      <c r="M162" s="11"/>
      <c r="N162" s="11"/>
      <c r="O162" s="11"/>
    </row>
    <row r="163" spans="1:15">
      <c r="A163" s="11"/>
      <c r="B163" s="11"/>
      <c r="C163" s="11"/>
      <c r="D163" s="11"/>
      <c r="E163" s="11"/>
      <c r="F163" s="11"/>
      <c r="G163" s="11"/>
      <c r="H163" s="11"/>
      <c r="I163" s="11"/>
      <c r="J163" s="11"/>
      <c r="K163" s="11"/>
      <c r="L163" s="11"/>
      <c r="M163" s="11"/>
      <c r="N163" s="11"/>
      <c r="O163" s="11"/>
    </row>
    <row r="164" spans="1:15">
      <c r="A164" s="11"/>
      <c r="B164" s="11"/>
      <c r="C164" s="11"/>
      <c r="D164" s="11"/>
      <c r="E164" s="11"/>
      <c r="F164" s="11"/>
      <c r="G164" s="11"/>
      <c r="H164" s="11"/>
      <c r="I164" s="11"/>
      <c r="J164" s="11"/>
      <c r="K164" s="11"/>
      <c r="L164" s="11"/>
      <c r="M164" s="11"/>
      <c r="N164" s="11"/>
      <c r="O164" s="11"/>
    </row>
    <row r="165" spans="1:15">
      <c r="A165" s="11"/>
      <c r="B165" s="11"/>
      <c r="C165" s="11"/>
      <c r="D165" s="11"/>
      <c r="E165" s="11"/>
      <c r="F165" s="11"/>
      <c r="G165" s="11"/>
      <c r="H165" s="11"/>
      <c r="I165" s="11"/>
      <c r="J165" s="11"/>
      <c r="K165" s="11"/>
      <c r="L165" s="11"/>
      <c r="M165" s="11"/>
      <c r="N165" s="11"/>
      <c r="O165" s="11"/>
    </row>
    <row r="166" spans="1:15">
      <c r="A166" s="11"/>
      <c r="B166" s="11"/>
      <c r="C166" s="11"/>
      <c r="D166" s="11"/>
      <c r="E166" s="11"/>
      <c r="F166" s="11"/>
      <c r="G166" s="11"/>
      <c r="H166" s="11"/>
      <c r="I166" s="11"/>
      <c r="J166" s="11"/>
      <c r="K166" s="11"/>
      <c r="L166" s="11"/>
      <c r="M166" s="11"/>
      <c r="N166" s="11"/>
      <c r="O166" s="11"/>
    </row>
    <row r="167" spans="1:15">
      <c r="A167" s="11"/>
      <c r="B167" s="11"/>
      <c r="C167" s="11"/>
      <c r="D167" s="11"/>
      <c r="E167" s="11"/>
      <c r="F167" s="11"/>
      <c r="G167" s="11"/>
      <c r="H167" s="11"/>
      <c r="I167" s="11"/>
      <c r="J167" s="11"/>
      <c r="K167" s="11"/>
      <c r="L167" s="11"/>
      <c r="M167" s="11"/>
      <c r="N167" s="11"/>
      <c r="O167" s="11"/>
    </row>
    <row r="168" spans="1:15">
      <c r="A168" s="11"/>
      <c r="B168" s="11"/>
      <c r="C168" s="11"/>
      <c r="D168" s="11"/>
      <c r="E168" s="11"/>
      <c r="F168" s="11"/>
      <c r="G168" s="11"/>
      <c r="H168" s="11"/>
      <c r="I168" s="11"/>
      <c r="J168" s="11"/>
      <c r="K168" s="11"/>
      <c r="L168" s="11"/>
      <c r="M168" s="11"/>
      <c r="N168" s="11"/>
      <c r="O168" s="11"/>
    </row>
    <row r="169" spans="1:15">
      <c r="A169" s="11"/>
      <c r="B169" s="11"/>
      <c r="C169" s="11"/>
      <c r="D169" s="11"/>
      <c r="E169" s="11"/>
      <c r="F169" s="11"/>
      <c r="G169" s="11"/>
      <c r="H169" s="11"/>
      <c r="I169" s="11"/>
      <c r="J169" s="11"/>
      <c r="K169" s="11"/>
      <c r="L169" s="11"/>
      <c r="M169" s="11"/>
      <c r="N169" s="11"/>
      <c r="O169" s="11"/>
    </row>
    <row r="170" spans="1:15">
      <c r="A170" s="11"/>
      <c r="B170" s="11"/>
      <c r="C170" s="11"/>
      <c r="D170" s="11"/>
      <c r="E170" s="11"/>
      <c r="F170" s="11"/>
      <c r="G170" s="11"/>
      <c r="H170" s="11"/>
      <c r="I170" s="11"/>
      <c r="J170" s="11"/>
      <c r="K170" s="11"/>
      <c r="L170" s="11"/>
      <c r="M170" s="11"/>
      <c r="N170" s="11"/>
      <c r="O170" s="11"/>
    </row>
    <row r="171" spans="1:15">
      <c r="A171" s="11"/>
      <c r="B171" s="11"/>
      <c r="C171" s="11"/>
      <c r="D171" s="11"/>
      <c r="E171" s="11"/>
      <c r="F171" s="11"/>
      <c r="G171" s="11"/>
      <c r="H171" s="11"/>
      <c r="I171" s="11"/>
      <c r="J171" s="11"/>
      <c r="K171" s="11"/>
      <c r="L171" s="11"/>
      <c r="M171" s="11"/>
      <c r="N171" s="11"/>
      <c r="O171" s="11"/>
    </row>
    <row r="172" spans="1:15">
      <c r="A172" s="11"/>
      <c r="B172" s="11"/>
      <c r="C172" s="11"/>
      <c r="D172" s="11"/>
      <c r="E172" s="11"/>
      <c r="F172" s="11"/>
      <c r="G172" s="11"/>
      <c r="H172" s="11"/>
      <c r="I172" s="11"/>
      <c r="J172" s="11"/>
      <c r="K172" s="11"/>
      <c r="L172" s="11"/>
      <c r="M172" s="11"/>
      <c r="N172" s="11"/>
      <c r="O172" s="11"/>
    </row>
    <row r="173" spans="1:15">
      <c r="A173" s="11"/>
      <c r="B173" s="11"/>
      <c r="C173" s="11"/>
      <c r="D173" s="11"/>
      <c r="E173" s="11"/>
      <c r="F173" s="11"/>
      <c r="G173" s="11"/>
      <c r="H173" s="11"/>
      <c r="I173" s="11"/>
      <c r="J173" s="11"/>
      <c r="K173" s="11"/>
      <c r="L173" s="11"/>
      <c r="M173" s="11"/>
      <c r="N173" s="11"/>
      <c r="O173" s="11"/>
    </row>
    <row r="174" spans="1:15">
      <c r="A174" s="11"/>
      <c r="B174" s="11"/>
      <c r="C174" s="11"/>
      <c r="D174" s="11"/>
      <c r="E174" s="11"/>
      <c r="F174" s="11"/>
      <c r="G174" s="11"/>
      <c r="H174" s="11"/>
      <c r="I174" s="11"/>
      <c r="J174" s="11"/>
      <c r="K174" s="11"/>
      <c r="L174" s="11"/>
      <c r="M174" s="11"/>
      <c r="N174" s="11"/>
      <c r="O174" s="11"/>
    </row>
    <row r="175" spans="1:15">
      <c r="A175" s="11"/>
      <c r="B175" s="11"/>
      <c r="C175" s="11"/>
      <c r="D175" s="11"/>
      <c r="E175" s="11"/>
      <c r="F175" s="11"/>
      <c r="G175" s="11"/>
      <c r="H175" s="11"/>
      <c r="I175" s="11"/>
      <c r="J175" s="11"/>
      <c r="K175" s="11"/>
      <c r="L175" s="11"/>
      <c r="M175" s="11"/>
      <c r="N175" s="11"/>
      <c r="O175" s="11"/>
    </row>
    <row r="176" spans="1:15">
      <c r="A176" s="11"/>
      <c r="B176" s="11"/>
      <c r="C176" s="11"/>
      <c r="D176" s="11"/>
      <c r="E176" s="11"/>
      <c r="F176" s="11"/>
      <c r="G176" s="11"/>
      <c r="H176" s="11"/>
      <c r="I176" s="11"/>
      <c r="J176" s="11"/>
      <c r="K176" s="11"/>
      <c r="L176" s="11"/>
      <c r="M176" s="11"/>
      <c r="N176" s="11"/>
      <c r="O176" s="11"/>
    </row>
    <row r="177" spans="1:15">
      <c r="A177" s="11"/>
      <c r="B177" s="11"/>
      <c r="C177" s="11"/>
      <c r="D177" s="11"/>
      <c r="E177" s="11"/>
      <c r="F177" s="11"/>
      <c r="G177" s="11"/>
      <c r="H177" s="11"/>
      <c r="I177" s="11"/>
      <c r="J177" s="11"/>
      <c r="K177" s="11"/>
      <c r="L177" s="11"/>
      <c r="M177" s="11"/>
      <c r="N177" s="11"/>
      <c r="O177" s="11"/>
    </row>
    <row r="178" spans="1:15">
      <c r="A178" s="11"/>
      <c r="B178" s="11"/>
      <c r="C178" s="11"/>
      <c r="D178" s="11"/>
      <c r="E178" s="11"/>
      <c r="F178" s="11"/>
      <c r="G178" s="11"/>
      <c r="H178" s="11"/>
      <c r="I178" s="11"/>
      <c r="J178" s="11"/>
      <c r="K178" s="11"/>
      <c r="L178" s="11"/>
      <c r="M178" s="11"/>
      <c r="N178" s="11"/>
      <c r="O178" s="11"/>
    </row>
    <row r="179" spans="1:15">
      <c r="A179" s="11"/>
      <c r="B179" s="11"/>
      <c r="C179" s="11"/>
      <c r="D179" s="11"/>
      <c r="E179" s="11"/>
      <c r="F179" s="11"/>
      <c r="G179" s="11"/>
      <c r="H179" s="11"/>
      <c r="I179" s="11"/>
      <c r="J179" s="11"/>
      <c r="K179" s="11"/>
      <c r="L179" s="11"/>
      <c r="M179" s="11"/>
      <c r="N179" s="11"/>
      <c r="O179" s="11"/>
    </row>
    <row r="180" spans="1:15">
      <c r="A180" s="11"/>
      <c r="B180" s="11"/>
      <c r="C180" s="11"/>
      <c r="D180" s="11"/>
      <c r="E180" s="11"/>
      <c r="F180" s="11"/>
      <c r="G180" s="11"/>
      <c r="H180" s="11"/>
      <c r="I180" s="11"/>
      <c r="J180" s="11"/>
      <c r="K180" s="11"/>
      <c r="L180" s="11"/>
      <c r="M180" s="11"/>
      <c r="N180" s="11"/>
      <c r="O180" s="11"/>
    </row>
    <row r="181" spans="1:15">
      <c r="A181" s="11"/>
      <c r="B181" s="11"/>
      <c r="C181" s="11"/>
      <c r="D181" s="11"/>
      <c r="E181" s="11"/>
      <c r="F181" s="11"/>
      <c r="G181" s="11"/>
      <c r="H181" s="11"/>
      <c r="I181" s="11"/>
      <c r="J181" s="11"/>
      <c r="K181" s="11"/>
      <c r="L181" s="11"/>
      <c r="M181" s="11"/>
      <c r="N181" s="11"/>
      <c r="O181" s="11"/>
    </row>
    <row r="182" spans="1:15">
      <c r="A182" s="11"/>
      <c r="B182" s="11"/>
      <c r="C182" s="11"/>
      <c r="D182" s="11"/>
      <c r="E182" s="11"/>
      <c r="F182" s="11"/>
      <c r="G182" s="11"/>
      <c r="H182" s="11"/>
      <c r="I182" s="11"/>
      <c r="J182" s="11"/>
      <c r="K182" s="11"/>
      <c r="L182" s="11"/>
      <c r="M182" s="11"/>
      <c r="N182" s="11"/>
      <c r="O182" s="11"/>
    </row>
    <row r="183" spans="1:15">
      <c r="A183" s="11"/>
      <c r="B183" s="11"/>
      <c r="C183" s="11"/>
      <c r="D183" s="11"/>
      <c r="E183" s="11"/>
      <c r="F183" s="11"/>
      <c r="G183" s="11"/>
      <c r="H183" s="11"/>
      <c r="I183" s="11"/>
      <c r="J183" s="11"/>
      <c r="K183" s="11"/>
      <c r="L183" s="11"/>
      <c r="M183" s="11"/>
      <c r="N183" s="11"/>
      <c r="O183" s="11"/>
    </row>
    <row r="184" spans="1:15">
      <c r="A184" s="11"/>
      <c r="B184" s="11"/>
      <c r="C184" s="11"/>
      <c r="D184" s="11"/>
      <c r="E184" s="11"/>
      <c r="F184" s="11"/>
      <c r="G184" s="11"/>
      <c r="H184" s="11"/>
      <c r="I184" s="11"/>
      <c r="J184" s="11"/>
      <c r="K184" s="11"/>
      <c r="L184" s="11"/>
      <c r="M184" s="11"/>
      <c r="N184" s="11"/>
      <c r="O184" s="11"/>
    </row>
    <row r="185" spans="1:15">
      <c r="A185" s="11"/>
      <c r="B185" s="11"/>
      <c r="C185" s="11"/>
      <c r="D185" s="11"/>
      <c r="E185" s="11"/>
      <c r="F185" s="11"/>
      <c r="G185" s="11"/>
      <c r="H185" s="11"/>
      <c r="I185" s="11"/>
      <c r="J185" s="11"/>
      <c r="K185" s="11"/>
      <c r="L185" s="11"/>
      <c r="M185" s="11"/>
      <c r="N185" s="11"/>
      <c r="O185" s="11"/>
    </row>
    <row r="186" spans="1:15">
      <c r="A186" s="11"/>
      <c r="B186" s="11"/>
      <c r="C186" s="11"/>
      <c r="D186" s="11"/>
      <c r="E186" s="11"/>
      <c r="F186" s="11"/>
      <c r="G186" s="11"/>
      <c r="H186" s="11"/>
      <c r="I186" s="11"/>
      <c r="J186" s="11"/>
      <c r="K186" s="11"/>
      <c r="L186" s="11"/>
      <c r="M186" s="11"/>
      <c r="N186" s="11"/>
      <c r="O186" s="11"/>
    </row>
    <row r="187" spans="1:15">
      <c r="A187" s="11"/>
      <c r="B187" s="11"/>
      <c r="C187" s="11"/>
      <c r="D187" s="11"/>
      <c r="E187" s="11"/>
      <c r="F187" s="11"/>
      <c r="G187" s="11"/>
      <c r="H187" s="11"/>
      <c r="I187" s="11"/>
      <c r="J187" s="11"/>
      <c r="K187" s="11"/>
      <c r="L187" s="11"/>
      <c r="M187" s="11"/>
      <c r="N187" s="11"/>
      <c r="O187" s="11"/>
    </row>
    <row r="188" spans="1:15">
      <c r="A188" s="11"/>
      <c r="B188" s="11"/>
      <c r="C188" s="11"/>
      <c r="D188" s="11"/>
      <c r="E188" s="11"/>
      <c r="F188" s="11"/>
      <c r="G188" s="11"/>
      <c r="H188" s="11"/>
      <c r="I188" s="11"/>
      <c r="J188" s="11"/>
      <c r="K188" s="11"/>
      <c r="L188" s="11"/>
      <c r="M188" s="11"/>
      <c r="N188" s="11"/>
      <c r="O188" s="11"/>
    </row>
    <row r="189" spans="1:15">
      <c r="A189" s="11"/>
      <c r="B189" s="11"/>
      <c r="C189" s="11"/>
      <c r="D189" s="11"/>
      <c r="E189" s="11"/>
      <c r="F189" s="11"/>
      <c r="G189" s="11"/>
      <c r="H189" s="11"/>
      <c r="I189" s="11"/>
      <c r="J189" s="11"/>
      <c r="K189" s="11"/>
      <c r="L189" s="11"/>
      <c r="M189" s="11"/>
      <c r="N189" s="11"/>
      <c r="O189" s="11"/>
    </row>
    <row r="190" spans="1:15">
      <c r="A190" s="11"/>
      <c r="B190" s="11"/>
      <c r="C190" s="11"/>
      <c r="D190" s="11"/>
      <c r="E190" s="11"/>
      <c r="F190" s="11"/>
      <c r="G190" s="11"/>
      <c r="H190" s="11"/>
      <c r="I190" s="11"/>
      <c r="J190" s="11"/>
      <c r="K190" s="11"/>
      <c r="L190" s="11"/>
      <c r="M190" s="11"/>
      <c r="N190" s="11"/>
      <c r="O190" s="11"/>
    </row>
    <row r="191" spans="1:15">
      <c r="A191" s="11"/>
      <c r="B191" s="11"/>
      <c r="C191" s="11"/>
      <c r="D191" s="11"/>
      <c r="E191" s="11"/>
      <c r="F191" s="11"/>
      <c r="G191" s="11"/>
      <c r="H191" s="11"/>
      <c r="I191" s="11"/>
      <c r="J191" s="11"/>
      <c r="K191" s="11"/>
      <c r="L191" s="11"/>
      <c r="M191" s="11"/>
      <c r="N191" s="11"/>
      <c r="O191" s="11"/>
    </row>
    <row r="192" spans="1:15">
      <c r="A192" s="11"/>
      <c r="B192" s="11"/>
      <c r="C192" s="11"/>
      <c r="D192" s="11"/>
      <c r="E192" s="11"/>
      <c r="F192" s="11"/>
      <c r="G192" s="11"/>
      <c r="H192" s="11"/>
      <c r="I192" s="11"/>
      <c r="J192" s="11"/>
      <c r="K192" s="11"/>
      <c r="L192" s="11"/>
      <c r="M192" s="11"/>
      <c r="N192" s="11"/>
      <c r="O192" s="11"/>
    </row>
    <row r="193" spans="1:15">
      <c r="A193" s="11"/>
      <c r="B193" s="11"/>
      <c r="C193" s="11"/>
      <c r="D193" s="11"/>
      <c r="E193" s="11"/>
      <c r="F193" s="11"/>
      <c r="G193" s="11"/>
      <c r="H193" s="11"/>
      <c r="I193" s="11"/>
      <c r="J193" s="11"/>
      <c r="K193" s="11"/>
      <c r="L193" s="11"/>
      <c r="M193" s="11"/>
      <c r="N193" s="11"/>
      <c r="O193" s="11"/>
    </row>
    <row r="194" spans="1:15">
      <c r="A194" s="11"/>
      <c r="B194" s="11"/>
      <c r="C194" s="11"/>
      <c r="D194" s="11"/>
      <c r="E194" s="11"/>
      <c r="F194" s="11"/>
      <c r="G194" s="11"/>
      <c r="H194" s="11"/>
      <c r="I194" s="11"/>
      <c r="J194" s="11"/>
      <c r="K194" s="11"/>
      <c r="L194" s="11"/>
      <c r="M194" s="11"/>
      <c r="N194" s="11"/>
      <c r="O194" s="11"/>
    </row>
    <row r="195" spans="1:15">
      <c r="A195" s="11"/>
      <c r="B195" s="11"/>
      <c r="C195" s="11"/>
      <c r="D195" s="11"/>
      <c r="E195" s="11"/>
      <c r="F195" s="11"/>
      <c r="G195" s="11"/>
      <c r="H195" s="11"/>
      <c r="I195" s="11"/>
      <c r="J195" s="11"/>
      <c r="K195" s="11"/>
      <c r="L195" s="11"/>
      <c r="M195" s="11"/>
      <c r="N195" s="11"/>
      <c r="O195" s="11"/>
    </row>
    <row r="196" spans="1:15">
      <c r="A196" s="11"/>
      <c r="B196" s="11"/>
      <c r="C196" s="11"/>
      <c r="D196" s="11"/>
      <c r="E196" s="11"/>
      <c r="F196" s="11"/>
      <c r="G196" s="11"/>
      <c r="H196" s="11"/>
      <c r="I196" s="11"/>
      <c r="J196" s="11"/>
      <c r="K196" s="11"/>
      <c r="L196" s="11"/>
      <c r="M196" s="11"/>
      <c r="N196" s="11"/>
      <c r="O196" s="11"/>
    </row>
    <row r="197" spans="1:15">
      <c r="A197" s="11"/>
      <c r="B197" s="11"/>
      <c r="C197" s="11"/>
      <c r="D197" s="11"/>
      <c r="E197" s="11"/>
      <c r="F197" s="11"/>
      <c r="G197" s="11"/>
      <c r="H197" s="11"/>
      <c r="I197" s="11"/>
      <c r="J197" s="11"/>
      <c r="K197" s="11"/>
      <c r="L197" s="11"/>
      <c r="M197" s="11"/>
      <c r="N197" s="11"/>
      <c r="O197" s="11"/>
    </row>
    <row r="198" spans="1:15">
      <c r="A198" s="11"/>
      <c r="B198" s="11"/>
      <c r="C198" s="11"/>
      <c r="D198" s="11"/>
      <c r="E198" s="11"/>
      <c r="F198" s="11"/>
      <c r="G198" s="11"/>
      <c r="H198" s="11"/>
      <c r="I198" s="11"/>
      <c r="J198" s="11"/>
      <c r="K198" s="11"/>
      <c r="L198" s="11"/>
      <c r="M198" s="11"/>
      <c r="N198" s="11"/>
      <c r="O198" s="11"/>
    </row>
    <row r="199" spans="1:15">
      <c r="A199" s="11"/>
      <c r="B199" s="11"/>
      <c r="C199" s="11"/>
      <c r="D199" s="11"/>
      <c r="E199" s="11"/>
      <c r="F199" s="11"/>
      <c r="G199" s="11"/>
      <c r="H199" s="11"/>
      <c r="I199" s="11"/>
      <c r="J199" s="11"/>
      <c r="K199" s="11"/>
      <c r="L199" s="11"/>
      <c r="M199" s="11"/>
      <c r="N199" s="11"/>
      <c r="O199" s="11"/>
    </row>
    <row r="200" spans="1:15">
      <c r="A200" s="11"/>
      <c r="B200" s="11"/>
      <c r="C200" s="11"/>
      <c r="D200" s="11"/>
      <c r="E200" s="11"/>
      <c r="F200" s="11"/>
      <c r="G200" s="11"/>
      <c r="H200" s="11"/>
      <c r="I200" s="11"/>
      <c r="J200" s="11"/>
      <c r="K200" s="11"/>
      <c r="L200" s="11"/>
      <c r="M200" s="11"/>
      <c r="N200" s="11"/>
      <c r="O200" s="11"/>
    </row>
    <row r="201" spans="1:15">
      <c r="A201" s="11"/>
      <c r="B201" s="11"/>
      <c r="C201" s="11"/>
      <c r="D201" s="11"/>
      <c r="E201" s="11"/>
      <c r="F201" s="11"/>
      <c r="G201" s="11"/>
      <c r="H201" s="11"/>
      <c r="I201" s="11"/>
      <c r="J201" s="11"/>
      <c r="K201" s="11"/>
      <c r="L201" s="11"/>
      <c r="M201" s="11"/>
      <c r="N201" s="11"/>
      <c r="O201" s="11"/>
    </row>
    <row r="202" spans="1:15">
      <c r="A202" s="11"/>
      <c r="B202" s="15" t="s">
        <v>935</v>
      </c>
      <c r="C202" s="11"/>
      <c r="D202" s="11"/>
      <c r="E202" s="11"/>
      <c r="F202" s="11"/>
      <c r="G202" s="11"/>
      <c r="H202" s="11"/>
      <c r="I202" s="11"/>
      <c r="J202" s="11"/>
      <c r="K202" s="11"/>
      <c r="L202" s="11"/>
      <c r="M202" s="11"/>
      <c r="N202" s="11"/>
      <c r="O202" s="11"/>
    </row>
    <row r="203" spans="1:15">
      <c r="A203" s="11"/>
      <c r="B203" s="11"/>
      <c r="C203" s="11"/>
      <c r="D203" s="11"/>
      <c r="E203" s="11"/>
      <c r="F203" s="11"/>
      <c r="G203" s="11"/>
      <c r="H203" s="11"/>
      <c r="I203" s="11"/>
      <c r="J203" s="11"/>
      <c r="K203" s="11"/>
      <c r="L203" s="11"/>
      <c r="M203" s="11"/>
      <c r="N203" s="11"/>
      <c r="O203" s="11"/>
    </row>
    <row r="204" spans="1:15" ht="27.6" customHeight="1">
      <c r="A204" s="11"/>
      <c r="B204" s="324" t="s">
        <v>1346</v>
      </c>
      <c r="C204" s="324"/>
      <c r="D204" s="324"/>
      <c r="E204" s="324"/>
      <c r="F204" s="324"/>
      <c r="G204" s="324"/>
      <c r="H204" s="324"/>
      <c r="I204" s="324"/>
      <c r="J204" s="324"/>
      <c r="K204" s="324"/>
      <c r="L204" s="11"/>
      <c r="M204" s="11"/>
      <c r="N204" s="11"/>
      <c r="O204" s="11"/>
    </row>
    <row r="205" spans="1:15">
      <c r="A205" s="11"/>
      <c r="B205" s="11"/>
      <c r="C205" s="11"/>
      <c r="D205" s="11"/>
      <c r="E205" s="11"/>
      <c r="F205" s="11"/>
      <c r="G205" s="11"/>
      <c r="H205" s="11"/>
      <c r="I205" s="11"/>
      <c r="J205" s="11"/>
      <c r="K205" s="11"/>
      <c r="L205" s="11"/>
      <c r="M205" s="11"/>
      <c r="N205" s="11"/>
      <c r="O205" s="11"/>
    </row>
    <row r="206" spans="1:15">
      <c r="A206" s="11"/>
      <c r="B206" s="13" t="s">
        <v>1347</v>
      </c>
      <c r="C206" s="11"/>
      <c r="D206" s="11"/>
      <c r="E206" s="11"/>
      <c r="F206" s="11"/>
      <c r="G206" s="11"/>
      <c r="H206" s="11"/>
      <c r="I206" s="11"/>
      <c r="J206" s="11"/>
      <c r="K206" s="11"/>
      <c r="L206" s="11"/>
      <c r="M206" s="11"/>
      <c r="N206" s="11"/>
      <c r="O206" s="11"/>
    </row>
    <row r="207" spans="1:15">
      <c r="A207" s="11"/>
      <c r="B207" s="11"/>
      <c r="C207" s="11"/>
      <c r="D207" s="11"/>
      <c r="E207" s="11"/>
      <c r="F207" s="11"/>
      <c r="G207" s="11"/>
      <c r="H207" s="11"/>
      <c r="I207" s="11"/>
      <c r="J207" s="11"/>
      <c r="K207" s="11"/>
      <c r="L207" s="11"/>
      <c r="M207" s="11"/>
      <c r="N207" s="11"/>
      <c r="O207" s="11"/>
    </row>
    <row r="208" spans="1:15">
      <c r="A208" s="11"/>
      <c r="B208" s="11"/>
      <c r="C208" s="11"/>
      <c r="D208" s="11"/>
      <c r="E208" s="11"/>
      <c r="F208" s="11"/>
      <c r="G208" s="11"/>
      <c r="H208" s="11"/>
      <c r="I208" s="11"/>
      <c r="J208" s="11"/>
      <c r="K208" s="11"/>
      <c r="L208" s="11"/>
      <c r="M208" s="11"/>
      <c r="N208" s="11"/>
      <c r="O208" s="11"/>
    </row>
    <row r="209" spans="1:15">
      <c r="A209" s="11"/>
      <c r="B209" s="11"/>
      <c r="C209" s="11"/>
      <c r="D209" s="11"/>
      <c r="E209" s="11"/>
      <c r="F209" s="11"/>
      <c r="G209" s="11"/>
      <c r="H209" s="11"/>
      <c r="I209" s="11"/>
      <c r="J209" s="11"/>
      <c r="K209" s="11"/>
      <c r="L209" s="11"/>
      <c r="M209" s="11"/>
      <c r="N209" s="11"/>
      <c r="O209" s="11"/>
    </row>
    <row r="210" spans="1:15">
      <c r="A210" s="11"/>
      <c r="B210" s="11"/>
      <c r="C210" s="11"/>
      <c r="D210" s="11"/>
      <c r="E210" s="11"/>
      <c r="F210" s="11"/>
      <c r="G210" s="11"/>
      <c r="H210" s="11"/>
      <c r="I210" s="11"/>
      <c r="J210" s="11"/>
      <c r="K210" s="11"/>
      <c r="L210" s="11"/>
      <c r="M210" s="11"/>
      <c r="N210" s="11"/>
      <c r="O210" s="11"/>
    </row>
    <row r="211" spans="1:15">
      <c r="A211" s="11"/>
      <c r="B211" s="11"/>
      <c r="C211" s="11"/>
      <c r="D211" s="11"/>
      <c r="E211" s="11"/>
      <c r="F211" s="11"/>
      <c r="G211" s="11"/>
      <c r="H211" s="11"/>
      <c r="I211" s="11"/>
      <c r="J211" s="11"/>
      <c r="K211" s="11"/>
      <c r="L211" s="11"/>
      <c r="M211" s="11"/>
      <c r="N211" s="11"/>
      <c r="O211" s="11"/>
    </row>
    <row r="212" spans="1:15">
      <c r="A212" s="11"/>
      <c r="B212" s="11"/>
      <c r="C212" s="11"/>
      <c r="D212" s="11"/>
      <c r="E212" s="11"/>
      <c r="F212" s="11"/>
      <c r="G212" s="11"/>
      <c r="H212" s="11"/>
      <c r="I212" s="11"/>
      <c r="J212" s="11"/>
      <c r="K212" s="11"/>
      <c r="L212" s="11"/>
      <c r="M212" s="11"/>
      <c r="N212" s="11"/>
      <c r="O212" s="11"/>
    </row>
    <row r="213" spans="1:15">
      <c r="A213" s="11"/>
      <c r="B213" s="11"/>
      <c r="C213" s="11"/>
      <c r="D213" s="11"/>
      <c r="E213" s="11"/>
      <c r="F213" s="11"/>
      <c r="G213" s="11"/>
      <c r="H213" s="11"/>
      <c r="I213" s="11"/>
      <c r="J213" s="11"/>
      <c r="K213" s="11"/>
      <c r="L213" s="11"/>
      <c r="M213" s="11"/>
      <c r="N213" s="11"/>
      <c r="O213" s="11"/>
    </row>
    <row r="214" spans="1:15">
      <c r="A214" s="11"/>
      <c r="B214" s="11"/>
      <c r="C214" s="11"/>
      <c r="D214" s="11"/>
      <c r="E214" s="11"/>
      <c r="F214" s="11"/>
      <c r="G214" s="11"/>
      <c r="H214" s="11"/>
      <c r="I214" s="11"/>
      <c r="J214" s="11"/>
      <c r="K214" s="11"/>
      <c r="L214" s="11"/>
      <c r="M214" s="11"/>
      <c r="N214" s="11"/>
      <c r="O214" s="11"/>
    </row>
    <row r="215" spans="1:15">
      <c r="A215" s="11"/>
      <c r="B215" s="11"/>
      <c r="C215" s="11"/>
      <c r="D215" s="11"/>
      <c r="E215" s="11"/>
      <c r="F215" s="11"/>
      <c r="G215" s="11"/>
      <c r="H215" s="11"/>
      <c r="I215" s="11"/>
      <c r="J215" s="11"/>
      <c r="K215" s="11"/>
      <c r="L215" s="11"/>
      <c r="M215" s="11"/>
      <c r="N215" s="11"/>
      <c r="O215" s="11"/>
    </row>
    <row r="216" spans="1:15">
      <c r="A216" s="11"/>
      <c r="B216" s="11"/>
      <c r="C216" s="11"/>
      <c r="D216" s="11"/>
      <c r="E216" s="11"/>
      <c r="F216" s="11"/>
      <c r="G216" s="11"/>
      <c r="H216" s="11"/>
      <c r="I216" s="11"/>
      <c r="J216" s="11"/>
      <c r="K216" s="11"/>
      <c r="L216" s="11"/>
      <c r="M216" s="11"/>
      <c r="N216" s="11"/>
      <c r="O216" s="11"/>
    </row>
    <row r="217" spans="1:15">
      <c r="A217" s="11"/>
      <c r="B217" s="11"/>
      <c r="C217" s="11"/>
      <c r="D217" s="11"/>
      <c r="E217" s="11"/>
      <c r="F217" s="11"/>
      <c r="G217" s="11"/>
      <c r="H217" s="11"/>
      <c r="I217" s="11"/>
      <c r="J217" s="11"/>
      <c r="K217" s="11"/>
      <c r="L217" s="11"/>
      <c r="M217" s="11"/>
      <c r="N217" s="11"/>
      <c r="O217" s="11"/>
    </row>
    <row r="218" spans="1:15">
      <c r="A218" s="11"/>
      <c r="B218" s="11"/>
      <c r="C218" s="11"/>
      <c r="D218" s="11"/>
      <c r="E218" s="11"/>
      <c r="F218" s="11"/>
      <c r="G218" s="11"/>
      <c r="H218" s="11"/>
      <c r="I218" s="11"/>
      <c r="J218" s="11"/>
      <c r="K218" s="11"/>
      <c r="L218" s="11"/>
      <c r="M218" s="11"/>
      <c r="N218" s="11"/>
      <c r="O218" s="11"/>
    </row>
    <row r="219" spans="1:15">
      <c r="A219" s="11"/>
      <c r="B219" s="11"/>
      <c r="C219" s="11"/>
      <c r="D219" s="11"/>
      <c r="E219" s="11"/>
      <c r="F219" s="11"/>
      <c r="G219" s="11"/>
      <c r="H219" s="11"/>
      <c r="I219" s="11"/>
      <c r="J219" s="11"/>
      <c r="K219" s="11"/>
      <c r="L219" s="11"/>
      <c r="M219" s="11"/>
      <c r="N219" s="11"/>
      <c r="O219" s="11"/>
    </row>
    <row r="220" spans="1:15">
      <c r="A220" s="11"/>
      <c r="B220" s="11"/>
      <c r="C220" s="11"/>
      <c r="D220" s="11"/>
      <c r="E220" s="11"/>
      <c r="F220" s="11"/>
      <c r="G220" s="11"/>
      <c r="H220" s="11"/>
      <c r="I220" s="11"/>
      <c r="J220" s="11"/>
      <c r="K220" s="11"/>
      <c r="L220" s="11"/>
      <c r="M220" s="11"/>
      <c r="N220" s="11"/>
      <c r="O220" s="11"/>
    </row>
    <row r="221" spans="1:15">
      <c r="A221" s="11"/>
      <c r="B221" s="11"/>
      <c r="C221" s="11"/>
      <c r="D221" s="11"/>
      <c r="E221" s="11"/>
      <c r="F221" s="11"/>
      <c r="G221" s="11"/>
      <c r="H221" s="11"/>
      <c r="I221" s="11"/>
      <c r="J221" s="11"/>
      <c r="K221" s="11"/>
      <c r="L221" s="11"/>
      <c r="M221" s="11"/>
      <c r="N221" s="11"/>
      <c r="O221" s="11"/>
    </row>
    <row r="222" spans="1:15">
      <c r="A222" s="11"/>
      <c r="B222" s="11"/>
      <c r="C222" s="11"/>
      <c r="D222" s="11"/>
      <c r="E222" s="11"/>
      <c r="F222" s="11"/>
      <c r="G222" s="11"/>
      <c r="H222" s="11"/>
      <c r="I222" s="11"/>
      <c r="J222" s="11"/>
      <c r="K222" s="11"/>
      <c r="L222" s="11"/>
      <c r="M222" s="11"/>
      <c r="N222" s="11"/>
      <c r="O222" s="11"/>
    </row>
    <row r="223" spans="1:15">
      <c r="A223" s="11"/>
      <c r="B223" s="11"/>
      <c r="C223" s="11"/>
      <c r="D223" s="11"/>
      <c r="E223" s="11"/>
      <c r="F223" s="11"/>
      <c r="G223" s="11"/>
      <c r="H223" s="11"/>
      <c r="I223" s="11"/>
      <c r="J223" s="11"/>
      <c r="K223" s="11"/>
      <c r="L223" s="11"/>
      <c r="M223" s="11"/>
      <c r="N223" s="11"/>
      <c r="O223" s="11"/>
    </row>
    <row r="224" spans="1:15">
      <c r="A224" s="11"/>
      <c r="B224" s="11"/>
      <c r="C224" s="11"/>
      <c r="D224" s="11"/>
      <c r="E224" s="11"/>
      <c r="F224" s="11"/>
      <c r="G224" s="11"/>
      <c r="H224" s="11"/>
      <c r="I224" s="11"/>
      <c r="J224" s="11"/>
      <c r="K224" s="11"/>
      <c r="L224" s="11"/>
      <c r="M224" s="11"/>
      <c r="N224" s="11"/>
      <c r="O224" s="11"/>
    </row>
    <row r="225" spans="1:15">
      <c r="A225" s="11"/>
      <c r="B225" s="11"/>
      <c r="C225" s="11"/>
      <c r="D225" s="11"/>
      <c r="E225" s="11"/>
      <c r="F225" s="11"/>
      <c r="G225" s="11"/>
      <c r="H225" s="11"/>
      <c r="I225" s="11"/>
      <c r="J225" s="11"/>
      <c r="K225" s="11"/>
      <c r="L225" s="11"/>
      <c r="M225" s="11"/>
      <c r="N225" s="11"/>
      <c r="O225" s="11"/>
    </row>
    <row r="226" spans="1:15">
      <c r="A226" s="11"/>
      <c r="B226" s="11"/>
      <c r="C226" s="11"/>
      <c r="D226" s="11"/>
      <c r="E226" s="11"/>
      <c r="F226" s="11"/>
      <c r="G226" s="11"/>
      <c r="H226" s="11"/>
      <c r="I226" s="11"/>
      <c r="J226" s="11"/>
      <c r="K226" s="11"/>
      <c r="L226" s="11"/>
      <c r="M226" s="11"/>
      <c r="N226" s="11"/>
      <c r="O226" s="11"/>
    </row>
    <row r="227" spans="1:15">
      <c r="A227" s="11"/>
      <c r="B227" s="11"/>
      <c r="C227" s="11"/>
      <c r="D227" s="11"/>
      <c r="E227" s="11"/>
      <c r="F227" s="11"/>
      <c r="G227" s="11"/>
      <c r="H227" s="11"/>
      <c r="I227" s="11"/>
      <c r="J227" s="11"/>
      <c r="K227" s="11"/>
      <c r="L227" s="11"/>
      <c r="M227" s="11"/>
      <c r="N227" s="11"/>
      <c r="O227" s="11"/>
    </row>
    <row r="228" spans="1:15">
      <c r="A228" s="11"/>
      <c r="B228" s="11"/>
      <c r="C228" s="11"/>
      <c r="D228" s="11"/>
      <c r="E228" s="11"/>
      <c r="F228" s="11"/>
      <c r="G228" s="11"/>
      <c r="H228" s="11"/>
      <c r="I228" s="11"/>
      <c r="J228" s="11"/>
      <c r="K228" s="11"/>
      <c r="L228" s="11"/>
      <c r="M228" s="11"/>
      <c r="N228" s="11"/>
      <c r="O228" s="11"/>
    </row>
    <row r="229" spans="1:15">
      <c r="A229" s="11"/>
      <c r="B229" s="11"/>
      <c r="C229" s="11"/>
      <c r="D229" s="11"/>
      <c r="E229" s="11"/>
      <c r="F229" s="11"/>
      <c r="G229" s="11"/>
      <c r="H229" s="11"/>
      <c r="I229" s="11"/>
      <c r="J229" s="11"/>
      <c r="K229" s="11"/>
      <c r="L229" s="11"/>
      <c r="M229" s="11"/>
      <c r="N229" s="11"/>
      <c r="O229" s="11"/>
    </row>
    <row r="230" spans="1:15">
      <c r="A230" s="11"/>
      <c r="B230" s="11"/>
      <c r="C230" s="11"/>
      <c r="D230" s="11"/>
      <c r="E230" s="11"/>
      <c r="F230" s="11"/>
      <c r="G230" s="11"/>
      <c r="H230" s="11"/>
      <c r="I230" s="11"/>
      <c r="J230" s="11"/>
      <c r="K230" s="11"/>
      <c r="L230" s="11"/>
      <c r="M230" s="11"/>
      <c r="N230" s="11"/>
      <c r="O230" s="11"/>
    </row>
    <row r="231" spans="1:15">
      <c r="A231" s="11"/>
      <c r="B231" s="11"/>
      <c r="C231" s="11"/>
      <c r="D231" s="11"/>
      <c r="E231" s="11"/>
      <c r="F231" s="11"/>
      <c r="G231" s="11"/>
      <c r="H231" s="11"/>
      <c r="I231" s="11"/>
      <c r="J231" s="11"/>
      <c r="K231" s="11"/>
      <c r="L231" s="11"/>
      <c r="M231" s="11"/>
      <c r="N231" s="11"/>
      <c r="O231" s="11"/>
    </row>
    <row r="232" spans="1:15">
      <c r="A232" s="11"/>
      <c r="B232" s="11"/>
      <c r="C232" s="11"/>
      <c r="D232" s="11"/>
      <c r="E232" s="11"/>
      <c r="F232" s="11"/>
      <c r="G232" s="11"/>
      <c r="H232" s="11"/>
      <c r="I232" s="11"/>
      <c r="J232" s="11"/>
      <c r="K232" s="11"/>
      <c r="L232" s="11"/>
      <c r="M232" s="11"/>
      <c r="N232" s="11"/>
      <c r="O232" s="11"/>
    </row>
    <row r="233" spans="1:15">
      <c r="A233" s="11"/>
      <c r="B233" s="11"/>
      <c r="C233" s="11"/>
      <c r="D233" s="11"/>
      <c r="E233" s="11"/>
      <c r="F233" s="11"/>
      <c r="G233" s="11"/>
      <c r="H233" s="11"/>
      <c r="I233" s="11"/>
      <c r="J233" s="11"/>
      <c r="K233" s="11"/>
      <c r="L233" s="11"/>
      <c r="M233" s="11"/>
      <c r="N233" s="11"/>
      <c r="O233" s="11"/>
    </row>
    <row r="234" spans="1:15">
      <c r="A234" s="11"/>
      <c r="B234" s="11"/>
      <c r="C234" s="11"/>
      <c r="D234" s="11"/>
      <c r="E234" s="11"/>
      <c r="F234" s="11"/>
      <c r="G234" s="11"/>
      <c r="H234" s="11"/>
      <c r="I234" s="11"/>
      <c r="J234" s="11"/>
      <c r="K234" s="11"/>
      <c r="L234" s="11"/>
      <c r="M234" s="11"/>
      <c r="N234" s="11"/>
      <c r="O234" s="11"/>
    </row>
    <row r="235" spans="1:15">
      <c r="A235" s="11"/>
      <c r="B235" s="11"/>
      <c r="C235" s="11"/>
      <c r="D235" s="11"/>
      <c r="E235" s="11"/>
      <c r="F235" s="11"/>
      <c r="G235" s="11"/>
      <c r="H235" s="11"/>
      <c r="I235" s="11"/>
      <c r="J235" s="11"/>
      <c r="K235" s="11"/>
      <c r="L235" s="11"/>
      <c r="M235" s="11"/>
      <c r="N235" s="11"/>
      <c r="O235" s="11"/>
    </row>
    <row r="236" spans="1:15">
      <c r="A236" s="11"/>
      <c r="B236" s="11"/>
      <c r="C236" s="11"/>
      <c r="D236" s="11"/>
      <c r="E236" s="11"/>
      <c r="F236" s="11"/>
      <c r="G236" s="11"/>
      <c r="H236" s="11"/>
      <c r="I236" s="11"/>
      <c r="J236" s="11"/>
      <c r="K236" s="11"/>
      <c r="L236" s="11"/>
      <c r="M236" s="11"/>
      <c r="N236" s="11"/>
      <c r="O236" s="11"/>
    </row>
    <row r="237" spans="1:15">
      <c r="A237" s="11"/>
      <c r="B237" s="11"/>
      <c r="C237" s="11"/>
      <c r="D237" s="11"/>
      <c r="E237" s="11"/>
      <c r="F237" s="11"/>
      <c r="G237" s="11"/>
      <c r="H237" s="11"/>
      <c r="I237" s="11"/>
      <c r="J237" s="11"/>
      <c r="K237" s="11"/>
      <c r="L237" s="11"/>
      <c r="M237" s="11"/>
      <c r="N237" s="11"/>
      <c r="O237" s="11"/>
    </row>
    <row r="238" spans="1:15">
      <c r="A238" s="11"/>
      <c r="B238" s="11"/>
      <c r="C238" s="11"/>
      <c r="D238" s="11"/>
      <c r="E238" s="11"/>
      <c r="F238" s="11"/>
      <c r="G238" s="11"/>
      <c r="H238" s="11"/>
      <c r="I238" s="11"/>
      <c r="J238" s="11"/>
      <c r="K238" s="11"/>
      <c r="L238" s="11"/>
      <c r="M238" s="11"/>
      <c r="N238" s="11"/>
      <c r="O238" s="11"/>
    </row>
    <row r="239" spans="1:15">
      <c r="A239" s="11"/>
      <c r="B239" s="11"/>
      <c r="C239" s="11"/>
      <c r="D239" s="11"/>
      <c r="E239" s="11"/>
      <c r="F239" s="11"/>
      <c r="G239" s="11"/>
      <c r="H239" s="11"/>
      <c r="I239" s="11"/>
      <c r="J239" s="11"/>
      <c r="K239" s="11"/>
      <c r="L239" s="11"/>
      <c r="M239" s="11"/>
      <c r="N239" s="11"/>
      <c r="O239" s="11"/>
    </row>
    <row r="240" spans="1:15">
      <c r="A240" s="11"/>
      <c r="B240" s="11"/>
      <c r="C240" s="11"/>
      <c r="D240" s="11"/>
      <c r="E240" s="11"/>
      <c r="F240" s="11"/>
      <c r="G240" s="11"/>
      <c r="H240" s="11"/>
      <c r="I240" s="11"/>
      <c r="J240" s="11"/>
      <c r="K240" s="11"/>
      <c r="L240" s="11"/>
      <c r="M240" s="11"/>
      <c r="N240" s="11"/>
      <c r="O240" s="11"/>
    </row>
    <row r="241" spans="1:15">
      <c r="A241" s="11"/>
      <c r="B241" s="11"/>
      <c r="C241" s="11"/>
      <c r="D241" s="11"/>
      <c r="E241" s="11"/>
      <c r="F241" s="11"/>
      <c r="G241" s="11"/>
      <c r="H241" s="11"/>
      <c r="I241" s="11"/>
      <c r="J241" s="11"/>
      <c r="K241" s="11"/>
      <c r="L241" s="11"/>
      <c r="M241" s="11"/>
      <c r="N241" s="11"/>
      <c r="O241" s="11"/>
    </row>
    <row r="242" spans="1:15">
      <c r="A242" s="11"/>
      <c r="B242" s="11"/>
      <c r="C242" s="11"/>
      <c r="D242" s="11"/>
      <c r="E242" s="11"/>
      <c r="F242" s="11"/>
      <c r="G242" s="11"/>
      <c r="H242" s="11"/>
      <c r="I242" s="11"/>
      <c r="J242" s="11"/>
      <c r="K242" s="11"/>
      <c r="L242" s="11"/>
      <c r="M242" s="11"/>
      <c r="N242" s="11"/>
      <c r="O242" s="11"/>
    </row>
    <row r="243" spans="1:15">
      <c r="A243" s="11"/>
      <c r="B243" s="11"/>
      <c r="C243" s="11"/>
      <c r="D243" s="11"/>
      <c r="E243" s="11"/>
      <c r="F243" s="11"/>
      <c r="G243" s="11"/>
      <c r="H243" s="11"/>
      <c r="I243" s="11"/>
      <c r="J243" s="11"/>
      <c r="K243" s="11"/>
      <c r="L243" s="11"/>
      <c r="M243" s="11"/>
      <c r="N243" s="11"/>
      <c r="O243" s="11"/>
    </row>
    <row r="244" spans="1:15">
      <c r="A244" s="11"/>
      <c r="B244" s="11"/>
      <c r="C244" s="11"/>
      <c r="D244" s="11"/>
      <c r="E244" s="11"/>
      <c r="F244" s="11"/>
      <c r="G244" s="11"/>
      <c r="H244" s="11"/>
      <c r="I244" s="11"/>
      <c r="J244" s="11"/>
      <c r="K244" s="11"/>
      <c r="L244" s="11"/>
      <c r="M244" s="11"/>
      <c r="N244" s="11"/>
      <c r="O244" s="11"/>
    </row>
    <row r="245" spans="1:15">
      <c r="A245" s="11"/>
      <c r="B245" s="11"/>
      <c r="C245" s="11"/>
      <c r="D245" s="11"/>
      <c r="E245" s="11"/>
      <c r="F245" s="11"/>
      <c r="G245" s="11"/>
      <c r="H245" s="11"/>
      <c r="I245" s="11"/>
      <c r="J245" s="11"/>
      <c r="K245" s="11"/>
      <c r="L245" s="11"/>
      <c r="M245" s="11"/>
      <c r="N245" s="11"/>
      <c r="O245" s="11"/>
    </row>
    <row r="246" spans="1:15">
      <c r="A246" s="11"/>
      <c r="B246" s="11"/>
      <c r="C246" s="11"/>
      <c r="D246" s="11"/>
      <c r="E246" s="11"/>
      <c r="F246" s="11"/>
      <c r="G246" s="11"/>
      <c r="H246" s="11"/>
      <c r="I246" s="11"/>
      <c r="J246" s="11"/>
      <c r="K246" s="11"/>
      <c r="L246" s="11"/>
      <c r="M246" s="11"/>
      <c r="N246" s="11"/>
      <c r="O246" s="11"/>
    </row>
  </sheetData>
  <sheetProtection formatColumns="0" formatRows="0"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0D4B4-0910-44AE-A577-92E7A3298109}">
  <dimension ref="A1:Y1264"/>
  <sheetViews>
    <sheetView showGridLines="0" zoomScaleNormal="100" workbookViewId="0">
      <pane xSplit="3" ySplit="2" topLeftCell="D3" activePane="bottomRight" state="frozen"/>
      <selection pane="topRight" activeCell="N103" sqref="N103"/>
      <selection pane="bottomLeft" activeCell="N103" sqref="N103"/>
      <selection pane="bottomRight"/>
    </sheetView>
  </sheetViews>
  <sheetFormatPr defaultColWidth="8.5703125" defaultRowHeight="15"/>
  <cols>
    <col min="1" max="1" width="6.5703125" style="2" customWidth="1"/>
    <col min="2" max="2" width="13.42578125" style="2" bestFit="1" customWidth="1"/>
    <col min="3" max="3" width="32" style="2" bestFit="1" customWidth="1"/>
    <col min="4" max="4" width="34.42578125" style="2" customWidth="1"/>
    <col min="5" max="5" width="30.42578125" style="2" customWidth="1"/>
    <col min="6" max="6" width="19.5703125" style="2" customWidth="1"/>
    <col min="7" max="7" width="10.42578125" style="2" customWidth="1"/>
    <col min="8" max="8" width="7.42578125" style="2" customWidth="1"/>
    <col min="9" max="9" width="9.140625" style="2" customWidth="1"/>
    <col min="10" max="10" width="9.42578125" style="2" customWidth="1"/>
    <col min="11" max="11" width="10.140625" style="2" customWidth="1"/>
    <col min="12" max="12" width="10.42578125" style="2" customWidth="1"/>
    <col min="13" max="13" width="12.42578125" style="285" customWidth="1"/>
    <col min="14" max="14" width="10.5703125" style="2" customWidth="1"/>
    <col min="15" max="15" width="23.42578125" style="2" customWidth="1"/>
    <col min="16" max="16" width="7.42578125" style="2" customWidth="1"/>
    <col min="17" max="17" width="10.7109375" style="2" customWidth="1"/>
    <col min="18" max="18" width="8.140625" style="2" customWidth="1"/>
    <col min="19" max="19" width="10" style="2" customWidth="1"/>
    <col min="20" max="20" width="23.5703125" style="3" customWidth="1"/>
    <col min="21" max="21" width="12.5703125" style="2" customWidth="1"/>
    <col min="22" max="22" width="8.5703125" style="223" bestFit="1" customWidth="1"/>
    <col min="23" max="23" width="10.7109375" style="2" customWidth="1"/>
    <col min="24" max="24" width="11" style="220" customWidth="1"/>
    <col min="25" max="25" width="11" style="2" customWidth="1"/>
    <col min="26" max="16384" width="8.5703125" style="2"/>
  </cols>
  <sheetData>
    <row r="1" spans="1:25" ht="19.5">
      <c r="A1" s="7" t="s">
        <v>1348</v>
      </c>
      <c r="B1" s="4"/>
      <c r="C1" s="4"/>
      <c r="D1" s="4"/>
      <c r="E1" s="4"/>
      <c r="F1" s="4"/>
      <c r="G1" s="4"/>
      <c r="H1" s="4"/>
      <c r="I1" s="4"/>
      <c r="J1" s="4"/>
      <c r="K1" s="4"/>
      <c r="L1" s="4"/>
      <c r="M1" s="284"/>
      <c r="N1" s="4"/>
      <c r="O1" s="4"/>
      <c r="P1" s="4"/>
      <c r="Q1" s="4"/>
      <c r="R1" s="4"/>
      <c r="S1" s="4"/>
      <c r="T1" s="5"/>
      <c r="U1" s="4"/>
      <c r="W1" s="4"/>
      <c r="X1" s="221"/>
      <c r="Y1" s="4"/>
    </row>
    <row r="2" spans="1:25" ht="56.25">
      <c r="A2" s="106" t="s">
        <v>6</v>
      </c>
      <c r="B2" s="107" t="s">
        <v>1230</v>
      </c>
      <c r="C2" s="161" t="s">
        <v>1349</v>
      </c>
      <c r="D2" s="161" t="s">
        <v>42</v>
      </c>
      <c r="E2" s="161" t="s">
        <v>1350</v>
      </c>
      <c r="F2" s="161" t="s">
        <v>1351</v>
      </c>
      <c r="G2" s="161" t="s">
        <v>1232</v>
      </c>
      <c r="H2" s="107" t="s">
        <v>1352</v>
      </c>
      <c r="I2" s="107" t="s">
        <v>1206</v>
      </c>
      <c r="J2" s="107" t="s">
        <v>1209</v>
      </c>
      <c r="K2" s="107" t="s">
        <v>1211</v>
      </c>
      <c r="L2" s="283" t="s">
        <v>1213</v>
      </c>
      <c r="M2" s="107" t="s">
        <v>1353</v>
      </c>
      <c r="N2" s="107" t="s">
        <v>1354</v>
      </c>
      <c r="O2" s="107" t="s">
        <v>519</v>
      </c>
      <c r="P2" s="107" t="s">
        <v>8</v>
      </c>
      <c r="Q2" s="107" t="s">
        <v>499</v>
      </c>
      <c r="R2" s="107" t="s">
        <v>141</v>
      </c>
      <c r="S2" s="107" t="s">
        <v>1219</v>
      </c>
      <c r="T2" s="107" t="s">
        <v>1355</v>
      </c>
      <c r="U2" s="107" t="s">
        <v>1356</v>
      </c>
      <c r="V2" s="224" t="s">
        <v>1221</v>
      </c>
      <c r="W2" s="161" t="s">
        <v>1223</v>
      </c>
      <c r="X2" s="222" t="s">
        <v>1225</v>
      </c>
      <c r="Y2" s="166" t="s">
        <v>1357</v>
      </c>
    </row>
    <row r="3" spans="1:25">
      <c r="A3" s="131" t="s">
        <v>46</v>
      </c>
      <c r="B3" s="109" t="s">
        <v>1320</v>
      </c>
      <c r="C3" s="160" t="s">
        <v>1358</v>
      </c>
      <c r="D3" s="162" t="s">
        <v>59</v>
      </c>
      <c r="E3" s="65" t="s">
        <v>1359</v>
      </c>
      <c r="F3" s="162" t="s">
        <v>1360</v>
      </c>
      <c r="G3" s="65" t="s">
        <v>208</v>
      </c>
      <c r="H3" s="218">
        <v>2</v>
      </c>
      <c r="I3" s="65"/>
      <c r="J3" s="218">
        <v>1.165</v>
      </c>
      <c r="K3" s="108"/>
      <c r="L3" s="275">
        <v>2.33</v>
      </c>
      <c r="M3" s="65" t="s">
        <v>1361</v>
      </c>
      <c r="N3" s="219"/>
      <c r="O3" s="65" t="s">
        <v>55</v>
      </c>
      <c r="P3" s="162" t="s">
        <v>1362</v>
      </c>
      <c r="Q3" s="158"/>
      <c r="R3" s="157"/>
      <c r="S3" s="114"/>
      <c r="T3" s="162" t="s">
        <v>25</v>
      </c>
      <c r="U3" s="65" t="s">
        <v>15</v>
      </c>
      <c r="V3" s="162">
        <v>1351</v>
      </c>
      <c r="W3" s="165"/>
      <c r="X3" s="218" t="s">
        <v>1363</v>
      </c>
      <c r="Y3" s="167">
        <v>44273.772175925929</v>
      </c>
    </row>
    <row r="4" spans="1:25">
      <c r="A4" s="131" t="s">
        <v>46</v>
      </c>
      <c r="B4" s="109" t="s">
        <v>1320</v>
      </c>
      <c r="C4" s="160" t="s">
        <v>1364</v>
      </c>
      <c r="D4" s="162" t="s">
        <v>59</v>
      </c>
      <c r="E4" s="65" t="s">
        <v>1365</v>
      </c>
      <c r="F4" s="162" t="s">
        <v>1360</v>
      </c>
      <c r="G4" s="65" t="s">
        <v>208</v>
      </c>
      <c r="H4" s="218">
        <v>1</v>
      </c>
      <c r="I4" s="65"/>
      <c r="J4" s="218">
        <v>1</v>
      </c>
      <c r="K4" s="108"/>
      <c r="L4" s="275">
        <v>1</v>
      </c>
      <c r="M4" s="65" t="s">
        <v>1366</v>
      </c>
      <c r="N4" s="219"/>
      <c r="O4" s="65" t="s">
        <v>55</v>
      </c>
      <c r="P4" s="162" t="s">
        <v>1362</v>
      </c>
      <c r="Q4" s="158"/>
      <c r="R4" s="157"/>
      <c r="S4" s="114"/>
      <c r="T4" s="162" t="s">
        <v>25</v>
      </c>
      <c r="U4" s="65" t="s">
        <v>15</v>
      </c>
      <c r="V4" s="162">
        <v>2</v>
      </c>
      <c r="W4" s="165"/>
      <c r="X4" s="218" t="s">
        <v>208</v>
      </c>
      <c r="Y4" s="167">
        <v>43312</v>
      </c>
    </row>
    <row r="5" spans="1:25">
      <c r="A5" s="131" t="s">
        <v>46</v>
      </c>
      <c r="B5" s="109" t="s">
        <v>1320</v>
      </c>
      <c r="C5" s="160" t="s">
        <v>1367</v>
      </c>
      <c r="D5" s="162" t="s">
        <v>59</v>
      </c>
      <c r="E5" s="65" t="s">
        <v>1365</v>
      </c>
      <c r="F5" s="162" t="s">
        <v>1360</v>
      </c>
      <c r="G5" s="65" t="s">
        <v>208</v>
      </c>
      <c r="H5" s="218">
        <v>1</v>
      </c>
      <c r="I5" s="65"/>
      <c r="J5" s="218">
        <v>0.6</v>
      </c>
      <c r="K5" s="108"/>
      <c r="L5" s="275">
        <v>0.6</v>
      </c>
      <c r="M5" s="65" t="s">
        <v>1368</v>
      </c>
      <c r="N5" s="219"/>
      <c r="O5" s="65" t="s">
        <v>55</v>
      </c>
      <c r="P5" s="162" t="s">
        <v>1362</v>
      </c>
      <c r="Q5" s="158"/>
      <c r="R5" s="157" t="s">
        <v>1369</v>
      </c>
      <c r="S5" s="114"/>
      <c r="T5" s="162" t="s">
        <v>25</v>
      </c>
      <c r="U5" s="65" t="s">
        <v>15</v>
      </c>
      <c r="V5" s="162">
        <v>1366</v>
      </c>
      <c r="W5" s="165"/>
      <c r="X5" s="218" t="s">
        <v>1363</v>
      </c>
      <c r="Y5" s="167">
        <v>44671.400879629633</v>
      </c>
    </row>
    <row r="6" spans="1:25">
      <c r="A6" s="131" t="s">
        <v>100</v>
      </c>
      <c r="B6" s="109" t="s">
        <v>1320</v>
      </c>
      <c r="C6" s="160" t="s">
        <v>1370</v>
      </c>
      <c r="D6" s="162" t="s">
        <v>59</v>
      </c>
      <c r="E6" s="65" t="s">
        <v>1365</v>
      </c>
      <c r="F6" s="162" t="s">
        <v>1360</v>
      </c>
      <c r="G6" s="65" t="s">
        <v>208</v>
      </c>
      <c r="H6" s="218">
        <v>1</v>
      </c>
      <c r="I6" s="65"/>
      <c r="J6" s="218">
        <v>0.38600000000000001</v>
      </c>
      <c r="K6" s="108"/>
      <c r="L6" s="275">
        <v>0.38600000000000001</v>
      </c>
      <c r="M6" s="65" t="s">
        <v>1371</v>
      </c>
      <c r="N6" s="219"/>
      <c r="O6" s="65" t="s">
        <v>55</v>
      </c>
      <c r="P6" s="162" t="s">
        <v>1362</v>
      </c>
      <c r="Q6" s="158"/>
      <c r="R6" s="157"/>
      <c r="S6" s="114"/>
      <c r="T6" s="162" t="s">
        <v>25</v>
      </c>
      <c r="U6" s="65" t="s">
        <v>15</v>
      </c>
      <c r="V6" s="162">
        <v>1364</v>
      </c>
      <c r="W6" s="165"/>
      <c r="X6" s="218" t="s">
        <v>1363</v>
      </c>
      <c r="Y6" s="167">
        <v>44604.456319444442</v>
      </c>
    </row>
    <row r="7" spans="1:25">
      <c r="A7" s="131" t="s">
        <v>46</v>
      </c>
      <c r="B7" s="109" t="s">
        <v>1320</v>
      </c>
      <c r="C7" s="160" t="s">
        <v>1372</v>
      </c>
      <c r="D7" s="162" t="s">
        <v>59</v>
      </c>
      <c r="E7" s="65" t="s">
        <v>1365</v>
      </c>
      <c r="F7" s="162" t="s">
        <v>1360</v>
      </c>
      <c r="G7" s="65" t="s">
        <v>208</v>
      </c>
      <c r="H7" s="218">
        <v>1</v>
      </c>
      <c r="I7" s="65"/>
      <c r="J7" s="218">
        <v>1.2</v>
      </c>
      <c r="K7" s="108"/>
      <c r="L7" s="275">
        <v>1.2</v>
      </c>
      <c r="M7" s="65" t="s">
        <v>1373</v>
      </c>
      <c r="N7" s="219"/>
      <c r="O7" s="65" t="s">
        <v>55</v>
      </c>
      <c r="P7" s="162" t="s">
        <v>1362</v>
      </c>
      <c r="Q7" s="158"/>
      <c r="R7" s="157" t="s">
        <v>1374</v>
      </c>
      <c r="S7" s="114"/>
      <c r="T7" s="162" t="s">
        <v>25</v>
      </c>
      <c r="U7" s="65" t="s">
        <v>15</v>
      </c>
      <c r="V7" s="162">
        <v>1368</v>
      </c>
      <c r="W7" s="165"/>
      <c r="X7" s="218" t="s">
        <v>1363</v>
      </c>
      <c r="Y7" s="167">
        <v>44671.404027777775</v>
      </c>
    </row>
    <row r="8" spans="1:25">
      <c r="A8" s="131" t="s">
        <v>100</v>
      </c>
      <c r="B8" s="109" t="s">
        <v>1320</v>
      </c>
      <c r="C8" s="160" t="s">
        <v>1375</v>
      </c>
      <c r="D8" s="162" t="s">
        <v>1376</v>
      </c>
      <c r="E8" s="65" t="s">
        <v>1359</v>
      </c>
      <c r="F8" s="162" t="s">
        <v>1360</v>
      </c>
      <c r="G8" s="65" t="s">
        <v>208</v>
      </c>
      <c r="H8" s="218">
        <v>1</v>
      </c>
      <c r="I8" s="65"/>
      <c r="J8" s="218">
        <v>1.2</v>
      </c>
      <c r="K8" s="108"/>
      <c r="L8" s="275">
        <v>1.2</v>
      </c>
      <c r="M8" s="65" t="s">
        <v>1373</v>
      </c>
      <c r="N8" s="219"/>
      <c r="O8" s="65" t="s">
        <v>55</v>
      </c>
      <c r="P8" s="162" t="s">
        <v>1362</v>
      </c>
      <c r="Q8" s="158"/>
      <c r="R8" s="157" t="s">
        <v>1377</v>
      </c>
      <c r="S8" s="114"/>
      <c r="T8" s="162" t="s">
        <v>25</v>
      </c>
      <c r="U8" s="65" t="s">
        <v>15</v>
      </c>
      <c r="V8" s="162">
        <v>1001</v>
      </c>
      <c r="W8" s="165"/>
      <c r="X8" s="218" t="s">
        <v>1363</v>
      </c>
      <c r="Y8" s="167">
        <v>44658.455104166664</v>
      </c>
    </row>
    <row r="9" spans="1:25">
      <c r="A9" s="131" t="s">
        <v>46</v>
      </c>
      <c r="B9" s="109" t="s">
        <v>1320</v>
      </c>
      <c r="C9" s="160" t="s">
        <v>1378</v>
      </c>
      <c r="D9" s="162" t="s">
        <v>59</v>
      </c>
      <c r="E9" s="65" t="s">
        <v>1365</v>
      </c>
      <c r="F9" s="162" t="s">
        <v>1360</v>
      </c>
      <c r="G9" s="65" t="s">
        <v>208</v>
      </c>
      <c r="H9" s="218">
        <v>1</v>
      </c>
      <c r="I9" s="65"/>
      <c r="J9" s="218">
        <v>0.8</v>
      </c>
      <c r="K9" s="108"/>
      <c r="L9" s="275">
        <v>0.8</v>
      </c>
      <c r="M9" s="65" t="s">
        <v>1379</v>
      </c>
      <c r="N9" s="219"/>
      <c r="O9" s="65" t="s">
        <v>55</v>
      </c>
      <c r="P9" s="162" t="s">
        <v>1362</v>
      </c>
      <c r="Q9" s="158"/>
      <c r="R9" s="157" t="s">
        <v>1377</v>
      </c>
      <c r="S9" s="114"/>
      <c r="T9" s="162" t="s">
        <v>25</v>
      </c>
      <c r="U9" s="65" t="s">
        <v>15</v>
      </c>
      <c r="V9" s="162">
        <v>1370</v>
      </c>
      <c r="W9" s="165"/>
      <c r="X9" s="218" t="s">
        <v>1363</v>
      </c>
      <c r="Y9" s="167">
        <v>44671.406053240738</v>
      </c>
    </row>
    <row r="10" spans="1:25">
      <c r="A10" s="131" t="s">
        <v>46</v>
      </c>
      <c r="B10" s="109" t="s">
        <v>1320</v>
      </c>
      <c r="C10" s="160" t="s">
        <v>1380</v>
      </c>
      <c r="D10" s="162" t="s">
        <v>59</v>
      </c>
      <c r="E10" s="65" t="s">
        <v>1365</v>
      </c>
      <c r="F10" s="162" t="s">
        <v>1360</v>
      </c>
      <c r="G10" s="65" t="s">
        <v>208</v>
      </c>
      <c r="H10" s="218">
        <v>1</v>
      </c>
      <c r="I10" s="65"/>
      <c r="J10" s="218">
        <v>0.4</v>
      </c>
      <c r="K10" s="108"/>
      <c r="L10" s="275">
        <v>0.4</v>
      </c>
      <c r="M10" s="65" t="s">
        <v>1381</v>
      </c>
      <c r="N10" s="219"/>
      <c r="O10" s="65" t="s">
        <v>55</v>
      </c>
      <c r="P10" s="162" t="s">
        <v>1362</v>
      </c>
      <c r="Q10" s="158"/>
      <c r="R10" s="157" t="s">
        <v>1382</v>
      </c>
      <c r="S10" s="114"/>
      <c r="T10" s="162" t="s">
        <v>25</v>
      </c>
      <c r="U10" s="65" t="s">
        <v>15</v>
      </c>
      <c r="V10" s="162">
        <v>1369</v>
      </c>
      <c r="W10" s="165"/>
      <c r="X10" s="218" t="s">
        <v>1363</v>
      </c>
      <c r="Y10" s="167">
        <v>44671.404756944445</v>
      </c>
    </row>
    <row r="11" spans="1:25">
      <c r="A11" s="131" t="s">
        <v>100</v>
      </c>
      <c r="B11" s="109" t="s">
        <v>1320</v>
      </c>
      <c r="C11" s="160" t="s">
        <v>1383</v>
      </c>
      <c r="D11" s="162" t="s">
        <v>59</v>
      </c>
      <c r="E11" s="65" t="s">
        <v>1365</v>
      </c>
      <c r="F11" s="162" t="s">
        <v>1360</v>
      </c>
      <c r="G11" s="65" t="s">
        <v>208</v>
      </c>
      <c r="H11" s="218">
        <v>1</v>
      </c>
      <c r="I11" s="65"/>
      <c r="J11" s="218">
        <v>0.38600000000000001</v>
      </c>
      <c r="K11" s="108"/>
      <c r="L11" s="275">
        <v>0.38600000000000001</v>
      </c>
      <c r="M11" s="65" t="s">
        <v>1371</v>
      </c>
      <c r="N11" s="219"/>
      <c r="O11" s="65" t="s">
        <v>55</v>
      </c>
      <c r="P11" s="162" t="s">
        <v>1362</v>
      </c>
      <c r="Q11" s="158"/>
      <c r="R11" s="157" t="s">
        <v>1384</v>
      </c>
      <c r="S11" s="114"/>
      <c r="T11" s="162" t="s">
        <v>25</v>
      </c>
      <c r="U11" s="65" t="s">
        <v>15</v>
      </c>
      <c r="V11" s="162">
        <v>1367</v>
      </c>
      <c r="W11" s="165"/>
      <c r="X11" s="218" t="s">
        <v>1363</v>
      </c>
      <c r="Y11" s="167">
        <v>44671.403506944444</v>
      </c>
    </row>
    <row r="12" spans="1:25">
      <c r="A12" s="131" t="s">
        <v>46</v>
      </c>
      <c r="B12" s="109" t="s">
        <v>1385</v>
      </c>
      <c r="C12" s="160" t="s">
        <v>1386</v>
      </c>
      <c r="D12" s="162" t="s">
        <v>1387</v>
      </c>
      <c r="E12" s="65"/>
      <c r="F12" s="162" t="s">
        <v>1388</v>
      </c>
      <c r="G12" s="65"/>
      <c r="H12" s="218"/>
      <c r="I12" s="65"/>
      <c r="J12" s="218"/>
      <c r="K12" s="108"/>
      <c r="L12" s="275">
        <v>300</v>
      </c>
      <c r="M12" s="65"/>
      <c r="N12" s="219"/>
      <c r="O12" s="65" t="s">
        <v>1285</v>
      </c>
      <c r="P12" s="162"/>
      <c r="Q12" s="158"/>
      <c r="R12" s="157"/>
      <c r="S12" s="114"/>
      <c r="T12" s="162" t="s">
        <v>29</v>
      </c>
      <c r="U12" s="65" t="s">
        <v>1388</v>
      </c>
      <c r="V12" s="162" t="s">
        <v>208</v>
      </c>
      <c r="W12" s="165" t="s">
        <v>1389</v>
      </c>
      <c r="X12" s="218"/>
      <c r="Y12" s="167" t="s">
        <v>208</v>
      </c>
    </row>
    <row r="13" spans="1:25">
      <c r="A13" s="131" t="s">
        <v>46</v>
      </c>
      <c r="B13" s="109" t="s">
        <v>1385</v>
      </c>
      <c r="C13" s="160" t="s">
        <v>1390</v>
      </c>
      <c r="D13" s="162" t="s">
        <v>4098</v>
      </c>
      <c r="E13" s="65" t="s">
        <v>1391</v>
      </c>
      <c r="F13" s="162" t="s">
        <v>21</v>
      </c>
      <c r="G13" s="65" t="s">
        <v>208</v>
      </c>
      <c r="H13" s="218">
        <v>1</v>
      </c>
      <c r="I13" s="65"/>
      <c r="J13" s="218">
        <v>12</v>
      </c>
      <c r="K13" s="108"/>
      <c r="L13" s="275">
        <v>12</v>
      </c>
      <c r="M13" s="65" t="s">
        <v>1392</v>
      </c>
      <c r="N13" s="219">
        <v>0</v>
      </c>
      <c r="O13" s="65" t="s">
        <v>1285</v>
      </c>
      <c r="P13" s="162" t="s">
        <v>1393</v>
      </c>
      <c r="Q13" s="158"/>
      <c r="R13" s="157"/>
      <c r="S13" s="114"/>
      <c r="T13" s="162" t="s">
        <v>29</v>
      </c>
      <c r="U13" s="65" t="s">
        <v>20</v>
      </c>
      <c r="V13" s="162">
        <v>1934</v>
      </c>
      <c r="W13" s="165" t="s">
        <v>1394</v>
      </c>
      <c r="X13" s="218" t="s">
        <v>1395</v>
      </c>
      <c r="Y13" s="167">
        <v>44721.607939814814</v>
      </c>
    </row>
    <row r="14" spans="1:25">
      <c r="A14" s="131" t="s">
        <v>80</v>
      </c>
      <c r="B14" s="109" t="s">
        <v>1320</v>
      </c>
      <c r="C14" s="160" t="s">
        <v>1396</v>
      </c>
      <c r="D14" s="162" t="s">
        <v>1397</v>
      </c>
      <c r="E14" s="65" t="s">
        <v>1398</v>
      </c>
      <c r="F14" s="162" t="s">
        <v>1388</v>
      </c>
      <c r="G14" s="65" t="s">
        <v>208</v>
      </c>
      <c r="H14" s="218">
        <v>2</v>
      </c>
      <c r="I14" s="65"/>
      <c r="J14" s="218">
        <v>0.02</v>
      </c>
      <c r="K14" s="108"/>
      <c r="L14" s="275">
        <v>0.04</v>
      </c>
      <c r="M14" s="65" t="s">
        <v>1399</v>
      </c>
      <c r="N14" s="219"/>
      <c r="O14" s="65" t="s">
        <v>55</v>
      </c>
      <c r="P14" s="162" t="s">
        <v>1362</v>
      </c>
      <c r="Q14" s="158"/>
      <c r="R14" s="157"/>
      <c r="S14" s="114"/>
      <c r="T14" s="162" t="s">
        <v>25</v>
      </c>
      <c r="U14" s="65" t="s">
        <v>1388</v>
      </c>
      <c r="V14" s="162">
        <v>1536</v>
      </c>
      <c r="W14" s="165"/>
      <c r="X14" s="218" t="s">
        <v>1400</v>
      </c>
      <c r="Y14" s="167">
        <v>43769.416655092595</v>
      </c>
    </row>
    <row r="15" spans="1:25">
      <c r="A15" s="131" t="s">
        <v>80</v>
      </c>
      <c r="B15" s="109" t="s">
        <v>1320</v>
      </c>
      <c r="C15" s="160" t="s">
        <v>1396</v>
      </c>
      <c r="D15" s="162" t="s">
        <v>1397</v>
      </c>
      <c r="E15" s="65" t="s">
        <v>1398</v>
      </c>
      <c r="F15" s="162" t="s">
        <v>1388</v>
      </c>
      <c r="G15" s="65" t="s">
        <v>208</v>
      </c>
      <c r="H15" s="218">
        <v>16</v>
      </c>
      <c r="I15" s="65"/>
      <c r="J15" s="218">
        <v>0.06</v>
      </c>
      <c r="K15" s="108"/>
      <c r="L15" s="275">
        <v>0.96</v>
      </c>
      <c r="M15" s="65" t="s">
        <v>1401</v>
      </c>
      <c r="N15" s="219"/>
      <c r="O15" s="65" t="s">
        <v>55</v>
      </c>
      <c r="P15" s="162" t="s">
        <v>1362</v>
      </c>
      <c r="Q15" s="158"/>
      <c r="R15" s="157"/>
      <c r="S15" s="114"/>
      <c r="T15" s="162" t="s">
        <v>25</v>
      </c>
      <c r="U15" s="65" t="s">
        <v>1388</v>
      </c>
      <c r="V15" s="162">
        <v>1536</v>
      </c>
      <c r="W15" s="165"/>
      <c r="X15" s="218" t="s">
        <v>1400</v>
      </c>
      <c r="Y15" s="167">
        <v>43769.416655092595</v>
      </c>
    </row>
    <row r="16" spans="1:25">
      <c r="A16" s="131" t="s">
        <v>80</v>
      </c>
      <c r="B16" s="109" t="s">
        <v>1320</v>
      </c>
      <c r="C16" s="160" t="s">
        <v>81</v>
      </c>
      <c r="D16" s="162" t="s">
        <v>82</v>
      </c>
      <c r="E16" s="65" t="s">
        <v>1391</v>
      </c>
      <c r="F16" s="162" t="s">
        <v>21</v>
      </c>
      <c r="G16" s="65" t="s">
        <v>83</v>
      </c>
      <c r="H16" s="218">
        <v>1</v>
      </c>
      <c r="I16" s="65"/>
      <c r="J16" s="218">
        <v>6.27</v>
      </c>
      <c r="K16" s="108"/>
      <c r="L16" s="275">
        <v>6.27</v>
      </c>
      <c r="M16" s="65" t="s">
        <v>1402</v>
      </c>
      <c r="N16" s="219">
        <v>12.6</v>
      </c>
      <c r="O16" s="65" t="s">
        <v>27</v>
      </c>
      <c r="P16" s="162" t="s">
        <v>1403</v>
      </c>
      <c r="Q16" s="158" t="s">
        <v>1404</v>
      </c>
      <c r="R16" s="157" t="s">
        <v>1405</v>
      </c>
      <c r="S16" s="114"/>
      <c r="T16" s="162" t="s">
        <v>25</v>
      </c>
      <c r="U16" s="65" t="s">
        <v>20</v>
      </c>
      <c r="V16" s="162">
        <v>1844</v>
      </c>
      <c r="W16" s="165"/>
      <c r="X16" s="218" t="s">
        <v>1363</v>
      </c>
      <c r="Y16" s="167">
        <v>44671.364039351851</v>
      </c>
    </row>
    <row r="17" spans="1:25">
      <c r="A17" s="131" t="s">
        <v>80</v>
      </c>
      <c r="B17" s="109" t="s">
        <v>1320</v>
      </c>
      <c r="C17" s="160" t="s">
        <v>81</v>
      </c>
      <c r="D17" s="162" t="s">
        <v>82</v>
      </c>
      <c r="E17" s="65" t="s">
        <v>1398</v>
      </c>
      <c r="F17" s="162" t="s">
        <v>1388</v>
      </c>
      <c r="G17" s="65" t="s">
        <v>84</v>
      </c>
      <c r="H17" s="218">
        <v>4</v>
      </c>
      <c r="I17" s="65"/>
      <c r="J17" s="218">
        <v>2.75</v>
      </c>
      <c r="K17" s="108"/>
      <c r="L17" s="275">
        <v>11</v>
      </c>
      <c r="M17" s="65" t="s">
        <v>1406</v>
      </c>
      <c r="N17" s="219"/>
      <c r="O17" s="65" t="s">
        <v>27</v>
      </c>
      <c r="P17" s="162" t="s">
        <v>1407</v>
      </c>
      <c r="Q17" s="158" t="s">
        <v>1404</v>
      </c>
      <c r="R17" s="157" t="s">
        <v>1405</v>
      </c>
      <c r="S17" s="114"/>
      <c r="T17" s="162" t="s">
        <v>25</v>
      </c>
      <c r="U17" s="65" t="s">
        <v>1388</v>
      </c>
      <c r="V17" s="162">
        <v>1844</v>
      </c>
      <c r="W17" s="165"/>
      <c r="X17" s="218" t="s">
        <v>1363</v>
      </c>
      <c r="Y17" s="167">
        <v>44671.364039351851</v>
      </c>
    </row>
    <row r="18" spans="1:25">
      <c r="A18" s="131" t="s">
        <v>80</v>
      </c>
      <c r="B18" s="109" t="s">
        <v>1320</v>
      </c>
      <c r="C18" s="160" t="s">
        <v>81</v>
      </c>
      <c r="D18" s="162" t="s">
        <v>82</v>
      </c>
      <c r="E18" s="65" t="s">
        <v>1398</v>
      </c>
      <c r="F18" s="162" t="s">
        <v>1388</v>
      </c>
      <c r="G18" s="65" t="s">
        <v>85</v>
      </c>
      <c r="H18" s="218">
        <v>4</v>
      </c>
      <c r="I18" s="65"/>
      <c r="J18" s="218">
        <v>3.43</v>
      </c>
      <c r="K18" s="108"/>
      <c r="L18" s="275">
        <v>13.72</v>
      </c>
      <c r="M18" s="65" t="s">
        <v>1408</v>
      </c>
      <c r="N18" s="219"/>
      <c r="O18" s="65" t="s">
        <v>27</v>
      </c>
      <c r="P18" s="162" t="s">
        <v>1407</v>
      </c>
      <c r="Q18" s="158" t="s">
        <v>1409</v>
      </c>
      <c r="R18" s="157" t="s">
        <v>1405</v>
      </c>
      <c r="S18" s="114"/>
      <c r="T18" s="162" t="s">
        <v>25</v>
      </c>
      <c r="U18" s="65" t="s">
        <v>1388</v>
      </c>
      <c r="V18" s="162">
        <v>1844</v>
      </c>
      <c r="W18" s="165"/>
      <c r="X18" s="218" t="s">
        <v>1363</v>
      </c>
      <c r="Y18" s="167">
        <v>44671.364039351851</v>
      </c>
    </row>
    <row r="19" spans="1:25">
      <c r="A19" s="131" t="s">
        <v>80</v>
      </c>
      <c r="B19" s="109" t="s">
        <v>1320</v>
      </c>
      <c r="C19" s="160" t="s">
        <v>1410</v>
      </c>
      <c r="D19" s="162" t="s">
        <v>1393</v>
      </c>
      <c r="E19" s="65" t="s">
        <v>1398</v>
      </c>
      <c r="F19" s="162" t="s">
        <v>1388</v>
      </c>
      <c r="G19" s="65" t="s">
        <v>208</v>
      </c>
      <c r="H19" s="218">
        <v>1</v>
      </c>
      <c r="I19" s="65"/>
      <c r="J19" s="218">
        <v>0.151</v>
      </c>
      <c r="K19" s="108"/>
      <c r="L19" s="275">
        <v>0.15079999999999999</v>
      </c>
      <c r="M19" s="65" t="s">
        <v>1411</v>
      </c>
      <c r="N19" s="219"/>
      <c r="O19" s="65" t="s">
        <v>55</v>
      </c>
      <c r="P19" s="162" t="s">
        <v>1362</v>
      </c>
      <c r="Q19" s="158"/>
      <c r="R19" s="157"/>
      <c r="S19" s="114"/>
      <c r="T19" s="162" t="s">
        <v>25</v>
      </c>
      <c r="U19" s="65" t="s">
        <v>1388</v>
      </c>
      <c r="V19" s="162">
        <v>28</v>
      </c>
      <c r="W19" s="165"/>
      <c r="X19" s="218" t="s">
        <v>208</v>
      </c>
      <c r="Y19" s="167">
        <v>43312</v>
      </c>
    </row>
    <row r="20" spans="1:25">
      <c r="A20" s="131" t="s">
        <v>100</v>
      </c>
      <c r="B20" s="109" t="s">
        <v>1320</v>
      </c>
      <c r="C20" s="160" t="s">
        <v>1412</v>
      </c>
      <c r="D20" s="162" t="s">
        <v>1393</v>
      </c>
      <c r="E20" s="65" t="s">
        <v>1398</v>
      </c>
      <c r="F20" s="162" t="s">
        <v>1388</v>
      </c>
      <c r="G20" s="65" t="s">
        <v>208</v>
      </c>
      <c r="H20" s="218">
        <v>1</v>
      </c>
      <c r="I20" s="65"/>
      <c r="J20" s="218">
        <v>0.2</v>
      </c>
      <c r="K20" s="108"/>
      <c r="L20" s="275">
        <v>0.1996</v>
      </c>
      <c r="M20" s="65" t="s">
        <v>1413</v>
      </c>
      <c r="N20" s="219"/>
      <c r="O20" s="65" t="s">
        <v>55</v>
      </c>
      <c r="P20" s="162" t="s">
        <v>1362</v>
      </c>
      <c r="Q20" s="158"/>
      <c r="R20" s="157"/>
      <c r="S20" s="114"/>
      <c r="T20" s="162" t="s">
        <v>25</v>
      </c>
      <c r="U20" s="65" t="s">
        <v>1388</v>
      </c>
      <c r="V20" s="162">
        <v>47</v>
      </c>
      <c r="W20" s="165"/>
      <c r="X20" s="218" t="s">
        <v>208</v>
      </c>
      <c r="Y20" s="167">
        <v>43312</v>
      </c>
    </row>
    <row r="21" spans="1:25">
      <c r="A21" s="131" t="s">
        <v>80</v>
      </c>
      <c r="B21" s="109" t="s">
        <v>1385</v>
      </c>
      <c r="C21" s="160" t="s">
        <v>1414</v>
      </c>
      <c r="D21" s="162" t="s">
        <v>525</v>
      </c>
      <c r="E21" s="65" t="s">
        <v>1415</v>
      </c>
      <c r="F21" s="162" t="s">
        <v>21</v>
      </c>
      <c r="G21" s="65" t="s">
        <v>208</v>
      </c>
      <c r="H21" s="218">
        <v>1</v>
      </c>
      <c r="I21" s="65"/>
      <c r="J21" s="218">
        <v>5</v>
      </c>
      <c r="K21" s="108"/>
      <c r="L21" s="275">
        <v>5</v>
      </c>
      <c r="M21" s="65" t="s">
        <v>1416</v>
      </c>
      <c r="N21" s="219"/>
      <c r="O21" s="65" t="s">
        <v>1285</v>
      </c>
      <c r="P21" s="162" t="s">
        <v>1362</v>
      </c>
      <c r="Q21" s="158"/>
      <c r="R21" s="157"/>
      <c r="S21" s="114"/>
      <c r="T21" s="162" t="s">
        <v>29</v>
      </c>
      <c r="U21" s="65" t="s">
        <v>20</v>
      </c>
      <c r="V21" s="162">
        <v>108</v>
      </c>
      <c r="W21" s="165"/>
      <c r="X21" s="218" t="s">
        <v>208</v>
      </c>
      <c r="Y21" s="167">
        <v>43312</v>
      </c>
    </row>
    <row r="22" spans="1:25">
      <c r="A22" s="131" t="s">
        <v>100</v>
      </c>
      <c r="B22" s="109" t="s">
        <v>1385</v>
      </c>
      <c r="C22" s="160" t="s">
        <v>1417</v>
      </c>
      <c r="D22" s="162" t="s">
        <v>1418</v>
      </c>
      <c r="E22" s="65" t="s">
        <v>1419</v>
      </c>
      <c r="F22" s="162" t="s">
        <v>17</v>
      </c>
      <c r="G22" s="65" t="s">
        <v>208</v>
      </c>
      <c r="H22" s="218">
        <v>34</v>
      </c>
      <c r="I22" s="65"/>
      <c r="J22" s="218">
        <v>3.6</v>
      </c>
      <c r="K22" s="108"/>
      <c r="L22" s="275">
        <v>122.4</v>
      </c>
      <c r="M22" s="65" t="s">
        <v>1420</v>
      </c>
      <c r="N22" s="219"/>
      <c r="O22" s="65" t="s">
        <v>1285</v>
      </c>
      <c r="P22" s="162" t="s">
        <v>1407</v>
      </c>
      <c r="Q22" s="158"/>
      <c r="R22" s="157"/>
      <c r="S22" s="114"/>
      <c r="T22" s="162" t="s">
        <v>29</v>
      </c>
      <c r="U22" s="65" t="s">
        <v>17</v>
      </c>
      <c r="V22" s="162">
        <v>1547</v>
      </c>
      <c r="W22" s="165"/>
      <c r="X22" s="218" t="s">
        <v>1400</v>
      </c>
      <c r="Y22" s="167">
        <v>43769.416655092595</v>
      </c>
    </row>
    <row r="23" spans="1:25">
      <c r="A23" s="131" t="s">
        <v>46</v>
      </c>
      <c r="B23" s="109" t="s">
        <v>1320</v>
      </c>
      <c r="C23" s="160" t="s">
        <v>1421</v>
      </c>
      <c r="D23" s="162" t="s">
        <v>75</v>
      </c>
      <c r="E23" s="65" t="s">
        <v>1359</v>
      </c>
      <c r="F23" s="162" t="s">
        <v>1422</v>
      </c>
      <c r="G23" s="65" t="s">
        <v>208</v>
      </c>
      <c r="H23" s="218">
        <v>1</v>
      </c>
      <c r="I23" s="65"/>
      <c r="J23" s="218">
        <v>1.123</v>
      </c>
      <c r="K23" s="108"/>
      <c r="L23" s="275">
        <v>1.123</v>
      </c>
      <c r="M23" s="65" t="s">
        <v>1423</v>
      </c>
      <c r="N23" s="219"/>
      <c r="O23" s="65" t="s">
        <v>55</v>
      </c>
      <c r="P23" s="162" t="s">
        <v>1362</v>
      </c>
      <c r="Q23" s="158"/>
      <c r="R23" s="157" t="s">
        <v>1424</v>
      </c>
      <c r="S23" s="114"/>
      <c r="T23" s="162" t="s">
        <v>25</v>
      </c>
      <c r="U23" s="65" t="s">
        <v>19</v>
      </c>
      <c r="V23" s="162">
        <v>1355</v>
      </c>
      <c r="W23" s="165"/>
      <c r="X23" s="218" t="s">
        <v>1400</v>
      </c>
      <c r="Y23" s="167">
        <v>44685.51048611111</v>
      </c>
    </row>
    <row r="24" spans="1:25">
      <c r="A24" s="131" t="s">
        <v>62</v>
      </c>
      <c r="B24" s="109" t="s">
        <v>1320</v>
      </c>
      <c r="C24" s="160" t="s">
        <v>1425</v>
      </c>
      <c r="D24" s="162" t="s">
        <v>1393</v>
      </c>
      <c r="E24" s="65" t="s">
        <v>1398</v>
      </c>
      <c r="F24" s="162" t="s">
        <v>1388</v>
      </c>
      <c r="G24" s="65" t="s">
        <v>208</v>
      </c>
      <c r="H24" s="218">
        <v>1</v>
      </c>
      <c r="I24" s="65"/>
      <c r="J24" s="218">
        <v>0.93100000000000005</v>
      </c>
      <c r="K24" s="108"/>
      <c r="L24" s="275">
        <v>0.93100000000000005</v>
      </c>
      <c r="M24" s="65" t="s">
        <v>1426</v>
      </c>
      <c r="N24" s="219"/>
      <c r="O24" s="65" t="s">
        <v>55</v>
      </c>
      <c r="P24" s="162" t="s">
        <v>1362</v>
      </c>
      <c r="Q24" s="158"/>
      <c r="R24" s="157"/>
      <c r="S24" s="114"/>
      <c r="T24" s="162" t="s">
        <v>25</v>
      </c>
      <c r="U24" s="65" t="s">
        <v>1388</v>
      </c>
      <c r="V24" s="162">
        <v>88</v>
      </c>
      <c r="W24" s="165"/>
      <c r="X24" s="218" t="s">
        <v>208</v>
      </c>
      <c r="Y24" s="167">
        <v>43312</v>
      </c>
    </row>
    <row r="25" spans="1:25">
      <c r="A25" s="131" t="s">
        <v>62</v>
      </c>
      <c r="B25" s="109" t="s">
        <v>1385</v>
      </c>
      <c r="C25" s="160" t="s">
        <v>1427</v>
      </c>
      <c r="D25" s="162" t="s">
        <v>1428</v>
      </c>
      <c r="E25" s="65" t="s">
        <v>1429</v>
      </c>
      <c r="F25" s="162" t="s">
        <v>1388</v>
      </c>
      <c r="G25" s="65" t="s">
        <v>208</v>
      </c>
      <c r="H25" s="218">
        <v>211</v>
      </c>
      <c r="I25" s="65"/>
      <c r="J25" s="218">
        <v>1.5</v>
      </c>
      <c r="K25" s="108"/>
      <c r="L25" s="275">
        <v>316.5</v>
      </c>
      <c r="M25" s="65" t="s">
        <v>1430</v>
      </c>
      <c r="N25" s="219">
        <v>0</v>
      </c>
      <c r="O25" s="65" t="s">
        <v>1285</v>
      </c>
      <c r="P25" s="162" t="s">
        <v>1407</v>
      </c>
      <c r="Q25" s="158"/>
      <c r="R25" s="157"/>
      <c r="S25" s="114"/>
      <c r="T25" s="162" t="s">
        <v>29</v>
      </c>
      <c r="U25" s="65" t="s">
        <v>1388</v>
      </c>
      <c r="V25" s="162">
        <v>1509</v>
      </c>
      <c r="W25" s="165" t="s">
        <v>3966</v>
      </c>
      <c r="X25" s="218" t="s">
        <v>1400</v>
      </c>
      <c r="Y25" s="167">
        <v>44679.625972222224</v>
      </c>
    </row>
    <row r="26" spans="1:25">
      <c r="A26" s="131" t="s">
        <v>80</v>
      </c>
      <c r="B26" s="109" t="s">
        <v>1320</v>
      </c>
      <c r="C26" s="160" t="s">
        <v>938</v>
      </c>
      <c r="D26" s="162" t="s">
        <v>558</v>
      </c>
      <c r="E26" s="65" t="s">
        <v>1365</v>
      </c>
      <c r="F26" s="162" t="s">
        <v>1431</v>
      </c>
      <c r="G26" s="65" t="s">
        <v>1432</v>
      </c>
      <c r="H26" s="218">
        <v>1</v>
      </c>
      <c r="I26" s="65"/>
      <c r="J26" s="218">
        <v>20</v>
      </c>
      <c r="K26" s="108"/>
      <c r="L26" s="275">
        <v>20</v>
      </c>
      <c r="M26" s="65" t="s">
        <v>1433</v>
      </c>
      <c r="N26" s="219"/>
      <c r="O26" s="65" t="s">
        <v>55</v>
      </c>
      <c r="P26" s="162" t="s">
        <v>1403</v>
      </c>
      <c r="Q26" s="158"/>
      <c r="R26" s="157" t="s">
        <v>1434</v>
      </c>
      <c r="S26" s="114"/>
      <c r="T26" s="162" t="s">
        <v>25</v>
      </c>
      <c r="U26" s="65" t="s">
        <v>21</v>
      </c>
      <c r="V26" s="162">
        <v>1002</v>
      </c>
      <c r="W26" s="165"/>
      <c r="X26" s="218" t="s">
        <v>1363</v>
      </c>
      <c r="Y26" s="167">
        <v>44665.455694444441</v>
      </c>
    </row>
    <row r="27" spans="1:25">
      <c r="A27" s="131" t="s">
        <v>80</v>
      </c>
      <c r="B27" s="109" t="s">
        <v>1320</v>
      </c>
      <c r="C27" s="160" t="s">
        <v>938</v>
      </c>
      <c r="D27" s="162" t="s">
        <v>558</v>
      </c>
      <c r="E27" s="65" t="s">
        <v>1365</v>
      </c>
      <c r="F27" s="162" t="s">
        <v>1431</v>
      </c>
      <c r="G27" s="65" t="s">
        <v>1432</v>
      </c>
      <c r="H27" s="218">
        <v>1</v>
      </c>
      <c r="I27" s="65"/>
      <c r="J27" s="218">
        <v>30</v>
      </c>
      <c r="K27" s="108"/>
      <c r="L27" s="275">
        <v>30</v>
      </c>
      <c r="M27" s="65" t="s">
        <v>1435</v>
      </c>
      <c r="N27" s="219"/>
      <c r="O27" s="65" t="s">
        <v>55</v>
      </c>
      <c r="P27" s="162" t="s">
        <v>1403</v>
      </c>
      <c r="Q27" s="158"/>
      <c r="R27" s="157" t="s">
        <v>1434</v>
      </c>
      <c r="S27" s="114"/>
      <c r="T27" s="162" t="s">
        <v>25</v>
      </c>
      <c r="U27" s="65" t="s">
        <v>21</v>
      </c>
      <c r="V27" s="162">
        <v>1002</v>
      </c>
      <c r="W27" s="165"/>
      <c r="X27" s="218" t="s">
        <v>1363</v>
      </c>
      <c r="Y27" s="167">
        <v>44665.455694444441</v>
      </c>
    </row>
    <row r="28" spans="1:25">
      <c r="A28" s="131" t="s">
        <v>46</v>
      </c>
      <c r="B28" s="109" t="s">
        <v>1320</v>
      </c>
      <c r="C28" s="160" t="s">
        <v>1436</v>
      </c>
      <c r="D28" s="162" t="s">
        <v>1437</v>
      </c>
      <c r="E28" s="65" t="s">
        <v>1359</v>
      </c>
      <c r="F28" s="162" t="s">
        <v>1438</v>
      </c>
      <c r="G28" s="65" t="s">
        <v>1439</v>
      </c>
      <c r="H28" s="218">
        <v>54</v>
      </c>
      <c r="I28" s="65"/>
      <c r="J28" s="218">
        <v>1.03</v>
      </c>
      <c r="K28" s="108"/>
      <c r="L28" s="275">
        <v>55.620000000000005</v>
      </c>
      <c r="M28" s="65" t="s">
        <v>1440</v>
      </c>
      <c r="N28" s="219"/>
      <c r="O28" s="65" t="s">
        <v>55</v>
      </c>
      <c r="P28" s="162" t="s">
        <v>1362</v>
      </c>
      <c r="Q28" s="158"/>
      <c r="R28" s="157" t="s">
        <v>1441</v>
      </c>
      <c r="S28" s="114"/>
      <c r="T28" s="162" t="s">
        <v>25</v>
      </c>
      <c r="U28" s="65" t="s">
        <v>15</v>
      </c>
      <c r="V28" s="162">
        <v>1003</v>
      </c>
      <c r="W28" s="165"/>
      <c r="X28" s="218" t="s">
        <v>1363</v>
      </c>
      <c r="Y28" s="167">
        <v>44671.598622685182</v>
      </c>
    </row>
    <row r="29" spans="1:25">
      <c r="A29" s="131" t="s">
        <v>46</v>
      </c>
      <c r="B29" s="109" t="s">
        <v>1385</v>
      </c>
      <c r="C29" s="160" t="s">
        <v>1442</v>
      </c>
      <c r="D29" s="162" t="s">
        <v>1443</v>
      </c>
      <c r="E29" s="65" t="s">
        <v>1391</v>
      </c>
      <c r="F29" s="162" t="s">
        <v>21</v>
      </c>
      <c r="G29" s="65"/>
      <c r="H29" s="218"/>
      <c r="I29" s="65"/>
      <c r="J29" s="218"/>
      <c r="K29" s="108"/>
      <c r="L29" s="275">
        <v>160</v>
      </c>
      <c r="M29" s="65"/>
      <c r="N29" s="219"/>
      <c r="O29" s="65" t="s">
        <v>1285</v>
      </c>
      <c r="P29" s="162"/>
      <c r="Q29" s="158"/>
      <c r="R29" s="157"/>
      <c r="S29" s="114"/>
      <c r="T29" s="162" t="s">
        <v>29</v>
      </c>
      <c r="U29" s="65" t="s">
        <v>20</v>
      </c>
      <c r="V29" s="162" t="s">
        <v>208</v>
      </c>
      <c r="W29" s="165" t="s">
        <v>1444</v>
      </c>
      <c r="X29" s="218"/>
      <c r="Y29" s="167" t="s">
        <v>208</v>
      </c>
    </row>
    <row r="30" spans="1:25">
      <c r="A30" s="131" t="s">
        <v>46</v>
      </c>
      <c r="B30" s="109" t="s">
        <v>1385</v>
      </c>
      <c r="C30" s="160" t="s">
        <v>1445</v>
      </c>
      <c r="D30" s="162" t="s">
        <v>1446</v>
      </c>
      <c r="E30" s="65" t="s">
        <v>1419</v>
      </c>
      <c r="F30" s="162" t="s">
        <v>17</v>
      </c>
      <c r="G30" s="65" t="s">
        <v>208</v>
      </c>
      <c r="H30" s="218">
        <v>1</v>
      </c>
      <c r="I30" s="65"/>
      <c r="J30" s="218">
        <v>500</v>
      </c>
      <c r="K30" s="108"/>
      <c r="L30" s="275">
        <v>500</v>
      </c>
      <c r="M30" s="65" t="s">
        <v>1447</v>
      </c>
      <c r="N30" s="219"/>
      <c r="O30" s="65" t="s">
        <v>1285</v>
      </c>
      <c r="P30" s="162" t="s">
        <v>1407</v>
      </c>
      <c r="Q30" s="158"/>
      <c r="R30" s="157"/>
      <c r="S30" s="114"/>
      <c r="T30" s="162" t="s">
        <v>29</v>
      </c>
      <c r="U30" s="65" t="s">
        <v>17</v>
      </c>
      <c r="V30" s="162">
        <v>1957</v>
      </c>
      <c r="W30" s="165" t="s">
        <v>3933</v>
      </c>
      <c r="X30" s="218" t="s">
        <v>1395</v>
      </c>
      <c r="Y30" s="167">
        <v>44743.663703703707</v>
      </c>
    </row>
    <row r="31" spans="1:25">
      <c r="A31" s="131" t="s">
        <v>62</v>
      </c>
      <c r="B31" s="109" t="s">
        <v>1385</v>
      </c>
      <c r="C31" s="160" t="s">
        <v>1448</v>
      </c>
      <c r="D31" s="162" t="s">
        <v>1449</v>
      </c>
      <c r="E31" s="65" t="s">
        <v>1429</v>
      </c>
      <c r="F31" s="162" t="s">
        <v>1388</v>
      </c>
      <c r="G31" s="65" t="s">
        <v>208</v>
      </c>
      <c r="H31" s="218">
        <v>1</v>
      </c>
      <c r="I31" s="65"/>
      <c r="J31" s="218">
        <v>101.4</v>
      </c>
      <c r="K31" s="108"/>
      <c r="L31" s="275">
        <v>101.4</v>
      </c>
      <c r="M31" s="65" t="s">
        <v>1450</v>
      </c>
      <c r="N31" s="219"/>
      <c r="O31" s="65" t="s">
        <v>28</v>
      </c>
      <c r="P31" s="162" t="s">
        <v>1407</v>
      </c>
      <c r="Q31" s="158" t="s">
        <v>1451</v>
      </c>
      <c r="R31" s="157" t="s">
        <v>1452</v>
      </c>
      <c r="S31" s="114"/>
      <c r="T31" s="162" t="s">
        <v>28</v>
      </c>
      <c r="U31" s="65" t="s">
        <v>1388</v>
      </c>
      <c r="V31" s="162">
        <v>1426</v>
      </c>
      <c r="W31" s="165"/>
      <c r="X31" s="218" t="s">
        <v>1453</v>
      </c>
      <c r="Y31" s="167">
        <v>44746.401064814818</v>
      </c>
    </row>
    <row r="32" spans="1:25">
      <c r="A32" s="131" t="s">
        <v>100</v>
      </c>
      <c r="B32" s="109" t="s">
        <v>1320</v>
      </c>
      <c r="C32" s="160" t="s">
        <v>980</v>
      </c>
      <c r="D32" s="162" t="s">
        <v>1454</v>
      </c>
      <c r="E32" s="65" t="s">
        <v>1419</v>
      </c>
      <c r="F32" s="162" t="s">
        <v>17</v>
      </c>
      <c r="G32" s="65" t="s">
        <v>1455</v>
      </c>
      <c r="H32" s="218">
        <v>75</v>
      </c>
      <c r="I32" s="65"/>
      <c r="J32" s="218">
        <v>3.2</v>
      </c>
      <c r="K32" s="108"/>
      <c r="L32" s="275">
        <v>240</v>
      </c>
      <c r="M32" s="65" t="s">
        <v>1456</v>
      </c>
      <c r="N32" s="219"/>
      <c r="O32" s="65" t="s">
        <v>55</v>
      </c>
      <c r="P32" s="162" t="s">
        <v>1407</v>
      </c>
      <c r="Q32" s="158"/>
      <c r="R32" s="157" t="s">
        <v>1457</v>
      </c>
      <c r="S32" s="114"/>
      <c r="T32" s="162" t="s">
        <v>25</v>
      </c>
      <c r="U32" s="65" t="s">
        <v>17</v>
      </c>
      <c r="V32" s="162">
        <v>1462</v>
      </c>
      <c r="W32" s="165"/>
      <c r="X32" s="218" t="s">
        <v>1363</v>
      </c>
      <c r="Y32" s="167">
        <v>44658.650416666664</v>
      </c>
    </row>
    <row r="33" spans="1:25">
      <c r="A33" s="131" t="s">
        <v>62</v>
      </c>
      <c r="B33" s="109" t="s">
        <v>1385</v>
      </c>
      <c r="C33" s="160" t="s">
        <v>1458</v>
      </c>
      <c r="D33" s="162" t="s">
        <v>1459</v>
      </c>
      <c r="E33" s="65" t="s">
        <v>1419</v>
      </c>
      <c r="F33" s="162" t="s">
        <v>17</v>
      </c>
      <c r="G33" s="65" t="s">
        <v>208</v>
      </c>
      <c r="H33" s="218">
        <v>1</v>
      </c>
      <c r="I33" s="65"/>
      <c r="J33" s="218">
        <v>120</v>
      </c>
      <c r="K33" s="108"/>
      <c r="L33" s="275">
        <v>120</v>
      </c>
      <c r="M33" s="65" t="s">
        <v>1460</v>
      </c>
      <c r="N33" s="219"/>
      <c r="O33" s="65" t="s">
        <v>1285</v>
      </c>
      <c r="P33" s="162" t="s">
        <v>1407</v>
      </c>
      <c r="Q33" s="158"/>
      <c r="R33" s="157"/>
      <c r="S33" s="114"/>
      <c r="T33" s="162" t="s">
        <v>29</v>
      </c>
      <c r="U33" s="65" t="s">
        <v>17</v>
      </c>
      <c r="V33" s="162">
        <v>1372</v>
      </c>
      <c r="W33" s="165"/>
      <c r="X33" s="218" t="s">
        <v>1400</v>
      </c>
      <c r="Y33" s="167">
        <v>43769.416655092595</v>
      </c>
    </row>
    <row r="34" spans="1:25">
      <c r="A34" s="131" t="s">
        <v>46</v>
      </c>
      <c r="B34" s="109" t="s">
        <v>1385</v>
      </c>
      <c r="C34" s="160" t="s">
        <v>1461</v>
      </c>
      <c r="D34" s="162" t="s">
        <v>1462</v>
      </c>
      <c r="E34" s="65" t="s">
        <v>1429</v>
      </c>
      <c r="F34" s="162" t="s">
        <v>1388</v>
      </c>
      <c r="G34" s="65" t="s">
        <v>208</v>
      </c>
      <c r="H34" s="218">
        <v>1</v>
      </c>
      <c r="I34" s="65"/>
      <c r="J34" s="218">
        <v>59.8</v>
      </c>
      <c r="K34" s="108"/>
      <c r="L34" s="275">
        <v>59.8</v>
      </c>
      <c r="M34" s="65" t="s">
        <v>1463</v>
      </c>
      <c r="N34" s="219"/>
      <c r="O34" s="65" t="s">
        <v>1285</v>
      </c>
      <c r="P34" s="162" t="s">
        <v>1407</v>
      </c>
      <c r="Q34" s="158"/>
      <c r="R34" s="157"/>
      <c r="S34" s="114"/>
      <c r="T34" s="162" t="s">
        <v>29</v>
      </c>
      <c r="U34" s="65" t="s">
        <v>1388</v>
      </c>
      <c r="V34" s="162">
        <v>1947</v>
      </c>
      <c r="W34" s="165"/>
      <c r="X34" s="218" t="s">
        <v>1453</v>
      </c>
      <c r="Y34" s="167">
        <v>44746.505752314813</v>
      </c>
    </row>
    <row r="35" spans="1:25">
      <c r="A35" s="131" t="s">
        <v>46</v>
      </c>
      <c r="B35" s="109" t="s">
        <v>1385</v>
      </c>
      <c r="C35" s="160" t="s">
        <v>4069</v>
      </c>
      <c r="D35" s="162" t="s">
        <v>4070</v>
      </c>
      <c r="E35" s="65"/>
      <c r="F35" s="162" t="s">
        <v>21</v>
      </c>
      <c r="G35" s="65"/>
      <c r="H35" s="218"/>
      <c r="I35" s="65"/>
      <c r="J35" s="218"/>
      <c r="K35" s="108"/>
      <c r="L35" s="275">
        <v>100</v>
      </c>
      <c r="M35" s="65"/>
      <c r="N35" s="219"/>
      <c r="O35" s="65" t="s">
        <v>1285</v>
      </c>
      <c r="P35" s="162"/>
      <c r="Q35" s="158"/>
      <c r="R35" s="157" t="s">
        <v>208</v>
      </c>
      <c r="S35" s="114"/>
      <c r="T35" s="162" t="s">
        <v>29</v>
      </c>
      <c r="U35" s="65" t="s">
        <v>20</v>
      </c>
      <c r="V35" s="162">
        <v>1937</v>
      </c>
      <c r="W35" s="165" t="s">
        <v>4071</v>
      </c>
      <c r="X35" s="218"/>
      <c r="Y35" s="167"/>
    </row>
    <row r="36" spans="1:25">
      <c r="A36" s="131" t="s">
        <v>46</v>
      </c>
      <c r="B36" s="109" t="s">
        <v>1385</v>
      </c>
      <c r="C36" s="160" t="s">
        <v>1464</v>
      </c>
      <c r="D36" s="162" t="s">
        <v>1465</v>
      </c>
      <c r="E36" s="65"/>
      <c r="F36" s="162" t="s">
        <v>21</v>
      </c>
      <c r="G36" s="65"/>
      <c r="H36" s="218"/>
      <c r="I36" s="65"/>
      <c r="J36" s="218"/>
      <c r="K36" s="108"/>
      <c r="L36" s="275">
        <v>150</v>
      </c>
      <c r="M36" s="65"/>
      <c r="N36" s="219"/>
      <c r="O36" s="65" t="s">
        <v>1285</v>
      </c>
      <c r="P36" s="162"/>
      <c r="Q36" s="158"/>
      <c r="R36" s="157"/>
      <c r="S36" s="114"/>
      <c r="T36" s="162" t="s">
        <v>29</v>
      </c>
      <c r="U36" s="65" t="s">
        <v>20</v>
      </c>
      <c r="V36" s="162"/>
      <c r="W36" s="165" t="s">
        <v>1466</v>
      </c>
      <c r="X36" s="218"/>
      <c r="Y36" s="167"/>
    </row>
    <row r="37" spans="1:25">
      <c r="A37" s="131" t="s">
        <v>46</v>
      </c>
      <c r="B37" s="109" t="s">
        <v>1385</v>
      </c>
      <c r="C37" s="160" t="s">
        <v>4072</v>
      </c>
      <c r="D37" s="162" t="s">
        <v>4073</v>
      </c>
      <c r="E37" s="65"/>
      <c r="F37" s="162" t="s">
        <v>21</v>
      </c>
      <c r="G37" s="65"/>
      <c r="H37" s="218"/>
      <c r="I37" s="65"/>
      <c r="J37" s="218"/>
      <c r="K37" s="108"/>
      <c r="L37" s="275">
        <v>300</v>
      </c>
      <c r="M37" s="65"/>
      <c r="N37" s="219"/>
      <c r="O37" s="65" t="s">
        <v>1285</v>
      </c>
      <c r="P37" s="162"/>
      <c r="Q37" s="158"/>
      <c r="R37" s="157" t="s">
        <v>208</v>
      </c>
      <c r="S37" s="114"/>
      <c r="T37" s="162" t="s">
        <v>29</v>
      </c>
      <c r="U37" s="65" t="s">
        <v>20</v>
      </c>
      <c r="V37" s="162">
        <v>1938</v>
      </c>
      <c r="W37" s="165" t="s">
        <v>4074</v>
      </c>
      <c r="X37" s="218"/>
      <c r="Y37" s="167"/>
    </row>
    <row r="38" spans="1:25">
      <c r="A38" s="131" t="s">
        <v>46</v>
      </c>
      <c r="B38" s="109" t="s">
        <v>1385</v>
      </c>
      <c r="C38" s="160" t="s">
        <v>1467</v>
      </c>
      <c r="D38" s="162" t="s">
        <v>1468</v>
      </c>
      <c r="E38" s="65" t="s">
        <v>1469</v>
      </c>
      <c r="F38" s="162" t="s">
        <v>18</v>
      </c>
      <c r="G38" s="65" t="s">
        <v>208</v>
      </c>
      <c r="H38" s="218">
        <v>1</v>
      </c>
      <c r="I38" s="65"/>
      <c r="J38" s="218">
        <v>600</v>
      </c>
      <c r="K38" s="108"/>
      <c r="L38" s="275">
        <v>600</v>
      </c>
      <c r="M38" s="65" t="s">
        <v>1470</v>
      </c>
      <c r="N38" s="219"/>
      <c r="O38" s="65" t="s">
        <v>1285</v>
      </c>
      <c r="P38" s="162" t="s">
        <v>1403</v>
      </c>
      <c r="Q38" s="158"/>
      <c r="R38" s="157"/>
      <c r="S38" s="114"/>
      <c r="T38" s="162" t="s">
        <v>29</v>
      </c>
      <c r="U38" s="65" t="s">
        <v>18</v>
      </c>
      <c r="V38" s="162">
        <v>133</v>
      </c>
      <c r="W38" s="165"/>
      <c r="X38" s="218" t="s">
        <v>208</v>
      </c>
      <c r="Y38" s="167">
        <v>43769.416655092595</v>
      </c>
    </row>
    <row r="39" spans="1:25">
      <c r="A39" s="131" t="s">
        <v>80</v>
      </c>
      <c r="B39" s="109" t="s">
        <v>1385</v>
      </c>
      <c r="C39" s="160" t="s">
        <v>1471</v>
      </c>
      <c r="D39" s="162" t="s">
        <v>1472</v>
      </c>
      <c r="E39" s="65" t="s">
        <v>1391</v>
      </c>
      <c r="F39" s="162" t="s">
        <v>21</v>
      </c>
      <c r="G39" s="65" t="s">
        <v>208</v>
      </c>
      <c r="H39" s="218">
        <v>1</v>
      </c>
      <c r="I39" s="65">
        <v>70</v>
      </c>
      <c r="J39" s="218">
        <v>150</v>
      </c>
      <c r="K39" s="108">
        <v>70</v>
      </c>
      <c r="L39" s="275">
        <v>150</v>
      </c>
      <c r="M39" s="65" t="s">
        <v>1473</v>
      </c>
      <c r="N39" s="219">
        <v>140</v>
      </c>
      <c r="O39" s="65" t="s">
        <v>1285</v>
      </c>
      <c r="P39" s="162" t="s">
        <v>1403</v>
      </c>
      <c r="Q39" s="158"/>
      <c r="R39" s="157" t="s">
        <v>1474</v>
      </c>
      <c r="S39" s="114"/>
      <c r="T39" s="162" t="s">
        <v>29</v>
      </c>
      <c r="U39" s="65" t="s">
        <v>20</v>
      </c>
      <c r="V39" s="162">
        <v>1390</v>
      </c>
      <c r="W39" s="165"/>
      <c r="X39" s="218" t="s">
        <v>1400</v>
      </c>
      <c r="Y39" s="167">
        <v>44679.623032407406</v>
      </c>
    </row>
    <row r="40" spans="1:25" ht="22.5">
      <c r="A40" s="131" t="s">
        <v>100</v>
      </c>
      <c r="B40" s="109" t="s">
        <v>1385</v>
      </c>
      <c r="C40" s="160" t="s">
        <v>1475</v>
      </c>
      <c r="D40" s="162" t="s">
        <v>1476</v>
      </c>
      <c r="E40" s="65" t="s">
        <v>1429</v>
      </c>
      <c r="F40" s="162" t="s">
        <v>1388</v>
      </c>
      <c r="G40" s="65" t="s">
        <v>208</v>
      </c>
      <c r="H40" s="218">
        <v>1</v>
      </c>
      <c r="I40" s="65"/>
      <c r="J40" s="218">
        <v>7.25</v>
      </c>
      <c r="K40" s="108"/>
      <c r="L40" s="275">
        <v>7.25</v>
      </c>
      <c r="M40" s="65" t="s">
        <v>1477</v>
      </c>
      <c r="N40" s="219"/>
      <c r="O40" s="65" t="s">
        <v>1285</v>
      </c>
      <c r="P40" s="162" t="s">
        <v>1393</v>
      </c>
      <c r="Q40" s="158"/>
      <c r="R40" s="157"/>
      <c r="S40" s="114"/>
      <c r="T40" s="162" t="s">
        <v>29</v>
      </c>
      <c r="U40" s="65" t="s">
        <v>1388</v>
      </c>
      <c r="V40" s="162">
        <v>1721</v>
      </c>
      <c r="W40" s="165"/>
      <c r="X40" s="218" t="s">
        <v>208</v>
      </c>
      <c r="Y40" s="167">
        <v>43769.416655092595</v>
      </c>
    </row>
    <row r="41" spans="1:25">
      <c r="A41" s="131" t="s">
        <v>80</v>
      </c>
      <c r="B41" s="109" t="s">
        <v>1385</v>
      </c>
      <c r="C41" s="160" t="s">
        <v>1478</v>
      </c>
      <c r="D41" s="162" t="s">
        <v>1479</v>
      </c>
      <c r="E41" s="65" t="s">
        <v>1429</v>
      </c>
      <c r="F41" s="162" t="s">
        <v>1388</v>
      </c>
      <c r="G41" s="65" t="s">
        <v>208</v>
      </c>
      <c r="H41" s="218">
        <v>1</v>
      </c>
      <c r="I41" s="65"/>
      <c r="J41" s="218">
        <v>150</v>
      </c>
      <c r="K41" s="108"/>
      <c r="L41" s="275">
        <v>150</v>
      </c>
      <c r="M41" s="65" t="s">
        <v>1480</v>
      </c>
      <c r="N41" s="219">
        <v>0</v>
      </c>
      <c r="O41" s="65" t="s">
        <v>1285</v>
      </c>
      <c r="P41" s="162" t="s">
        <v>1393</v>
      </c>
      <c r="Q41" s="158"/>
      <c r="R41" s="157"/>
      <c r="S41" s="114"/>
      <c r="T41" s="162" t="s">
        <v>29</v>
      </c>
      <c r="U41" s="65" t="s">
        <v>1388</v>
      </c>
      <c r="V41" s="162">
        <v>1952</v>
      </c>
      <c r="W41" s="165" t="s">
        <v>3951</v>
      </c>
      <c r="X41" s="218" t="s">
        <v>1481</v>
      </c>
      <c r="Y41" s="167">
        <v>44679.715370370373</v>
      </c>
    </row>
    <row r="42" spans="1:25">
      <c r="A42" s="131" t="s">
        <v>46</v>
      </c>
      <c r="B42" s="109" t="s">
        <v>1385</v>
      </c>
      <c r="C42" s="160" t="s">
        <v>162</v>
      </c>
      <c r="D42" s="162" t="s">
        <v>163</v>
      </c>
      <c r="E42" s="65" t="s">
        <v>1429</v>
      </c>
      <c r="F42" s="162" t="s">
        <v>1388</v>
      </c>
      <c r="G42" s="65" t="s">
        <v>208</v>
      </c>
      <c r="H42" s="218">
        <v>70</v>
      </c>
      <c r="I42" s="65"/>
      <c r="J42" s="218">
        <v>3.63</v>
      </c>
      <c r="K42" s="108"/>
      <c r="L42" s="275">
        <v>254.1</v>
      </c>
      <c r="M42" s="65" t="s">
        <v>1482</v>
      </c>
      <c r="N42" s="219"/>
      <c r="O42" s="65" t="s">
        <v>27</v>
      </c>
      <c r="P42" s="162" t="s">
        <v>1407</v>
      </c>
      <c r="Q42" s="158" t="s">
        <v>1483</v>
      </c>
      <c r="R42" s="157" t="s">
        <v>1484</v>
      </c>
      <c r="S42" s="114"/>
      <c r="T42" s="162" t="s">
        <v>27</v>
      </c>
      <c r="U42" s="65" t="s">
        <v>1388</v>
      </c>
      <c r="V42" s="162">
        <v>1715</v>
      </c>
      <c r="W42" s="165"/>
      <c r="X42" s="218" t="s">
        <v>1453</v>
      </c>
      <c r="Y42" s="167">
        <v>44747.38386574074</v>
      </c>
    </row>
    <row r="43" spans="1:25">
      <c r="A43" s="131" t="s">
        <v>46</v>
      </c>
      <c r="B43" s="109" t="s">
        <v>1320</v>
      </c>
      <c r="C43" s="160" t="s">
        <v>1485</v>
      </c>
      <c r="D43" s="162" t="s">
        <v>75</v>
      </c>
      <c r="E43" s="65" t="s">
        <v>1359</v>
      </c>
      <c r="F43" s="162" t="s">
        <v>1486</v>
      </c>
      <c r="G43" s="65" t="s">
        <v>208</v>
      </c>
      <c r="H43" s="218">
        <v>1</v>
      </c>
      <c r="I43" s="65"/>
      <c r="J43" s="218">
        <v>1.123</v>
      </c>
      <c r="K43" s="108"/>
      <c r="L43" s="275">
        <v>1.123</v>
      </c>
      <c r="M43" s="65" t="s">
        <v>1423</v>
      </c>
      <c r="N43" s="219"/>
      <c r="O43" s="65" t="s">
        <v>55</v>
      </c>
      <c r="P43" s="162" t="s">
        <v>1362</v>
      </c>
      <c r="Q43" s="158"/>
      <c r="R43" s="157"/>
      <c r="S43" s="114"/>
      <c r="T43" s="162" t="s">
        <v>25</v>
      </c>
      <c r="U43" s="65" t="s">
        <v>19</v>
      </c>
      <c r="V43" s="162">
        <v>1004</v>
      </c>
      <c r="W43" s="165"/>
      <c r="X43" s="218" t="s">
        <v>1400</v>
      </c>
      <c r="Y43" s="167">
        <v>43769.416655092595</v>
      </c>
    </row>
    <row r="44" spans="1:25">
      <c r="A44" s="131" t="s">
        <v>100</v>
      </c>
      <c r="B44" s="109" t="s">
        <v>1385</v>
      </c>
      <c r="C44" s="160" t="s">
        <v>1487</v>
      </c>
      <c r="D44" s="162" t="s">
        <v>1488</v>
      </c>
      <c r="E44" s="65" t="s">
        <v>1391</v>
      </c>
      <c r="F44" s="162" t="s">
        <v>21</v>
      </c>
      <c r="G44" s="65" t="s">
        <v>208</v>
      </c>
      <c r="H44" s="218">
        <v>1</v>
      </c>
      <c r="I44" s="65"/>
      <c r="J44" s="218">
        <v>50</v>
      </c>
      <c r="K44" s="108"/>
      <c r="L44" s="275">
        <v>50</v>
      </c>
      <c r="M44" s="65" t="s">
        <v>1489</v>
      </c>
      <c r="N44" s="219">
        <v>100</v>
      </c>
      <c r="O44" s="65" t="s">
        <v>1285</v>
      </c>
      <c r="P44" s="162" t="s">
        <v>1403</v>
      </c>
      <c r="Q44" s="158"/>
      <c r="R44" s="157"/>
      <c r="S44" s="114"/>
      <c r="T44" s="162" t="s">
        <v>29</v>
      </c>
      <c r="U44" s="65" t="s">
        <v>20</v>
      </c>
      <c r="V44" s="162">
        <v>1958</v>
      </c>
      <c r="W44" s="165" t="s">
        <v>3979</v>
      </c>
      <c r="X44" s="218" t="s">
        <v>1453</v>
      </c>
      <c r="Y44" s="167">
        <v>44747.401678240742</v>
      </c>
    </row>
    <row r="45" spans="1:25">
      <c r="A45" s="131" t="s">
        <v>100</v>
      </c>
      <c r="B45" s="109" t="s">
        <v>1385</v>
      </c>
      <c r="C45" s="160" t="s">
        <v>1487</v>
      </c>
      <c r="D45" s="162" t="s">
        <v>1488</v>
      </c>
      <c r="E45" s="65" t="s">
        <v>1429</v>
      </c>
      <c r="F45" s="162" t="s">
        <v>1388</v>
      </c>
      <c r="G45" s="65" t="s">
        <v>208</v>
      </c>
      <c r="H45" s="218">
        <v>1</v>
      </c>
      <c r="I45" s="65"/>
      <c r="J45" s="218">
        <v>140</v>
      </c>
      <c r="K45" s="108"/>
      <c r="L45" s="275">
        <v>140</v>
      </c>
      <c r="M45" s="65" t="s">
        <v>1490</v>
      </c>
      <c r="N45" s="219"/>
      <c r="O45" s="65" t="s">
        <v>1285</v>
      </c>
      <c r="P45" s="162" t="s">
        <v>1407</v>
      </c>
      <c r="Q45" s="158"/>
      <c r="R45" s="157"/>
      <c r="S45" s="114"/>
      <c r="T45" s="162" t="s">
        <v>29</v>
      </c>
      <c r="U45" s="65" t="s">
        <v>1388</v>
      </c>
      <c r="V45" s="162">
        <v>1958</v>
      </c>
      <c r="W45" s="165" t="s">
        <v>3979</v>
      </c>
      <c r="X45" s="218" t="s">
        <v>1453</v>
      </c>
      <c r="Y45" s="167">
        <v>44747.401678240742</v>
      </c>
    </row>
    <row r="46" spans="1:25">
      <c r="A46" s="131" t="s">
        <v>100</v>
      </c>
      <c r="B46" s="109" t="s">
        <v>1320</v>
      </c>
      <c r="C46" s="160" t="s">
        <v>1491</v>
      </c>
      <c r="D46" s="162" t="s">
        <v>1492</v>
      </c>
      <c r="E46" s="65" t="s">
        <v>1493</v>
      </c>
      <c r="F46" s="162" t="s">
        <v>1360</v>
      </c>
      <c r="G46" s="65" t="s">
        <v>1494</v>
      </c>
      <c r="H46" s="218">
        <v>1</v>
      </c>
      <c r="I46" s="65"/>
      <c r="J46" s="218">
        <v>47</v>
      </c>
      <c r="K46" s="108"/>
      <c r="L46" s="275">
        <v>47</v>
      </c>
      <c r="M46" s="65" t="s">
        <v>1495</v>
      </c>
      <c r="N46" s="219"/>
      <c r="O46" s="65" t="s">
        <v>55</v>
      </c>
      <c r="P46" s="162" t="s">
        <v>1403</v>
      </c>
      <c r="Q46" s="158"/>
      <c r="R46" s="157" t="s">
        <v>1496</v>
      </c>
      <c r="S46" s="114"/>
      <c r="T46" s="162" t="s">
        <v>25</v>
      </c>
      <c r="U46" s="65" t="s">
        <v>14</v>
      </c>
      <c r="V46" s="162">
        <v>1005</v>
      </c>
      <c r="W46" s="165"/>
      <c r="X46" s="218" t="s">
        <v>1363</v>
      </c>
      <c r="Y46" s="167">
        <v>44678.37394675926</v>
      </c>
    </row>
    <row r="47" spans="1:25">
      <c r="A47" s="131" t="s">
        <v>100</v>
      </c>
      <c r="B47" s="109" t="s">
        <v>1320</v>
      </c>
      <c r="C47" s="160" t="s">
        <v>1491</v>
      </c>
      <c r="D47" s="162" t="s">
        <v>1492</v>
      </c>
      <c r="E47" s="65" t="s">
        <v>1493</v>
      </c>
      <c r="F47" s="162" t="s">
        <v>1360</v>
      </c>
      <c r="G47" s="65" t="s">
        <v>1497</v>
      </c>
      <c r="H47" s="218">
        <v>1</v>
      </c>
      <c r="I47" s="65"/>
      <c r="J47" s="218">
        <v>47</v>
      </c>
      <c r="K47" s="108"/>
      <c r="L47" s="275">
        <v>47</v>
      </c>
      <c r="M47" s="65" t="s">
        <v>1495</v>
      </c>
      <c r="N47" s="219"/>
      <c r="O47" s="65" t="s">
        <v>55</v>
      </c>
      <c r="P47" s="162" t="s">
        <v>1403</v>
      </c>
      <c r="Q47" s="158"/>
      <c r="R47" s="157" t="s">
        <v>1496</v>
      </c>
      <c r="S47" s="114"/>
      <c r="T47" s="162" t="s">
        <v>25</v>
      </c>
      <c r="U47" s="65" t="s">
        <v>14</v>
      </c>
      <c r="V47" s="162">
        <v>1005</v>
      </c>
      <c r="W47" s="165"/>
      <c r="X47" s="218" t="s">
        <v>1363</v>
      </c>
      <c r="Y47" s="167">
        <v>44678.37394675926</v>
      </c>
    </row>
    <row r="48" spans="1:25">
      <c r="A48" s="131" t="s">
        <v>46</v>
      </c>
      <c r="B48" s="109" t="s">
        <v>1320</v>
      </c>
      <c r="C48" s="160" t="s">
        <v>1498</v>
      </c>
      <c r="D48" s="162" t="s">
        <v>1393</v>
      </c>
      <c r="E48" s="65" t="s">
        <v>1398</v>
      </c>
      <c r="F48" s="162" t="s">
        <v>1388</v>
      </c>
      <c r="G48" s="65" t="s">
        <v>208</v>
      </c>
      <c r="H48" s="218">
        <v>1</v>
      </c>
      <c r="I48" s="65"/>
      <c r="J48" s="218">
        <v>0.22500000000000001</v>
      </c>
      <c r="K48" s="108"/>
      <c r="L48" s="275">
        <v>0.22459999999999999</v>
      </c>
      <c r="M48" s="65" t="s">
        <v>1499</v>
      </c>
      <c r="N48" s="219"/>
      <c r="O48" s="65" t="s">
        <v>55</v>
      </c>
      <c r="P48" s="162" t="s">
        <v>1362</v>
      </c>
      <c r="Q48" s="158"/>
      <c r="R48" s="157"/>
      <c r="S48" s="114"/>
      <c r="T48" s="162" t="s">
        <v>25</v>
      </c>
      <c r="U48" s="65" t="s">
        <v>1388</v>
      </c>
      <c r="V48" s="162">
        <v>10</v>
      </c>
      <c r="W48" s="165"/>
      <c r="X48" s="218" t="s">
        <v>208</v>
      </c>
      <c r="Y48" s="167">
        <v>43312</v>
      </c>
    </row>
    <row r="49" spans="1:25">
      <c r="A49" s="131" t="s">
        <v>62</v>
      </c>
      <c r="B49" s="109" t="s">
        <v>1385</v>
      </c>
      <c r="C49" s="160" t="s">
        <v>1500</v>
      </c>
      <c r="D49" s="162" t="s">
        <v>1501</v>
      </c>
      <c r="E49" s="65"/>
      <c r="F49" s="162" t="s">
        <v>1388</v>
      </c>
      <c r="G49" s="65"/>
      <c r="H49" s="218"/>
      <c r="I49" s="65"/>
      <c r="J49" s="218"/>
      <c r="K49" s="108"/>
      <c r="L49" s="275">
        <v>250</v>
      </c>
      <c r="M49" s="65"/>
      <c r="N49" s="219"/>
      <c r="O49" s="65" t="s">
        <v>1285</v>
      </c>
      <c r="P49" s="162"/>
      <c r="Q49" s="158"/>
      <c r="R49" s="157" t="s">
        <v>208</v>
      </c>
      <c r="S49" s="114"/>
      <c r="T49" s="162" t="s">
        <v>29</v>
      </c>
      <c r="U49" s="65" t="s">
        <v>1388</v>
      </c>
      <c r="V49" s="162" t="s">
        <v>208</v>
      </c>
      <c r="W49" s="165" t="s">
        <v>1502</v>
      </c>
      <c r="X49" s="218"/>
      <c r="Y49" s="167" t="s">
        <v>208</v>
      </c>
    </row>
    <row r="50" spans="1:25">
      <c r="A50" s="131" t="s">
        <v>62</v>
      </c>
      <c r="B50" s="109" t="s">
        <v>1385</v>
      </c>
      <c r="C50" s="160" t="s">
        <v>1500</v>
      </c>
      <c r="D50" s="162" t="s">
        <v>1501</v>
      </c>
      <c r="E50" s="65"/>
      <c r="F50" s="162" t="s">
        <v>21</v>
      </c>
      <c r="G50" s="65"/>
      <c r="H50" s="218"/>
      <c r="I50" s="65"/>
      <c r="J50" s="218"/>
      <c r="K50" s="108"/>
      <c r="L50" s="275">
        <v>400</v>
      </c>
      <c r="M50" s="65"/>
      <c r="N50" s="219"/>
      <c r="O50" s="65" t="s">
        <v>1285</v>
      </c>
      <c r="P50" s="162"/>
      <c r="Q50" s="158"/>
      <c r="R50" s="157" t="s">
        <v>208</v>
      </c>
      <c r="S50" s="114"/>
      <c r="T50" s="162" t="s">
        <v>29</v>
      </c>
      <c r="U50" s="65" t="s">
        <v>20</v>
      </c>
      <c r="V50" s="162" t="s">
        <v>208</v>
      </c>
      <c r="W50" s="165" t="s">
        <v>1502</v>
      </c>
      <c r="X50" s="218"/>
      <c r="Y50" s="167" t="s">
        <v>208</v>
      </c>
    </row>
    <row r="51" spans="1:25">
      <c r="A51" s="131" t="s">
        <v>62</v>
      </c>
      <c r="B51" s="109" t="s">
        <v>1320</v>
      </c>
      <c r="C51" s="160" t="s">
        <v>1503</v>
      </c>
      <c r="D51" s="162" t="s">
        <v>1504</v>
      </c>
      <c r="E51" s="65" t="s">
        <v>1398</v>
      </c>
      <c r="F51" s="162" t="s">
        <v>1388</v>
      </c>
      <c r="G51" s="65" t="s">
        <v>1505</v>
      </c>
      <c r="H51" s="218">
        <v>7</v>
      </c>
      <c r="I51" s="65"/>
      <c r="J51" s="218">
        <v>2.1</v>
      </c>
      <c r="K51" s="108"/>
      <c r="L51" s="275">
        <v>14.700000000000001</v>
      </c>
      <c r="M51" s="65" t="s">
        <v>1506</v>
      </c>
      <c r="N51" s="219"/>
      <c r="O51" s="65" t="s">
        <v>55</v>
      </c>
      <c r="P51" s="162" t="s">
        <v>1362</v>
      </c>
      <c r="Q51" s="158"/>
      <c r="R51" s="157" t="s">
        <v>1452</v>
      </c>
      <c r="S51" s="114"/>
      <c r="T51" s="162" t="s">
        <v>25</v>
      </c>
      <c r="U51" s="65" t="s">
        <v>1388</v>
      </c>
      <c r="V51" s="162">
        <v>1642</v>
      </c>
      <c r="W51" s="165"/>
      <c r="X51" s="218" t="s">
        <v>1400</v>
      </c>
      <c r="Y51" s="167">
        <v>43769.416655092595</v>
      </c>
    </row>
    <row r="52" spans="1:25">
      <c r="A52" s="131" t="s">
        <v>100</v>
      </c>
      <c r="B52" s="109" t="s">
        <v>1320</v>
      </c>
      <c r="C52" s="160" t="s">
        <v>1507</v>
      </c>
      <c r="D52" s="162" t="s">
        <v>1508</v>
      </c>
      <c r="E52" s="65" t="s">
        <v>1419</v>
      </c>
      <c r="F52" s="162" t="s">
        <v>17</v>
      </c>
      <c r="G52" s="65" t="s">
        <v>1509</v>
      </c>
      <c r="H52" s="218">
        <v>52</v>
      </c>
      <c r="I52" s="65"/>
      <c r="J52" s="218">
        <v>2.0499999999999998</v>
      </c>
      <c r="K52" s="108"/>
      <c r="L52" s="275">
        <v>106.6</v>
      </c>
      <c r="M52" s="65" t="s">
        <v>1510</v>
      </c>
      <c r="N52" s="219"/>
      <c r="O52" s="65" t="s">
        <v>55</v>
      </c>
      <c r="P52" s="162" t="s">
        <v>1407</v>
      </c>
      <c r="Q52" s="158"/>
      <c r="R52" s="157" t="s">
        <v>1511</v>
      </c>
      <c r="S52" s="114"/>
      <c r="T52" s="162" t="s">
        <v>25</v>
      </c>
      <c r="U52" s="65" t="s">
        <v>17</v>
      </c>
      <c r="V52" s="162">
        <v>1006</v>
      </c>
      <c r="W52" s="165"/>
      <c r="X52" s="218" t="s">
        <v>1363</v>
      </c>
      <c r="Y52" s="167">
        <v>44665.456574074073</v>
      </c>
    </row>
    <row r="53" spans="1:25">
      <c r="A53" s="131" t="s">
        <v>46</v>
      </c>
      <c r="B53" s="109" t="s">
        <v>1385</v>
      </c>
      <c r="C53" s="160" t="s">
        <v>3998</v>
      </c>
      <c r="D53" s="162" t="s">
        <v>3999</v>
      </c>
      <c r="E53" s="65"/>
      <c r="F53" s="162" t="s">
        <v>3990</v>
      </c>
      <c r="G53" s="65"/>
      <c r="H53" s="218">
        <v>50</v>
      </c>
      <c r="I53" s="65"/>
      <c r="J53" s="218">
        <v>6</v>
      </c>
      <c r="K53" s="108"/>
      <c r="L53" s="275">
        <v>300</v>
      </c>
      <c r="M53" s="65">
        <v>300</v>
      </c>
      <c r="N53" s="219"/>
      <c r="O53" s="65" t="s">
        <v>1285</v>
      </c>
      <c r="P53" s="162"/>
      <c r="Q53" s="158"/>
      <c r="R53" s="157"/>
      <c r="S53" s="114"/>
      <c r="T53" s="162" t="s">
        <v>29</v>
      </c>
      <c r="U53" s="65" t="s">
        <v>17</v>
      </c>
      <c r="V53" s="162"/>
      <c r="W53" s="165" t="s">
        <v>4033</v>
      </c>
      <c r="X53" s="218"/>
      <c r="Y53" s="167"/>
    </row>
    <row r="54" spans="1:25">
      <c r="A54" s="131" t="s">
        <v>100</v>
      </c>
      <c r="B54" s="109" t="s">
        <v>1320</v>
      </c>
      <c r="C54" s="160" t="s">
        <v>1512</v>
      </c>
      <c r="D54" s="162" t="s">
        <v>1513</v>
      </c>
      <c r="E54" s="65" t="s">
        <v>1359</v>
      </c>
      <c r="F54" s="162" t="s">
        <v>1486</v>
      </c>
      <c r="G54" s="65" t="s">
        <v>208</v>
      </c>
      <c r="H54" s="218">
        <v>1</v>
      </c>
      <c r="I54" s="65"/>
      <c r="J54" s="218">
        <v>0.78900000000000003</v>
      </c>
      <c r="K54" s="108"/>
      <c r="L54" s="275">
        <v>0.78900000000000003</v>
      </c>
      <c r="M54" s="65" t="s">
        <v>1514</v>
      </c>
      <c r="N54" s="219"/>
      <c r="O54" s="65" t="s">
        <v>55</v>
      </c>
      <c r="P54" s="162" t="s">
        <v>1362</v>
      </c>
      <c r="Q54" s="158"/>
      <c r="R54" s="157"/>
      <c r="S54" s="114"/>
      <c r="T54" s="162" t="s">
        <v>25</v>
      </c>
      <c r="U54" s="65" t="s">
        <v>19</v>
      </c>
      <c r="V54" s="162">
        <v>1340</v>
      </c>
      <c r="W54" s="165"/>
      <c r="X54" s="218" t="s">
        <v>1400</v>
      </c>
      <c r="Y54" s="167">
        <v>43769.416655092595</v>
      </c>
    </row>
    <row r="55" spans="1:25">
      <c r="A55" s="131" t="s">
        <v>100</v>
      </c>
      <c r="B55" s="109" t="s">
        <v>1320</v>
      </c>
      <c r="C55" s="160" t="s">
        <v>1515</v>
      </c>
      <c r="D55" s="162" t="s">
        <v>1516</v>
      </c>
      <c r="E55" s="65" t="s">
        <v>1365</v>
      </c>
      <c r="F55" s="162" t="s">
        <v>1431</v>
      </c>
      <c r="G55" s="65" t="s">
        <v>1517</v>
      </c>
      <c r="H55" s="218">
        <v>2</v>
      </c>
      <c r="I55" s="65"/>
      <c r="J55" s="218">
        <v>0.8</v>
      </c>
      <c r="K55" s="108"/>
      <c r="L55" s="275">
        <v>1.6</v>
      </c>
      <c r="M55" s="65" t="s">
        <v>1518</v>
      </c>
      <c r="N55" s="219">
        <v>0</v>
      </c>
      <c r="O55" s="65" t="s">
        <v>55</v>
      </c>
      <c r="P55" s="162" t="s">
        <v>1362</v>
      </c>
      <c r="Q55" s="158"/>
      <c r="R55" s="157"/>
      <c r="S55" s="114"/>
      <c r="T55" s="162" t="s">
        <v>25</v>
      </c>
      <c r="U55" s="65" t="s">
        <v>21</v>
      </c>
      <c r="V55" s="162">
        <v>1007</v>
      </c>
      <c r="W55" s="165"/>
      <c r="X55" s="218" t="s">
        <v>1400</v>
      </c>
      <c r="Y55" s="167">
        <v>44706.607268518521</v>
      </c>
    </row>
    <row r="56" spans="1:25">
      <c r="A56" s="131" t="s">
        <v>100</v>
      </c>
      <c r="B56" s="109" t="s">
        <v>1320</v>
      </c>
      <c r="C56" s="160" t="s">
        <v>666</v>
      </c>
      <c r="D56" s="162" t="s">
        <v>1519</v>
      </c>
      <c r="E56" s="65" t="s">
        <v>1391</v>
      </c>
      <c r="F56" s="162" t="s">
        <v>21</v>
      </c>
      <c r="G56" s="65" t="s">
        <v>1520</v>
      </c>
      <c r="H56" s="218">
        <v>1</v>
      </c>
      <c r="I56" s="65"/>
      <c r="J56" s="218">
        <v>30</v>
      </c>
      <c r="K56" s="108"/>
      <c r="L56" s="275">
        <v>30</v>
      </c>
      <c r="M56" s="65" t="s">
        <v>1435</v>
      </c>
      <c r="N56" s="219">
        <v>30</v>
      </c>
      <c r="O56" s="65" t="s">
        <v>55</v>
      </c>
      <c r="P56" s="162" t="s">
        <v>1403</v>
      </c>
      <c r="Q56" s="158"/>
      <c r="R56" s="157" t="s">
        <v>1521</v>
      </c>
      <c r="S56" s="114"/>
      <c r="T56" s="162" t="s">
        <v>25</v>
      </c>
      <c r="U56" s="65" t="s">
        <v>20</v>
      </c>
      <c r="V56" s="162">
        <v>1469</v>
      </c>
      <c r="W56" s="165"/>
      <c r="X56" s="218" t="s">
        <v>1363</v>
      </c>
      <c r="Y56" s="167">
        <v>44746.563020833331</v>
      </c>
    </row>
    <row r="57" spans="1:25">
      <c r="A57" s="131" t="s">
        <v>100</v>
      </c>
      <c r="B57" s="109" t="s">
        <v>1385</v>
      </c>
      <c r="C57" s="160" t="s">
        <v>1522</v>
      </c>
      <c r="D57" s="162" t="s">
        <v>1523</v>
      </c>
      <c r="E57" s="65" t="s">
        <v>1391</v>
      </c>
      <c r="F57" s="162" t="s">
        <v>21</v>
      </c>
      <c r="G57" s="65"/>
      <c r="H57" s="218"/>
      <c r="I57" s="65"/>
      <c r="J57" s="218"/>
      <c r="K57" s="108"/>
      <c r="L57" s="275">
        <v>250</v>
      </c>
      <c r="M57" s="65"/>
      <c r="N57" s="219"/>
      <c r="O57" s="65" t="s">
        <v>1285</v>
      </c>
      <c r="P57" s="162"/>
      <c r="Q57" s="158"/>
      <c r="R57" s="157"/>
      <c r="S57" s="114"/>
      <c r="T57" s="162" t="s">
        <v>29</v>
      </c>
      <c r="U57" s="65" t="s">
        <v>20</v>
      </c>
      <c r="V57" s="162" t="s">
        <v>208</v>
      </c>
      <c r="W57" s="165" t="s">
        <v>1524</v>
      </c>
      <c r="X57" s="218"/>
      <c r="Y57" s="167" t="s">
        <v>208</v>
      </c>
    </row>
    <row r="58" spans="1:25">
      <c r="A58" s="131" t="s">
        <v>100</v>
      </c>
      <c r="B58" s="109" t="s">
        <v>1385</v>
      </c>
      <c r="C58" s="160" t="s">
        <v>1525</v>
      </c>
      <c r="D58" s="162" t="s">
        <v>1526</v>
      </c>
      <c r="E58" s="65" t="s">
        <v>1527</v>
      </c>
      <c r="F58" s="162" t="s">
        <v>1388</v>
      </c>
      <c r="G58" s="65"/>
      <c r="H58" s="218">
        <v>73</v>
      </c>
      <c r="I58" s="65"/>
      <c r="J58" s="218"/>
      <c r="K58" s="108"/>
      <c r="L58" s="275">
        <v>29</v>
      </c>
      <c r="M58" s="65"/>
      <c r="N58" s="219"/>
      <c r="O58" s="65" t="s">
        <v>1285</v>
      </c>
      <c r="P58" s="162"/>
      <c r="Q58" s="158"/>
      <c r="R58" s="157"/>
      <c r="S58" s="114"/>
      <c r="T58" s="162" t="s">
        <v>29</v>
      </c>
      <c r="U58" s="65" t="s">
        <v>1388</v>
      </c>
      <c r="V58" s="162" t="s">
        <v>208</v>
      </c>
      <c r="W58" s="165" t="s">
        <v>1528</v>
      </c>
      <c r="X58" s="218"/>
      <c r="Y58" s="167" t="s">
        <v>208</v>
      </c>
    </row>
    <row r="59" spans="1:25">
      <c r="A59" s="131" t="s">
        <v>100</v>
      </c>
      <c r="B59" s="109" t="s">
        <v>1385</v>
      </c>
      <c r="C59" s="160" t="s">
        <v>1525</v>
      </c>
      <c r="D59" s="162" t="s">
        <v>1526</v>
      </c>
      <c r="E59" s="65" t="s">
        <v>1529</v>
      </c>
      <c r="F59" s="162" t="s">
        <v>21</v>
      </c>
      <c r="G59" s="65"/>
      <c r="H59" s="218"/>
      <c r="I59" s="65"/>
      <c r="J59" s="218"/>
      <c r="K59" s="108"/>
      <c r="L59" s="275">
        <v>150</v>
      </c>
      <c r="M59" s="65"/>
      <c r="N59" s="219"/>
      <c r="O59" s="65" t="s">
        <v>1285</v>
      </c>
      <c r="P59" s="162"/>
      <c r="Q59" s="158"/>
      <c r="R59" s="157"/>
      <c r="S59" s="114"/>
      <c r="T59" s="162" t="s">
        <v>29</v>
      </c>
      <c r="U59" s="65" t="s">
        <v>20</v>
      </c>
      <c r="V59" s="162" t="s">
        <v>208</v>
      </c>
      <c r="W59" s="165" t="s">
        <v>1528</v>
      </c>
      <c r="X59" s="218"/>
      <c r="Y59" s="167" t="s">
        <v>208</v>
      </c>
    </row>
    <row r="60" spans="1:25">
      <c r="A60" s="131" t="s">
        <v>62</v>
      </c>
      <c r="B60" s="109" t="s">
        <v>1385</v>
      </c>
      <c r="C60" s="160" t="s">
        <v>1530</v>
      </c>
      <c r="D60" s="162" t="s">
        <v>1531</v>
      </c>
      <c r="E60" s="65" t="s">
        <v>1419</v>
      </c>
      <c r="F60" s="162" t="s">
        <v>17</v>
      </c>
      <c r="G60" s="65" t="s">
        <v>208</v>
      </c>
      <c r="H60" s="218">
        <v>40</v>
      </c>
      <c r="I60" s="65"/>
      <c r="J60" s="218">
        <v>6</v>
      </c>
      <c r="K60" s="108"/>
      <c r="L60" s="275">
        <v>240</v>
      </c>
      <c r="M60" s="65" t="s">
        <v>1456</v>
      </c>
      <c r="N60" s="219">
        <v>0</v>
      </c>
      <c r="O60" s="65" t="s">
        <v>1285</v>
      </c>
      <c r="P60" s="162" t="s">
        <v>1407</v>
      </c>
      <c r="Q60" s="158"/>
      <c r="R60" s="157" t="s">
        <v>1532</v>
      </c>
      <c r="S60" s="114"/>
      <c r="T60" s="162" t="s">
        <v>29</v>
      </c>
      <c r="U60" s="65" t="s">
        <v>17</v>
      </c>
      <c r="V60" s="162">
        <v>1986</v>
      </c>
      <c r="W60" s="165" t="s">
        <v>3967</v>
      </c>
      <c r="X60" s="218" t="s">
        <v>1481</v>
      </c>
      <c r="Y60" s="167">
        <v>44679.668703703705</v>
      </c>
    </row>
    <row r="61" spans="1:25">
      <c r="A61" s="131" t="s">
        <v>46</v>
      </c>
      <c r="B61" s="109" t="s">
        <v>1320</v>
      </c>
      <c r="C61" s="160" t="s">
        <v>317</v>
      </c>
      <c r="D61" s="162" t="s">
        <v>318</v>
      </c>
      <c r="E61" s="65" t="s">
        <v>1419</v>
      </c>
      <c r="F61" s="162" t="s">
        <v>17</v>
      </c>
      <c r="G61" s="65" t="s">
        <v>319</v>
      </c>
      <c r="H61" s="218">
        <v>30</v>
      </c>
      <c r="I61" s="65"/>
      <c r="J61" s="218">
        <v>5.3</v>
      </c>
      <c r="K61" s="108"/>
      <c r="L61" s="275">
        <v>159</v>
      </c>
      <c r="M61" s="65" t="s">
        <v>1533</v>
      </c>
      <c r="N61" s="219"/>
      <c r="O61" s="65" t="s">
        <v>55</v>
      </c>
      <c r="P61" s="162" t="s">
        <v>1407</v>
      </c>
      <c r="Q61" s="158"/>
      <c r="R61" s="157" t="s">
        <v>1534</v>
      </c>
      <c r="S61" s="114"/>
      <c r="T61" s="162" t="s">
        <v>25</v>
      </c>
      <c r="U61" s="65" t="s">
        <v>17</v>
      </c>
      <c r="V61" s="162">
        <v>1282</v>
      </c>
      <c r="W61" s="165"/>
      <c r="X61" s="218" t="s">
        <v>1404</v>
      </c>
      <c r="Y61" s="167">
        <v>44747.405150462961</v>
      </c>
    </row>
    <row r="62" spans="1:25">
      <c r="A62" s="131" t="s">
        <v>46</v>
      </c>
      <c r="B62" s="109" t="s">
        <v>1320</v>
      </c>
      <c r="C62" s="160" t="s">
        <v>384</v>
      </c>
      <c r="D62" s="162" t="s">
        <v>318</v>
      </c>
      <c r="E62" s="65" t="s">
        <v>1419</v>
      </c>
      <c r="F62" s="162" t="s">
        <v>17</v>
      </c>
      <c r="G62" s="65" t="s">
        <v>1535</v>
      </c>
      <c r="H62" s="218">
        <v>16</v>
      </c>
      <c r="I62" s="65"/>
      <c r="J62" s="218">
        <v>5.3</v>
      </c>
      <c r="K62" s="108"/>
      <c r="L62" s="275">
        <v>84.8</v>
      </c>
      <c r="M62" s="65" t="s">
        <v>1536</v>
      </c>
      <c r="N62" s="219"/>
      <c r="O62" s="65" t="s">
        <v>27</v>
      </c>
      <c r="P62" s="162" t="s">
        <v>1407</v>
      </c>
      <c r="Q62" s="158" t="s">
        <v>1537</v>
      </c>
      <c r="R62" s="157" t="s">
        <v>1534</v>
      </c>
      <c r="S62" s="114"/>
      <c r="T62" s="162" t="s">
        <v>25</v>
      </c>
      <c r="U62" s="65" t="s">
        <v>17</v>
      </c>
      <c r="V62" s="162">
        <v>1843</v>
      </c>
      <c r="W62" s="165" t="s">
        <v>3925</v>
      </c>
      <c r="X62" s="218" t="s">
        <v>1404</v>
      </c>
      <c r="Y62" s="167">
        <v>44747.463854166665</v>
      </c>
    </row>
    <row r="63" spans="1:25">
      <c r="A63" s="131" t="s">
        <v>100</v>
      </c>
      <c r="B63" s="109" t="s">
        <v>1320</v>
      </c>
      <c r="C63" s="160" t="s">
        <v>1538</v>
      </c>
      <c r="D63" s="162" t="s">
        <v>49</v>
      </c>
      <c r="E63" s="65" t="s">
        <v>1539</v>
      </c>
      <c r="F63" s="162" t="s">
        <v>18</v>
      </c>
      <c r="G63" s="65" t="s">
        <v>1540</v>
      </c>
      <c r="H63" s="218">
        <v>1</v>
      </c>
      <c r="I63" s="65"/>
      <c r="J63" s="218">
        <v>2.2000000000000002</v>
      </c>
      <c r="K63" s="108"/>
      <c r="L63" s="275">
        <v>2.2000000000000002</v>
      </c>
      <c r="M63" s="65" t="s">
        <v>1541</v>
      </c>
      <c r="N63" s="219"/>
      <c r="O63" s="65" t="s">
        <v>55</v>
      </c>
      <c r="P63" s="162" t="s">
        <v>1362</v>
      </c>
      <c r="Q63" s="158"/>
      <c r="R63" s="157" t="s">
        <v>1542</v>
      </c>
      <c r="S63" s="114"/>
      <c r="T63" s="162" t="s">
        <v>25</v>
      </c>
      <c r="U63" s="65" t="s">
        <v>18</v>
      </c>
      <c r="V63" s="162">
        <v>1008</v>
      </c>
      <c r="W63" s="165"/>
      <c r="X63" s="218" t="s">
        <v>1363</v>
      </c>
      <c r="Y63" s="167">
        <v>44665.459039351852</v>
      </c>
    </row>
    <row r="64" spans="1:25">
      <c r="A64" s="131" t="s">
        <v>100</v>
      </c>
      <c r="B64" s="109" t="s">
        <v>1320</v>
      </c>
      <c r="C64" s="160" t="s">
        <v>1538</v>
      </c>
      <c r="D64" s="162" t="s">
        <v>49</v>
      </c>
      <c r="E64" s="65" t="s">
        <v>1539</v>
      </c>
      <c r="F64" s="162" t="s">
        <v>18</v>
      </c>
      <c r="G64" s="65" t="s">
        <v>1540</v>
      </c>
      <c r="H64" s="218">
        <v>1</v>
      </c>
      <c r="I64" s="65"/>
      <c r="J64" s="218">
        <v>10</v>
      </c>
      <c r="K64" s="108"/>
      <c r="L64" s="275">
        <v>10</v>
      </c>
      <c r="M64" s="65" t="s">
        <v>1543</v>
      </c>
      <c r="N64" s="219"/>
      <c r="O64" s="65" t="s">
        <v>55</v>
      </c>
      <c r="P64" s="162" t="s">
        <v>1362</v>
      </c>
      <c r="Q64" s="158"/>
      <c r="R64" s="157" t="s">
        <v>1542</v>
      </c>
      <c r="S64" s="114"/>
      <c r="T64" s="162" t="s">
        <v>25</v>
      </c>
      <c r="U64" s="65" t="s">
        <v>18</v>
      </c>
      <c r="V64" s="162">
        <v>1008</v>
      </c>
      <c r="W64" s="165"/>
      <c r="X64" s="218" t="s">
        <v>1363</v>
      </c>
      <c r="Y64" s="167">
        <v>44665.459039351852</v>
      </c>
    </row>
    <row r="65" spans="1:25">
      <c r="A65" s="131" t="s">
        <v>46</v>
      </c>
      <c r="B65" s="109" t="s">
        <v>1320</v>
      </c>
      <c r="C65" s="160" t="s">
        <v>1544</v>
      </c>
      <c r="D65" s="162" t="s">
        <v>1544</v>
      </c>
      <c r="E65" s="65" t="s">
        <v>1365</v>
      </c>
      <c r="F65" s="162" t="s">
        <v>1431</v>
      </c>
      <c r="G65" s="65" t="s">
        <v>208</v>
      </c>
      <c r="H65" s="218">
        <v>1</v>
      </c>
      <c r="I65" s="65"/>
      <c r="J65" s="218">
        <v>0.8</v>
      </c>
      <c r="K65" s="108"/>
      <c r="L65" s="275">
        <v>0.8</v>
      </c>
      <c r="M65" s="65" t="s">
        <v>1379</v>
      </c>
      <c r="N65" s="219"/>
      <c r="O65" s="65" t="s">
        <v>55</v>
      </c>
      <c r="P65" s="162" t="s">
        <v>1362</v>
      </c>
      <c r="Q65" s="158"/>
      <c r="R65" s="157"/>
      <c r="S65" s="114"/>
      <c r="T65" s="162" t="s">
        <v>25</v>
      </c>
      <c r="U65" s="65" t="s">
        <v>21</v>
      </c>
      <c r="V65" s="162">
        <v>1009</v>
      </c>
      <c r="W65" s="165"/>
      <c r="X65" s="218" t="s">
        <v>208</v>
      </c>
      <c r="Y65" s="167">
        <v>43769.416655092595</v>
      </c>
    </row>
    <row r="66" spans="1:25">
      <c r="A66" s="131" t="s">
        <v>46</v>
      </c>
      <c r="B66" s="109" t="s">
        <v>1320</v>
      </c>
      <c r="C66" s="160" t="s">
        <v>1544</v>
      </c>
      <c r="D66" s="162" t="s">
        <v>1544</v>
      </c>
      <c r="E66" s="65" t="s">
        <v>1365</v>
      </c>
      <c r="F66" s="162" t="s">
        <v>1431</v>
      </c>
      <c r="G66" s="65" t="s">
        <v>208</v>
      </c>
      <c r="H66" s="218">
        <v>1</v>
      </c>
      <c r="I66" s="65"/>
      <c r="J66" s="218">
        <v>1.34</v>
      </c>
      <c r="K66" s="108"/>
      <c r="L66" s="275">
        <v>1.34</v>
      </c>
      <c r="M66" s="65" t="s">
        <v>1545</v>
      </c>
      <c r="N66" s="219"/>
      <c r="O66" s="65" t="s">
        <v>55</v>
      </c>
      <c r="P66" s="162" t="s">
        <v>1362</v>
      </c>
      <c r="Q66" s="158"/>
      <c r="R66" s="157"/>
      <c r="S66" s="114"/>
      <c r="T66" s="162" t="s">
        <v>25</v>
      </c>
      <c r="U66" s="65" t="s">
        <v>21</v>
      </c>
      <c r="V66" s="162">
        <v>1009</v>
      </c>
      <c r="W66" s="165"/>
      <c r="X66" s="218" t="s">
        <v>208</v>
      </c>
      <c r="Y66" s="167">
        <v>43769.416655092595</v>
      </c>
    </row>
    <row r="67" spans="1:25">
      <c r="A67" s="131" t="s">
        <v>100</v>
      </c>
      <c r="B67" s="109" t="s">
        <v>1320</v>
      </c>
      <c r="C67" s="160" t="s">
        <v>632</v>
      </c>
      <c r="D67" s="162" t="s">
        <v>633</v>
      </c>
      <c r="E67" s="65" t="s">
        <v>1429</v>
      </c>
      <c r="F67" s="162" t="s">
        <v>1388</v>
      </c>
      <c r="G67" s="65" t="s">
        <v>634</v>
      </c>
      <c r="H67" s="218">
        <v>40</v>
      </c>
      <c r="I67" s="65"/>
      <c r="J67" s="218">
        <v>2.5</v>
      </c>
      <c r="K67" s="108"/>
      <c r="L67" s="275">
        <v>100</v>
      </c>
      <c r="M67" s="65" t="s">
        <v>1546</v>
      </c>
      <c r="N67" s="219">
        <v>0</v>
      </c>
      <c r="O67" s="65" t="s">
        <v>55</v>
      </c>
      <c r="P67" s="162" t="s">
        <v>1407</v>
      </c>
      <c r="Q67" s="158"/>
      <c r="R67" s="157" t="s">
        <v>1547</v>
      </c>
      <c r="S67" s="114"/>
      <c r="T67" s="162" t="s">
        <v>25</v>
      </c>
      <c r="U67" s="65" t="s">
        <v>1388</v>
      </c>
      <c r="V67" s="162">
        <v>1492</v>
      </c>
      <c r="W67" s="165"/>
      <c r="X67" s="218" t="s">
        <v>1400</v>
      </c>
      <c r="Y67" s="167">
        <v>44732.472777777781</v>
      </c>
    </row>
    <row r="68" spans="1:25">
      <c r="A68" s="131" t="s">
        <v>62</v>
      </c>
      <c r="B68" s="109" t="s">
        <v>1385</v>
      </c>
      <c r="C68" s="160" t="s">
        <v>1548</v>
      </c>
      <c r="D68" s="162" t="s">
        <v>1549</v>
      </c>
      <c r="E68" s="65" t="s">
        <v>1398</v>
      </c>
      <c r="F68" s="162" t="s">
        <v>1388</v>
      </c>
      <c r="G68" s="65" t="s">
        <v>208</v>
      </c>
      <c r="H68" s="218">
        <v>36</v>
      </c>
      <c r="I68" s="65"/>
      <c r="J68" s="218">
        <v>3.5</v>
      </c>
      <c r="K68" s="108"/>
      <c r="L68" s="275">
        <v>126</v>
      </c>
      <c r="M68" s="65" t="s">
        <v>1550</v>
      </c>
      <c r="N68" s="219">
        <v>0</v>
      </c>
      <c r="O68" s="65" t="s">
        <v>1285</v>
      </c>
      <c r="P68" s="162" t="s">
        <v>1407</v>
      </c>
      <c r="Q68" s="158"/>
      <c r="R68" s="157"/>
      <c r="S68" s="114"/>
      <c r="T68" s="162" t="s">
        <v>29</v>
      </c>
      <c r="U68" s="65" t="s">
        <v>1388</v>
      </c>
      <c r="V68" s="162">
        <v>1385</v>
      </c>
      <c r="W68" s="165"/>
      <c r="X68" s="218" t="s">
        <v>1400</v>
      </c>
      <c r="Y68" s="167">
        <v>44679.718368055554</v>
      </c>
    </row>
    <row r="69" spans="1:25">
      <c r="A69" s="131" t="s">
        <v>62</v>
      </c>
      <c r="B69" s="109" t="s">
        <v>1320</v>
      </c>
      <c r="C69" s="160" t="s">
        <v>960</v>
      </c>
      <c r="D69" s="162" t="s">
        <v>1551</v>
      </c>
      <c r="E69" s="65" t="s">
        <v>1493</v>
      </c>
      <c r="F69" s="162" t="s">
        <v>1360</v>
      </c>
      <c r="G69" s="65" t="s">
        <v>1552</v>
      </c>
      <c r="H69" s="218">
        <v>1</v>
      </c>
      <c r="I69" s="65"/>
      <c r="J69" s="218">
        <v>37</v>
      </c>
      <c r="K69" s="108"/>
      <c r="L69" s="275">
        <v>37</v>
      </c>
      <c r="M69" s="65" t="s">
        <v>1553</v>
      </c>
      <c r="N69" s="219"/>
      <c r="O69" s="65" t="s">
        <v>55</v>
      </c>
      <c r="P69" s="162" t="s">
        <v>1403</v>
      </c>
      <c r="Q69" s="158"/>
      <c r="R69" s="157" t="s">
        <v>1554</v>
      </c>
      <c r="S69" s="114"/>
      <c r="T69" s="162" t="s">
        <v>25</v>
      </c>
      <c r="U69" s="65" t="s">
        <v>14</v>
      </c>
      <c r="V69" s="162">
        <v>1010</v>
      </c>
      <c r="W69" s="165"/>
      <c r="X69" s="218" t="s">
        <v>1363</v>
      </c>
      <c r="Y69" s="167">
        <v>44658.571192129632</v>
      </c>
    </row>
    <row r="70" spans="1:25" ht="22.5">
      <c r="A70" s="131" t="s">
        <v>62</v>
      </c>
      <c r="B70" s="109" t="s">
        <v>1320</v>
      </c>
      <c r="C70" s="160" t="s">
        <v>863</v>
      </c>
      <c r="D70" s="162" t="s">
        <v>1555</v>
      </c>
      <c r="E70" s="65" t="s">
        <v>1429</v>
      </c>
      <c r="F70" s="162" t="s">
        <v>1388</v>
      </c>
      <c r="G70" s="65" t="s">
        <v>1556</v>
      </c>
      <c r="H70" s="218">
        <v>1</v>
      </c>
      <c r="I70" s="65"/>
      <c r="J70" s="218">
        <v>20</v>
      </c>
      <c r="K70" s="108"/>
      <c r="L70" s="275">
        <v>20</v>
      </c>
      <c r="M70" s="65" t="s">
        <v>1433</v>
      </c>
      <c r="N70" s="219"/>
      <c r="O70" s="65" t="s">
        <v>55</v>
      </c>
      <c r="P70" s="162" t="s">
        <v>1362</v>
      </c>
      <c r="Q70" s="158"/>
      <c r="R70" s="157" t="s">
        <v>1547</v>
      </c>
      <c r="S70" s="114"/>
      <c r="T70" s="162" t="s">
        <v>25</v>
      </c>
      <c r="U70" s="65" t="s">
        <v>1388</v>
      </c>
      <c r="V70" s="162">
        <v>1389</v>
      </c>
      <c r="W70" s="165"/>
      <c r="X70" s="218" t="s">
        <v>1400</v>
      </c>
      <c r="Y70" s="167">
        <v>44685.966041666667</v>
      </c>
    </row>
    <row r="71" spans="1:25">
      <c r="A71" s="131" t="s">
        <v>80</v>
      </c>
      <c r="B71" s="109" t="s">
        <v>1320</v>
      </c>
      <c r="C71" s="160" t="s">
        <v>482</v>
      </c>
      <c r="D71" s="162" t="s">
        <v>483</v>
      </c>
      <c r="E71" s="65" t="s">
        <v>1359</v>
      </c>
      <c r="F71" s="162" t="s">
        <v>1360</v>
      </c>
      <c r="G71" s="65" t="s">
        <v>484</v>
      </c>
      <c r="H71" s="218">
        <v>12</v>
      </c>
      <c r="I71" s="65"/>
      <c r="J71" s="218">
        <v>17.5</v>
      </c>
      <c r="K71" s="108"/>
      <c r="L71" s="275">
        <v>210</v>
      </c>
      <c r="M71" s="65" t="s">
        <v>1557</v>
      </c>
      <c r="N71" s="219"/>
      <c r="O71" s="65" t="s">
        <v>55</v>
      </c>
      <c r="P71" s="162" t="s">
        <v>1403</v>
      </c>
      <c r="Q71" s="158"/>
      <c r="R71" s="157" t="s">
        <v>1558</v>
      </c>
      <c r="S71" s="114"/>
      <c r="T71" s="162" t="s">
        <v>25</v>
      </c>
      <c r="U71" s="65" t="s">
        <v>15</v>
      </c>
      <c r="V71" s="162">
        <v>1463</v>
      </c>
      <c r="W71" s="165"/>
      <c r="X71" s="218" t="s">
        <v>1363</v>
      </c>
      <c r="Y71" s="167">
        <v>44673.3594212963</v>
      </c>
    </row>
    <row r="72" spans="1:25">
      <c r="A72" s="131" t="s">
        <v>80</v>
      </c>
      <c r="B72" s="109" t="s">
        <v>1385</v>
      </c>
      <c r="C72" s="160" t="s">
        <v>1559</v>
      </c>
      <c r="D72" s="162" t="s">
        <v>1560</v>
      </c>
      <c r="E72" s="65" t="s">
        <v>1419</v>
      </c>
      <c r="F72" s="162" t="s">
        <v>17</v>
      </c>
      <c r="G72" s="65" t="s">
        <v>208</v>
      </c>
      <c r="H72" s="218">
        <v>62</v>
      </c>
      <c r="I72" s="65">
        <v>2</v>
      </c>
      <c r="J72" s="218">
        <v>3</v>
      </c>
      <c r="K72" s="108">
        <v>124</v>
      </c>
      <c r="L72" s="275">
        <v>186</v>
      </c>
      <c r="M72" s="65" t="s">
        <v>1561</v>
      </c>
      <c r="N72" s="219"/>
      <c r="O72" s="65" t="s">
        <v>1285</v>
      </c>
      <c r="P72" s="162" t="s">
        <v>1407</v>
      </c>
      <c r="Q72" s="158"/>
      <c r="R72" s="157"/>
      <c r="S72" s="114"/>
      <c r="T72" s="162" t="s">
        <v>29</v>
      </c>
      <c r="U72" s="65" t="s">
        <v>17</v>
      </c>
      <c r="V72" s="162">
        <v>1011</v>
      </c>
      <c r="W72" s="165"/>
      <c r="X72" s="218" t="s">
        <v>1363</v>
      </c>
      <c r="Y72" s="167">
        <v>44671.622442129628</v>
      </c>
    </row>
    <row r="73" spans="1:25">
      <c r="A73" s="131" t="s">
        <v>80</v>
      </c>
      <c r="B73" s="109" t="s">
        <v>1385</v>
      </c>
      <c r="C73" s="160" t="s">
        <v>1562</v>
      </c>
      <c r="D73" s="162" t="s">
        <v>1563</v>
      </c>
      <c r="E73" s="65" t="s">
        <v>1539</v>
      </c>
      <c r="F73" s="162" t="s">
        <v>18</v>
      </c>
      <c r="G73" s="65" t="s">
        <v>208</v>
      </c>
      <c r="H73" s="218">
        <v>2</v>
      </c>
      <c r="I73" s="65"/>
      <c r="J73" s="218">
        <v>125</v>
      </c>
      <c r="K73" s="108"/>
      <c r="L73" s="275">
        <v>250</v>
      </c>
      <c r="M73" s="65" t="s">
        <v>1564</v>
      </c>
      <c r="N73" s="219">
        <v>0</v>
      </c>
      <c r="O73" s="65" t="s">
        <v>1285</v>
      </c>
      <c r="P73" s="162" t="s">
        <v>1403</v>
      </c>
      <c r="Q73" s="158" t="s">
        <v>1565</v>
      </c>
      <c r="R73" s="157" t="s">
        <v>1566</v>
      </c>
      <c r="S73" s="114"/>
      <c r="T73" s="162" t="s">
        <v>29</v>
      </c>
      <c r="U73" s="65" t="s">
        <v>18</v>
      </c>
      <c r="V73" s="162">
        <v>1682</v>
      </c>
      <c r="W73" s="165"/>
      <c r="X73" s="218" t="s">
        <v>1453</v>
      </c>
      <c r="Y73" s="167">
        <v>44743.604143518518</v>
      </c>
    </row>
    <row r="74" spans="1:25">
      <c r="A74" s="131" t="s">
        <v>62</v>
      </c>
      <c r="B74" s="109" t="s">
        <v>1320</v>
      </c>
      <c r="C74" s="160" t="s">
        <v>1567</v>
      </c>
      <c r="D74" s="162" t="s">
        <v>1568</v>
      </c>
      <c r="E74" s="65" t="s">
        <v>1569</v>
      </c>
      <c r="F74" s="162" t="s">
        <v>18</v>
      </c>
      <c r="G74" s="65" t="s">
        <v>1570</v>
      </c>
      <c r="H74" s="218">
        <v>1</v>
      </c>
      <c r="I74" s="65"/>
      <c r="J74" s="218">
        <v>33</v>
      </c>
      <c r="K74" s="108"/>
      <c r="L74" s="275">
        <v>33</v>
      </c>
      <c r="M74" s="65" t="s">
        <v>1571</v>
      </c>
      <c r="N74" s="219"/>
      <c r="O74" s="65" t="s">
        <v>55</v>
      </c>
      <c r="P74" s="162" t="s">
        <v>1403</v>
      </c>
      <c r="Q74" s="158"/>
      <c r="R74" s="157" t="s">
        <v>1496</v>
      </c>
      <c r="S74" s="114"/>
      <c r="T74" s="162" t="s">
        <v>25</v>
      </c>
      <c r="U74" s="65" t="s">
        <v>18</v>
      </c>
      <c r="V74" s="162">
        <v>1012</v>
      </c>
      <c r="W74" s="165"/>
      <c r="X74" s="218" t="s">
        <v>1363</v>
      </c>
      <c r="Y74" s="167">
        <v>44746.633414351854</v>
      </c>
    </row>
    <row r="75" spans="1:25">
      <c r="A75" s="131" t="s">
        <v>62</v>
      </c>
      <c r="B75" s="109" t="s">
        <v>1320</v>
      </c>
      <c r="C75" s="160" t="s">
        <v>1567</v>
      </c>
      <c r="D75" s="162" t="s">
        <v>1568</v>
      </c>
      <c r="E75" s="65" t="s">
        <v>1569</v>
      </c>
      <c r="F75" s="162" t="s">
        <v>18</v>
      </c>
      <c r="G75" s="65" t="s">
        <v>1572</v>
      </c>
      <c r="H75" s="218">
        <v>1</v>
      </c>
      <c r="I75" s="65"/>
      <c r="J75" s="218">
        <v>33</v>
      </c>
      <c r="K75" s="108"/>
      <c r="L75" s="275">
        <v>33</v>
      </c>
      <c r="M75" s="65" t="s">
        <v>1571</v>
      </c>
      <c r="N75" s="219"/>
      <c r="O75" s="65" t="s">
        <v>55</v>
      </c>
      <c r="P75" s="162" t="s">
        <v>1403</v>
      </c>
      <c r="Q75" s="158"/>
      <c r="R75" s="157" t="s">
        <v>1496</v>
      </c>
      <c r="S75" s="114"/>
      <c r="T75" s="162" t="s">
        <v>25</v>
      </c>
      <c r="U75" s="65" t="s">
        <v>18</v>
      </c>
      <c r="V75" s="162">
        <v>1012</v>
      </c>
      <c r="W75" s="165"/>
      <c r="X75" s="218" t="s">
        <v>1363</v>
      </c>
      <c r="Y75" s="167">
        <v>44746.633414351854</v>
      </c>
    </row>
    <row r="76" spans="1:25">
      <c r="A76" s="131" t="s">
        <v>62</v>
      </c>
      <c r="B76" s="109" t="s">
        <v>1385</v>
      </c>
      <c r="C76" s="160" t="s">
        <v>1573</v>
      </c>
      <c r="D76" s="162" t="s">
        <v>1574</v>
      </c>
      <c r="E76" s="65"/>
      <c r="F76" s="162" t="s">
        <v>21</v>
      </c>
      <c r="G76" s="65"/>
      <c r="H76" s="218"/>
      <c r="I76" s="65"/>
      <c r="J76" s="218"/>
      <c r="K76" s="108"/>
      <c r="L76" s="275">
        <v>100</v>
      </c>
      <c r="M76" s="65"/>
      <c r="N76" s="219"/>
      <c r="O76" s="65" t="s">
        <v>1285</v>
      </c>
      <c r="P76" s="162"/>
      <c r="Q76" s="158"/>
      <c r="R76" s="157" t="s">
        <v>208</v>
      </c>
      <c r="S76" s="114"/>
      <c r="T76" s="162" t="s">
        <v>29</v>
      </c>
      <c r="U76" s="65" t="s">
        <v>20</v>
      </c>
      <c r="V76" s="162" t="s">
        <v>208</v>
      </c>
      <c r="W76" s="165" t="s">
        <v>1575</v>
      </c>
      <c r="X76" s="218"/>
      <c r="Y76" s="167" t="s">
        <v>208</v>
      </c>
    </row>
    <row r="77" spans="1:25">
      <c r="A77" s="131" t="s">
        <v>62</v>
      </c>
      <c r="B77" s="109" t="s">
        <v>1385</v>
      </c>
      <c r="C77" s="160" t="s">
        <v>1573</v>
      </c>
      <c r="D77" s="162" t="s">
        <v>1574</v>
      </c>
      <c r="E77" s="65"/>
      <c r="F77" s="162" t="s">
        <v>1388</v>
      </c>
      <c r="G77" s="65"/>
      <c r="H77" s="218"/>
      <c r="I77" s="65"/>
      <c r="J77" s="218"/>
      <c r="K77" s="108"/>
      <c r="L77" s="275">
        <v>315</v>
      </c>
      <c r="M77" s="65"/>
      <c r="N77" s="219"/>
      <c r="O77" s="65" t="s">
        <v>1285</v>
      </c>
      <c r="P77" s="162"/>
      <c r="Q77" s="158"/>
      <c r="R77" s="157" t="s">
        <v>208</v>
      </c>
      <c r="S77" s="114"/>
      <c r="T77" s="162" t="s">
        <v>29</v>
      </c>
      <c r="U77" s="65" t="s">
        <v>1388</v>
      </c>
      <c r="V77" s="162" t="s">
        <v>208</v>
      </c>
      <c r="W77" s="165" t="s">
        <v>1575</v>
      </c>
      <c r="X77" s="218"/>
      <c r="Y77" s="167" t="s">
        <v>208</v>
      </c>
    </row>
    <row r="78" spans="1:25">
      <c r="A78" s="131" t="s">
        <v>95</v>
      </c>
      <c r="B78" s="109" t="s">
        <v>1385</v>
      </c>
      <c r="C78" s="160" t="s">
        <v>1576</v>
      </c>
      <c r="D78" s="162" t="s">
        <v>1577</v>
      </c>
      <c r="E78" s="65"/>
      <c r="F78" s="162" t="s">
        <v>17</v>
      </c>
      <c r="G78" s="65"/>
      <c r="H78" s="218"/>
      <c r="I78" s="65"/>
      <c r="J78" s="218"/>
      <c r="K78" s="108"/>
      <c r="L78" s="275">
        <v>500</v>
      </c>
      <c r="M78" s="65"/>
      <c r="N78" s="219"/>
      <c r="O78" s="65" t="s">
        <v>1285</v>
      </c>
      <c r="P78" s="162"/>
      <c r="Q78" s="158"/>
      <c r="R78" s="157"/>
      <c r="S78" s="114"/>
      <c r="T78" s="162" t="s">
        <v>29</v>
      </c>
      <c r="U78" s="65" t="s">
        <v>17</v>
      </c>
      <c r="V78" s="162" t="s">
        <v>208</v>
      </c>
      <c r="W78" s="165" t="s">
        <v>1578</v>
      </c>
      <c r="X78" s="218"/>
      <c r="Y78" s="167" t="s">
        <v>208</v>
      </c>
    </row>
    <row r="79" spans="1:25">
      <c r="A79" s="131" t="s">
        <v>100</v>
      </c>
      <c r="B79" s="109" t="s">
        <v>1385</v>
      </c>
      <c r="C79" s="160" t="s">
        <v>1579</v>
      </c>
      <c r="D79" s="162" t="s">
        <v>1580</v>
      </c>
      <c r="E79" s="65" t="s">
        <v>1581</v>
      </c>
      <c r="F79" s="162" t="s">
        <v>17</v>
      </c>
      <c r="G79" s="65" t="s">
        <v>208</v>
      </c>
      <c r="H79" s="218">
        <v>250</v>
      </c>
      <c r="I79" s="65"/>
      <c r="J79" s="218">
        <v>20</v>
      </c>
      <c r="K79" s="108"/>
      <c r="L79" s="275">
        <v>5000</v>
      </c>
      <c r="M79" s="65" t="s">
        <v>1582</v>
      </c>
      <c r="N79" s="219"/>
      <c r="O79" s="65" t="s">
        <v>1285</v>
      </c>
      <c r="P79" s="162" t="s">
        <v>1407</v>
      </c>
      <c r="Q79" s="158"/>
      <c r="R79" s="157"/>
      <c r="S79" s="114"/>
      <c r="T79" s="162" t="s">
        <v>29</v>
      </c>
      <c r="U79" s="65" t="s">
        <v>17</v>
      </c>
      <c r="V79" s="162">
        <v>1918</v>
      </c>
      <c r="W79" s="165"/>
      <c r="X79" s="218" t="s">
        <v>1583</v>
      </c>
      <c r="Y79" s="167">
        <v>44684.61105324074</v>
      </c>
    </row>
    <row r="80" spans="1:25">
      <c r="A80" s="131" t="s">
        <v>95</v>
      </c>
      <c r="B80" s="109" t="s">
        <v>1320</v>
      </c>
      <c r="C80" s="160" t="s">
        <v>1584</v>
      </c>
      <c r="D80" s="162" t="s">
        <v>1585</v>
      </c>
      <c r="E80" s="65" t="s">
        <v>1539</v>
      </c>
      <c r="F80" s="162" t="s">
        <v>18</v>
      </c>
      <c r="G80" s="65" t="s">
        <v>1586</v>
      </c>
      <c r="H80" s="218">
        <v>1</v>
      </c>
      <c r="I80" s="65"/>
      <c r="J80" s="218">
        <v>79.900000000000006</v>
      </c>
      <c r="K80" s="108"/>
      <c r="L80" s="275">
        <v>79.900000000000006</v>
      </c>
      <c r="M80" s="65" t="s">
        <v>1587</v>
      </c>
      <c r="N80" s="219"/>
      <c r="O80" s="65" t="s">
        <v>55</v>
      </c>
      <c r="P80" s="162" t="s">
        <v>1403</v>
      </c>
      <c r="Q80" s="158"/>
      <c r="R80" s="157" t="s">
        <v>1588</v>
      </c>
      <c r="S80" s="114"/>
      <c r="T80" s="162" t="s">
        <v>25</v>
      </c>
      <c r="U80" s="65" t="s">
        <v>18</v>
      </c>
      <c r="V80" s="162">
        <v>1013</v>
      </c>
      <c r="W80" s="165"/>
      <c r="X80" s="218" t="s">
        <v>1363</v>
      </c>
      <c r="Y80" s="167">
        <v>44670.574675925927</v>
      </c>
    </row>
    <row r="81" spans="1:25">
      <c r="A81" s="131" t="s">
        <v>95</v>
      </c>
      <c r="B81" s="109" t="s">
        <v>1385</v>
      </c>
      <c r="C81" s="160" t="s">
        <v>1589</v>
      </c>
      <c r="D81" s="162" t="s">
        <v>1590</v>
      </c>
      <c r="E81" s="65" t="s">
        <v>1469</v>
      </c>
      <c r="F81" s="162" t="s">
        <v>18</v>
      </c>
      <c r="G81" s="65" t="s">
        <v>208</v>
      </c>
      <c r="H81" s="218">
        <v>4</v>
      </c>
      <c r="I81" s="65"/>
      <c r="J81" s="218">
        <v>187.5</v>
      </c>
      <c r="K81" s="108"/>
      <c r="L81" s="275">
        <v>750</v>
      </c>
      <c r="M81" s="65" t="s">
        <v>1591</v>
      </c>
      <c r="N81" s="219">
        <v>0</v>
      </c>
      <c r="O81" s="65" t="s">
        <v>1285</v>
      </c>
      <c r="P81" s="162" t="s">
        <v>1403</v>
      </c>
      <c r="Q81" s="158"/>
      <c r="R81" s="157"/>
      <c r="S81" s="114"/>
      <c r="T81" s="162" t="s">
        <v>29</v>
      </c>
      <c r="U81" s="65" t="s">
        <v>18</v>
      </c>
      <c r="V81" s="162">
        <v>1473</v>
      </c>
      <c r="W81" s="165"/>
      <c r="X81" s="218" t="s">
        <v>1363</v>
      </c>
      <c r="Y81" s="167">
        <v>44671.462083333332</v>
      </c>
    </row>
    <row r="82" spans="1:25">
      <c r="A82" s="131" t="s">
        <v>95</v>
      </c>
      <c r="B82" s="109" t="s">
        <v>1385</v>
      </c>
      <c r="C82" s="160" t="s">
        <v>1592</v>
      </c>
      <c r="D82" s="162" t="s">
        <v>1590</v>
      </c>
      <c r="E82" s="65" t="s">
        <v>1469</v>
      </c>
      <c r="F82" s="162" t="s">
        <v>18</v>
      </c>
      <c r="G82" s="65" t="s">
        <v>208</v>
      </c>
      <c r="H82" s="218">
        <v>4</v>
      </c>
      <c r="I82" s="65"/>
      <c r="J82" s="218">
        <v>150</v>
      </c>
      <c r="K82" s="108"/>
      <c r="L82" s="275">
        <v>600</v>
      </c>
      <c r="M82" s="65" t="s">
        <v>1470</v>
      </c>
      <c r="N82" s="219">
        <v>12000</v>
      </c>
      <c r="O82" s="65" t="s">
        <v>1285</v>
      </c>
      <c r="P82" s="162" t="s">
        <v>1403</v>
      </c>
      <c r="Q82" s="158"/>
      <c r="R82" s="157"/>
      <c r="S82" s="114"/>
      <c r="T82" s="162" t="s">
        <v>29</v>
      </c>
      <c r="U82" s="65" t="s">
        <v>18</v>
      </c>
      <c r="V82" s="162">
        <v>1478</v>
      </c>
      <c r="W82" s="165"/>
      <c r="X82" s="218" t="s">
        <v>1363</v>
      </c>
      <c r="Y82" s="167">
        <v>44671.462731481479</v>
      </c>
    </row>
    <row r="83" spans="1:25">
      <c r="A83" s="131" t="s">
        <v>95</v>
      </c>
      <c r="B83" s="109" t="s">
        <v>1385</v>
      </c>
      <c r="C83" s="160" t="s">
        <v>1593</v>
      </c>
      <c r="D83" s="162" t="s">
        <v>1590</v>
      </c>
      <c r="E83" s="65" t="s">
        <v>1469</v>
      </c>
      <c r="F83" s="162" t="s">
        <v>18</v>
      </c>
      <c r="G83" s="65" t="s">
        <v>208</v>
      </c>
      <c r="H83" s="218">
        <v>4</v>
      </c>
      <c r="I83" s="65"/>
      <c r="J83" s="218">
        <v>150</v>
      </c>
      <c r="K83" s="108"/>
      <c r="L83" s="275">
        <v>600</v>
      </c>
      <c r="M83" s="65" t="s">
        <v>1470</v>
      </c>
      <c r="N83" s="219">
        <v>12000</v>
      </c>
      <c r="O83" s="65" t="s">
        <v>1285</v>
      </c>
      <c r="P83" s="162" t="s">
        <v>1403</v>
      </c>
      <c r="Q83" s="158"/>
      <c r="R83" s="157"/>
      <c r="S83" s="114"/>
      <c r="T83" s="162" t="s">
        <v>29</v>
      </c>
      <c r="U83" s="65" t="s">
        <v>18</v>
      </c>
      <c r="V83" s="162">
        <v>1480</v>
      </c>
      <c r="W83" s="165"/>
      <c r="X83" s="218" t="s">
        <v>1363</v>
      </c>
      <c r="Y83" s="167">
        <v>44671.463460648149</v>
      </c>
    </row>
    <row r="84" spans="1:25">
      <c r="A84" s="131" t="s">
        <v>95</v>
      </c>
      <c r="B84" s="109" t="s">
        <v>1385</v>
      </c>
      <c r="C84" s="160" t="s">
        <v>1594</v>
      </c>
      <c r="D84" s="162" t="s">
        <v>1590</v>
      </c>
      <c r="E84" s="65" t="s">
        <v>1469</v>
      </c>
      <c r="F84" s="162" t="s">
        <v>18</v>
      </c>
      <c r="G84" s="65" t="s">
        <v>208</v>
      </c>
      <c r="H84" s="218">
        <v>4</v>
      </c>
      <c r="I84" s="65"/>
      <c r="J84" s="218">
        <v>150</v>
      </c>
      <c r="K84" s="108"/>
      <c r="L84" s="275">
        <v>600</v>
      </c>
      <c r="M84" s="65" t="s">
        <v>1470</v>
      </c>
      <c r="N84" s="219">
        <v>0</v>
      </c>
      <c r="O84" s="65" t="s">
        <v>1285</v>
      </c>
      <c r="P84" s="162" t="s">
        <v>1403</v>
      </c>
      <c r="Q84" s="158"/>
      <c r="R84" s="157"/>
      <c r="S84" s="114"/>
      <c r="T84" s="162" t="s">
        <v>29</v>
      </c>
      <c r="U84" s="65" t="s">
        <v>18</v>
      </c>
      <c r="V84" s="162">
        <v>1481</v>
      </c>
      <c r="W84" s="165"/>
      <c r="X84" s="218" t="s">
        <v>1363</v>
      </c>
      <c r="Y84" s="167">
        <v>44671.46466435185</v>
      </c>
    </row>
    <row r="85" spans="1:25">
      <c r="A85" s="131" t="s">
        <v>95</v>
      </c>
      <c r="B85" s="109" t="s">
        <v>1385</v>
      </c>
      <c r="C85" s="160" t="s">
        <v>1595</v>
      </c>
      <c r="D85" s="162" t="s">
        <v>1590</v>
      </c>
      <c r="E85" s="65" t="s">
        <v>1469</v>
      </c>
      <c r="F85" s="162" t="s">
        <v>18</v>
      </c>
      <c r="G85" s="65" t="s">
        <v>208</v>
      </c>
      <c r="H85" s="218">
        <v>4</v>
      </c>
      <c r="I85" s="65"/>
      <c r="J85" s="218">
        <v>150</v>
      </c>
      <c r="K85" s="108"/>
      <c r="L85" s="275">
        <v>600</v>
      </c>
      <c r="M85" s="65" t="s">
        <v>1470</v>
      </c>
      <c r="N85" s="219">
        <v>0</v>
      </c>
      <c r="O85" s="65" t="s">
        <v>1285</v>
      </c>
      <c r="P85" s="162" t="s">
        <v>1403</v>
      </c>
      <c r="Q85" s="158"/>
      <c r="R85" s="157"/>
      <c r="S85" s="114"/>
      <c r="T85" s="162" t="s">
        <v>29</v>
      </c>
      <c r="U85" s="65" t="s">
        <v>18</v>
      </c>
      <c r="V85" s="162">
        <v>1482</v>
      </c>
      <c r="W85" s="165"/>
      <c r="X85" s="218" t="s">
        <v>1363</v>
      </c>
      <c r="Y85" s="167">
        <v>44671.465520833335</v>
      </c>
    </row>
    <row r="86" spans="1:25">
      <c r="A86" s="131" t="s">
        <v>46</v>
      </c>
      <c r="B86" s="109" t="s">
        <v>1320</v>
      </c>
      <c r="C86" s="160" t="s">
        <v>142</v>
      </c>
      <c r="D86" s="162" t="s">
        <v>217</v>
      </c>
      <c r="E86" s="65" t="s">
        <v>1596</v>
      </c>
      <c r="F86" s="162" t="s">
        <v>1597</v>
      </c>
      <c r="G86" s="65" t="s">
        <v>1598</v>
      </c>
      <c r="H86" s="218">
        <v>1</v>
      </c>
      <c r="I86" s="65"/>
      <c r="J86" s="218">
        <v>660</v>
      </c>
      <c r="K86" s="108"/>
      <c r="L86" s="275">
        <v>660</v>
      </c>
      <c r="M86" s="65" t="s">
        <v>1599</v>
      </c>
      <c r="N86" s="219"/>
      <c r="O86" s="65" t="s">
        <v>55</v>
      </c>
      <c r="P86" s="162" t="s">
        <v>1403</v>
      </c>
      <c r="Q86" s="158"/>
      <c r="R86" s="157" t="s">
        <v>1521</v>
      </c>
      <c r="S86" s="114"/>
      <c r="T86" s="162" t="s">
        <v>25</v>
      </c>
      <c r="U86" s="65" t="s">
        <v>12</v>
      </c>
      <c r="V86" s="162">
        <v>1014</v>
      </c>
      <c r="W86" s="165"/>
      <c r="X86" s="218" t="s">
        <v>1363</v>
      </c>
      <c r="Y86" s="167">
        <v>44746.664594907408</v>
      </c>
    </row>
    <row r="87" spans="1:25">
      <c r="A87" s="131" t="s">
        <v>46</v>
      </c>
      <c r="B87" s="109" t="s">
        <v>1385</v>
      </c>
      <c r="C87" s="160" t="s">
        <v>142</v>
      </c>
      <c r="D87" s="162" t="s">
        <v>217</v>
      </c>
      <c r="E87" s="65" t="s">
        <v>1596</v>
      </c>
      <c r="F87" s="162" t="s">
        <v>1597</v>
      </c>
      <c r="G87" s="65" t="s">
        <v>1598</v>
      </c>
      <c r="H87" s="218">
        <v>1</v>
      </c>
      <c r="I87" s="65"/>
      <c r="J87" s="218">
        <v>0</v>
      </c>
      <c r="K87" s="108"/>
      <c r="L87" s="275">
        <v>0</v>
      </c>
      <c r="M87" s="65" t="s">
        <v>1600</v>
      </c>
      <c r="N87" s="219"/>
      <c r="O87" s="65" t="s">
        <v>1601</v>
      </c>
      <c r="P87" s="162" t="s">
        <v>1403</v>
      </c>
      <c r="Q87" s="158" t="s">
        <v>1602</v>
      </c>
      <c r="R87" s="157" t="s">
        <v>1521</v>
      </c>
      <c r="S87" s="114"/>
      <c r="T87" s="162" t="s">
        <v>26</v>
      </c>
      <c r="U87" s="65" t="s">
        <v>12</v>
      </c>
      <c r="V87" s="162">
        <v>1014</v>
      </c>
      <c r="W87" s="165"/>
      <c r="X87" s="218" t="s">
        <v>1363</v>
      </c>
      <c r="Y87" s="167">
        <v>44746.664594907408</v>
      </c>
    </row>
    <row r="88" spans="1:25">
      <c r="A88" s="131" t="s">
        <v>46</v>
      </c>
      <c r="B88" s="109" t="s">
        <v>1320</v>
      </c>
      <c r="C88" s="160" t="s">
        <v>142</v>
      </c>
      <c r="D88" s="162" t="s">
        <v>217</v>
      </c>
      <c r="E88" s="65" t="s">
        <v>1596</v>
      </c>
      <c r="F88" s="162" t="s">
        <v>1597</v>
      </c>
      <c r="G88" s="65" t="s">
        <v>1603</v>
      </c>
      <c r="H88" s="218">
        <v>1</v>
      </c>
      <c r="I88" s="65"/>
      <c r="J88" s="218">
        <v>660</v>
      </c>
      <c r="K88" s="108"/>
      <c r="L88" s="275">
        <v>660</v>
      </c>
      <c r="M88" s="65" t="s">
        <v>1599</v>
      </c>
      <c r="N88" s="219"/>
      <c r="O88" s="65" t="s">
        <v>55</v>
      </c>
      <c r="P88" s="162" t="s">
        <v>1403</v>
      </c>
      <c r="Q88" s="158"/>
      <c r="R88" s="157" t="s">
        <v>1521</v>
      </c>
      <c r="S88" s="114"/>
      <c r="T88" s="162" t="s">
        <v>25</v>
      </c>
      <c r="U88" s="65" t="s">
        <v>12</v>
      </c>
      <c r="V88" s="162">
        <v>1014</v>
      </c>
      <c r="W88" s="165"/>
      <c r="X88" s="218" t="s">
        <v>1363</v>
      </c>
      <c r="Y88" s="167">
        <v>44746.664594907408</v>
      </c>
    </row>
    <row r="89" spans="1:25">
      <c r="A89" s="131" t="s">
        <v>46</v>
      </c>
      <c r="B89" s="109" t="s">
        <v>1385</v>
      </c>
      <c r="C89" s="160" t="s">
        <v>142</v>
      </c>
      <c r="D89" s="162" t="s">
        <v>217</v>
      </c>
      <c r="E89" s="65" t="s">
        <v>1596</v>
      </c>
      <c r="F89" s="162" t="s">
        <v>1597</v>
      </c>
      <c r="G89" s="65" t="s">
        <v>1603</v>
      </c>
      <c r="H89" s="218">
        <v>1</v>
      </c>
      <c r="I89" s="65"/>
      <c r="J89" s="218">
        <v>25</v>
      </c>
      <c r="K89" s="108"/>
      <c r="L89" s="275">
        <v>25</v>
      </c>
      <c r="M89" s="65" t="s">
        <v>1604</v>
      </c>
      <c r="N89" s="219"/>
      <c r="O89" s="65" t="s">
        <v>1601</v>
      </c>
      <c r="P89" s="162" t="s">
        <v>1403</v>
      </c>
      <c r="Q89" s="158" t="s">
        <v>1605</v>
      </c>
      <c r="R89" s="157" t="s">
        <v>1521</v>
      </c>
      <c r="S89" s="114"/>
      <c r="T89" s="162" t="s">
        <v>26</v>
      </c>
      <c r="U89" s="65" t="s">
        <v>12</v>
      </c>
      <c r="V89" s="162">
        <v>1014</v>
      </c>
      <c r="W89" s="165"/>
      <c r="X89" s="218" t="s">
        <v>1363</v>
      </c>
      <c r="Y89" s="167">
        <v>44746.664594907408</v>
      </c>
    </row>
    <row r="90" spans="1:25">
      <c r="A90" s="131" t="s">
        <v>46</v>
      </c>
      <c r="B90" s="109" t="s">
        <v>1320</v>
      </c>
      <c r="C90" s="160" t="s">
        <v>142</v>
      </c>
      <c r="D90" s="162" t="s">
        <v>217</v>
      </c>
      <c r="E90" s="65" t="s">
        <v>1596</v>
      </c>
      <c r="F90" s="162" t="s">
        <v>1597</v>
      </c>
      <c r="G90" s="65" t="s">
        <v>1606</v>
      </c>
      <c r="H90" s="218">
        <v>1</v>
      </c>
      <c r="I90" s="65"/>
      <c r="J90" s="218">
        <v>660</v>
      </c>
      <c r="K90" s="108"/>
      <c r="L90" s="275">
        <v>660</v>
      </c>
      <c r="M90" s="65" t="s">
        <v>1599</v>
      </c>
      <c r="N90" s="219"/>
      <c r="O90" s="65" t="s">
        <v>55</v>
      </c>
      <c r="P90" s="162" t="s">
        <v>1403</v>
      </c>
      <c r="Q90" s="158"/>
      <c r="R90" s="157" t="s">
        <v>1521</v>
      </c>
      <c r="S90" s="114"/>
      <c r="T90" s="162" t="s">
        <v>25</v>
      </c>
      <c r="U90" s="65" t="s">
        <v>12</v>
      </c>
      <c r="V90" s="162">
        <v>1014</v>
      </c>
      <c r="W90" s="165"/>
      <c r="X90" s="218" t="s">
        <v>1363</v>
      </c>
      <c r="Y90" s="167">
        <v>44746.664594907408</v>
      </c>
    </row>
    <row r="91" spans="1:25">
      <c r="A91" s="131" t="s">
        <v>46</v>
      </c>
      <c r="B91" s="109" t="s">
        <v>1385</v>
      </c>
      <c r="C91" s="160" t="s">
        <v>142</v>
      </c>
      <c r="D91" s="162" t="s">
        <v>217</v>
      </c>
      <c r="E91" s="65" t="s">
        <v>1596</v>
      </c>
      <c r="F91" s="162" t="s">
        <v>1597</v>
      </c>
      <c r="G91" s="65" t="s">
        <v>1606</v>
      </c>
      <c r="H91" s="218">
        <v>1</v>
      </c>
      <c r="I91" s="65"/>
      <c r="J91" s="218">
        <v>25</v>
      </c>
      <c r="K91" s="108"/>
      <c r="L91" s="275">
        <v>25</v>
      </c>
      <c r="M91" s="65" t="s">
        <v>1604</v>
      </c>
      <c r="N91" s="219"/>
      <c r="O91" s="65" t="s">
        <v>1601</v>
      </c>
      <c r="P91" s="162" t="s">
        <v>1403</v>
      </c>
      <c r="Q91" s="158" t="s">
        <v>1409</v>
      </c>
      <c r="R91" s="157" t="s">
        <v>1521</v>
      </c>
      <c r="S91" s="114"/>
      <c r="T91" s="162" t="s">
        <v>26</v>
      </c>
      <c r="U91" s="65" t="s">
        <v>12</v>
      </c>
      <c r="V91" s="162">
        <v>1014</v>
      </c>
      <c r="W91" s="165"/>
      <c r="X91" s="218" t="s">
        <v>1363</v>
      </c>
      <c r="Y91" s="167">
        <v>44746.664594907408</v>
      </c>
    </row>
    <row r="92" spans="1:25">
      <c r="A92" s="131" t="s">
        <v>46</v>
      </c>
      <c r="B92" s="109" t="s">
        <v>1320</v>
      </c>
      <c r="C92" s="160" t="s">
        <v>142</v>
      </c>
      <c r="D92" s="162" t="s">
        <v>217</v>
      </c>
      <c r="E92" s="65" t="s">
        <v>1596</v>
      </c>
      <c r="F92" s="162" t="s">
        <v>1597</v>
      </c>
      <c r="G92" s="65" t="s">
        <v>1607</v>
      </c>
      <c r="H92" s="218">
        <v>1</v>
      </c>
      <c r="I92" s="65"/>
      <c r="J92" s="218">
        <v>685</v>
      </c>
      <c r="K92" s="108"/>
      <c r="L92" s="275">
        <v>685</v>
      </c>
      <c r="M92" s="65" t="s">
        <v>1608</v>
      </c>
      <c r="N92" s="219"/>
      <c r="O92" s="65" t="s">
        <v>55</v>
      </c>
      <c r="P92" s="162" t="s">
        <v>1403</v>
      </c>
      <c r="Q92" s="158"/>
      <c r="R92" s="157" t="s">
        <v>1521</v>
      </c>
      <c r="S92" s="114"/>
      <c r="T92" s="162" t="s">
        <v>25</v>
      </c>
      <c r="U92" s="65" t="s">
        <v>12</v>
      </c>
      <c r="V92" s="162">
        <v>1014</v>
      </c>
      <c r="W92" s="165"/>
      <c r="X92" s="218" t="s">
        <v>1363</v>
      </c>
      <c r="Y92" s="167">
        <v>44746.664594907408</v>
      </c>
    </row>
    <row r="93" spans="1:25">
      <c r="A93" s="131" t="s">
        <v>100</v>
      </c>
      <c r="B93" s="109" t="s">
        <v>1320</v>
      </c>
      <c r="C93" s="160" t="s">
        <v>1609</v>
      </c>
      <c r="D93" s="162" t="s">
        <v>1610</v>
      </c>
      <c r="E93" s="65" t="s">
        <v>1398</v>
      </c>
      <c r="F93" s="162" t="s">
        <v>1388</v>
      </c>
      <c r="G93" s="65" t="s">
        <v>208</v>
      </c>
      <c r="H93" s="218">
        <v>1</v>
      </c>
      <c r="I93" s="65"/>
      <c r="J93" s="218">
        <v>0.15</v>
      </c>
      <c r="K93" s="108"/>
      <c r="L93" s="275">
        <v>0.1502</v>
      </c>
      <c r="M93" s="65" t="s">
        <v>1611</v>
      </c>
      <c r="N93" s="219"/>
      <c r="O93" s="65" t="s">
        <v>55</v>
      </c>
      <c r="P93" s="162" t="s">
        <v>1362</v>
      </c>
      <c r="Q93" s="158"/>
      <c r="R93" s="157"/>
      <c r="S93" s="114"/>
      <c r="T93" s="162" t="s">
        <v>25</v>
      </c>
      <c r="U93" s="65" t="s">
        <v>1388</v>
      </c>
      <c r="V93" s="162">
        <v>48</v>
      </c>
      <c r="W93" s="165"/>
      <c r="X93" s="218" t="s">
        <v>208</v>
      </c>
      <c r="Y93" s="167">
        <v>43312</v>
      </c>
    </row>
    <row r="94" spans="1:25">
      <c r="A94" s="131" t="s">
        <v>100</v>
      </c>
      <c r="B94" s="109" t="s">
        <v>1320</v>
      </c>
      <c r="C94" s="160" t="s">
        <v>1612</v>
      </c>
      <c r="D94" s="162" t="s">
        <v>1393</v>
      </c>
      <c r="E94" s="65" t="s">
        <v>1398</v>
      </c>
      <c r="F94" s="162" t="s">
        <v>1388</v>
      </c>
      <c r="G94" s="65" t="s">
        <v>208</v>
      </c>
      <c r="H94" s="218">
        <v>1</v>
      </c>
      <c r="I94" s="65"/>
      <c r="J94" s="218">
        <v>0.2</v>
      </c>
      <c r="K94" s="108"/>
      <c r="L94" s="275">
        <v>0.20019999999999999</v>
      </c>
      <c r="M94" s="65" t="s">
        <v>1613</v>
      </c>
      <c r="N94" s="219"/>
      <c r="O94" s="65" t="s">
        <v>55</v>
      </c>
      <c r="P94" s="162" t="s">
        <v>1362</v>
      </c>
      <c r="Q94" s="158"/>
      <c r="R94" s="157"/>
      <c r="S94" s="114"/>
      <c r="T94" s="162" t="s">
        <v>25</v>
      </c>
      <c r="U94" s="65" t="s">
        <v>1388</v>
      </c>
      <c r="V94" s="162">
        <v>49</v>
      </c>
      <c r="W94" s="165"/>
      <c r="X94" s="218" t="s">
        <v>208</v>
      </c>
      <c r="Y94" s="167">
        <v>43312</v>
      </c>
    </row>
    <row r="95" spans="1:25">
      <c r="A95" s="131" t="s">
        <v>62</v>
      </c>
      <c r="B95" s="109" t="s">
        <v>1385</v>
      </c>
      <c r="C95" s="160" t="s">
        <v>1614</v>
      </c>
      <c r="D95" s="162" t="s">
        <v>580</v>
      </c>
      <c r="E95" s="65" t="s">
        <v>1429</v>
      </c>
      <c r="F95" s="162" t="s">
        <v>1388</v>
      </c>
      <c r="G95" s="65" t="s">
        <v>208</v>
      </c>
      <c r="H95" s="218">
        <v>1</v>
      </c>
      <c r="I95" s="65"/>
      <c r="J95" s="218">
        <v>200</v>
      </c>
      <c r="K95" s="108"/>
      <c r="L95" s="275">
        <v>200</v>
      </c>
      <c r="M95" s="65" t="s">
        <v>1615</v>
      </c>
      <c r="N95" s="219"/>
      <c r="O95" s="65" t="s">
        <v>1285</v>
      </c>
      <c r="P95" s="162" t="s">
        <v>1407</v>
      </c>
      <c r="Q95" s="158"/>
      <c r="R95" s="157"/>
      <c r="S95" s="114"/>
      <c r="T95" s="162" t="s">
        <v>29</v>
      </c>
      <c r="U95" s="65" t="s">
        <v>1388</v>
      </c>
      <c r="V95" s="162">
        <v>1550</v>
      </c>
      <c r="W95" s="165"/>
      <c r="X95" s="218" t="s">
        <v>1363</v>
      </c>
      <c r="Y95" s="167">
        <v>44671.474872685183</v>
      </c>
    </row>
    <row r="96" spans="1:25">
      <c r="A96" s="131" t="s">
        <v>95</v>
      </c>
      <c r="B96" s="109" t="s">
        <v>1320</v>
      </c>
      <c r="C96" s="160" t="s">
        <v>1616</v>
      </c>
      <c r="D96" s="162" t="s">
        <v>97</v>
      </c>
      <c r="E96" s="65" t="s">
        <v>1493</v>
      </c>
      <c r="F96" s="162" t="s">
        <v>1360</v>
      </c>
      <c r="G96" s="65" t="s">
        <v>1617</v>
      </c>
      <c r="H96" s="218">
        <v>1</v>
      </c>
      <c r="I96" s="65"/>
      <c r="J96" s="218">
        <v>40</v>
      </c>
      <c r="K96" s="108"/>
      <c r="L96" s="275">
        <v>40</v>
      </c>
      <c r="M96" s="65" t="s">
        <v>1618</v>
      </c>
      <c r="N96" s="219"/>
      <c r="O96" s="65" t="s">
        <v>55</v>
      </c>
      <c r="P96" s="162" t="s">
        <v>1403</v>
      </c>
      <c r="Q96" s="158"/>
      <c r="R96" s="157" t="s">
        <v>1511</v>
      </c>
      <c r="S96" s="114"/>
      <c r="T96" s="162" t="s">
        <v>25</v>
      </c>
      <c r="U96" s="65" t="s">
        <v>14</v>
      </c>
      <c r="V96" s="162">
        <v>1015</v>
      </c>
      <c r="W96" s="165"/>
      <c r="X96" s="218" t="s">
        <v>1363</v>
      </c>
      <c r="Y96" s="167">
        <v>44670.5780787037</v>
      </c>
    </row>
    <row r="97" spans="1:25">
      <c r="A97" s="131" t="s">
        <v>95</v>
      </c>
      <c r="B97" s="109" t="s">
        <v>1320</v>
      </c>
      <c r="C97" s="160" t="s">
        <v>1616</v>
      </c>
      <c r="D97" s="162" t="s">
        <v>97</v>
      </c>
      <c r="E97" s="65" t="s">
        <v>1493</v>
      </c>
      <c r="F97" s="162" t="s">
        <v>1360</v>
      </c>
      <c r="G97" s="65" t="s">
        <v>1619</v>
      </c>
      <c r="H97" s="218">
        <v>1</v>
      </c>
      <c r="I97" s="65"/>
      <c r="J97" s="218">
        <v>40</v>
      </c>
      <c r="K97" s="108"/>
      <c r="L97" s="275">
        <v>40</v>
      </c>
      <c r="M97" s="65" t="s">
        <v>1618</v>
      </c>
      <c r="N97" s="219"/>
      <c r="O97" s="65" t="s">
        <v>55</v>
      </c>
      <c r="P97" s="162" t="s">
        <v>1403</v>
      </c>
      <c r="Q97" s="158"/>
      <c r="R97" s="157" t="s">
        <v>1511</v>
      </c>
      <c r="S97" s="114"/>
      <c r="T97" s="162" t="s">
        <v>25</v>
      </c>
      <c r="U97" s="65" t="s">
        <v>14</v>
      </c>
      <c r="V97" s="162">
        <v>1015</v>
      </c>
      <c r="W97" s="165"/>
      <c r="X97" s="218" t="s">
        <v>1363</v>
      </c>
      <c r="Y97" s="167">
        <v>44670.5780787037</v>
      </c>
    </row>
    <row r="98" spans="1:25">
      <c r="A98" s="131" t="s">
        <v>95</v>
      </c>
      <c r="B98" s="109" t="s">
        <v>1320</v>
      </c>
      <c r="C98" s="160" t="s">
        <v>1616</v>
      </c>
      <c r="D98" s="162" t="s">
        <v>97</v>
      </c>
      <c r="E98" s="65" t="s">
        <v>1493</v>
      </c>
      <c r="F98" s="162" t="s">
        <v>1360</v>
      </c>
      <c r="G98" s="65" t="s">
        <v>1620</v>
      </c>
      <c r="H98" s="218">
        <v>1</v>
      </c>
      <c r="I98" s="65"/>
      <c r="J98" s="218">
        <v>40</v>
      </c>
      <c r="K98" s="108"/>
      <c r="L98" s="275">
        <v>40</v>
      </c>
      <c r="M98" s="65" t="s">
        <v>1618</v>
      </c>
      <c r="N98" s="219"/>
      <c r="O98" s="65" t="s">
        <v>55</v>
      </c>
      <c r="P98" s="162" t="s">
        <v>1403</v>
      </c>
      <c r="Q98" s="158"/>
      <c r="R98" s="157" t="s">
        <v>1511</v>
      </c>
      <c r="S98" s="114"/>
      <c r="T98" s="162" t="s">
        <v>25</v>
      </c>
      <c r="U98" s="65" t="s">
        <v>14</v>
      </c>
      <c r="V98" s="162">
        <v>1015</v>
      </c>
      <c r="W98" s="165"/>
      <c r="X98" s="218" t="s">
        <v>1363</v>
      </c>
      <c r="Y98" s="167">
        <v>44670.5780787037</v>
      </c>
    </row>
    <row r="99" spans="1:25">
      <c r="A99" s="131" t="s">
        <v>46</v>
      </c>
      <c r="B99" s="109" t="s">
        <v>1385</v>
      </c>
      <c r="C99" s="160" t="s">
        <v>468</v>
      </c>
      <c r="D99" s="162" t="s">
        <v>469</v>
      </c>
      <c r="E99" s="65" t="s">
        <v>1539</v>
      </c>
      <c r="F99" s="162" t="s">
        <v>18</v>
      </c>
      <c r="G99" s="65" t="s">
        <v>208</v>
      </c>
      <c r="H99" s="218">
        <v>1</v>
      </c>
      <c r="I99" s="65">
        <v>250</v>
      </c>
      <c r="J99" s="218">
        <v>500</v>
      </c>
      <c r="K99" s="108">
        <v>250</v>
      </c>
      <c r="L99" s="275">
        <v>500</v>
      </c>
      <c r="M99" s="65" t="s">
        <v>1621</v>
      </c>
      <c r="N99" s="219"/>
      <c r="O99" s="65" t="s">
        <v>1285</v>
      </c>
      <c r="P99" s="162" t="s">
        <v>1393</v>
      </c>
      <c r="Q99" s="158"/>
      <c r="R99" s="157"/>
      <c r="S99" s="114"/>
      <c r="T99" s="162" t="s">
        <v>29</v>
      </c>
      <c r="U99" s="65" t="s">
        <v>18</v>
      </c>
      <c r="V99" s="162">
        <v>1697</v>
      </c>
      <c r="W99" s="165"/>
      <c r="X99" s="218" t="s">
        <v>1363</v>
      </c>
      <c r="Y99" s="167">
        <v>44671.511620370373</v>
      </c>
    </row>
    <row r="100" spans="1:25">
      <c r="A100" s="131" t="s">
        <v>100</v>
      </c>
      <c r="B100" s="109" t="s">
        <v>1320</v>
      </c>
      <c r="C100" s="160" t="s">
        <v>1622</v>
      </c>
      <c r="D100" s="162" t="s">
        <v>1513</v>
      </c>
      <c r="E100" s="65" t="s">
        <v>1359</v>
      </c>
      <c r="F100" s="162" t="s">
        <v>1486</v>
      </c>
      <c r="G100" s="65" t="s">
        <v>208</v>
      </c>
      <c r="H100" s="218">
        <v>1</v>
      </c>
      <c r="I100" s="65"/>
      <c r="J100" s="218">
        <v>0.5</v>
      </c>
      <c r="K100" s="108"/>
      <c r="L100" s="275">
        <v>0.5</v>
      </c>
      <c r="M100" s="65" t="s">
        <v>1623</v>
      </c>
      <c r="N100" s="219"/>
      <c r="O100" s="65" t="s">
        <v>55</v>
      </c>
      <c r="P100" s="162" t="s">
        <v>1362</v>
      </c>
      <c r="Q100" s="158"/>
      <c r="R100" s="157"/>
      <c r="S100" s="114"/>
      <c r="T100" s="162" t="s">
        <v>25</v>
      </c>
      <c r="U100" s="65" t="s">
        <v>19</v>
      </c>
      <c r="V100" s="162">
        <v>1341</v>
      </c>
      <c r="W100" s="165"/>
      <c r="X100" s="218" t="s">
        <v>1400</v>
      </c>
      <c r="Y100" s="167">
        <v>43769.416655092595</v>
      </c>
    </row>
    <row r="101" spans="1:25">
      <c r="A101" s="131" t="s">
        <v>100</v>
      </c>
      <c r="B101" s="109" t="s">
        <v>1385</v>
      </c>
      <c r="C101" s="160" t="s">
        <v>1624</v>
      </c>
      <c r="D101" s="162" t="s">
        <v>1625</v>
      </c>
      <c r="E101" s="65" t="s">
        <v>1419</v>
      </c>
      <c r="F101" s="162" t="s">
        <v>17</v>
      </c>
      <c r="G101" s="65" t="s">
        <v>208</v>
      </c>
      <c r="H101" s="218">
        <v>16</v>
      </c>
      <c r="I101" s="65"/>
      <c r="J101" s="218">
        <v>4.5</v>
      </c>
      <c r="K101" s="108"/>
      <c r="L101" s="275">
        <v>72</v>
      </c>
      <c r="M101" s="65" t="s">
        <v>1626</v>
      </c>
      <c r="N101" s="219">
        <v>0</v>
      </c>
      <c r="O101" s="65" t="s">
        <v>1285</v>
      </c>
      <c r="P101" s="162" t="s">
        <v>1407</v>
      </c>
      <c r="Q101" s="158"/>
      <c r="R101" s="157"/>
      <c r="S101" s="114"/>
      <c r="T101" s="162" t="s">
        <v>29</v>
      </c>
      <c r="U101" s="65" t="s">
        <v>17</v>
      </c>
      <c r="V101" s="162">
        <v>1508</v>
      </c>
      <c r="W101" s="165"/>
      <c r="X101" s="218" t="s">
        <v>1400</v>
      </c>
      <c r="Y101" s="167">
        <v>44679.626967592594</v>
      </c>
    </row>
    <row r="102" spans="1:25">
      <c r="A102" s="131" t="s">
        <v>100</v>
      </c>
      <c r="B102" s="109" t="s">
        <v>1385</v>
      </c>
      <c r="C102" s="160" t="s">
        <v>266</v>
      </c>
      <c r="D102" s="162" t="s">
        <v>267</v>
      </c>
      <c r="E102" s="65" t="s">
        <v>1419</v>
      </c>
      <c r="F102" s="162" t="s">
        <v>17</v>
      </c>
      <c r="G102" s="65" t="s">
        <v>208</v>
      </c>
      <c r="H102" s="218">
        <v>26</v>
      </c>
      <c r="I102" s="65"/>
      <c r="J102" s="218">
        <v>4.2</v>
      </c>
      <c r="K102" s="108"/>
      <c r="L102" s="275">
        <v>109.2</v>
      </c>
      <c r="M102" s="65" t="s">
        <v>1627</v>
      </c>
      <c r="N102" s="219"/>
      <c r="O102" s="65" t="s">
        <v>27</v>
      </c>
      <c r="P102" s="162" t="s">
        <v>1407</v>
      </c>
      <c r="Q102" s="158" t="s">
        <v>1628</v>
      </c>
      <c r="R102" s="157" t="s">
        <v>1474</v>
      </c>
      <c r="S102" s="114"/>
      <c r="T102" s="162" t="s">
        <v>27</v>
      </c>
      <c r="U102" s="65" t="s">
        <v>17</v>
      </c>
      <c r="V102" s="162">
        <v>1018</v>
      </c>
      <c r="W102" s="165"/>
      <c r="X102" s="225" t="s">
        <v>1453</v>
      </c>
      <c r="Y102" s="167">
        <v>44742.558182870373</v>
      </c>
    </row>
    <row r="103" spans="1:25">
      <c r="A103" s="131" t="s">
        <v>100</v>
      </c>
      <c r="B103" s="109" t="s">
        <v>1320</v>
      </c>
      <c r="C103" s="160" t="s">
        <v>266</v>
      </c>
      <c r="D103" s="162" t="s">
        <v>267</v>
      </c>
      <c r="E103" s="65" t="s">
        <v>1419</v>
      </c>
      <c r="F103" s="162" t="s">
        <v>17</v>
      </c>
      <c r="G103" s="65" t="s">
        <v>268</v>
      </c>
      <c r="H103" s="218">
        <v>43</v>
      </c>
      <c r="I103" s="65"/>
      <c r="J103" s="218">
        <v>4.2</v>
      </c>
      <c r="K103" s="108"/>
      <c r="L103" s="275">
        <v>180.6</v>
      </c>
      <c r="M103" s="65" t="s">
        <v>1629</v>
      </c>
      <c r="N103" s="219">
        <v>0</v>
      </c>
      <c r="O103" s="65" t="s">
        <v>55</v>
      </c>
      <c r="P103" s="162" t="s">
        <v>1407</v>
      </c>
      <c r="Q103" s="158"/>
      <c r="R103" s="157" t="s">
        <v>1532</v>
      </c>
      <c r="S103" s="114"/>
      <c r="T103" s="162" t="s">
        <v>25</v>
      </c>
      <c r="U103" s="65" t="s">
        <v>17</v>
      </c>
      <c r="V103" s="162">
        <v>1018</v>
      </c>
      <c r="W103" s="165"/>
      <c r="X103" s="225" t="s">
        <v>1453</v>
      </c>
      <c r="Y103" s="167">
        <v>44742.558182870373</v>
      </c>
    </row>
    <row r="104" spans="1:25">
      <c r="A104" s="131" t="s">
        <v>100</v>
      </c>
      <c r="B104" s="109" t="s">
        <v>1320</v>
      </c>
      <c r="C104" s="160" t="s">
        <v>1630</v>
      </c>
      <c r="D104" s="162" t="s">
        <v>1631</v>
      </c>
      <c r="E104" s="65" t="s">
        <v>1359</v>
      </c>
      <c r="F104" s="162" t="s">
        <v>1486</v>
      </c>
      <c r="G104" s="65" t="s">
        <v>208</v>
      </c>
      <c r="H104" s="218">
        <v>1</v>
      </c>
      <c r="I104" s="65"/>
      <c r="J104" s="218">
        <v>0.45</v>
      </c>
      <c r="K104" s="108"/>
      <c r="L104" s="275">
        <v>0.45</v>
      </c>
      <c r="M104" s="65" t="s">
        <v>1632</v>
      </c>
      <c r="N104" s="219"/>
      <c r="O104" s="65" t="s">
        <v>55</v>
      </c>
      <c r="P104" s="162" t="s">
        <v>1362</v>
      </c>
      <c r="Q104" s="158"/>
      <c r="R104" s="157"/>
      <c r="S104" s="114"/>
      <c r="T104" s="162" t="s">
        <v>25</v>
      </c>
      <c r="U104" s="65" t="s">
        <v>19</v>
      </c>
      <c r="V104" s="162">
        <v>1019</v>
      </c>
      <c r="W104" s="165"/>
      <c r="X104" s="218" t="s">
        <v>1400</v>
      </c>
      <c r="Y104" s="167">
        <v>43769.416655092595</v>
      </c>
    </row>
    <row r="105" spans="1:25">
      <c r="A105" s="131" t="s">
        <v>100</v>
      </c>
      <c r="B105" s="109" t="s">
        <v>1320</v>
      </c>
      <c r="C105" s="160" t="s">
        <v>1630</v>
      </c>
      <c r="D105" s="162" t="s">
        <v>1631</v>
      </c>
      <c r="E105" s="65" t="s">
        <v>1359</v>
      </c>
      <c r="F105" s="162" t="s">
        <v>1486</v>
      </c>
      <c r="G105" s="65" t="s">
        <v>208</v>
      </c>
      <c r="H105" s="218">
        <v>4</v>
      </c>
      <c r="I105" s="65"/>
      <c r="J105" s="218">
        <v>1.03</v>
      </c>
      <c r="K105" s="108"/>
      <c r="L105" s="275">
        <v>4.12</v>
      </c>
      <c r="M105" s="65" t="s">
        <v>1633</v>
      </c>
      <c r="N105" s="219"/>
      <c r="O105" s="65" t="s">
        <v>55</v>
      </c>
      <c r="P105" s="162" t="s">
        <v>1362</v>
      </c>
      <c r="Q105" s="158"/>
      <c r="R105" s="157"/>
      <c r="S105" s="114"/>
      <c r="T105" s="162" t="s">
        <v>25</v>
      </c>
      <c r="U105" s="65" t="s">
        <v>19</v>
      </c>
      <c r="V105" s="162">
        <v>1019</v>
      </c>
      <c r="W105" s="165"/>
      <c r="X105" s="218" t="s">
        <v>1400</v>
      </c>
      <c r="Y105" s="167">
        <v>43769.416655092595</v>
      </c>
    </row>
    <row r="106" spans="1:25">
      <c r="A106" s="131" t="s">
        <v>46</v>
      </c>
      <c r="B106" s="109" t="s">
        <v>1320</v>
      </c>
      <c r="C106" s="160" t="s">
        <v>529</v>
      </c>
      <c r="D106" s="162" t="s">
        <v>530</v>
      </c>
      <c r="E106" s="65" t="s">
        <v>1429</v>
      </c>
      <c r="F106" s="162" t="s">
        <v>1388</v>
      </c>
      <c r="G106" s="65" t="s">
        <v>1634</v>
      </c>
      <c r="H106" s="218">
        <v>60</v>
      </c>
      <c r="I106" s="65"/>
      <c r="J106" s="218">
        <v>1.64</v>
      </c>
      <c r="K106" s="108"/>
      <c r="L106" s="275">
        <v>98.399999999999991</v>
      </c>
      <c r="M106" s="65" t="s">
        <v>1635</v>
      </c>
      <c r="N106" s="219">
        <v>0</v>
      </c>
      <c r="O106" s="65" t="s">
        <v>55</v>
      </c>
      <c r="P106" s="162" t="s">
        <v>1407</v>
      </c>
      <c r="Q106" s="158"/>
      <c r="R106" s="157" t="s">
        <v>1547</v>
      </c>
      <c r="S106" s="114"/>
      <c r="T106" s="162" t="s">
        <v>25</v>
      </c>
      <c r="U106" s="65" t="s">
        <v>1388</v>
      </c>
      <c r="V106" s="162">
        <v>1416</v>
      </c>
      <c r="W106" s="165"/>
      <c r="X106" s="218" t="s">
        <v>1400</v>
      </c>
      <c r="Y106" s="167">
        <v>44693.432893518519</v>
      </c>
    </row>
    <row r="107" spans="1:25">
      <c r="A107" s="131" t="s">
        <v>80</v>
      </c>
      <c r="B107" s="109" t="s">
        <v>1320</v>
      </c>
      <c r="C107" s="160" t="s">
        <v>692</v>
      </c>
      <c r="D107" s="162" t="s">
        <v>1636</v>
      </c>
      <c r="E107" s="65" t="s">
        <v>1365</v>
      </c>
      <c r="F107" s="162" t="s">
        <v>1431</v>
      </c>
      <c r="G107" s="65" t="s">
        <v>208</v>
      </c>
      <c r="H107" s="218">
        <v>1</v>
      </c>
      <c r="I107" s="65"/>
      <c r="J107" s="218">
        <v>30</v>
      </c>
      <c r="K107" s="108"/>
      <c r="L107" s="275">
        <v>30</v>
      </c>
      <c r="M107" s="65" t="s">
        <v>1435</v>
      </c>
      <c r="N107" s="219"/>
      <c r="O107" s="65" t="s">
        <v>55</v>
      </c>
      <c r="P107" s="162" t="s">
        <v>1362</v>
      </c>
      <c r="Q107" s="158"/>
      <c r="R107" s="157"/>
      <c r="S107" s="114"/>
      <c r="T107" s="162" t="s">
        <v>25</v>
      </c>
      <c r="U107" s="65" t="s">
        <v>21</v>
      </c>
      <c r="V107" s="162">
        <v>93</v>
      </c>
      <c r="W107" s="165"/>
      <c r="X107" s="218" t="s">
        <v>208</v>
      </c>
      <c r="Y107" s="167">
        <v>43312</v>
      </c>
    </row>
    <row r="108" spans="1:25">
      <c r="A108" s="131" t="s">
        <v>62</v>
      </c>
      <c r="B108" s="109" t="s">
        <v>1385</v>
      </c>
      <c r="C108" s="160" t="s">
        <v>1637</v>
      </c>
      <c r="D108" s="162" t="s">
        <v>1638</v>
      </c>
      <c r="E108" s="65" t="s">
        <v>1469</v>
      </c>
      <c r="F108" s="162" t="s">
        <v>18</v>
      </c>
      <c r="G108" s="65" t="s">
        <v>208</v>
      </c>
      <c r="H108" s="218">
        <v>1</v>
      </c>
      <c r="I108" s="65"/>
      <c r="J108" s="218">
        <v>400</v>
      </c>
      <c r="K108" s="108"/>
      <c r="L108" s="275">
        <v>400</v>
      </c>
      <c r="M108" s="65" t="s">
        <v>1639</v>
      </c>
      <c r="N108" s="219">
        <v>4000</v>
      </c>
      <c r="O108" s="65" t="s">
        <v>1285</v>
      </c>
      <c r="P108" s="162" t="s">
        <v>1403</v>
      </c>
      <c r="Q108" s="158"/>
      <c r="R108" s="157"/>
      <c r="S108" s="114"/>
      <c r="T108" s="162" t="s">
        <v>29</v>
      </c>
      <c r="U108" s="65" t="s">
        <v>18</v>
      </c>
      <c r="V108" s="162">
        <v>1968</v>
      </c>
      <c r="W108" s="165" t="s">
        <v>3968</v>
      </c>
      <c r="X108" s="218" t="s">
        <v>208</v>
      </c>
      <c r="Y108" s="167">
        <v>44679.637129629627</v>
      </c>
    </row>
    <row r="109" spans="1:25">
      <c r="A109" s="131" t="s">
        <v>100</v>
      </c>
      <c r="B109" s="109" t="s">
        <v>1385</v>
      </c>
      <c r="C109" s="254" t="s">
        <v>4023</v>
      </c>
      <c r="D109" s="162" t="s">
        <v>4024</v>
      </c>
      <c r="E109" s="65"/>
      <c r="F109" s="162" t="s">
        <v>1529</v>
      </c>
      <c r="G109" s="65"/>
      <c r="H109" s="218">
        <v>60</v>
      </c>
      <c r="I109" s="65"/>
      <c r="J109" s="242"/>
      <c r="K109" s="108"/>
      <c r="L109" s="282">
        <v>402</v>
      </c>
      <c r="M109" s="243">
        <v>402</v>
      </c>
      <c r="N109" s="219"/>
      <c r="O109" s="65" t="s">
        <v>1285</v>
      </c>
      <c r="P109" s="162"/>
      <c r="Q109" s="158"/>
      <c r="R109" s="157"/>
      <c r="S109" s="114"/>
      <c r="T109" s="162" t="s">
        <v>29</v>
      </c>
      <c r="U109" s="65" t="s">
        <v>20</v>
      </c>
      <c r="V109" s="162"/>
      <c r="W109" s="165" t="s">
        <v>4050</v>
      </c>
      <c r="X109" s="218"/>
      <c r="Y109" s="167"/>
    </row>
    <row r="110" spans="1:25" customFormat="1">
      <c r="A110" s="244" t="s">
        <v>62</v>
      </c>
      <c r="B110" s="253" t="s">
        <v>1320</v>
      </c>
      <c r="C110" s="255" t="s">
        <v>1640</v>
      </c>
      <c r="D110" s="256" t="s">
        <v>1513</v>
      </c>
      <c r="E110" s="248" t="s">
        <v>1359</v>
      </c>
      <c r="F110" s="256" t="s">
        <v>1486</v>
      </c>
      <c r="G110" s="248" t="s">
        <v>208</v>
      </c>
      <c r="H110" s="246">
        <v>1</v>
      </c>
      <c r="I110" s="248"/>
      <c r="J110" s="246">
        <v>0.78900000000000003</v>
      </c>
      <c r="K110" s="249"/>
      <c r="L110" s="281">
        <v>0.78900000000000003</v>
      </c>
      <c r="M110" s="248" t="s">
        <v>1514</v>
      </c>
      <c r="N110" s="247"/>
      <c r="O110" s="248" t="s">
        <v>55</v>
      </c>
      <c r="P110" s="256" t="s">
        <v>1362</v>
      </c>
      <c r="Q110" s="250"/>
      <c r="R110" s="260"/>
      <c r="S110" s="251"/>
      <c r="T110" s="256" t="s">
        <v>25</v>
      </c>
      <c r="U110" s="248" t="s">
        <v>19</v>
      </c>
      <c r="V110" s="256">
        <v>1343</v>
      </c>
      <c r="W110" s="263"/>
      <c r="X110" s="218" t="s">
        <v>1400</v>
      </c>
      <c r="Y110" s="266">
        <v>43769.416655092595</v>
      </c>
    </row>
    <row r="111" spans="1:25" customFormat="1">
      <c r="A111" s="244" t="s">
        <v>100</v>
      </c>
      <c r="B111" s="253" t="s">
        <v>1385</v>
      </c>
      <c r="C111" s="255" t="s">
        <v>1641</v>
      </c>
      <c r="D111" s="256" t="s">
        <v>1642</v>
      </c>
      <c r="E111" s="248"/>
      <c r="F111" s="256" t="s">
        <v>1643</v>
      </c>
      <c r="G111" s="248"/>
      <c r="H111" s="246"/>
      <c r="I111" s="248"/>
      <c r="J111" s="246"/>
      <c r="K111" s="249"/>
      <c r="L111" s="281">
        <v>100</v>
      </c>
      <c r="M111" s="248"/>
      <c r="N111" s="247"/>
      <c r="O111" s="248" t="s">
        <v>1285</v>
      </c>
      <c r="P111" s="256"/>
      <c r="Q111" s="250"/>
      <c r="R111" s="260"/>
      <c r="S111" s="251"/>
      <c r="T111" s="256" t="s">
        <v>29</v>
      </c>
      <c r="U111" s="248" t="s">
        <v>21</v>
      </c>
      <c r="V111" s="256" t="s">
        <v>208</v>
      </c>
      <c r="W111" s="263" t="s">
        <v>1644</v>
      </c>
      <c r="X111" s="264"/>
      <c r="Y111" s="266" t="s">
        <v>208</v>
      </c>
    </row>
    <row r="112" spans="1:25" customFormat="1">
      <c r="A112" s="244" t="s">
        <v>100</v>
      </c>
      <c r="B112" s="253" t="s">
        <v>1385</v>
      </c>
      <c r="C112" s="255" t="s">
        <v>1641</v>
      </c>
      <c r="D112" s="256" t="s">
        <v>1642</v>
      </c>
      <c r="E112" s="248"/>
      <c r="F112" s="256" t="s">
        <v>21</v>
      </c>
      <c r="G112" s="248"/>
      <c r="H112" s="246"/>
      <c r="I112" s="248"/>
      <c r="J112" s="246"/>
      <c r="K112" s="249"/>
      <c r="L112" s="281">
        <v>200</v>
      </c>
      <c r="M112" s="248"/>
      <c r="N112" s="247"/>
      <c r="O112" s="248" t="s">
        <v>1285</v>
      </c>
      <c r="P112" s="256"/>
      <c r="Q112" s="250"/>
      <c r="R112" s="260"/>
      <c r="S112" s="251"/>
      <c r="T112" s="256" t="s">
        <v>29</v>
      </c>
      <c r="U112" s="248" t="s">
        <v>20</v>
      </c>
      <c r="V112" s="256" t="s">
        <v>208</v>
      </c>
      <c r="W112" s="263" t="s">
        <v>1645</v>
      </c>
      <c r="X112" s="218"/>
      <c r="Y112" s="266" t="s">
        <v>208</v>
      </c>
    </row>
    <row r="113" spans="1:25" customFormat="1">
      <c r="A113" s="244" t="s">
        <v>100</v>
      </c>
      <c r="B113" s="253" t="s">
        <v>1385</v>
      </c>
      <c r="C113" s="255" t="s">
        <v>1641</v>
      </c>
      <c r="D113" s="256" t="s">
        <v>1642</v>
      </c>
      <c r="E113" s="248"/>
      <c r="F113" s="256" t="s">
        <v>1388</v>
      </c>
      <c r="G113" s="248"/>
      <c r="H113" s="246"/>
      <c r="I113" s="248"/>
      <c r="J113" s="246"/>
      <c r="K113" s="249"/>
      <c r="L113" s="281">
        <v>400</v>
      </c>
      <c r="M113" s="248"/>
      <c r="N113" s="247"/>
      <c r="O113" s="248" t="s">
        <v>1285</v>
      </c>
      <c r="P113" s="256"/>
      <c r="Q113" s="250"/>
      <c r="R113" s="260"/>
      <c r="S113" s="251"/>
      <c r="T113" s="256" t="s">
        <v>29</v>
      </c>
      <c r="U113" s="248" t="s">
        <v>1388</v>
      </c>
      <c r="V113" s="256" t="s">
        <v>208</v>
      </c>
      <c r="W113" s="263" t="s">
        <v>1646</v>
      </c>
      <c r="X113" s="218"/>
      <c r="Y113" s="266" t="s">
        <v>208</v>
      </c>
    </row>
    <row r="114" spans="1:25" customFormat="1">
      <c r="A114" s="244" t="s">
        <v>46</v>
      </c>
      <c r="B114" s="253" t="s">
        <v>1320</v>
      </c>
      <c r="C114" s="255" t="s">
        <v>1647</v>
      </c>
      <c r="D114" s="256" t="s">
        <v>59</v>
      </c>
      <c r="E114" s="248" t="s">
        <v>1365</v>
      </c>
      <c r="F114" s="256" t="s">
        <v>1360</v>
      </c>
      <c r="G114" s="248" t="s">
        <v>208</v>
      </c>
      <c r="H114" s="246">
        <v>2</v>
      </c>
      <c r="I114" s="248"/>
      <c r="J114" s="246">
        <v>0.38600000000000001</v>
      </c>
      <c r="K114" s="249"/>
      <c r="L114" s="281">
        <v>0.77200000000000002</v>
      </c>
      <c r="M114" s="248" t="s">
        <v>1648</v>
      </c>
      <c r="N114" s="247"/>
      <c r="O114" s="248" t="s">
        <v>55</v>
      </c>
      <c r="P114" s="256" t="s">
        <v>1362</v>
      </c>
      <c r="Q114" s="250"/>
      <c r="R114" s="260"/>
      <c r="S114" s="251"/>
      <c r="T114" s="256" t="s">
        <v>25</v>
      </c>
      <c r="U114" s="248" t="s">
        <v>15</v>
      </c>
      <c r="V114" s="256">
        <v>1362</v>
      </c>
      <c r="W114" s="263"/>
      <c r="X114" s="218" t="s">
        <v>1363</v>
      </c>
      <c r="Y114" s="266">
        <v>44273.775138888886</v>
      </c>
    </row>
    <row r="115" spans="1:25" customFormat="1">
      <c r="A115" s="244" t="s">
        <v>62</v>
      </c>
      <c r="B115" s="253" t="s">
        <v>1385</v>
      </c>
      <c r="C115" s="255" t="s">
        <v>4056</v>
      </c>
      <c r="D115" s="256" t="s">
        <v>2083</v>
      </c>
      <c r="E115" s="248"/>
      <c r="F115" s="256" t="s">
        <v>1527</v>
      </c>
      <c r="G115" s="248"/>
      <c r="H115" s="246"/>
      <c r="I115" s="248"/>
      <c r="J115" s="246">
        <v>270</v>
      </c>
      <c r="K115" s="249"/>
      <c r="L115" s="281">
        <v>270</v>
      </c>
      <c r="M115" s="248"/>
      <c r="N115" s="247"/>
      <c r="O115" s="248" t="s">
        <v>1285</v>
      </c>
      <c r="P115" s="256"/>
      <c r="Q115" s="250"/>
      <c r="R115" s="260"/>
      <c r="S115" s="251"/>
      <c r="T115" s="256" t="s">
        <v>29</v>
      </c>
      <c r="U115" s="248" t="s">
        <v>1388</v>
      </c>
      <c r="V115" s="256"/>
      <c r="W115" s="263" t="s">
        <v>4065</v>
      </c>
      <c r="X115" s="218"/>
      <c r="Y115" s="266"/>
    </row>
    <row r="116" spans="1:25" customFormat="1">
      <c r="A116" s="244" t="s">
        <v>62</v>
      </c>
      <c r="B116" s="253" t="s">
        <v>1385</v>
      </c>
      <c r="C116" s="255" t="s">
        <v>1649</v>
      </c>
      <c r="D116" s="256" t="s">
        <v>1650</v>
      </c>
      <c r="E116" s="248" t="s">
        <v>1398</v>
      </c>
      <c r="F116" s="256" t="s">
        <v>1388</v>
      </c>
      <c r="G116" s="248" t="s">
        <v>208</v>
      </c>
      <c r="H116" s="246">
        <v>1</v>
      </c>
      <c r="I116" s="248"/>
      <c r="J116" s="246">
        <v>60</v>
      </c>
      <c r="K116" s="249"/>
      <c r="L116" s="281">
        <v>60</v>
      </c>
      <c r="M116" s="248" t="s">
        <v>1651</v>
      </c>
      <c r="N116" s="247"/>
      <c r="O116" s="248" t="s">
        <v>1285</v>
      </c>
      <c r="P116" s="256" t="s">
        <v>1407</v>
      </c>
      <c r="Q116" s="250"/>
      <c r="R116" s="260"/>
      <c r="S116" s="251"/>
      <c r="T116" s="256" t="s">
        <v>29</v>
      </c>
      <c r="U116" s="248" t="s">
        <v>1388</v>
      </c>
      <c r="V116" s="256">
        <v>100</v>
      </c>
      <c r="W116" s="263"/>
      <c r="X116" s="218" t="s">
        <v>208</v>
      </c>
      <c r="Y116" s="266">
        <v>43312</v>
      </c>
    </row>
    <row r="117" spans="1:25" customFormat="1">
      <c r="A117" s="244" t="s">
        <v>46</v>
      </c>
      <c r="B117" s="253" t="s">
        <v>1320</v>
      </c>
      <c r="C117" s="255" t="s">
        <v>1652</v>
      </c>
      <c r="D117" s="256" t="s">
        <v>1653</v>
      </c>
      <c r="E117" s="248" t="s">
        <v>1419</v>
      </c>
      <c r="F117" s="256" t="s">
        <v>17</v>
      </c>
      <c r="G117" s="248" t="s">
        <v>208</v>
      </c>
      <c r="H117" s="246">
        <v>15</v>
      </c>
      <c r="I117" s="248"/>
      <c r="J117" s="246">
        <v>0.66</v>
      </c>
      <c r="K117" s="249"/>
      <c r="L117" s="281">
        <v>9.9</v>
      </c>
      <c r="M117" s="248" t="s">
        <v>1654</v>
      </c>
      <c r="N117" s="247"/>
      <c r="O117" s="248" t="s">
        <v>55</v>
      </c>
      <c r="P117" s="256" t="s">
        <v>1362</v>
      </c>
      <c r="Q117" s="250"/>
      <c r="R117" s="260" t="s">
        <v>1655</v>
      </c>
      <c r="S117" s="251"/>
      <c r="T117" s="256" t="s">
        <v>25</v>
      </c>
      <c r="U117" s="248" t="s">
        <v>17</v>
      </c>
      <c r="V117" s="256">
        <v>1020</v>
      </c>
      <c r="W117" s="263"/>
      <c r="X117" s="218" t="s">
        <v>1363</v>
      </c>
      <c r="Y117" s="266">
        <v>44678.440682870372</v>
      </c>
    </row>
    <row r="118" spans="1:25" customFormat="1">
      <c r="A118" s="244" t="s">
        <v>62</v>
      </c>
      <c r="B118" s="253" t="s">
        <v>1385</v>
      </c>
      <c r="C118" s="255" t="s">
        <v>1656</v>
      </c>
      <c r="D118" s="256" t="s">
        <v>1657</v>
      </c>
      <c r="E118" s="248"/>
      <c r="F118" s="256" t="s">
        <v>21</v>
      </c>
      <c r="G118" s="248"/>
      <c r="H118" s="246"/>
      <c r="I118" s="248"/>
      <c r="J118" s="246"/>
      <c r="K118" s="249"/>
      <c r="L118" s="281">
        <v>29.25</v>
      </c>
      <c r="M118" s="248"/>
      <c r="N118" s="247"/>
      <c r="O118" s="248" t="s">
        <v>1285</v>
      </c>
      <c r="P118" s="256"/>
      <c r="Q118" s="250"/>
      <c r="R118" s="260" t="s">
        <v>208</v>
      </c>
      <c r="S118" s="251"/>
      <c r="T118" s="256" t="s">
        <v>29</v>
      </c>
      <c r="U118" s="248" t="s">
        <v>20</v>
      </c>
      <c r="V118" s="256" t="s">
        <v>208</v>
      </c>
      <c r="W118" s="263" t="s">
        <v>1658</v>
      </c>
      <c r="X118" s="218"/>
      <c r="Y118" s="266" t="s">
        <v>208</v>
      </c>
    </row>
    <row r="119" spans="1:25" customFormat="1">
      <c r="A119" s="244" t="s">
        <v>62</v>
      </c>
      <c r="B119" s="253" t="s">
        <v>1385</v>
      </c>
      <c r="C119" s="255" t="s">
        <v>1656</v>
      </c>
      <c r="D119" s="256" t="s">
        <v>1657</v>
      </c>
      <c r="E119" s="248"/>
      <c r="F119" s="256" t="s">
        <v>1388</v>
      </c>
      <c r="G119" s="248"/>
      <c r="H119" s="246"/>
      <c r="I119" s="248"/>
      <c r="J119" s="246"/>
      <c r="K119" s="249"/>
      <c r="L119" s="281">
        <v>106</v>
      </c>
      <c r="M119" s="248"/>
      <c r="N119" s="247"/>
      <c r="O119" s="248" t="s">
        <v>1285</v>
      </c>
      <c r="P119" s="256"/>
      <c r="Q119" s="250"/>
      <c r="R119" s="260" t="s">
        <v>208</v>
      </c>
      <c r="S119" s="251"/>
      <c r="T119" s="256" t="s">
        <v>29</v>
      </c>
      <c r="U119" s="248" t="s">
        <v>1388</v>
      </c>
      <c r="V119" s="256" t="s">
        <v>208</v>
      </c>
      <c r="W119" s="263" t="s">
        <v>1658</v>
      </c>
      <c r="X119" s="218"/>
      <c r="Y119" s="266" t="s">
        <v>208</v>
      </c>
    </row>
    <row r="120" spans="1:25" customFormat="1">
      <c r="A120" s="244" t="s">
        <v>46</v>
      </c>
      <c r="B120" s="253" t="s">
        <v>1385</v>
      </c>
      <c r="C120" s="255" t="s">
        <v>1659</v>
      </c>
      <c r="D120" s="256" t="s">
        <v>1660</v>
      </c>
      <c r="E120" s="248" t="s">
        <v>1391</v>
      </c>
      <c r="F120" s="256" t="s">
        <v>1388</v>
      </c>
      <c r="G120" s="248" t="s">
        <v>208</v>
      </c>
      <c r="H120" s="246">
        <v>1</v>
      </c>
      <c r="I120" s="248"/>
      <c r="J120" s="246">
        <v>300</v>
      </c>
      <c r="K120" s="249"/>
      <c r="L120" s="281">
        <v>300</v>
      </c>
      <c r="M120" s="248" t="s">
        <v>1661</v>
      </c>
      <c r="N120" s="247">
        <v>300</v>
      </c>
      <c r="O120" s="248" t="s">
        <v>1285</v>
      </c>
      <c r="P120" s="256" t="s">
        <v>1393</v>
      </c>
      <c r="Q120" s="250"/>
      <c r="R120" s="260"/>
      <c r="S120" s="251"/>
      <c r="T120" s="256" t="s">
        <v>29</v>
      </c>
      <c r="U120" s="248" t="s">
        <v>20</v>
      </c>
      <c r="V120" s="256">
        <v>2017</v>
      </c>
      <c r="W120" s="263" t="s">
        <v>3935</v>
      </c>
      <c r="X120" s="218" t="s">
        <v>208</v>
      </c>
      <c r="Y120" s="266">
        <v>44727.676192129627</v>
      </c>
    </row>
    <row r="121" spans="1:25" customFormat="1">
      <c r="A121" s="244" t="s">
        <v>46</v>
      </c>
      <c r="B121" s="253" t="s">
        <v>1385</v>
      </c>
      <c r="C121" s="255" t="s">
        <v>1659</v>
      </c>
      <c r="D121" s="256" t="s">
        <v>1660</v>
      </c>
      <c r="E121" s="248" t="s">
        <v>1429</v>
      </c>
      <c r="F121" s="256" t="s">
        <v>1388</v>
      </c>
      <c r="G121" s="248" t="s">
        <v>208</v>
      </c>
      <c r="H121" s="246">
        <v>73</v>
      </c>
      <c r="I121" s="248"/>
      <c r="J121" s="246">
        <v>4.4000000000000004</v>
      </c>
      <c r="K121" s="249"/>
      <c r="L121" s="281">
        <v>321.20000000000005</v>
      </c>
      <c r="M121" s="248" t="s">
        <v>1662</v>
      </c>
      <c r="N121" s="247"/>
      <c r="O121" s="248" t="s">
        <v>1285</v>
      </c>
      <c r="P121" s="256" t="s">
        <v>1393</v>
      </c>
      <c r="Q121" s="250"/>
      <c r="R121" s="260"/>
      <c r="S121" s="251"/>
      <c r="T121" s="256" t="s">
        <v>29</v>
      </c>
      <c r="U121" s="248" t="s">
        <v>1388</v>
      </c>
      <c r="V121" s="256">
        <v>2017</v>
      </c>
      <c r="W121" s="263" t="s">
        <v>3935</v>
      </c>
      <c r="X121" s="218" t="s">
        <v>208</v>
      </c>
      <c r="Y121" s="266">
        <v>44727.676192129627</v>
      </c>
    </row>
    <row r="122" spans="1:25" customFormat="1">
      <c r="A122" s="244" t="s">
        <v>46</v>
      </c>
      <c r="B122" s="253" t="s">
        <v>1320</v>
      </c>
      <c r="C122" s="255" t="s">
        <v>1663</v>
      </c>
      <c r="D122" s="256" t="s">
        <v>558</v>
      </c>
      <c r="E122" s="248" t="s">
        <v>1539</v>
      </c>
      <c r="F122" s="256" t="s">
        <v>18</v>
      </c>
      <c r="G122" s="248" t="s">
        <v>1664</v>
      </c>
      <c r="H122" s="246">
        <v>1</v>
      </c>
      <c r="I122" s="248"/>
      <c r="J122" s="246">
        <v>80</v>
      </c>
      <c r="K122" s="249"/>
      <c r="L122" s="281">
        <v>80</v>
      </c>
      <c r="M122" s="248" t="s">
        <v>1665</v>
      </c>
      <c r="N122" s="247"/>
      <c r="O122" s="248" t="s">
        <v>55</v>
      </c>
      <c r="P122" s="256" t="s">
        <v>1403</v>
      </c>
      <c r="Q122" s="250"/>
      <c r="R122" s="260" t="s">
        <v>1434</v>
      </c>
      <c r="S122" s="251"/>
      <c r="T122" s="256" t="s">
        <v>25</v>
      </c>
      <c r="U122" s="248" t="s">
        <v>18</v>
      </c>
      <c r="V122" s="256">
        <v>1021</v>
      </c>
      <c r="W122" s="263"/>
      <c r="X122" s="218" t="s">
        <v>1363</v>
      </c>
      <c r="Y122" s="266">
        <v>44665.474548611113</v>
      </c>
    </row>
    <row r="123" spans="1:25" customFormat="1">
      <c r="A123" s="244" t="s">
        <v>80</v>
      </c>
      <c r="B123" s="253" t="s">
        <v>1320</v>
      </c>
      <c r="C123" s="255" t="s">
        <v>1666</v>
      </c>
      <c r="D123" s="256" t="s">
        <v>1667</v>
      </c>
      <c r="E123" s="248" t="s">
        <v>1365</v>
      </c>
      <c r="F123" s="256" t="s">
        <v>1431</v>
      </c>
      <c r="G123" s="248" t="s">
        <v>208</v>
      </c>
      <c r="H123" s="246">
        <v>1</v>
      </c>
      <c r="I123" s="248"/>
      <c r="J123" s="246">
        <v>0.505</v>
      </c>
      <c r="K123" s="249"/>
      <c r="L123" s="281">
        <v>0.505</v>
      </c>
      <c r="M123" s="248" t="s">
        <v>1668</v>
      </c>
      <c r="N123" s="247"/>
      <c r="O123" s="248" t="s">
        <v>55</v>
      </c>
      <c r="P123" s="256" t="s">
        <v>1362</v>
      </c>
      <c r="Q123" s="250"/>
      <c r="R123" s="260"/>
      <c r="S123" s="251"/>
      <c r="T123" s="256" t="s">
        <v>25</v>
      </c>
      <c r="U123" s="248" t="s">
        <v>21</v>
      </c>
      <c r="V123" s="256">
        <v>1302</v>
      </c>
      <c r="W123" s="263"/>
      <c r="X123" s="218" t="s">
        <v>1363</v>
      </c>
      <c r="Y123" s="266">
        <v>44671.377500000002</v>
      </c>
    </row>
    <row r="124" spans="1:25" customFormat="1">
      <c r="A124" s="244" t="s">
        <v>62</v>
      </c>
      <c r="B124" s="253" t="s">
        <v>1385</v>
      </c>
      <c r="C124" s="255" t="s">
        <v>290</v>
      </c>
      <c r="D124" s="256" t="s">
        <v>291</v>
      </c>
      <c r="E124" s="248" t="s">
        <v>1429</v>
      </c>
      <c r="F124" s="256" t="s">
        <v>1388</v>
      </c>
      <c r="G124" s="248" t="s">
        <v>1669</v>
      </c>
      <c r="H124" s="246">
        <v>1</v>
      </c>
      <c r="I124" s="248"/>
      <c r="J124" s="246">
        <v>148</v>
      </c>
      <c r="K124" s="249"/>
      <c r="L124" s="281">
        <v>148</v>
      </c>
      <c r="M124" s="248" t="s">
        <v>1670</v>
      </c>
      <c r="N124" s="247">
        <v>0</v>
      </c>
      <c r="O124" s="248" t="s">
        <v>27</v>
      </c>
      <c r="P124" s="256" t="s">
        <v>1407</v>
      </c>
      <c r="Q124" s="250" t="s">
        <v>1671</v>
      </c>
      <c r="R124" s="260" t="s">
        <v>1542</v>
      </c>
      <c r="S124" s="251"/>
      <c r="T124" s="256" t="s">
        <v>27</v>
      </c>
      <c r="U124" s="248" t="s">
        <v>1388</v>
      </c>
      <c r="V124" s="256">
        <v>1903</v>
      </c>
      <c r="W124" s="263"/>
      <c r="X124" s="218" t="s">
        <v>1453</v>
      </c>
      <c r="Y124" s="266">
        <v>44746.517407407409</v>
      </c>
    </row>
    <row r="125" spans="1:25" customFormat="1">
      <c r="A125" s="244" t="s">
        <v>62</v>
      </c>
      <c r="B125" s="253" t="s">
        <v>1385</v>
      </c>
      <c r="C125" s="255" t="s">
        <v>1672</v>
      </c>
      <c r="D125" s="256" t="s">
        <v>1673</v>
      </c>
      <c r="E125" s="248" t="s">
        <v>1398</v>
      </c>
      <c r="F125" s="256" t="s">
        <v>1388</v>
      </c>
      <c r="G125" s="248" t="s">
        <v>208</v>
      </c>
      <c r="H125" s="246">
        <v>1</v>
      </c>
      <c r="I125" s="248">
        <v>1</v>
      </c>
      <c r="J125" s="246">
        <v>85</v>
      </c>
      <c r="K125" s="249">
        <v>1</v>
      </c>
      <c r="L125" s="281">
        <v>85</v>
      </c>
      <c r="M125" s="248" t="s">
        <v>1674</v>
      </c>
      <c r="N125" s="247"/>
      <c r="O125" s="248" t="s">
        <v>1285</v>
      </c>
      <c r="P125" s="256" t="s">
        <v>1407</v>
      </c>
      <c r="Q125" s="250"/>
      <c r="R125" s="260"/>
      <c r="S125" s="251"/>
      <c r="T125" s="256" t="s">
        <v>29</v>
      </c>
      <c r="U125" s="248" t="s">
        <v>1388</v>
      </c>
      <c r="V125" s="256">
        <v>1449</v>
      </c>
      <c r="W125" s="263"/>
      <c r="X125" s="218" t="s">
        <v>1363</v>
      </c>
      <c r="Y125" s="266">
        <v>44671.44803240741</v>
      </c>
    </row>
    <row r="126" spans="1:25" customFormat="1">
      <c r="A126" s="244" t="s">
        <v>80</v>
      </c>
      <c r="B126" s="253" t="s">
        <v>1385</v>
      </c>
      <c r="C126" s="255" t="s">
        <v>1675</v>
      </c>
      <c r="D126" s="256" t="s">
        <v>1676</v>
      </c>
      <c r="E126" s="248" t="s">
        <v>1391</v>
      </c>
      <c r="F126" s="256" t="s">
        <v>21</v>
      </c>
      <c r="G126" s="248"/>
      <c r="H126" s="246"/>
      <c r="I126" s="248"/>
      <c r="J126" s="246"/>
      <c r="K126" s="249"/>
      <c r="L126" s="281">
        <v>300</v>
      </c>
      <c r="M126" s="248"/>
      <c r="N126" s="247"/>
      <c r="O126" s="248" t="s">
        <v>1285</v>
      </c>
      <c r="P126" s="256"/>
      <c r="Q126" s="250"/>
      <c r="R126" s="260"/>
      <c r="S126" s="251"/>
      <c r="T126" s="256" t="s">
        <v>29</v>
      </c>
      <c r="U126" s="248" t="s">
        <v>20</v>
      </c>
      <c r="V126" s="256" t="s">
        <v>208</v>
      </c>
      <c r="W126" s="263" t="s">
        <v>1677</v>
      </c>
      <c r="X126" s="218"/>
      <c r="Y126" s="266" t="s">
        <v>208</v>
      </c>
    </row>
    <row r="127" spans="1:25" customFormat="1">
      <c r="A127" s="244" t="s">
        <v>46</v>
      </c>
      <c r="B127" s="253" t="s">
        <v>1385</v>
      </c>
      <c r="C127" s="255" t="s">
        <v>1028</v>
      </c>
      <c r="D127" s="256" t="s">
        <v>1678</v>
      </c>
      <c r="E127" s="248" t="s">
        <v>1419</v>
      </c>
      <c r="F127" s="256" t="s">
        <v>17</v>
      </c>
      <c r="G127" s="248" t="s">
        <v>1679</v>
      </c>
      <c r="H127" s="246">
        <v>15</v>
      </c>
      <c r="I127" s="248"/>
      <c r="J127" s="246">
        <v>5.3</v>
      </c>
      <c r="K127" s="249"/>
      <c r="L127" s="281">
        <v>79.5</v>
      </c>
      <c r="M127" s="248" t="s">
        <v>1680</v>
      </c>
      <c r="N127" s="247"/>
      <c r="O127" s="248" t="s">
        <v>1285</v>
      </c>
      <c r="P127" s="256" t="s">
        <v>1407</v>
      </c>
      <c r="Q127" s="250"/>
      <c r="R127" s="260" t="s">
        <v>1681</v>
      </c>
      <c r="S127" s="251"/>
      <c r="T127" s="256" t="s">
        <v>29</v>
      </c>
      <c r="U127" s="248" t="s">
        <v>17</v>
      </c>
      <c r="V127" s="256">
        <v>1022</v>
      </c>
      <c r="W127" s="263"/>
      <c r="X127" s="218" t="s">
        <v>1363</v>
      </c>
      <c r="Y127" s="266">
        <v>44746.439409722225</v>
      </c>
    </row>
    <row r="128" spans="1:25" customFormat="1">
      <c r="A128" s="244" t="s">
        <v>46</v>
      </c>
      <c r="B128" s="253" t="s">
        <v>1320</v>
      </c>
      <c r="C128" s="255" t="s">
        <v>1028</v>
      </c>
      <c r="D128" s="256" t="s">
        <v>1678</v>
      </c>
      <c r="E128" s="248" t="s">
        <v>1419</v>
      </c>
      <c r="F128" s="256" t="s">
        <v>17</v>
      </c>
      <c r="G128" s="248" t="s">
        <v>1682</v>
      </c>
      <c r="H128" s="246">
        <v>9</v>
      </c>
      <c r="I128" s="248"/>
      <c r="J128" s="246">
        <v>1.6</v>
      </c>
      <c r="K128" s="249"/>
      <c r="L128" s="281">
        <v>14.4</v>
      </c>
      <c r="M128" s="248" t="s">
        <v>1683</v>
      </c>
      <c r="N128" s="247"/>
      <c r="O128" s="248" t="s">
        <v>55</v>
      </c>
      <c r="P128" s="256" t="s">
        <v>1407</v>
      </c>
      <c r="Q128" s="250"/>
      <c r="R128" s="260" t="s">
        <v>1511</v>
      </c>
      <c r="S128" s="251"/>
      <c r="T128" s="256" t="s">
        <v>25</v>
      </c>
      <c r="U128" s="248" t="s">
        <v>17</v>
      </c>
      <c r="V128" s="256">
        <v>1022</v>
      </c>
      <c r="W128" s="263"/>
      <c r="X128" s="218" t="s">
        <v>1363</v>
      </c>
      <c r="Y128" s="266">
        <v>44746.439409722225</v>
      </c>
    </row>
    <row r="129" spans="1:25" customFormat="1">
      <c r="A129" s="244" t="s">
        <v>46</v>
      </c>
      <c r="B129" s="253" t="s">
        <v>1320</v>
      </c>
      <c r="C129" s="255" t="s">
        <v>1028</v>
      </c>
      <c r="D129" s="256" t="s">
        <v>1678</v>
      </c>
      <c r="E129" s="248" t="s">
        <v>1419</v>
      </c>
      <c r="F129" s="256" t="s">
        <v>17</v>
      </c>
      <c r="G129" s="248" t="s">
        <v>1682</v>
      </c>
      <c r="H129" s="246">
        <v>58</v>
      </c>
      <c r="I129" s="248"/>
      <c r="J129" s="246">
        <v>1.7</v>
      </c>
      <c r="K129" s="249"/>
      <c r="L129" s="281">
        <v>98.6</v>
      </c>
      <c r="M129" s="248" t="s">
        <v>1684</v>
      </c>
      <c r="N129" s="247"/>
      <c r="O129" s="248" t="s">
        <v>55</v>
      </c>
      <c r="P129" s="256" t="s">
        <v>1407</v>
      </c>
      <c r="Q129" s="250"/>
      <c r="R129" s="260" t="s">
        <v>1511</v>
      </c>
      <c r="S129" s="251"/>
      <c r="T129" s="256" t="s">
        <v>25</v>
      </c>
      <c r="U129" s="248" t="s">
        <v>17</v>
      </c>
      <c r="V129" s="256">
        <v>1022</v>
      </c>
      <c r="W129" s="263"/>
      <c r="X129" s="218" t="s">
        <v>1363</v>
      </c>
      <c r="Y129" s="266">
        <v>44746.439409722225</v>
      </c>
    </row>
    <row r="130" spans="1:25" customFormat="1">
      <c r="A130" s="244" t="s">
        <v>46</v>
      </c>
      <c r="B130" s="253" t="s">
        <v>1320</v>
      </c>
      <c r="C130" s="255" t="s">
        <v>533</v>
      </c>
      <c r="D130" s="256" t="s">
        <v>534</v>
      </c>
      <c r="E130" s="248" t="s">
        <v>1419</v>
      </c>
      <c r="F130" s="256" t="s">
        <v>17</v>
      </c>
      <c r="G130" s="248" t="s">
        <v>1685</v>
      </c>
      <c r="H130" s="246">
        <v>33</v>
      </c>
      <c r="I130" s="248"/>
      <c r="J130" s="246">
        <v>3.43</v>
      </c>
      <c r="K130" s="249"/>
      <c r="L130" s="281">
        <v>113.19000000000001</v>
      </c>
      <c r="M130" s="248" t="s">
        <v>1686</v>
      </c>
      <c r="N130" s="247"/>
      <c r="O130" s="248" t="s">
        <v>55</v>
      </c>
      <c r="P130" s="256" t="s">
        <v>1407</v>
      </c>
      <c r="Q130" s="250"/>
      <c r="R130" s="260" t="s">
        <v>1547</v>
      </c>
      <c r="S130" s="251"/>
      <c r="T130" s="256" t="s">
        <v>25</v>
      </c>
      <c r="U130" s="248" t="s">
        <v>17</v>
      </c>
      <c r="V130" s="256">
        <v>1259</v>
      </c>
      <c r="W130" s="263"/>
      <c r="X130" s="218" t="s">
        <v>1363</v>
      </c>
      <c r="Y130" s="266">
        <v>44671.353483796294</v>
      </c>
    </row>
    <row r="131" spans="1:25" customFormat="1">
      <c r="A131" s="244" t="s">
        <v>100</v>
      </c>
      <c r="B131" s="253" t="s">
        <v>1320</v>
      </c>
      <c r="C131" s="255" t="s">
        <v>524</v>
      </c>
      <c r="D131" s="256" t="s">
        <v>49</v>
      </c>
      <c r="E131" s="248" t="s">
        <v>1539</v>
      </c>
      <c r="F131" s="256" t="s">
        <v>18</v>
      </c>
      <c r="G131" s="248" t="s">
        <v>526</v>
      </c>
      <c r="H131" s="246">
        <v>2</v>
      </c>
      <c r="I131" s="248"/>
      <c r="J131" s="246">
        <v>70</v>
      </c>
      <c r="K131" s="249"/>
      <c r="L131" s="281">
        <v>140</v>
      </c>
      <c r="M131" s="248" t="s">
        <v>1490</v>
      </c>
      <c r="N131" s="247"/>
      <c r="O131" s="248" t="s">
        <v>55</v>
      </c>
      <c r="P131" s="256" t="s">
        <v>1403</v>
      </c>
      <c r="Q131" s="250"/>
      <c r="R131" s="260" t="s">
        <v>1542</v>
      </c>
      <c r="S131" s="251"/>
      <c r="T131" s="256" t="s">
        <v>25</v>
      </c>
      <c r="U131" s="248" t="s">
        <v>18</v>
      </c>
      <c r="V131" s="256">
        <v>1023</v>
      </c>
      <c r="W131" s="263"/>
      <c r="X131" s="218" t="s">
        <v>1363</v>
      </c>
      <c r="Y131" s="266">
        <v>44665.48097222222</v>
      </c>
    </row>
    <row r="132" spans="1:25" customFormat="1">
      <c r="A132" s="244" t="s">
        <v>100</v>
      </c>
      <c r="B132" s="253" t="s">
        <v>1320</v>
      </c>
      <c r="C132" s="255" t="s">
        <v>524</v>
      </c>
      <c r="D132" s="256" t="s">
        <v>49</v>
      </c>
      <c r="E132" s="248" t="s">
        <v>1539</v>
      </c>
      <c r="F132" s="256" t="s">
        <v>18</v>
      </c>
      <c r="G132" s="248" t="s">
        <v>526</v>
      </c>
      <c r="H132" s="246">
        <v>6</v>
      </c>
      <c r="I132" s="248"/>
      <c r="J132" s="246">
        <v>26.67</v>
      </c>
      <c r="K132" s="249"/>
      <c r="L132" s="281">
        <v>160.02000000000004</v>
      </c>
      <c r="M132" s="248" t="s">
        <v>1687</v>
      </c>
      <c r="N132" s="247"/>
      <c r="O132" s="248" t="s">
        <v>55</v>
      </c>
      <c r="P132" s="256" t="s">
        <v>1403</v>
      </c>
      <c r="Q132" s="250"/>
      <c r="R132" s="260" t="s">
        <v>1542</v>
      </c>
      <c r="S132" s="251"/>
      <c r="T132" s="256" t="s">
        <v>25</v>
      </c>
      <c r="U132" s="248" t="s">
        <v>18</v>
      </c>
      <c r="V132" s="256">
        <v>1023</v>
      </c>
      <c r="W132" s="263"/>
      <c r="X132" s="218" t="s">
        <v>1363</v>
      </c>
      <c r="Y132" s="266">
        <v>44665.48097222222</v>
      </c>
    </row>
    <row r="133" spans="1:25" customFormat="1">
      <c r="A133" s="244" t="s">
        <v>80</v>
      </c>
      <c r="B133" s="253" t="s">
        <v>1385</v>
      </c>
      <c r="C133" s="255" t="s">
        <v>1688</v>
      </c>
      <c r="D133" s="256" t="s">
        <v>202</v>
      </c>
      <c r="E133" s="248" t="s">
        <v>1493</v>
      </c>
      <c r="F133" s="256" t="s">
        <v>1360</v>
      </c>
      <c r="G133" s="248" t="s">
        <v>1689</v>
      </c>
      <c r="H133" s="246">
        <v>1</v>
      </c>
      <c r="I133" s="248"/>
      <c r="J133" s="246">
        <v>123.1</v>
      </c>
      <c r="K133" s="249"/>
      <c r="L133" s="281">
        <v>123.1</v>
      </c>
      <c r="M133" s="248">
        <v>123.1</v>
      </c>
      <c r="N133" s="247"/>
      <c r="O133" s="248" t="s">
        <v>28</v>
      </c>
      <c r="P133" s="256" t="s">
        <v>1403</v>
      </c>
      <c r="Q133" s="250" t="s">
        <v>1671</v>
      </c>
      <c r="R133" s="260" t="s">
        <v>1534</v>
      </c>
      <c r="S133" s="251"/>
      <c r="T133" s="256" t="s">
        <v>28</v>
      </c>
      <c r="U133" s="248" t="s">
        <v>14</v>
      </c>
      <c r="V133" s="256">
        <v>1533</v>
      </c>
      <c r="W133" s="263"/>
      <c r="X133" s="218" t="s">
        <v>1453</v>
      </c>
      <c r="Y133" s="266">
        <v>44747.478206018517</v>
      </c>
    </row>
    <row r="134" spans="1:25" customFormat="1">
      <c r="A134" s="244" t="s">
        <v>80</v>
      </c>
      <c r="B134" s="253" t="s">
        <v>1320</v>
      </c>
      <c r="C134" s="255" t="s">
        <v>86</v>
      </c>
      <c r="D134" s="256" t="s">
        <v>82</v>
      </c>
      <c r="E134" s="248" t="s">
        <v>1359</v>
      </c>
      <c r="F134" s="256" t="s">
        <v>19</v>
      </c>
      <c r="G134" s="248" t="s">
        <v>1690</v>
      </c>
      <c r="H134" s="246">
        <v>3</v>
      </c>
      <c r="I134" s="248"/>
      <c r="J134" s="246">
        <v>2.5</v>
      </c>
      <c r="K134" s="249"/>
      <c r="L134" s="281">
        <v>7.5</v>
      </c>
      <c r="M134" s="248" t="s">
        <v>1691</v>
      </c>
      <c r="N134" s="247"/>
      <c r="O134" s="248" t="s">
        <v>55</v>
      </c>
      <c r="P134" s="256" t="s">
        <v>1362</v>
      </c>
      <c r="Q134" s="250"/>
      <c r="R134" s="260" t="s">
        <v>1534</v>
      </c>
      <c r="S134" s="251"/>
      <c r="T134" s="256" t="s">
        <v>25</v>
      </c>
      <c r="U134" s="248" t="s">
        <v>19</v>
      </c>
      <c r="V134" s="256">
        <v>1393</v>
      </c>
      <c r="W134" s="263"/>
      <c r="X134" s="218" t="s">
        <v>1363</v>
      </c>
      <c r="Y134" s="266">
        <v>44671.435034722221</v>
      </c>
    </row>
    <row r="135" spans="1:25" customFormat="1">
      <c r="A135" s="244" t="s">
        <v>80</v>
      </c>
      <c r="B135" s="253" t="s">
        <v>1320</v>
      </c>
      <c r="C135" s="255" t="s">
        <v>86</v>
      </c>
      <c r="D135" s="256" t="s">
        <v>82</v>
      </c>
      <c r="E135" s="248" t="s">
        <v>1391</v>
      </c>
      <c r="F135" s="256" t="s">
        <v>21</v>
      </c>
      <c r="G135" s="248" t="s">
        <v>121</v>
      </c>
      <c r="H135" s="246">
        <v>1</v>
      </c>
      <c r="I135" s="248"/>
      <c r="J135" s="246">
        <v>2.46</v>
      </c>
      <c r="K135" s="249"/>
      <c r="L135" s="281">
        <v>2.46</v>
      </c>
      <c r="M135" s="248" t="s">
        <v>1692</v>
      </c>
      <c r="N135" s="247">
        <v>5.04</v>
      </c>
      <c r="O135" s="248" t="s">
        <v>27</v>
      </c>
      <c r="P135" s="256" t="s">
        <v>1403</v>
      </c>
      <c r="Q135" s="250" t="s">
        <v>1628</v>
      </c>
      <c r="R135" s="260" t="s">
        <v>1534</v>
      </c>
      <c r="S135" s="251"/>
      <c r="T135" s="256" t="s">
        <v>25</v>
      </c>
      <c r="U135" s="248" t="s">
        <v>20</v>
      </c>
      <c r="V135" s="256">
        <v>1393</v>
      </c>
      <c r="W135" s="263"/>
      <c r="X135" s="218" t="s">
        <v>1363</v>
      </c>
      <c r="Y135" s="266">
        <v>44671.435034722221</v>
      </c>
    </row>
    <row r="136" spans="1:25" customFormat="1">
      <c r="A136" s="244" t="s">
        <v>80</v>
      </c>
      <c r="B136" s="253" t="s">
        <v>1320</v>
      </c>
      <c r="C136" s="255" t="s">
        <v>86</v>
      </c>
      <c r="D136" s="256" t="s">
        <v>82</v>
      </c>
      <c r="E136" s="248" t="s">
        <v>1398</v>
      </c>
      <c r="F136" s="256" t="s">
        <v>1388</v>
      </c>
      <c r="G136" s="248" t="s">
        <v>87</v>
      </c>
      <c r="H136" s="246">
        <v>3</v>
      </c>
      <c r="I136" s="248"/>
      <c r="J136" s="246">
        <v>3.75</v>
      </c>
      <c r="K136" s="249"/>
      <c r="L136" s="281">
        <v>11.25</v>
      </c>
      <c r="M136" s="248" t="s">
        <v>1693</v>
      </c>
      <c r="N136" s="247"/>
      <c r="O136" s="248" t="s">
        <v>27</v>
      </c>
      <c r="P136" s="256" t="s">
        <v>1407</v>
      </c>
      <c r="Q136" s="250" t="s">
        <v>1628</v>
      </c>
      <c r="R136" s="260" t="s">
        <v>1534</v>
      </c>
      <c r="S136" s="251"/>
      <c r="T136" s="256" t="s">
        <v>25</v>
      </c>
      <c r="U136" s="248" t="s">
        <v>1388</v>
      </c>
      <c r="V136" s="256">
        <v>1393</v>
      </c>
      <c r="W136" s="263"/>
      <c r="X136" s="218" t="s">
        <v>1363</v>
      </c>
      <c r="Y136" s="266">
        <v>44671.435034722221</v>
      </c>
    </row>
    <row r="137" spans="1:25" customFormat="1">
      <c r="A137" s="244" t="s">
        <v>62</v>
      </c>
      <c r="B137" s="253" t="s">
        <v>1385</v>
      </c>
      <c r="C137" s="255" t="s">
        <v>1694</v>
      </c>
      <c r="D137" s="256" t="s">
        <v>1695</v>
      </c>
      <c r="E137" s="248" t="s">
        <v>1429</v>
      </c>
      <c r="F137" s="256" t="s">
        <v>1388</v>
      </c>
      <c r="G137" s="248" t="s">
        <v>208</v>
      </c>
      <c r="H137" s="246">
        <v>1</v>
      </c>
      <c r="I137" s="248"/>
      <c r="J137" s="246">
        <v>15</v>
      </c>
      <c r="K137" s="249"/>
      <c r="L137" s="281">
        <v>15</v>
      </c>
      <c r="M137" s="248" t="s">
        <v>1696</v>
      </c>
      <c r="N137" s="247"/>
      <c r="O137" s="248" t="s">
        <v>1285</v>
      </c>
      <c r="P137" s="256" t="s">
        <v>1393</v>
      </c>
      <c r="Q137" s="250"/>
      <c r="R137" s="260"/>
      <c r="S137" s="251"/>
      <c r="T137" s="256" t="s">
        <v>29</v>
      </c>
      <c r="U137" s="248" t="s">
        <v>1388</v>
      </c>
      <c r="V137" s="256">
        <v>1719</v>
      </c>
      <c r="W137" s="263"/>
      <c r="X137" s="218" t="s">
        <v>1400</v>
      </c>
      <c r="Y137" s="266">
        <v>43769.416655092595</v>
      </c>
    </row>
    <row r="138" spans="1:25" customFormat="1">
      <c r="A138" s="244" t="s">
        <v>46</v>
      </c>
      <c r="B138" s="253" t="s">
        <v>1320</v>
      </c>
      <c r="C138" s="255" t="s">
        <v>325</v>
      </c>
      <c r="D138" s="256" t="s">
        <v>326</v>
      </c>
      <c r="E138" s="248" t="s">
        <v>1429</v>
      </c>
      <c r="F138" s="256" t="s">
        <v>1388</v>
      </c>
      <c r="G138" s="248" t="s">
        <v>327</v>
      </c>
      <c r="H138" s="246">
        <v>44</v>
      </c>
      <c r="I138" s="248"/>
      <c r="J138" s="246">
        <v>2.75</v>
      </c>
      <c r="K138" s="249"/>
      <c r="L138" s="281">
        <v>121</v>
      </c>
      <c r="M138" s="248" t="s">
        <v>1697</v>
      </c>
      <c r="N138" s="247">
        <v>0</v>
      </c>
      <c r="O138" s="248" t="s">
        <v>55</v>
      </c>
      <c r="P138" s="256" t="s">
        <v>1407</v>
      </c>
      <c r="Q138" s="250"/>
      <c r="R138" s="260" t="s">
        <v>1532</v>
      </c>
      <c r="S138" s="251"/>
      <c r="T138" s="256" t="s">
        <v>25</v>
      </c>
      <c r="U138" s="248" t="s">
        <v>1388</v>
      </c>
      <c r="V138" s="256">
        <v>1554</v>
      </c>
      <c r="W138" s="263"/>
      <c r="X138" s="218" t="s">
        <v>1404</v>
      </c>
      <c r="Y138" s="266">
        <v>44700.429340277777</v>
      </c>
    </row>
    <row r="139" spans="1:25" customFormat="1">
      <c r="A139" s="244" t="s">
        <v>46</v>
      </c>
      <c r="B139" s="253" t="s">
        <v>1385</v>
      </c>
      <c r="C139" s="255" t="s">
        <v>3989</v>
      </c>
      <c r="D139" s="256" t="s">
        <v>1699</v>
      </c>
      <c r="E139" s="248"/>
      <c r="F139" s="256" t="s">
        <v>1527</v>
      </c>
      <c r="G139" s="248"/>
      <c r="H139" s="246">
        <v>39</v>
      </c>
      <c r="I139" s="248"/>
      <c r="J139" s="246">
        <v>5.1281999999999996</v>
      </c>
      <c r="K139" s="249"/>
      <c r="L139" s="281">
        <v>200</v>
      </c>
      <c r="M139" s="248">
        <v>200</v>
      </c>
      <c r="N139" s="247"/>
      <c r="O139" s="248" t="s">
        <v>1285</v>
      </c>
      <c r="P139" s="256"/>
      <c r="Q139" s="250"/>
      <c r="R139" s="260"/>
      <c r="S139" s="251"/>
      <c r="T139" s="256" t="s">
        <v>29</v>
      </c>
      <c r="U139" s="248" t="s">
        <v>1388</v>
      </c>
      <c r="V139" s="256"/>
      <c r="W139" s="263" t="s">
        <v>4025</v>
      </c>
      <c r="X139" s="218"/>
      <c r="Y139" s="266"/>
    </row>
    <row r="140" spans="1:25" customFormat="1">
      <c r="A140" s="244" t="s">
        <v>46</v>
      </c>
      <c r="B140" s="253" t="s">
        <v>1385</v>
      </c>
      <c r="C140" s="255" t="s">
        <v>3989</v>
      </c>
      <c r="D140" s="256" t="s">
        <v>1699</v>
      </c>
      <c r="E140" s="248"/>
      <c r="F140" s="256" t="s">
        <v>1529</v>
      </c>
      <c r="G140" s="248"/>
      <c r="H140" s="246"/>
      <c r="I140" s="248"/>
      <c r="J140" s="246"/>
      <c r="K140" s="249"/>
      <c r="L140" s="281"/>
      <c r="M140" s="248"/>
      <c r="N140" s="247"/>
      <c r="O140" s="248" t="s">
        <v>1285</v>
      </c>
      <c r="P140" s="256"/>
      <c r="Q140" s="250"/>
      <c r="R140" s="260"/>
      <c r="S140" s="251"/>
      <c r="T140" s="256" t="s">
        <v>29</v>
      </c>
      <c r="U140" s="248" t="s">
        <v>20</v>
      </c>
      <c r="V140" s="256"/>
      <c r="W140" s="263" t="s">
        <v>4025</v>
      </c>
      <c r="X140" s="218"/>
      <c r="Y140" s="266"/>
    </row>
    <row r="141" spans="1:25" customFormat="1">
      <c r="A141" s="244" t="s">
        <v>46</v>
      </c>
      <c r="B141" s="253" t="s">
        <v>1385</v>
      </c>
      <c r="C141" s="255" t="s">
        <v>1698</v>
      </c>
      <c r="D141" s="256" t="s">
        <v>1699</v>
      </c>
      <c r="E141" s="248" t="s">
        <v>1429</v>
      </c>
      <c r="F141" s="256" t="s">
        <v>1388</v>
      </c>
      <c r="G141" s="248" t="s">
        <v>208</v>
      </c>
      <c r="H141" s="246">
        <v>1</v>
      </c>
      <c r="I141" s="248"/>
      <c r="J141" s="246">
        <v>200</v>
      </c>
      <c r="K141" s="249"/>
      <c r="L141" s="281">
        <v>200</v>
      </c>
      <c r="M141" s="248" t="s">
        <v>1615</v>
      </c>
      <c r="N141" s="247">
        <v>0</v>
      </c>
      <c r="O141" s="248" t="s">
        <v>1285</v>
      </c>
      <c r="P141" s="256" t="s">
        <v>1407</v>
      </c>
      <c r="Q141" s="250"/>
      <c r="R141" s="260" t="s">
        <v>1700</v>
      </c>
      <c r="S141" s="251"/>
      <c r="T141" s="256" t="s">
        <v>29</v>
      </c>
      <c r="U141" s="248" t="s">
        <v>1388</v>
      </c>
      <c r="V141" s="256">
        <v>1906</v>
      </c>
      <c r="W141" s="263"/>
      <c r="X141" s="218" t="s">
        <v>1583</v>
      </c>
      <c r="Y141" s="266">
        <v>44398.550057870372</v>
      </c>
    </row>
    <row r="142" spans="1:25" customFormat="1">
      <c r="A142" s="244" t="s">
        <v>80</v>
      </c>
      <c r="B142" s="253" t="s">
        <v>1320</v>
      </c>
      <c r="C142" s="255" t="s">
        <v>1701</v>
      </c>
      <c r="D142" s="256" t="s">
        <v>1667</v>
      </c>
      <c r="E142" s="248" t="s">
        <v>1365</v>
      </c>
      <c r="F142" s="256" t="s">
        <v>1431</v>
      </c>
      <c r="G142" s="248" t="s">
        <v>208</v>
      </c>
      <c r="H142" s="246">
        <v>1</v>
      </c>
      <c r="I142" s="248"/>
      <c r="J142" s="246">
        <v>5</v>
      </c>
      <c r="K142" s="249"/>
      <c r="L142" s="281">
        <v>5</v>
      </c>
      <c r="M142" s="248" t="s">
        <v>1416</v>
      </c>
      <c r="N142" s="247"/>
      <c r="O142" s="248" t="s">
        <v>55</v>
      </c>
      <c r="P142" s="256" t="s">
        <v>1362</v>
      </c>
      <c r="Q142" s="250"/>
      <c r="R142" s="260"/>
      <c r="S142" s="251"/>
      <c r="T142" s="256" t="s">
        <v>25</v>
      </c>
      <c r="U142" s="248" t="s">
        <v>21</v>
      </c>
      <c r="V142" s="256">
        <v>1511</v>
      </c>
      <c r="W142" s="263"/>
      <c r="X142" s="218" t="s">
        <v>1400</v>
      </c>
      <c r="Y142" s="266">
        <v>44341.558807870373</v>
      </c>
    </row>
    <row r="143" spans="1:25" customFormat="1">
      <c r="A143" s="244" t="s">
        <v>100</v>
      </c>
      <c r="B143" s="253" t="s">
        <v>1320</v>
      </c>
      <c r="C143" s="255" t="s">
        <v>1702</v>
      </c>
      <c r="D143" s="256" t="s">
        <v>1393</v>
      </c>
      <c r="E143" s="248" t="s">
        <v>1539</v>
      </c>
      <c r="F143" s="256" t="s">
        <v>18</v>
      </c>
      <c r="G143" s="248" t="s">
        <v>208</v>
      </c>
      <c r="H143" s="246">
        <v>1</v>
      </c>
      <c r="I143" s="248"/>
      <c r="J143" s="246">
        <v>0.11</v>
      </c>
      <c r="K143" s="249"/>
      <c r="L143" s="281">
        <v>0.11</v>
      </c>
      <c r="M143" s="248" t="s">
        <v>1703</v>
      </c>
      <c r="N143" s="247"/>
      <c r="O143" s="248" t="s">
        <v>55</v>
      </c>
      <c r="P143" s="256" t="s">
        <v>1362</v>
      </c>
      <c r="Q143" s="250"/>
      <c r="R143" s="260"/>
      <c r="S143" s="251"/>
      <c r="T143" s="256" t="s">
        <v>25</v>
      </c>
      <c r="U143" s="248" t="s">
        <v>18</v>
      </c>
      <c r="V143" s="256">
        <v>4</v>
      </c>
      <c r="W143" s="263"/>
      <c r="X143" s="218" t="s">
        <v>208</v>
      </c>
      <c r="Y143" s="266">
        <v>43312</v>
      </c>
    </row>
    <row r="144" spans="1:25" customFormat="1">
      <c r="A144" s="244" t="s">
        <v>62</v>
      </c>
      <c r="B144" s="253" t="s">
        <v>1385</v>
      </c>
      <c r="C144" s="255" t="s">
        <v>1704</v>
      </c>
      <c r="D144" s="256" t="s">
        <v>1705</v>
      </c>
      <c r="E144" s="248" t="s">
        <v>1469</v>
      </c>
      <c r="F144" s="256" t="s">
        <v>18</v>
      </c>
      <c r="G144" s="248" t="s">
        <v>208</v>
      </c>
      <c r="H144" s="246">
        <v>6</v>
      </c>
      <c r="I144" s="248"/>
      <c r="J144" s="246">
        <v>250</v>
      </c>
      <c r="K144" s="249"/>
      <c r="L144" s="281">
        <v>1500</v>
      </c>
      <c r="M144" s="248" t="s">
        <v>1706</v>
      </c>
      <c r="N144" s="247">
        <v>3600</v>
      </c>
      <c r="O144" s="248" t="s">
        <v>1285</v>
      </c>
      <c r="P144" s="256" t="s">
        <v>1403</v>
      </c>
      <c r="Q144" s="250" t="s">
        <v>1707</v>
      </c>
      <c r="R144" s="260" t="s">
        <v>1434</v>
      </c>
      <c r="S144" s="251"/>
      <c r="T144" s="256" t="s">
        <v>29</v>
      </c>
      <c r="U144" s="248" t="s">
        <v>18</v>
      </c>
      <c r="V144" s="256">
        <v>1921</v>
      </c>
      <c r="W144" s="263"/>
      <c r="X144" s="218" t="s">
        <v>1453</v>
      </c>
      <c r="Y144" s="266">
        <v>44699.367442129631</v>
      </c>
    </row>
    <row r="145" spans="1:25" customFormat="1">
      <c r="A145" s="244" t="s">
        <v>62</v>
      </c>
      <c r="B145" s="253" t="s">
        <v>1385</v>
      </c>
      <c r="C145" s="255" t="s">
        <v>1708</v>
      </c>
      <c r="D145" s="256" t="s">
        <v>1709</v>
      </c>
      <c r="E145" s="248" t="s">
        <v>1419</v>
      </c>
      <c r="F145" s="256" t="s">
        <v>17</v>
      </c>
      <c r="G145" s="248" t="s">
        <v>208</v>
      </c>
      <c r="H145" s="246">
        <v>60</v>
      </c>
      <c r="I145" s="248"/>
      <c r="J145" s="246">
        <v>6.2</v>
      </c>
      <c r="K145" s="249"/>
      <c r="L145" s="281">
        <v>372</v>
      </c>
      <c r="M145" s="248" t="s">
        <v>1710</v>
      </c>
      <c r="N145" s="247"/>
      <c r="O145" s="248" t="s">
        <v>1285</v>
      </c>
      <c r="P145" s="256" t="s">
        <v>1393</v>
      </c>
      <c r="Q145" s="250"/>
      <c r="R145" s="260"/>
      <c r="S145" s="251"/>
      <c r="T145" s="256" t="s">
        <v>29</v>
      </c>
      <c r="U145" s="248" t="s">
        <v>17</v>
      </c>
      <c r="V145" s="256">
        <v>2003</v>
      </c>
      <c r="W145" s="263" t="s">
        <v>3962</v>
      </c>
      <c r="X145" s="218" t="s">
        <v>208</v>
      </c>
      <c r="Y145" s="266">
        <v>44726.652002314811</v>
      </c>
    </row>
    <row r="146" spans="1:25" customFormat="1">
      <c r="A146" s="244" t="s">
        <v>62</v>
      </c>
      <c r="B146" s="253" t="s">
        <v>1385</v>
      </c>
      <c r="C146" s="255" t="s">
        <v>1711</v>
      </c>
      <c r="D146" s="256" t="s">
        <v>1712</v>
      </c>
      <c r="E146" s="248" t="s">
        <v>1391</v>
      </c>
      <c r="F146" s="256" t="s">
        <v>21</v>
      </c>
      <c r="G146" s="248" t="s">
        <v>208</v>
      </c>
      <c r="H146" s="246">
        <v>40</v>
      </c>
      <c r="I146" s="248"/>
      <c r="J146" s="246">
        <v>1.25</v>
      </c>
      <c r="K146" s="249"/>
      <c r="L146" s="281">
        <v>50</v>
      </c>
      <c r="M146" s="248" t="s">
        <v>1489</v>
      </c>
      <c r="N146" s="247">
        <v>100</v>
      </c>
      <c r="O146" s="248" t="s">
        <v>1285</v>
      </c>
      <c r="P146" s="256" t="s">
        <v>1403</v>
      </c>
      <c r="Q146" s="250"/>
      <c r="R146" s="260" t="s">
        <v>1496</v>
      </c>
      <c r="S146" s="251"/>
      <c r="T146" s="256" t="s">
        <v>29</v>
      </c>
      <c r="U146" s="248" t="s">
        <v>20</v>
      </c>
      <c r="V146" s="256">
        <v>1873</v>
      </c>
      <c r="W146" s="263" t="s">
        <v>3956</v>
      </c>
      <c r="X146" s="218" t="s">
        <v>1453</v>
      </c>
      <c r="Y146" s="266">
        <v>44747.49486111111</v>
      </c>
    </row>
    <row r="147" spans="1:25" customFormat="1">
      <c r="A147" s="244" t="s">
        <v>62</v>
      </c>
      <c r="B147" s="253" t="s">
        <v>1385</v>
      </c>
      <c r="C147" s="255" t="s">
        <v>1713</v>
      </c>
      <c r="D147" s="256" t="s">
        <v>1714</v>
      </c>
      <c r="E147" s="248" t="s">
        <v>1398</v>
      </c>
      <c r="F147" s="256" t="s">
        <v>1388</v>
      </c>
      <c r="G147" s="248" t="s">
        <v>208</v>
      </c>
      <c r="H147" s="246">
        <v>1</v>
      </c>
      <c r="I147" s="248"/>
      <c r="J147" s="246">
        <v>200</v>
      </c>
      <c r="K147" s="249"/>
      <c r="L147" s="281">
        <v>200</v>
      </c>
      <c r="M147" s="248" t="s">
        <v>1615</v>
      </c>
      <c r="N147" s="247"/>
      <c r="O147" s="248" t="s">
        <v>1285</v>
      </c>
      <c r="P147" s="256" t="s">
        <v>1407</v>
      </c>
      <c r="Q147" s="250"/>
      <c r="R147" s="260"/>
      <c r="S147" s="251"/>
      <c r="T147" s="256" t="s">
        <v>29</v>
      </c>
      <c r="U147" s="248" t="s">
        <v>1388</v>
      </c>
      <c r="V147" s="256">
        <v>1458</v>
      </c>
      <c r="W147" s="263"/>
      <c r="X147" s="218" t="s">
        <v>1395</v>
      </c>
      <c r="Y147" s="266">
        <v>43769.416655092595</v>
      </c>
    </row>
    <row r="148" spans="1:25" customFormat="1">
      <c r="A148" s="244" t="s">
        <v>62</v>
      </c>
      <c r="B148" s="253" t="s">
        <v>1385</v>
      </c>
      <c r="C148" s="255" t="s">
        <v>1715</v>
      </c>
      <c r="D148" s="256" t="s">
        <v>1716</v>
      </c>
      <c r="E148" s="248"/>
      <c r="F148" s="256" t="s">
        <v>21</v>
      </c>
      <c r="G148" s="248"/>
      <c r="H148" s="246"/>
      <c r="I148" s="248"/>
      <c r="J148" s="246"/>
      <c r="K148" s="249"/>
      <c r="L148" s="281">
        <v>150</v>
      </c>
      <c r="M148" s="248"/>
      <c r="N148" s="247"/>
      <c r="O148" s="248" t="s">
        <v>1285</v>
      </c>
      <c r="P148" s="256"/>
      <c r="Q148" s="250"/>
      <c r="R148" s="260" t="s">
        <v>208</v>
      </c>
      <c r="S148" s="251"/>
      <c r="T148" s="256" t="s">
        <v>29</v>
      </c>
      <c r="U148" s="248" t="s">
        <v>20</v>
      </c>
      <c r="V148" s="256" t="s">
        <v>208</v>
      </c>
      <c r="W148" s="263" t="s">
        <v>1717</v>
      </c>
      <c r="X148" s="218"/>
      <c r="Y148" s="266" t="s">
        <v>208</v>
      </c>
    </row>
    <row r="149" spans="1:25" customFormat="1">
      <c r="A149" s="244" t="s">
        <v>62</v>
      </c>
      <c r="B149" s="253" t="s">
        <v>1385</v>
      </c>
      <c r="C149" s="255" t="s">
        <v>1715</v>
      </c>
      <c r="D149" s="256" t="s">
        <v>1716</v>
      </c>
      <c r="E149" s="248"/>
      <c r="F149" s="256" t="s">
        <v>1388</v>
      </c>
      <c r="G149" s="248"/>
      <c r="H149" s="246"/>
      <c r="I149" s="248"/>
      <c r="J149" s="246"/>
      <c r="K149" s="249"/>
      <c r="L149" s="281">
        <v>286</v>
      </c>
      <c r="M149" s="248"/>
      <c r="N149" s="247"/>
      <c r="O149" s="248" t="s">
        <v>1285</v>
      </c>
      <c r="P149" s="256"/>
      <c r="Q149" s="250"/>
      <c r="R149" s="260" t="s">
        <v>208</v>
      </c>
      <c r="S149" s="251"/>
      <c r="T149" s="256" t="s">
        <v>29</v>
      </c>
      <c r="U149" s="248" t="s">
        <v>1388</v>
      </c>
      <c r="V149" s="256" t="s">
        <v>208</v>
      </c>
      <c r="W149" s="263" t="s">
        <v>1717</v>
      </c>
      <c r="X149" s="218"/>
      <c r="Y149" s="266" t="s">
        <v>208</v>
      </c>
    </row>
    <row r="150" spans="1:25" customFormat="1">
      <c r="A150" s="244" t="s">
        <v>46</v>
      </c>
      <c r="B150" s="253" t="s">
        <v>1385</v>
      </c>
      <c r="C150" s="255" t="s">
        <v>1718</v>
      </c>
      <c r="D150" s="256" t="s">
        <v>1709</v>
      </c>
      <c r="E150" s="248" t="s">
        <v>1419</v>
      </c>
      <c r="F150" s="256" t="s">
        <v>17</v>
      </c>
      <c r="G150" s="248" t="s">
        <v>208</v>
      </c>
      <c r="H150" s="246">
        <v>56</v>
      </c>
      <c r="I150" s="248"/>
      <c r="J150" s="246">
        <v>6.19</v>
      </c>
      <c r="K150" s="249"/>
      <c r="L150" s="281">
        <v>346.64000000000004</v>
      </c>
      <c r="M150" s="248" t="s">
        <v>1719</v>
      </c>
      <c r="N150" s="247"/>
      <c r="O150" s="248" t="s">
        <v>1285</v>
      </c>
      <c r="P150" s="256" t="s">
        <v>1393</v>
      </c>
      <c r="Q150" s="250"/>
      <c r="R150" s="260"/>
      <c r="S150" s="251"/>
      <c r="T150" s="256" t="s">
        <v>29</v>
      </c>
      <c r="U150" s="248" t="s">
        <v>17</v>
      </c>
      <c r="V150" s="256">
        <v>2005</v>
      </c>
      <c r="W150" s="263" t="s">
        <v>4027</v>
      </c>
      <c r="X150" s="218" t="s">
        <v>208</v>
      </c>
      <c r="Y150" s="266">
        <v>44726.652418981481</v>
      </c>
    </row>
    <row r="151" spans="1:25" customFormat="1">
      <c r="A151" s="244" t="s">
        <v>62</v>
      </c>
      <c r="B151" s="253" t="s">
        <v>1320</v>
      </c>
      <c r="C151" s="255" t="s">
        <v>1720</v>
      </c>
      <c r="D151" s="256" t="s">
        <v>1721</v>
      </c>
      <c r="E151" s="248" t="s">
        <v>1493</v>
      </c>
      <c r="F151" s="256" t="s">
        <v>1722</v>
      </c>
      <c r="G151" s="248" t="s">
        <v>1723</v>
      </c>
      <c r="H151" s="246">
        <v>1</v>
      </c>
      <c r="I151" s="248"/>
      <c r="J151" s="246">
        <v>173</v>
      </c>
      <c r="K151" s="249"/>
      <c r="L151" s="281">
        <v>173</v>
      </c>
      <c r="M151" s="248" t="s">
        <v>1724</v>
      </c>
      <c r="N151" s="247"/>
      <c r="O151" s="248" t="s">
        <v>55</v>
      </c>
      <c r="P151" s="256" t="s">
        <v>1403</v>
      </c>
      <c r="Q151" s="250"/>
      <c r="R151" s="260" t="s">
        <v>1681</v>
      </c>
      <c r="S151" s="251"/>
      <c r="T151" s="256" t="s">
        <v>25</v>
      </c>
      <c r="U151" s="248" t="s">
        <v>14</v>
      </c>
      <c r="V151" s="256">
        <v>1026</v>
      </c>
      <c r="W151" s="263"/>
      <c r="X151" s="218" t="s">
        <v>1363</v>
      </c>
      <c r="Y151" s="266">
        <v>44658.573773148149</v>
      </c>
    </row>
    <row r="152" spans="1:25" customFormat="1">
      <c r="A152" s="244" t="s">
        <v>62</v>
      </c>
      <c r="B152" s="253" t="s">
        <v>1320</v>
      </c>
      <c r="C152" s="255" t="s">
        <v>1720</v>
      </c>
      <c r="D152" s="256" t="s">
        <v>1721</v>
      </c>
      <c r="E152" s="248" t="s">
        <v>1493</v>
      </c>
      <c r="F152" s="256" t="s">
        <v>1722</v>
      </c>
      <c r="G152" s="248" t="s">
        <v>1725</v>
      </c>
      <c r="H152" s="246">
        <v>1</v>
      </c>
      <c r="I152" s="248"/>
      <c r="J152" s="246">
        <v>188</v>
      </c>
      <c r="K152" s="249"/>
      <c r="L152" s="281">
        <v>188</v>
      </c>
      <c r="M152" s="248" t="s">
        <v>1726</v>
      </c>
      <c r="N152" s="247"/>
      <c r="O152" s="248" t="s">
        <v>55</v>
      </c>
      <c r="P152" s="256" t="s">
        <v>1403</v>
      </c>
      <c r="Q152" s="250"/>
      <c r="R152" s="260" t="s">
        <v>1681</v>
      </c>
      <c r="S152" s="251"/>
      <c r="T152" s="256" t="s">
        <v>25</v>
      </c>
      <c r="U152" s="248" t="s">
        <v>14</v>
      </c>
      <c r="V152" s="256">
        <v>1026</v>
      </c>
      <c r="W152" s="263"/>
      <c r="X152" s="218" t="s">
        <v>1363</v>
      </c>
      <c r="Y152" s="266">
        <v>44658.573773148149</v>
      </c>
    </row>
    <row r="153" spans="1:25" customFormat="1">
      <c r="A153" s="244" t="s">
        <v>62</v>
      </c>
      <c r="B153" s="253" t="s">
        <v>1320</v>
      </c>
      <c r="C153" s="255" t="s">
        <v>1720</v>
      </c>
      <c r="D153" s="256" t="s">
        <v>1721</v>
      </c>
      <c r="E153" s="248" t="s">
        <v>1493</v>
      </c>
      <c r="F153" s="256" t="s">
        <v>1722</v>
      </c>
      <c r="G153" s="248" t="s">
        <v>1727</v>
      </c>
      <c r="H153" s="246">
        <v>1</v>
      </c>
      <c r="I153" s="248"/>
      <c r="J153" s="246">
        <v>188</v>
      </c>
      <c r="K153" s="249"/>
      <c r="L153" s="281">
        <v>188</v>
      </c>
      <c r="M153" s="248" t="s">
        <v>1726</v>
      </c>
      <c r="N153" s="247"/>
      <c r="O153" s="248" t="s">
        <v>55</v>
      </c>
      <c r="P153" s="256" t="s">
        <v>1403</v>
      </c>
      <c r="Q153" s="250"/>
      <c r="R153" s="260" t="s">
        <v>1681</v>
      </c>
      <c r="S153" s="251"/>
      <c r="T153" s="256" t="s">
        <v>25</v>
      </c>
      <c r="U153" s="248" t="s">
        <v>14</v>
      </c>
      <c r="V153" s="256">
        <v>1026</v>
      </c>
      <c r="W153" s="263"/>
      <c r="X153" s="218" t="s">
        <v>1363</v>
      </c>
      <c r="Y153" s="266">
        <v>44658.573773148149</v>
      </c>
    </row>
    <row r="154" spans="1:25" customFormat="1">
      <c r="A154" s="244" t="s">
        <v>62</v>
      </c>
      <c r="B154" s="253" t="s">
        <v>1320</v>
      </c>
      <c r="C154" s="255" t="s">
        <v>1728</v>
      </c>
      <c r="D154" s="256" t="s">
        <v>1729</v>
      </c>
      <c r="E154" s="248" t="s">
        <v>1493</v>
      </c>
      <c r="F154" s="256" t="s">
        <v>1722</v>
      </c>
      <c r="G154" s="248" t="s">
        <v>1730</v>
      </c>
      <c r="H154" s="246">
        <v>1</v>
      </c>
      <c r="I154" s="248"/>
      <c r="J154" s="246">
        <v>173</v>
      </c>
      <c r="K154" s="249"/>
      <c r="L154" s="281">
        <v>173</v>
      </c>
      <c r="M154" s="248" t="s">
        <v>1724</v>
      </c>
      <c r="N154" s="247"/>
      <c r="O154" s="248" t="s">
        <v>55</v>
      </c>
      <c r="P154" s="256" t="s">
        <v>1403</v>
      </c>
      <c r="Q154" s="250"/>
      <c r="R154" s="260" t="s">
        <v>1547</v>
      </c>
      <c r="S154" s="251"/>
      <c r="T154" s="256" t="s">
        <v>25</v>
      </c>
      <c r="U154" s="248" t="s">
        <v>14</v>
      </c>
      <c r="V154" s="256">
        <v>1027</v>
      </c>
      <c r="W154" s="263"/>
      <c r="X154" s="218" t="s">
        <v>1363</v>
      </c>
      <c r="Y154" s="266">
        <v>44665.482557870368</v>
      </c>
    </row>
    <row r="155" spans="1:25" customFormat="1">
      <c r="A155" s="244" t="s">
        <v>62</v>
      </c>
      <c r="B155" s="253" t="s">
        <v>1320</v>
      </c>
      <c r="C155" s="255" t="s">
        <v>1728</v>
      </c>
      <c r="D155" s="256" t="s">
        <v>1729</v>
      </c>
      <c r="E155" s="248" t="s">
        <v>1493</v>
      </c>
      <c r="F155" s="256" t="s">
        <v>1722</v>
      </c>
      <c r="G155" s="248" t="s">
        <v>1731</v>
      </c>
      <c r="H155" s="246">
        <v>1</v>
      </c>
      <c r="I155" s="248"/>
      <c r="J155" s="246">
        <v>173</v>
      </c>
      <c r="K155" s="249"/>
      <c r="L155" s="281">
        <v>173</v>
      </c>
      <c r="M155" s="248" t="s">
        <v>1724</v>
      </c>
      <c r="N155" s="247"/>
      <c r="O155" s="248" t="s">
        <v>55</v>
      </c>
      <c r="P155" s="256" t="s">
        <v>1403</v>
      </c>
      <c r="Q155" s="250"/>
      <c r="R155" s="260" t="s">
        <v>1547</v>
      </c>
      <c r="S155" s="251"/>
      <c r="T155" s="256" t="s">
        <v>25</v>
      </c>
      <c r="U155" s="248" t="s">
        <v>14</v>
      </c>
      <c r="V155" s="256">
        <v>1027</v>
      </c>
      <c r="W155" s="263"/>
      <c r="X155" s="218" t="s">
        <v>1363</v>
      </c>
      <c r="Y155" s="266">
        <v>44665.482557870368</v>
      </c>
    </row>
    <row r="156" spans="1:25" customFormat="1">
      <c r="A156" s="244" t="s">
        <v>62</v>
      </c>
      <c r="B156" s="253" t="s">
        <v>1320</v>
      </c>
      <c r="C156" s="255" t="s">
        <v>1728</v>
      </c>
      <c r="D156" s="256" t="s">
        <v>1729</v>
      </c>
      <c r="E156" s="248" t="s">
        <v>1493</v>
      </c>
      <c r="F156" s="256" t="s">
        <v>1722</v>
      </c>
      <c r="G156" s="248" t="s">
        <v>1732</v>
      </c>
      <c r="H156" s="246">
        <v>1</v>
      </c>
      <c r="I156" s="248"/>
      <c r="J156" s="246">
        <v>173</v>
      </c>
      <c r="K156" s="249"/>
      <c r="L156" s="281">
        <v>173</v>
      </c>
      <c r="M156" s="248" t="s">
        <v>1724</v>
      </c>
      <c r="N156" s="247"/>
      <c r="O156" s="248" t="s">
        <v>55</v>
      </c>
      <c r="P156" s="256" t="s">
        <v>1403</v>
      </c>
      <c r="Q156" s="250"/>
      <c r="R156" s="260" t="s">
        <v>1547</v>
      </c>
      <c r="S156" s="251"/>
      <c r="T156" s="256" t="s">
        <v>25</v>
      </c>
      <c r="U156" s="248" t="s">
        <v>14</v>
      </c>
      <c r="V156" s="256">
        <v>1027</v>
      </c>
      <c r="W156" s="263"/>
      <c r="X156" s="218" t="s">
        <v>1363</v>
      </c>
      <c r="Y156" s="266">
        <v>44665.482557870368</v>
      </c>
    </row>
    <row r="157" spans="1:25" customFormat="1">
      <c r="A157" s="244" t="s">
        <v>46</v>
      </c>
      <c r="B157" s="253" t="s">
        <v>1385</v>
      </c>
      <c r="C157" s="255" t="s">
        <v>1733</v>
      </c>
      <c r="D157" s="256" t="s">
        <v>1734</v>
      </c>
      <c r="E157" s="248" t="s">
        <v>1735</v>
      </c>
      <c r="F157" s="256" t="s">
        <v>1388</v>
      </c>
      <c r="G157" s="248" t="s">
        <v>208</v>
      </c>
      <c r="H157" s="246">
        <v>1</v>
      </c>
      <c r="I157" s="248"/>
      <c r="J157" s="246">
        <v>112</v>
      </c>
      <c r="K157" s="249"/>
      <c r="L157" s="281">
        <v>112</v>
      </c>
      <c r="M157" s="248" t="s">
        <v>1736</v>
      </c>
      <c r="N157" s="247"/>
      <c r="O157" s="248" t="s">
        <v>1285</v>
      </c>
      <c r="P157" s="256" t="s">
        <v>1407</v>
      </c>
      <c r="Q157" s="250"/>
      <c r="R157" s="260"/>
      <c r="S157" s="251"/>
      <c r="T157" s="256" t="s">
        <v>29</v>
      </c>
      <c r="U157" s="248" t="s">
        <v>1388</v>
      </c>
      <c r="V157" s="256">
        <v>1592</v>
      </c>
      <c r="W157" s="263"/>
      <c r="X157" s="218" t="s">
        <v>208</v>
      </c>
      <c r="Y157" s="266">
        <v>43769.416655092595</v>
      </c>
    </row>
    <row r="158" spans="1:25" customFormat="1">
      <c r="A158" s="244" t="s">
        <v>100</v>
      </c>
      <c r="B158" s="253" t="s">
        <v>1320</v>
      </c>
      <c r="C158" s="255" t="s">
        <v>1737</v>
      </c>
      <c r="D158" s="256" t="s">
        <v>1738</v>
      </c>
      <c r="E158" s="248" t="s">
        <v>1398</v>
      </c>
      <c r="F158" s="256" t="s">
        <v>1388</v>
      </c>
      <c r="G158" s="248" t="s">
        <v>208</v>
      </c>
      <c r="H158" s="246">
        <v>1</v>
      </c>
      <c r="I158" s="248"/>
      <c r="J158" s="246">
        <v>1.3</v>
      </c>
      <c r="K158" s="249"/>
      <c r="L158" s="281">
        <v>1.3</v>
      </c>
      <c r="M158" s="248" t="s">
        <v>1739</v>
      </c>
      <c r="N158" s="247"/>
      <c r="O158" s="248" t="s">
        <v>55</v>
      </c>
      <c r="P158" s="256" t="s">
        <v>1362</v>
      </c>
      <c r="Q158" s="250"/>
      <c r="R158" s="260"/>
      <c r="S158" s="251"/>
      <c r="T158" s="256" t="s">
        <v>25</v>
      </c>
      <c r="U158" s="248" t="s">
        <v>1388</v>
      </c>
      <c r="V158" s="256">
        <v>72</v>
      </c>
      <c r="W158" s="263"/>
      <c r="X158" s="218" t="s">
        <v>208</v>
      </c>
      <c r="Y158" s="266">
        <v>43312</v>
      </c>
    </row>
    <row r="159" spans="1:25" customFormat="1">
      <c r="A159" s="244" t="s">
        <v>95</v>
      </c>
      <c r="B159" s="253" t="s">
        <v>1385</v>
      </c>
      <c r="C159" s="255" t="s">
        <v>1740</v>
      </c>
      <c r="D159" s="256" t="s">
        <v>1741</v>
      </c>
      <c r="E159" s="248"/>
      <c r="F159" s="256" t="s">
        <v>21</v>
      </c>
      <c r="G159" s="248"/>
      <c r="H159" s="246"/>
      <c r="I159" s="248"/>
      <c r="J159" s="246"/>
      <c r="K159" s="249"/>
      <c r="L159" s="281">
        <v>100</v>
      </c>
      <c r="M159" s="248"/>
      <c r="N159" s="247"/>
      <c r="O159" s="248" t="s">
        <v>1285</v>
      </c>
      <c r="P159" s="256"/>
      <c r="Q159" s="250"/>
      <c r="R159" s="260"/>
      <c r="S159" s="251"/>
      <c r="T159" s="256" t="s">
        <v>29</v>
      </c>
      <c r="U159" s="248" t="s">
        <v>20</v>
      </c>
      <c r="V159" s="256" t="s">
        <v>208</v>
      </c>
      <c r="W159" s="263" t="s">
        <v>1742</v>
      </c>
      <c r="X159" s="218"/>
      <c r="Y159" s="266" t="s">
        <v>208</v>
      </c>
    </row>
    <row r="160" spans="1:25" customFormat="1">
      <c r="A160" s="244" t="s">
        <v>80</v>
      </c>
      <c r="B160" s="253" t="s">
        <v>1385</v>
      </c>
      <c r="C160" s="255" t="s">
        <v>1743</v>
      </c>
      <c r="D160" s="256" t="s">
        <v>1563</v>
      </c>
      <c r="E160" s="248" t="s">
        <v>1429</v>
      </c>
      <c r="F160" s="256" t="s">
        <v>1388</v>
      </c>
      <c r="G160" s="248" t="s">
        <v>208</v>
      </c>
      <c r="H160" s="246">
        <v>1</v>
      </c>
      <c r="I160" s="248"/>
      <c r="J160" s="246">
        <v>300</v>
      </c>
      <c r="K160" s="249"/>
      <c r="L160" s="281">
        <v>300</v>
      </c>
      <c r="M160" s="248" t="s">
        <v>1661</v>
      </c>
      <c r="N160" s="247">
        <v>0</v>
      </c>
      <c r="O160" s="248" t="s">
        <v>1285</v>
      </c>
      <c r="P160" s="256" t="s">
        <v>1407</v>
      </c>
      <c r="Q160" s="250" t="s">
        <v>1451</v>
      </c>
      <c r="R160" s="260" t="s">
        <v>1744</v>
      </c>
      <c r="S160" s="251"/>
      <c r="T160" s="256" t="s">
        <v>29</v>
      </c>
      <c r="U160" s="248" t="s">
        <v>1388</v>
      </c>
      <c r="V160" s="256">
        <v>1686</v>
      </c>
      <c r="W160" s="263"/>
      <c r="X160" s="218" t="s">
        <v>1453</v>
      </c>
      <c r="Y160" s="266">
        <v>44746.638206018521</v>
      </c>
    </row>
    <row r="161" spans="1:25" customFormat="1">
      <c r="A161" s="244" t="s">
        <v>62</v>
      </c>
      <c r="B161" s="253" t="s">
        <v>1385</v>
      </c>
      <c r="C161" s="255" t="s">
        <v>1745</v>
      </c>
      <c r="D161" s="256" t="s">
        <v>1746</v>
      </c>
      <c r="E161" s="248" t="s">
        <v>1429</v>
      </c>
      <c r="F161" s="256" t="s">
        <v>1388</v>
      </c>
      <c r="G161" s="248" t="s">
        <v>208</v>
      </c>
      <c r="H161" s="246">
        <v>1</v>
      </c>
      <c r="I161" s="248"/>
      <c r="J161" s="246">
        <v>90</v>
      </c>
      <c r="K161" s="249"/>
      <c r="L161" s="281">
        <v>90</v>
      </c>
      <c r="M161" s="248" t="s">
        <v>1747</v>
      </c>
      <c r="N161" s="247"/>
      <c r="O161" s="248" t="s">
        <v>1285</v>
      </c>
      <c r="P161" s="256" t="s">
        <v>1362</v>
      </c>
      <c r="Q161" s="250"/>
      <c r="R161" s="260"/>
      <c r="S161" s="251"/>
      <c r="T161" s="256" t="s">
        <v>29</v>
      </c>
      <c r="U161" s="248" t="s">
        <v>1388</v>
      </c>
      <c r="V161" s="256">
        <v>1475</v>
      </c>
      <c r="W161" s="263"/>
      <c r="X161" s="218" t="s">
        <v>1400</v>
      </c>
      <c r="Y161" s="266">
        <v>43769.416655092595</v>
      </c>
    </row>
    <row r="162" spans="1:25" customFormat="1">
      <c r="A162" s="244" t="s">
        <v>100</v>
      </c>
      <c r="B162" s="253" t="s">
        <v>1320</v>
      </c>
      <c r="C162" s="255" t="s">
        <v>1748</v>
      </c>
      <c r="D162" s="256" t="s">
        <v>1631</v>
      </c>
      <c r="E162" s="248" t="s">
        <v>1359</v>
      </c>
      <c r="F162" s="256" t="s">
        <v>1422</v>
      </c>
      <c r="G162" s="248" t="s">
        <v>1749</v>
      </c>
      <c r="H162" s="246">
        <v>6</v>
      </c>
      <c r="I162" s="248"/>
      <c r="J162" s="246">
        <v>1.03</v>
      </c>
      <c r="K162" s="249"/>
      <c r="L162" s="281">
        <v>6.18</v>
      </c>
      <c r="M162" s="248" t="s">
        <v>1750</v>
      </c>
      <c r="N162" s="247"/>
      <c r="O162" s="248" t="s">
        <v>55</v>
      </c>
      <c r="P162" s="256" t="s">
        <v>1362</v>
      </c>
      <c r="Q162" s="250"/>
      <c r="R162" s="260" t="s">
        <v>1751</v>
      </c>
      <c r="S162" s="251"/>
      <c r="T162" s="256" t="s">
        <v>25</v>
      </c>
      <c r="U162" s="248" t="s">
        <v>19</v>
      </c>
      <c r="V162" s="256">
        <v>1029</v>
      </c>
      <c r="W162" s="263"/>
      <c r="X162" s="218" t="s">
        <v>1363</v>
      </c>
      <c r="Y162" s="266">
        <v>44665.483576388891</v>
      </c>
    </row>
    <row r="163" spans="1:25" customFormat="1">
      <c r="A163" s="244" t="s">
        <v>62</v>
      </c>
      <c r="B163" s="253" t="s">
        <v>1385</v>
      </c>
      <c r="C163" s="255" t="s">
        <v>1752</v>
      </c>
      <c r="D163" s="256" t="s">
        <v>1753</v>
      </c>
      <c r="E163" s="248" t="s">
        <v>1429</v>
      </c>
      <c r="F163" s="256" t="s">
        <v>1388</v>
      </c>
      <c r="G163" s="248" t="s">
        <v>208</v>
      </c>
      <c r="H163" s="246">
        <v>142</v>
      </c>
      <c r="I163" s="248"/>
      <c r="J163" s="246">
        <v>2.5</v>
      </c>
      <c r="K163" s="249"/>
      <c r="L163" s="281">
        <v>355</v>
      </c>
      <c r="M163" s="248" t="s">
        <v>1754</v>
      </c>
      <c r="N163" s="247">
        <v>0</v>
      </c>
      <c r="O163" s="248" t="s">
        <v>1285</v>
      </c>
      <c r="P163" s="256" t="s">
        <v>1407</v>
      </c>
      <c r="Q163" s="250"/>
      <c r="R163" s="260"/>
      <c r="S163" s="251"/>
      <c r="T163" s="256" t="s">
        <v>29</v>
      </c>
      <c r="U163" s="248" t="s">
        <v>1388</v>
      </c>
      <c r="V163" s="256">
        <v>1718</v>
      </c>
      <c r="W163" s="263" t="s">
        <v>3964</v>
      </c>
      <c r="X163" s="218" t="s">
        <v>1453</v>
      </c>
      <c r="Y163" s="266">
        <v>44721.902418981481</v>
      </c>
    </row>
    <row r="164" spans="1:25" customFormat="1">
      <c r="A164" s="244" t="s">
        <v>46</v>
      </c>
      <c r="B164" s="253" t="s">
        <v>1320</v>
      </c>
      <c r="C164" s="255" t="s">
        <v>1755</v>
      </c>
      <c r="D164" s="256" t="s">
        <v>1756</v>
      </c>
      <c r="E164" s="248" t="s">
        <v>1596</v>
      </c>
      <c r="F164" s="256" t="s">
        <v>19</v>
      </c>
      <c r="G164" s="248" t="s">
        <v>1757</v>
      </c>
      <c r="H164" s="246">
        <v>1</v>
      </c>
      <c r="I164" s="248"/>
      <c r="J164" s="246">
        <v>38</v>
      </c>
      <c r="K164" s="249"/>
      <c r="L164" s="281">
        <v>38</v>
      </c>
      <c r="M164" s="248" t="s">
        <v>1758</v>
      </c>
      <c r="N164" s="247">
        <v>0</v>
      </c>
      <c r="O164" s="248" t="s">
        <v>55</v>
      </c>
      <c r="P164" s="256" t="s">
        <v>1362</v>
      </c>
      <c r="Q164" s="250"/>
      <c r="R164" s="260"/>
      <c r="S164" s="251"/>
      <c r="T164" s="256" t="s">
        <v>25</v>
      </c>
      <c r="U164" s="248" t="s">
        <v>19</v>
      </c>
      <c r="V164" s="256">
        <v>1439</v>
      </c>
      <c r="W164" s="263"/>
      <c r="X164" s="218" t="s">
        <v>1400</v>
      </c>
      <c r="Y164" s="266">
        <v>44679.649988425925</v>
      </c>
    </row>
    <row r="165" spans="1:25" customFormat="1">
      <c r="A165" s="244" t="s">
        <v>46</v>
      </c>
      <c r="B165" s="253" t="s">
        <v>1385</v>
      </c>
      <c r="C165" s="255" t="s">
        <v>1759</v>
      </c>
      <c r="D165" s="256" t="s">
        <v>1393</v>
      </c>
      <c r="E165" s="248" t="s">
        <v>1398</v>
      </c>
      <c r="F165" s="256" t="s">
        <v>1388</v>
      </c>
      <c r="G165" s="248" t="s">
        <v>208</v>
      </c>
      <c r="H165" s="246">
        <v>1</v>
      </c>
      <c r="I165" s="248"/>
      <c r="J165" s="246">
        <v>29</v>
      </c>
      <c r="K165" s="249"/>
      <c r="L165" s="281">
        <v>29</v>
      </c>
      <c r="M165" s="248" t="s">
        <v>1760</v>
      </c>
      <c r="N165" s="247"/>
      <c r="O165" s="248" t="s">
        <v>1285</v>
      </c>
      <c r="P165" s="256" t="s">
        <v>1362</v>
      </c>
      <c r="Q165" s="250"/>
      <c r="R165" s="260"/>
      <c r="S165" s="251"/>
      <c r="T165" s="256" t="s">
        <v>29</v>
      </c>
      <c r="U165" s="248" t="s">
        <v>1388</v>
      </c>
      <c r="V165" s="256">
        <v>1640</v>
      </c>
      <c r="W165" s="263"/>
      <c r="X165" s="218" t="s">
        <v>208</v>
      </c>
      <c r="Y165" s="266">
        <v>43769.416655092595</v>
      </c>
    </row>
    <row r="166" spans="1:25" customFormat="1">
      <c r="A166" s="244" t="s">
        <v>46</v>
      </c>
      <c r="B166" s="253" t="s">
        <v>1385</v>
      </c>
      <c r="C166" s="255" t="s">
        <v>1761</v>
      </c>
      <c r="D166" s="256" t="s">
        <v>1762</v>
      </c>
      <c r="E166" s="248" t="s">
        <v>1391</v>
      </c>
      <c r="F166" s="256" t="s">
        <v>21</v>
      </c>
      <c r="G166" s="248"/>
      <c r="H166" s="246"/>
      <c r="I166" s="248"/>
      <c r="J166" s="246"/>
      <c r="K166" s="249"/>
      <c r="L166" s="281">
        <v>200</v>
      </c>
      <c r="M166" s="248"/>
      <c r="N166" s="247"/>
      <c r="O166" s="248" t="s">
        <v>1285</v>
      </c>
      <c r="P166" s="256"/>
      <c r="Q166" s="250"/>
      <c r="R166" s="260"/>
      <c r="S166" s="251"/>
      <c r="T166" s="256" t="s">
        <v>29</v>
      </c>
      <c r="U166" s="248" t="s">
        <v>20</v>
      </c>
      <c r="V166" s="256" t="s">
        <v>208</v>
      </c>
      <c r="W166" s="263" t="s">
        <v>1763</v>
      </c>
      <c r="X166" s="218"/>
      <c r="Y166" s="266" t="s">
        <v>208</v>
      </c>
    </row>
    <row r="167" spans="1:25" customFormat="1">
      <c r="A167" s="244" t="s">
        <v>46</v>
      </c>
      <c r="B167" s="253" t="s">
        <v>1320</v>
      </c>
      <c r="C167" s="255" t="s">
        <v>1764</v>
      </c>
      <c r="D167" s="256" t="s">
        <v>340</v>
      </c>
      <c r="E167" s="248" t="s">
        <v>1493</v>
      </c>
      <c r="F167" s="256" t="s">
        <v>1431</v>
      </c>
      <c r="G167" s="248" t="s">
        <v>1765</v>
      </c>
      <c r="H167" s="246">
        <v>1</v>
      </c>
      <c r="I167" s="248"/>
      <c r="J167" s="246">
        <v>50</v>
      </c>
      <c r="K167" s="249"/>
      <c r="L167" s="281">
        <v>50</v>
      </c>
      <c r="M167" s="248" t="s">
        <v>1489</v>
      </c>
      <c r="N167" s="247"/>
      <c r="O167" s="248" t="s">
        <v>55</v>
      </c>
      <c r="P167" s="256" t="s">
        <v>1362</v>
      </c>
      <c r="Q167" s="250"/>
      <c r="R167" s="260" t="s">
        <v>1766</v>
      </c>
      <c r="S167" s="251"/>
      <c r="T167" s="256" t="s">
        <v>25</v>
      </c>
      <c r="U167" s="248" t="s">
        <v>14</v>
      </c>
      <c r="V167" s="256">
        <v>1030</v>
      </c>
      <c r="W167" s="263"/>
      <c r="X167" s="218" t="s">
        <v>1363</v>
      </c>
      <c r="Y167" s="266">
        <v>44672.660925925928</v>
      </c>
    </row>
    <row r="168" spans="1:25" customFormat="1">
      <c r="A168" s="244" t="s">
        <v>46</v>
      </c>
      <c r="B168" s="253" t="s">
        <v>1320</v>
      </c>
      <c r="C168" s="255" t="s">
        <v>985</v>
      </c>
      <c r="D168" s="256" t="s">
        <v>477</v>
      </c>
      <c r="E168" s="248" t="s">
        <v>1398</v>
      </c>
      <c r="F168" s="256" t="s">
        <v>1388</v>
      </c>
      <c r="G168" s="248" t="s">
        <v>1767</v>
      </c>
      <c r="H168" s="246">
        <v>40</v>
      </c>
      <c r="I168" s="248"/>
      <c r="J168" s="246">
        <v>1.325</v>
      </c>
      <c r="K168" s="249"/>
      <c r="L168" s="281">
        <v>53</v>
      </c>
      <c r="M168" s="248" t="s">
        <v>1768</v>
      </c>
      <c r="N168" s="247"/>
      <c r="O168" s="248" t="s">
        <v>55</v>
      </c>
      <c r="P168" s="256" t="s">
        <v>1407</v>
      </c>
      <c r="Q168" s="250"/>
      <c r="R168" s="260" t="s">
        <v>1769</v>
      </c>
      <c r="S168" s="251"/>
      <c r="T168" s="256" t="s">
        <v>25</v>
      </c>
      <c r="U168" s="248" t="s">
        <v>1388</v>
      </c>
      <c r="V168" s="256">
        <v>1266</v>
      </c>
      <c r="W168" s="263"/>
      <c r="X168" s="218" t="s">
        <v>1363</v>
      </c>
      <c r="Y168" s="266">
        <v>44671.354745370372</v>
      </c>
    </row>
    <row r="169" spans="1:25" customFormat="1">
      <c r="A169" s="244" t="s">
        <v>100</v>
      </c>
      <c r="B169" s="253" t="s">
        <v>1320</v>
      </c>
      <c r="C169" s="255" t="s">
        <v>1770</v>
      </c>
      <c r="D169" s="256" t="s">
        <v>1631</v>
      </c>
      <c r="E169" s="248" t="s">
        <v>1359</v>
      </c>
      <c r="F169" s="256" t="s">
        <v>1422</v>
      </c>
      <c r="G169" s="248" t="s">
        <v>1771</v>
      </c>
      <c r="H169" s="246">
        <v>1</v>
      </c>
      <c r="I169" s="248"/>
      <c r="J169" s="246">
        <v>0.65</v>
      </c>
      <c r="K169" s="249"/>
      <c r="L169" s="281">
        <v>0.65</v>
      </c>
      <c r="M169" s="248" t="s">
        <v>1772</v>
      </c>
      <c r="N169" s="247"/>
      <c r="O169" s="248" t="s">
        <v>55</v>
      </c>
      <c r="P169" s="256" t="s">
        <v>1362</v>
      </c>
      <c r="Q169" s="250"/>
      <c r="R169" s="260" t="s">
        <v>1369</v>
      </c>
      <c r="S169" s="251"/>
      <c r="T169" s="256" t="s">
        <v>25</v>
      </c>
      <c r="U169" s="248" t="s">
        <v>19</v>
      </c>
      <c r="V169" s="256">
        <v>1291</v>
      </c>
      <c r="W169" s="263"/>
      <c r="X169" s="218" t="s">
        <v>1363</v>
      </c>
      <c r="Y169" s="266">
        <v>44671.359861111108</v>
      </c>
    </row>
    <row r="170" spans="1:25" customFormat="1">
      <c r="A170" s="244" t="s">
        <v>100</v>
      </c>
      <c r="B170" s="253" t="s">
        <v>1320</v>
      </c>
      <c r="C170" s="255" t="s">
        <v>1770</v>
      </c>
      <c r="D170" s="256" t="s">
        <v>1631</v>
      </c>
      <c r="E170" s="248" t="s">
        <v>1359</v>
      </c>
      <c r="F170" s="256" t="s">
        <v>1422</v>
      </c>
      <c r="G170" s="248" t="s">
        <v>1771</v>
      </c>
      <c r="H170" s="246">
        <v>1</v>
      </c>
      <c r="I170" s="248"/>
      <c r="J170" s="246">
        <v>1.03</v>
      </c>
      <c r="K170" s="249"/>
      <c r="L170" s="281">
        <v>1.03</v>
      </c>
      <c r="M170" s="248" t="s">
        <v>1773</v>
      </c>
      <c r="N170" s="247"/>
      <c r="O170" s="248" t="s">
        <v>55</v>
      </c>
      <c r="P170" s="256" t="s">
        <v>1362</v>
      </c>
      <c r="Q170" s="250"/>
      <c r="R170" s="260" t="s">
        <v>1369</v>
      </c>
      <c r="S170" s="251"/>
      <c r="T170" s="256" t="s">
        <v>25</v>
      </c>
      <c r="U170" s="248" t="s">
        <v>19</v>
      </c>
      <c r="V170" s="256">
        <v>1291</v>
      </c>
      <c r="W170" s="263"/>
      <c r="X170" s="218" t="s">
        <v>1363</v>
      </c>
      <c r="Y170" s="266">
        <v>44671.359861111108</v>
      </c>
    </row>
    <row r="171" spans="1:25" customFormat="1">
      <c r="A171" s="244" t="s">
        <v>100</v>
      </c>
      <c r="B171" s="253" t="s">
        <v>1320</v>
      </c>
      <c r="C171" s="255" t="s">
        <v>1770</v>
      </c>
      <c r="D171" s="256" t="s">
        <v>1631</v>
      </c>
      <c r="E171" s="248" t="s">
        <v>1359</v>
      </c>
      <c r="F171" s="256" t="s">
        <v>1422</v>
      </c>
      <c r="G171" s="248" t="s">
        <v>1771</v>
      </c>
      <c r="H171" s="246">
        <v>1</v>
      </c>
      <c r="I171" s="248"/>
      <c r="J171" s="246">
        <v>1.1499999999999999</v>
      </c>
      <c r="K171" s="249"/>
      <c r="L171" s="281">
        <v>1.1499999999999999</v>
      </c>
      <c r="M171" s="248" t="s">
        <v>1774</v>
      </c>
      <c r="N171" s="247"/>
      <c r="O171" s="248" t="s">
        <v>55</v>
      </c>
      <c r="P171" s="256" t="s">
        <v>1362</v>
      </c>
      <c r="Q171" s="250"/>
      <c r="R171" s="260" t="s">
        <v>1369</v>
      </c>
      <c r="S171" s="251"/>
      <c r="T171" s="256" t="s">
        <v>25</v>
      </c>
      <c r="U171" s="248" t="s">
        <v>19</v>
      </c>
      <c r="V171" s="256">
        <v>1291</v>
      </c>
      <c r="W171" s="263"/>
      <c r="X171" s="218" t="s">
        <v>1363</v>
      </c>
      <c r="Y171" s="266">
        <v>44671.359861111108</v>
      </c>
    </row>
    <row r="172" spans="1:25" customFormat="1">
      <c r="A172" s="244" t="s">
        <v>62</v>
      </c>
      <c r="B172" s="253" t="s">
        <v>1385</v>
      </c>
      <c r="C172" s="255" t="s">
        <v>4012</v>
      </c>
      <c r="D172" s="256" t="s">
        <v>4013</v>
      </c>
      <c r="E172" s="248"/>
      <c r="F172" s="256" t="s">
        <v>1529</v>
      </c>
      <c r="G172" s="248"/>
      <c r="H172" s="246"/>
      <c r="I172" s="248"/>
      <c r="J172" s="246"/>
      <c r="K172" s="249"/>
      <c r="L172" s="281">
        <v>250</v>
      </c>
      <c r="M172" s="248"/>
      <c r="N172" s="247"/>
      <c r="O172" s="248" t="s">
        <v>1285</v>
      </c>
      <c r="P172" s="256"/>
      <c r="Q172" s="250"/>
      <c r="R172" s="260"/>
      <c r="S172" s="251"/>
      <c r="T172" s="256" t="s">
        <v>29</v>
      </c>
      <c r="U172" s="248" t="s">
        <v>20</v>
      </c>
      <c r="V172" s="256"/>
      <c r="W172" s="263" t="s">
        <v>4042</v>
      </c>
      <c r="X172" s="218"/>
      <c r="Y172" s="266"/>
    </row>
    <row r="173" spans="1:25" customFormat="1">
      <c r="A173" s="244" t="s">
        <v>46</v>
      </c>
      <c r="B173" s="253" t="s">
        <v>1320</v>
      </c>
      <c r="C173" s="255" t="s">
        <v>1775</v>
      </c>
      <c r="D173" s="256" t="s">
        <v>1776</v>
      </c>
      <c r="E173" s="248" t="s">
        <v>1539</v>
      </c>
      <c r="F173" s="256" t="s">
        <v>18</v>
      </c>
      <c r="G173" s="248" t="s">
        <v>1777</v>
      </c>
      <c r="H173" s="246">
        <v>1</v>
      </c>
      <c r="I173" s="248"/>
      <c r="J173" s="246">
        <v>5</v>
      </c>
      <c r="K173" s="249"/>
      <c r="L173" s="281">
        <v>5</v>
      </c>
      <c r="M173" s="248" t="s">
        <v>1416</v>
      </c>
      <c r="N173" s="247"/>
      <c r="O173" s="248" t="s">
        <v>55</v>
      </c>
      <c r="P173" s="256" t="s">
        <v>1362</v>
      </c>
      <c r="Q173" s="250"/>
      <c r="R173" s="260"/>
      <c r="S173" s="251"/>
      <c r="T173" s="256" t="s">
        <v>25</v>
      </c>
      <c r="U173" s="248" t="s">
        <v>18</v>
      </c>
      <c r="V173" s="256">
        <v>3</v>
      </c>
      <c r="W173" s="263"/>
      <c r="X173" s="218" t="s">
        <v>208</v>
      </c>
      <c r="Y173" s="266">
        <v>43312</v>
      </c>
    </row>
    <row r="174" spans="1:25" customFormat="1">
      <c r="A174" s="244" t="s">
        <v>62</v>
      </c>
      <c r="B174" s="253" t="s">
        <v>1320</v>
      </c>
      <c r="C174" s="255" t="s">
        <v>1778</v>
      </c>
      <c r="D174" s="256" t="s">
        <v>1779</v>
      </c>
      <c r="E174" s="248" t="s">
        <v>1359</v>
      </c>
      <c r="F174" s="256" t="s">
        <v>1422</v>
      </c>
      <c r="G174" s="248" t="s">
        <v>1780</v>
      </c>
      <c r="H174" s="246">
        <v>1</v>
      </c>
      <c r="I174" s="248"/>
      <c r="J174" s="246">
        <v>1.03</v>
      </c>
      <c r="K174" s="249"/>
      <c r="L174" s="281">
        <v>1.03</v>
      </c>
      <c r="M174" s="248" t="s">
        <v>1773</v>
      </c>
      <c r="N174" s="247"/>
      <c r="O174" s="248" t="s">
        <v>55</v>
      </c>
      <c r="P174" s="256" t="s">
        <v>1362</v>
      </c>
      <c r="Q174" s="250"/>
      <c r="R174" s="260"/>
      <c r="S174" s="251"/>
      <c r="T174" s="256" t="s">
        <v>25</v>
      </c>
      <c r="U174" s="248" t="s">
        <v>19</v>
      </c>
      <c r="V174" s="256">
        <v>1031</v>
      </c>
      <c r="W174" s="263"/>
      <c r="X174" s="218" t="s">
        <v>1363</v>
      </c>
      <c r="Y174" s="266">
        <v>44665.484675925924</v>
      </c>
    </row>
    <row r="175" spans="1:25" customFormat="1">
      <c r="A175" s="244" t="s">
        <v>62</v>
      </c>
      <c r="B175" s="253" t="s">
        <v>1320</v>
      </c>
      <c r="C175" s="255" t="s">
        <v>1778</v>
      </c>
      <c r="D175" s="256" t="s">
        <v>1779</v>
      </c>
      <c r="E175" s="248" t="s">
        <v>1359</v>
      </c>
      <c r="F175" s="256" t="s">
        <v>1422</v>
      </c>
      <c r="G175" s="248" t="s">
        <v>1780</v>
      </c>
      <c r="H175" s="246">
        <v>1</v>
      </c>
      <c r="I175" s="248"/>
      <c r="J175" s="246">
        <v>1.1499999999999999</v>
      </c>
      <c r="K175" s="249"/>
      <c r="L175" s="281">
        <v>1.1499999999999999</v>
      </c>
      <c r="M175" s="248" t="s">
        <v>1774</v>
      </c>
      <c r="N175" s="247"/>
      <c r="O175" s="248" t="s">
        <v>55</v>
      </c>
      <c r="P175" s="256" t="s">
        <v>1362</v>
      </c>
      <c r="Q175" s="250"/>
      <c r="R175" s="260"/>
      <c r="S175" s="251"/>
      <c r="T175" s="256" t="s">
        <v>25</v>
      </c>
      <c r="U175" s="248" t="s">
        <v>19</v>
      </c>
      <c r="V175" s="256">
        <v>1031</v>
      </c>
      <c r="W175" s="263"/>
      <c r="X175" s="218" t="s">
        <v>1363</v>
      </c>
      <c r="Y175" s="266">
        <v>44665.484675925924</v>
      </c>
    </row>
    <row r="176" spans="1:25" customFormat="1">
      <c r="A176" s="244" t="s">
        <v>100</v>
      </c>
      <c r="B176" s="253" t="s">
        <v>1385</v>
      </c>
      <c r="C176" s="255" t="s">
        <v>635</v>
      </c>
      <c r="D176" s="256" t="s">
        <v>312</v>
      </c>
      <c r="E176" s="248" t="s">
        <v>1391</v>
      </c>
      <c r="F176" s="256" t="s">
        <v>21</v>
      </c>
      <c r="G176" s="248" t="s">
        <v>1781</v>
      </c>
      <c r="H176" s="246">
        <v>40</v>
      </c>
      <c r="I176" s="248"/>
      <c r="J176" s="246">
        <v>0.5</v>
      </c>
      <c r="K176" s="249"/>
      <c r="L176" s="281">
        <v>20</v>
      </c>
      <c r="M176" s="248" t="s">
        <v>1433</v>
      </c>
      <c r="N176" s="247">
        <v>34</v>
      </c>
      <c r="O176" s="248" t="s">
        <v>27</v>
      </c>
      <c r="P176" s="256" t="s">
        <v>1403</v>
      </c>
      <c r="Q176" s="250" t="s">
        <v>1481</v>
      </c>
      <c r="R176" s="260"/>
      <c r="S176" s="251"/>
      <c r="T176" s="256" t="s">
        <v>27</v>
      </c>
      <c r="U176" s="248" t="s">
        <v>20</v>
      </c>
      <c r="V176" s="256">
        <v>1590</v>
      </c>
      <c r="W176" s="263"/>
      <c r="X176" s="218" t="s">
        <v>1453</v>
      </c>
      <c r="Y176" s="266">
        <v>44743.46707175926</v>
      </c>
    </row>
    <row r="177" spans="1:25" customFormat="1" ht="22.5">
      <c r="A177" s="244" t="s">
        <v>100</v>
      </c>
      <c r="B177" s="253" t="s">
        <v>1320</v>
      </c>
      <c r="C177" s="255" t="s">
        <v>311</v>
      </c>
      <c r="D177" s="256" t="s">
        <v>312</v>
      </c>
      <c r="E177" s="248" t="s">
        <v>1419</v>
      </c>
      <c r="F177" s="256" t="s">
        <v>17</v>
      </c>
      <c r="G177" s="248" t="s">
        <v>313</v>
      </c>
      <c r="H177" s="246">
        <v>56</v>
      </c>
      <c r="I177" s="248"/>
      <c r="J177" s="246">
        <v>3.65</v>
      </c>
      <c r="K177" s="249"/>
      <c r="L177" s="281">
        <v>204.4</v>
      </c>
      <c r="M177" s="248" t="s">
        <v>1782</v>
      </c>
      <c r="N177" s="247"/>
      <c r="O177" s="248" t="s">
        <v>55</v>
      </c>
      <c r="P177" s="256" t="s">
        <v>1407</v>
      </c>
      <c r="Q177" s="250"/>
      <c r="R177" s="260" t="s">
        <v>1547</v>
      </c>
      <c r="S177" s="251"/>
      <c r="T177" s="256" t="s">
        <v>25</v>
      </c>
      <c r="U177" s="248" t="s">
        <v>17</v>
      </c>
      <c r="V177" s="256">
        <v>1289</v>
      </c>
      <c r="W177" s="263"/>
      <c r="X177" s="218" t="s">
        <v>1363</v>
      </c>
      <c r="Y177" s="266">
        <v>44672.390185185184</v>
      </c>
    </row>
    <row r="178" spans="1:25" customFormat="1" ht="22.5">
      <c r="A178" s="244" t="s">
        <v>62</v>
      </c>
      <c r="B178" s="253" t="s">
        <v>1385</v>
      </c>
      <c r="C178" s="255" t="s">
        <v>1783</v>
      </c>
      <c r="D178" s="256" t="s">
        <v>1784</v>
      </c>
      <c r="E178" s="248" t="s">
        <v>1429</v>
      </c>
      <c r="F178" s="256" t="s">
        <v>1388</v>
      </c>
      <c r="G178" s="248" t="s">
        <v>208</v>
      </c>
      <c r="H178" s="246">
        <v>205</v>
      </c>
      <c r="I178" s="248"/>
      <c r="J178" s="246">
        <v>5</v>
      </c>
      <c r="K178" s="249"/>
      <c r="L178" s="281">
        <v>1025</v>
      </c>
      <c r="M178" s="248" t="s">
        <v>1785</v>
      </c>
      <c r="N178" s="247"/>
      <c r="O178" s="248" t="s">
        <v>1285</v>
      </c>
      <c r="P178" s="256" t="s">
        <v>1407</v>
      </c>
      <c r="Q178" s="250"/>
      <c r="R178" s="260"/>
      <c r="S178" s="251"/>
      <c r="T178" s="256" t="s">
        <v>29</v>
      </c>
      <c r="U178" s="248" t="s">
        <v>1388</v>
      </c>
      <c r="V178" s="256">
        <v>1417</v>
      </c>
      <c r="W178" s="263"/>
      <c r="X178" s="218" t="s">
        <v>1583</v>
      </c>
      <c r="Y178" s="266">
        <v>44368</v>
      </c>
    </row>
    <row r="179" spans="1:25">
      <c r="A179" s="131" t="s">
        <v>62</v>
      </c>
      <c r="B179" s="109" t="s">
        <v>1385</v>
      </c>
      <c r="C179" s="160" t="s">
        <v>1786</v>
      </c>
      <c r="D179" s="162" t="s">
        <v>1784</v>
      </c>
      <c r="E179" s="65" t="s">
        <v>1429</v>
      </c>
      <c r="F179" s="162" t="s">
        <v>1388</v>
      </c>
      <c r="G179" s="65" t="s">
        <v>208</v>
      </c>
      <c r="H179" s="218">
        <v>95</v>
      </c>
      <c r="I179" s="65"/>
      <c r="J179" s="218">
        <v>5</v>
      </c>
      <c r="K179" s="108"/>
      <c r="L179" s="275">
        <v>475</v>
      </c>
      <c r="M179" s="65" t="s">
        <v>1787</v>
      </c>
      <c r="N179" s="219"/>
      <c r="O179" s="65" t="s">
        <v>1285</v>
      </c>
      <c r="P179" s="162" t="s">
        <v>1407</v>
      </c>
      <c r="Q179" s="158"/>
      <c r="R179" s="157"/>
      <c r="S179" s="114"/>
      <c r="T179" s="162" t="s">
        <v>29</v>
      </c>
      <c r="U179" s="65" t="s">
        <v>1388</v>
      </c>
      <c r="V179" s="162">
        <v>1417</v>
      </c>
      <c r="W179" s="165"/>
      <c r="X179" s="218" t="s">
        <v>1583</v>
      </c>
      <c r="Y179" s="167">
        <v>44368</v>
      </c>
    </row>
    <row r="180" spans="1:25">
      <c r="A180" s="131" t="s">
        <v>62</v>
      </c>
      <c r="B180" s="109" t="s">
        <v>1385</v>
      </c>
      <c r="C180" s="254" t="s">
        <v>4010</v>
      </c>
      <c r="D180" s="162" t="s">
        <v>4011</v>
      </c>
      <c r="E180" s="65"/>
      <c r="F180" s="162" t="s">
        <v>3990</v>
      </c>
      <c r="G180" s="65"/>
      <c r="H180" s="218"/>
      <c r="I180" s="65"/>
      <c r="J180" s="242"/>
      <c r="K180" s="108"/>
      <c r="L180" s="282">
        <v>1100</v>
      </c>
      <c r="M180" s="243"/>
      <c r="N180" s="219"/>
      <c r="O180" s="65" t="s">
        <v>1285</v>
      </c>
      <c r="P180" s="162"/>
      <c r="Q180" s="158"/>
      <c r="R180" s="157"/>
      <c r="S180" s="114"/>
      <c r="T180" s="162" t="s">
        <v>29</v>
      </c>
      <c r="U180" s="65" t="s">
        <v>17</v>
      </c>
      <c r="V180" s="162"/>
      <c r="W180" s="165" t="s">
        <v>4041</v>
      </c>
      <c r="X180" s="218"/>
      <c r="Y180" s="167"/>
    </row>
    <row r="181" spans="1:25">
      <c r="A181" s="131" t="s">
        <v>80</v>
      </c>
      <c r="B181" s="109" t="s">
        <v>1385</v>
      </c>
      <c r="C181" s="160" t="s">
        <v>1788</v>
      </c>
      <c r="D181" s="162" t="s">
        <v>1789</v>
      </c>
      <c r="E181" s="65"/>
      <c r="F181" s="162" t="s">
        <v>21</v>
      </c>
      <c r="G181" s="65"/>
      <c r="H181" s="218"/>
      <c r="I181" s="65"/>
      <c r="J181" s="218"/>
      <c r="K181" s="108"/>
      <c r="L181" s="275">
        <v>40</v>
      </c>
      <c r="M181" s="65"/>
      <c r="N181" s="219"/>
      <c r="O181" s="65" t="s">
        <v>1285</v>
      </c>
      <c r="P181" s="162"/>
      <c r="Q181" s="158"/>
      <c r="R181" s="157"/>
      <c r="S181" s="114"/>
      <c r="T181" s="162" t="s">
        <v>29</v>
      </c>
      <c r="U181" s="65" t="s">
        <v>20</v>
      </c>
      <c r="V181" s="162" t="s">
        <v>208</v>
      </c>
      <c r="W181" s="165" t="s">
        <v>1790</v>
      </c>
      <c r="X181" s="218"/>
      <c r="Y181" s="167" t="s">
        <v>208</v>
      </c>
    </row>
    <row r="182" spans="1:25">
      <c r="A182" s="131" t="s">
        <v>80</v>
      </c>
      <c r="B182" s="109" t="s">
        <v>1320</v>
      </c>
      <c r="C182" s="160" t="s">
        <v>605</v>
      </c>
      <c r="D182" s="162" t="s">
        <v>1789</v>
      </c>
      <c r="E182" s="65" t="s">
        <v>1429</v>
      </c>
      <c r="F182" s="162" t="s">
        <v>1388</v>
      </c>
      <c r="G182" s="65" t="s">
        <v>607</v>
      </c>
      <c r="H182" s="218">
        <v>54</v>
      </c>
      <c r="I182" s="65"/>
      <c r="J182" s="218">
        <v>2.5</v>
      </c>
      <c r="K182" s="108"/>
      <c r="L182" s="275">
        <v>135</v>
      </c>
      <c r="M182" s="65" t="s">
        <v>1791</v>
      </c>
      <c r="N182" s="219">
        <v>0</v>
      </c>
      <c r="O182" s="65" t="s">
        <v>55</v>
      </c>
      <c r="P182" s="162" t="s">
        <v>1407</v>
      </c>
      <c r="Q182" s="158"/>
      <c r="R182" s="157" t="s">
        <v>1558</v>
      </c>
      <c r="S182" s="114"/>
      <c r="T182" s="162" t="s">
        <v>25</v>
      </c>
      <c r="U182" s="65" t="s">
        <v>1388</v>
      </c>
      <c r="V182" s="162">
        <v>1589</v>
      </c>
      <c r="W182" s="165"/>
      <c r="X182" s="218" t="s">
        <v>1404</v>
      </c>
      <c r="Y182" s="167">
        <v>44705.621469907404</v>
      </c>
    </row>
    <row r="183" spans="1:25">
      <c r="A183" s="131" t="s">
        <v>80</v>
      </c>
      <c r="B183" s="109" t="s">
        <v>1385</v>
      </c>
      <c r="C183" s="160" t="s">
        <v>1792</v>
      </c>
      <c r="D183" s="162" t="s">
        <v>1793</v>
      </c>
      <c r="E183" s="65" t="s">
        <v>1429</v>
      </c>
      <c r="F183" s="162" t="s">
        <v>1388</v>
      </c>
      <c r="G183" s="65" t="s">
        <v>208</v>
      </c>
      <c r="H183" s="218">
        <v>39</v>
      </c>
      <c r="I183" s="65"/>
      <c r="J183" s="218">
        <v>2.0510000000000002</v>
      </c>
      <c r="K183" s="108"/>
      <c r="L183" s="275">
        <v>79.989000000000004</v>
      </c>
      <c r="M183" s="65" t="s">
        <v>1794</v>
      </c>
      <c r="N183" s="219">
        <v>0</v>
      </c>
      <c r="O183" s="65" t="s">
        <v>1285</v>
      </c>
      <c r="P183" s="162" t="s">
        <v>1407</v>
      </c>
      <c r="Q183" s="158"/>
      <c r="R183" s="157"/>
      <c r="S183" s="114"/>
      <c r="T183" s="162" t="s">
        <v>29</v>
      </c>
      <c r="U183" s="65" t="s">
        <v>1388</v>
      </c>
      <c r="V183" s="162">
        <v>1483</v>
      </c>
      <c r="W183" s="165"/>
      <c r="X183" s="218" t="s">
        <v>1400</v>
      </c>
      <c r="Y183" s="167">
        <v>44693.480428240742</v>
      </c>
    </row>
    <row r="184" spans="1:25">
      <c r="A184" s="131" t="s">
        <v>80</v>
      </c>
      <c r="B184" s="109" t="s">
        <v>1320</v>
      </c>
      <c r="C184" s="160" t="s">
        <v>609</v>
      </c>
      <c r="D184" s="162" t="s">
        <v>606</v>
      </c>
      <c r="E184" s="65" t="s">
        <v>1429</v>
      </c>
      <c r="F184" s="162" t="s">
        <v>1388</v>
      </c>
      <c r="G184" s="65" t="s">
        <v>610</v>
      </c>
      <c r="H184" s="218">
        <v>54</v>
      </c>
      <c r="I184" s="65"/>
      <c r="J184" s="218">
        <v>2.5</v>
      </c>
      <c r="K184" s="108"/>
      <c r="L184" s="275">
        <v>135</v>
      </c>
      <c r="M184" s="65" t="s">
        <v>1791</v>
      </c>
      <c r="N184" s="219"/>
      <c r="O184" s="65" t="s">
        <v>131</v>
      </c>
      <c r="P184" s="162" t="s">
        <v>1407</v>
      </c>
      <c r="Q184" s="158" t="s">
        <v>1395</v>
      </c>
      <c r="R184" s="157" t="s">
        <v>1558</v>
      </c>
      <c r="S184" s="114"/>
      <c r="T184" s="162" t="s">
        <v>25</v>
      </c>
      <c r="U184" s="65" t="s">
        <v>1388</v>
      </c>
      <c r="V184" s="162">
        <v>1587</v>
      </c>
      <c r="W184" s="165"/>
      <c r="X184" s="218" t="s">
        <v>1481</v>
      </c>
      <c r="Y184" s="167">
        <v>44732.475011574075</v>
      </c>
    </row>
    <row r="185" spans="1:25">
      <c r="A185" s="131" t="s">
        <v>80</v>
      </c>
      <c r="B185" s="109" t="s">
        <v>1385</v>
      </c>
      <c r="C185" s="160" t="s">
        <v>4075</v>
      </c>
      <c r="D185" s="162" t="s">
        <v>4070</v>
      </c>
      <c r="E185" s="65"/>
      <c r="F185" s="162" t="s">
        <v>21</v>
      </c>
      <c r="G185" s="65"/>
      <c r="H185" s="218"/>
      <c r="I185" s="65"/>
      <c r="J185" s="218"/>
      <c r="K185" s="108"/>
      <c r="L185" s="275">
        <v>200</v>
      </c>
      <c r="M185" s="65"/>
      <c r="N185" s="219"/>
      <c r="O185" s="65" t="s">
        <v>1285</v>
      </c>
      <c r="P185" s="162"/>
      <c r="Q185" s="158"/>
      <c r="R185" s="157" t="s">
        <v>208</v>
      </c>
      <c r="S185" s="114"/>
      <c r="T185" s="162" t="s">
        <v>29</v>
      </c>
      <c r="U185" s="65" t="s">
        <v>20</v>
      </c>
      <c r="V185" s="162">
        <v>1939</v>
      </c>
      <c r="W185" s="165" t="s">
        <v>4076</v>
      </c>
      <c r="X185" s="218"/>
      <c r="Y185" s="167"/>
    </row>
    <row r="186" spans="1:25">
      <c r="A186" s="131" t="s">
        <v>80</v>
      </c>
      <c r="B186" s="109" t="s">
        <v>1385</v>
      </c>
      <c r="C186" s="160" t="s">
        <v>1795</v>
      </c>
      <c r="D186" s="162" t="s">
        <v>1796</v>
      </c>
      <c r="E186" s="65" t="s">
        <v>1429</v>
      </c>
      <c r="F186" s="162" t="s">
        <v>1388</v>
      </c>
      <c r="G186" s="65" t="s">
        <v>208</v>
      </c>
      <c r="H186" s="218">
        <v>1</v>
      </c>
      <c r="I186" s="65"/>
      <c r="J186" s="218">
        <v>280</v>
      </c>
      <c r="K186" s="108"/>
      <c r="L186" s="275">
        <v>280</v>
      </c>
      <c r="M186" s="65" t="s">
        <v>1797</v>
      </c>
      <c r="N186" s="219"/>
      <c r="O186" s="65" t="s">
        <v>1285</v>
      </c>
      <c r="P186" s="162" t="s">
        <v>1407</v>
      </c>
      <c r="Q186" s="158"/>
      <c r="R186" s="157"/>
      <c r="S186" s="114"/>
      <c r="T186" s="162" t="s">
        <v>29</v>
      </c>
      <c r="U186" s="65" t="s">
        <v>1388</v>
      </c>
      <c r="V186" s="162">
        <v>109</v>
      </c>
      <c r="W186" s="165"/>
      <c r="X186" s="218" t="s">
        <v>208</v>
      </c>
      <c r="Y186" s="167">
        <v>43312</v>
      </c>
    </row>
    <row r="187" spans="1:25">
      <c r="A187" s="131" t="s">
        <v>100</v>
      </c>
      <c r="B187" s="109" t="s">
        <v>1320</v>
      </c>
      <c r="C187" s="160" t="s">
        <v>1798</v>
      </c>
      <c r="D187" s="162" t="s">
        <v>1393</v>
      </c>
      <c r="E187" s="65" t="s">
        <v>1398</v>
      </c>
      <c r="F187" s="162" t="s">
        <v>1388</v>
      </c>
      <c r="G187" s="65" t="s">
        <v>208</v>
      </c>
      <c r="H187" s="218">
        <v>1</v>
      </c>
      <c r="I187" s="65"/>
      <c r="J187" s="218">
        <v>0.26</v>
      </c>
      <c r="K187" s="108"/>
      <c r="L187" s="275">
        <v>0.26</v>
      </c>
      <c r="M187" s="65" t="s">
        <v>1799</v>
      </c>
      <c r="N187" s="219"/>
      <c r="O187" s="65" t="s">
        <v>55</v>
      </c>
      <c r="P187" s="162" t="s">
        <v>1362</v>
      </c>
      <c r="Q187" s="158"/>
      <c r="R187" s="157"/>
      <c r="S187" s="114"/>
      <c r="T187" s="162" t="s">
        <v>25</v>
      </c>
      <c r="U187" s="65" t="s">
        <v>1388</v>
      </c>
      <c r="V187" s="162">
        <v>50</v>
      </c>
      <c r="W187" s="165"/>
      <c r="X187" s="218" t="s">
        <v>208</v>
      </c>
      <c r="Y187" s="167">
        <v>43312</v>
      </c>
    </row>
    <row r="188" spans="1:25">
      <c r="A188" s="131" t="s">
        <v>62</v>
      </c>
      <c r="B188" s="109" t="s">
        <v>1385</v>
      </c>
      <c r="C188" s="160" t="s">
        <v>1800</v>
      </c>
      <c r="D188" s="162" t="s">
        <v>1801</v>
      </c>
      <c r="E188" s="65"/>
      <c r="F188" s="162" t="s">
        <v>1388</v>
      </c>
      <c r="G188" s="65"/>
      <c r="H188" s="218"/>
      <c r="I188" s="65"/>
      <c r="J188" s="218"/>
      <c r="K188" s="108"/>
      <c r="L188" s="275">
        <v>140</v>
      </c>
      <c r="M188" s="65"/>
      <c r="N188" s="219"/>
      <c r="O188" s="65" t="s">
        <v>1285</v>
      </c>
      <c r="P188" s="162"/>
      <c r="Q188" s="158"/>
      <c r="R188" s="157"/>
      <c r="S188" s="114"/>
      <c r="T188" s="162" t="s">
        <v>29</v>
      </c>
      <c r="U188" s="65" t="s">
        <v>1388</v>
      </c>
      <c r="V188" s="162" t="s">
        <v>208</v>
      </c>
      <c r="W188" s="165" t="s">
        <v>1802</v>
      </c>
      <c r="X188" s="218"/>
      <c r="Y188" s="167" t="s">
        <v>208</v>
      </c>
    </row>
    <row r="189" spans="1:25">
      <c r="A189" s="131" t="s">
        <v>46</v>
      </c>
      <c r="B189" s="109" t="s">
        <v>1320</v>
      </c>
      <c r="C189" s="160" t="s">
        <v>1803</v>
      </c>
      <c r="D189" s="162" t="s">
        <v>49</v>
      </c>
      <c r="E189" s="65" t="s">
        <v>1539</v>
      </c>
      <c r="F189" s="162" t="s">
        <v>18</v>
      </c>
      <c r="G189" s="65" t="s">
        <v>1804</v>
      </c>
      <c r="H189" s="218">
        <v>1</v>
      </c>
      <c r="I189" s="65"/>
      <c r="J189" s="218">
        <v>19</v>
      </c>
      <c r="K189" s="108"/>
      <c r="L189" s="275">
        <v>19</v>
      </c>
      <c r="M189" s="65" t="s">
        <v>1805</v>
      </c>
      <c r="N189" s="219"/>
      <c r="O189" s="65" t="s">
        <v>55</v>
      </c>
      <c r="P189" s="162" t="s">
        <v>1362</v>
      </c>
      <c r="Q189" s="158"/>
      <c r="R189" s="157" t="s">
        <v>1441</v>
      </c>
      <c r="S189" s="114"/>
      <c r="T189" s="162" t="s">
        <v>25</v>
      </c>
      <c r="U189" s="65" t="s">
        <v>18</v>
      </c>
      <c r="V189" s="162">
        <v>1032</v>
      </c>
      <c r="W189" s="165"/>
      <c r="X189" s="218" t="s">
        <v>1363</v>
      </c>
      <c r="Y189" s="167">
        <v>44665.487233796295</v>
      </c>
    </row>
    <row r="190" spans="1:25">
      <c r="A190" s="131" t="s">
        <v>46</v>
      </c>
      <c r="B190" s="109" t="s">
        <v>1385</v>
      </c>
      <c r="C190" s="160" t="s">
        <v>1806</v>
      </c>
      <c r="D190" s="162" t="s">
        <v>1709</v>
      </c>
      <c r="E190" s="65" t="s">
        <v>1419</v>
      </c>
      <c r="F190" s="162" t="s">
        <v>17</v>
      </c>
      <c r="G190" s="65" t="s">
        <v>208</v>
      </c>
      <c r="H190" s="218">
        <v>105</v>
      </c>
      <c r="I190" s="65"/>
      <c r="J190" s="218">
        <v>6.19</v>
      </c>
      <c r="K190" s="108"/>
      <c r="L190" s="275">
        <v>649.95000000000005</v>
      </c>
      <c r="M190" s="65" t="s">
        <v>1807</v>
      </c>
      <c r="N190" s="219"/>
      <c r="O190" s="65" t="s">
        <v>1285</v>
      </c>
      <c r="P190" s="162" t="s">
        <v>1393</v>
      </c>
      <c r="Q190" s="158"/>
      <c r="R190" s="157"/>
      <c r="S190" s="114"/>
      <c r="T190" s="162" t="s">
        <v>29</v>
      </c>
      <c r="U190" s="65" t="s">
        <v>17</v>
      </c>
      <c r="V190" s="162">
        <v>2006</v>
      </c>
      <c r="W190" s="165" t="s">
        <v>3937</v>
      </c>
      <c r="X190" s="218" t="s">
        <v>208</v>
      </c>
      <c r="Y190" s="167">
        <v>44726.652650462966</v>
      </c>
    </row>
    <row r="191" spans="1:25">
      <c r="A191" s="131" t="s">
        <v>46</v>
      </c>
      <c r="B191" s="109" t="s">
        <v>1320</v>
      </c>
      <c r="C191" s="160" t="s">
        <v>1808</v>
      </c>
      <c r="D191" s="162" t="s">
        <v>1809</v>
      </c>
      <c r="E191" s="65" t="s">
        <v>1539</v>
      </c>
      <c r="F191" s="162" t="s">
        <v>18</v>
      </c>
      <c r="G191" s="65" t="s">
        <v>1810</v>
      </c>
      <c r="H191" s="218">
        <v>1</v>
      </c>
      <c r="I191" s="65"/>
      <c r="J191" s="218">
        <v>20</v>
      </c>
      <c r="K191" s="108"/>
      <c r="L191" s="275">
        <v>20</v>
      </c>
      <c r="M191" s="65" t="s">
        <v>1433</v>
      </c>
      <c r="N191" s="219">
        <v>0</v>
      </c>
      <c r="O191" s="65" t="s">
        <v>55</v>
      </c>
      <c r="P191" s="162" t="s">
        <v>1362</v>
      </c>
      <c r="Q191" s="158"/>
      <c r="R191" s="157" t="s">
        <v>1811</v>
      </c>
      <c r="S191" s="114"/>
      <c r="T191" s="162" t="s">
        <v>25</v>
      </c>
      <c r="U191" s="65" t="s">
        <v>18</v>
      </c>
      <c r="V191" s="162">
        <v>1033</v>
      </c>
      <c r="W191" s="165"/>
      <c r="X191" s="218" t="s">
        <v>1400</v>
      </c>
      <c r="Y191" s="167">
        <v>44679.457546296297</v>
      </c>
    </row>
    <row r="192" spans="1:25">
      <c r="A192" s="131" t="s">
        <v>46</v>
      </c>
      <c r="B192" s="109" t="s">
        <v>1320</v>
      </c>
      <c r="C192" s="160" t="s">
        <v>1808</v>
      </c>
      <c r="D192" s="162" t="s">
        <v>1809</v>
      </c>
      <c r="E192" s="65" t="s">
        <v>1539</v>
      </c>
      <c r="F192" s="162" t="s">
        <v>18</v>
      </c>
      <c r="G192" s="65" t="s">
        <v>1810</v>
      </c>
      <c r="H192" s="218">
        <v>2</v>
      </c>
      <c r="I192" s="65"/>
      <c r="J192" s="218">
        <v>7</v>
      </c>
      <c r="K192" s="108"/>
      <c r="L192" s="275">
        <v>14</v>
      </c>
      <c r="M192" s="65" t="s">
        <v>1812</v>
      </c>
      <c r="N192" s="219">
        <v>0</v>
      </c>
      <c r="O192" s="65" t="s">
        <v>55</v>
      </c>
      <c r="P192" s="162" t="s">
        <v>1362</v>
      </c>
      <c r="Q192" s="158"/>
      <c r="R192" s="157" t="s">
        <v>1811</v>
      </c>
      <c r="S192" s="114"/>
      <c r="T192" s="162" t="s">
        <v>25</v>
      </c>
      <c r="U192" s="65" t="s">
        <v>18</v>
      </c>
      <c r="V192" s="162">
        <v>1033</v>
      </c>
      <c r="W192" s="165"/>
      <c r="X192" s="218" t="s">
        <v>1400</v>
      </c>
      <c r="Y192" s="167">
        <v>44679.457546296297</v>
      </c>
    </row>
    <row r="193" spans="1:25">
      <c r="A193" s="131" t="s">
        <v>95</v>
      </c>
      <c r="B193" s="109" t="s">
        <v>1320</v>
      </c>
      <c r="C193" s="160" t="s">
        <v>1813</v>
      </c>
      <c r="D193" s="162" t="s">
        <v>1585</v>
      </c>
      <c r="E193" s="65" t="s">
        <v>1539</v>
      </c>
      <c r="F193" s="162" t="s">
        <v>18</v>
      </c>
      <c r="G193" s="65" t="s">
        <v>1814</v>
      </c>
      <c r="H193" s="218">
        <v>1</v>
      </c>
      <c r="I193" s="65"/>
      <c r="J193" s="218">
        <v>2.2000000000000002</v>
      </c>
      <c r="K193" s="108"/>
      <c r="L193" s="275">
        <v>2.2000000000000002</v>
      </c>
      <c r="M193" s="65" t="s">
        <v>1541</v>
      </c>
      <c r="N193" s="219"/>
      <c r="O193" s="65" t="s">
        <v>55</v>
      </c>
      <c r="P193" s="162" t="s">
        <v>1362</v>
      </c>
      <c r="Q193" s="158"/>
      <c r="R193" s="157" t="s">
        <v>1588</v>
      </c>
      <c r="S193" s="114"/>
      <c r="T193" s="162" t="s">
        <v>25</v>
      </c>
      <c r="U193" s="65" t="s">
        <v>18</v>
      </c>
      <c r="V193" s="162">
        <v>1034</v>
      </c>
      <c r="W193" s="165"/>
      <c r="X193" s="218" t="s">
        <v>1363</v>
      </c>
      <c r="Y193" s="167">
        <v>44670.580451388887</v>
      </c>
    </row>
    <row r="194" spans="1:25">
      <c r="A194" s="131" t="s">
        <v>95</v>
      </c>
      <c r="B194" s="109" t="s">
        <v>1320</v>
      </c>
      <c r="C194" s="160" t="s">
        <v>1813</v>
      </c>
      <c r="D194" s="162" t="s">
        <v>1585</v>
      </c>
      <c r="E194" s="65" t="s">
        <v>1539</v>
      </c>
      <c r="F194" s="162" t="s">
        <v>18</v>
      </c>
      <c r="G194" s="65" t="s">
        <v>1814</v>
      </c>
      <c r="H194" s="218">
        <v>1</v>
      </c>
      <c r="I194" s="65"/>
      <c r="J194" s="218">
        <v>12.2</v>
      </c>
      <c r="K194" s="108"/>
      <c r="L194" s="275">
        <v>12.2</v>
      </c>
      <c r="M194" s="65" t="s">
        <v>1815</v>
      </c>
      <c r="N194" s="219"/>
      <c r="O194" s="65" t="s">
        <v>55</v>
      </c>
      <c r="P194" s="162" t="s">
        <v>1362</v>
      </c>
      <c r="Q194" s="158"/>
      <c r="R194" s="157" t="s">
        <v>1588</v>
      </c>
      <c r="S194" s="114"/>
      <c r="T194" s="162" t="s">
        <v>25</v>
      </c>
      <c r="U194" s="65" t="s">
        <v>18</v>
      </c>
      <c r="V194" s="162">
        <v>1034</v>
      </c>
      <c r="W194" s="165"/>
      <c r="X194" s="218" t="s">
        <v>1363</v>
      </c>
      <c r="Y194" s="167">
        <v>44670.580451388887</v>
      </c>
    </row>
    <row r="195" spans="1:25">
      <c r="A195" s="131" t="s">
        <v>62</v>
      </c>
      <c r="B195" s="109" t="s">
        <v>1320</v>
      </c>
      <c r="C195" s="160" t="s">
        <v>1816</v>
      </c>
      <c r="D195" s="162" t="s">
        <v>1817</v>
      </c>
      <c r="E195" s="65" t="s">
        <v>1596</v>
      </c>
      <c r="F195" s="162" t="s">
        <v>1597</v>
      </c>
      <c r="G195" s="65" t="s">
        <v>1818</v>
      </c>
      <c r="H195" s="218">
        <v>1</v>
      </c>
      <c r="I195" s="65"/>
      <c r="J195" s="218">
        <v>350</v>
      </c>
      <c r="K195" s="108"/>
      <c r="L195" s="275">
        <v>350</v>
      </c>
      <c r="M195" s="65" t="s">
        <v>1819</v>
      </c>
      <c r="N195" s="219"/>
      <c r="O195" s="65" t="s">
        <v>55</v>
      </c>
      <c r="P195" s="162" t="s">
        <v>1403</v>
      </c>
      <c r="Q195" s="158"/>
      <c r="R195" s="157" t="s">
        <v>1820</v>
      </c>
      <c r="S195" s="114"/>
      <c r="T195" s="162" t="s">
        <v>25</v>
      </c>
      <c r="U195" s="65" t="s">
        <v>12</v>
      </c>
      <c r="V195" s="162">
        <v>1035</v>
      </c>
      <c r="W195" s="165"/>
      <c r="X195" s="218" t="s">
        <v>1363</v>
      </c>
      <c r="Y195" s="167">
        <v>44732.464328703703</v>
      </c>
    </row>
    <row r="196" spans="1:25">
      <c r="A196" s="131" t="s">
        <v>62</v>
      </c>
      <c r="B196" s="109" t="s">
        <v>1320</v>
      </c>
      <c r="C196" s="160" t="s">
        <v>1816</v>
      </c>
      <c r="D196" s="162" t="s">
        <v>1817</v>
      </c>
      <c r="E196" s="65" t="s">
        <v>1596</v>
      </c>
      <c r="F196" s="162" t="s">
        <v>1597</v>
      </c>
      <c r="G196" s="65" t="s">
        <v>1821</v>
      </c>
      <c r="H196" s="218">
        <v>1</v>
      </c>
      <c r="I196" s="65"/>
      <c r="J196" s="218">
        <v>350</v>
      </c>
      <c r="K196" s="108"/>
      <c r="L196" s="275">
        <v>350</v>
      </c>
      <c r="M196" s="65" t="s">
        <v>1819</v>
      </c>
      <c r="N196" s="219"/>
      <c r="O196" s="65" t="s">
        <v>55</v>
      </c>
      <c r="P196" s="162" t="s">
        <v>1403</v>
      </c>
      <c r="Q196" s="158"/>
      <c r="R196" s="157" t="s">
        <v>1820</v>
      </c>
      <c r="S196" s="114"/>
      <c r="T196" s="162" t="s">
        <v>25</v>
      </c>
      <c r="U196" s="65" t="s">
        <v>12</v>
      </c>
      <c r="V196" s="162">
        <v>1035</v>
      </c>
      <c r="W196" s="165"/>
      <c r="X196" s="218" t="s">
        <v>1363</v>
      </c>
      <c r="Y196" s="167">
        <v>44732.464328703703</v>
      </c>
    </row>
    <row r="197" spans="1:25">
      <c r="A197" s="131" t="s">
        <v>62</v>
      </c>
      <c r="B197" s="109" t="s">
        <v>1320</v>
      </c>
      <c r="C197" s="160" t="s">
        <v>454</v>
      </c>
      <c r="D197" s="162" t="s">
        <v>455</v>
      </c>
      <c r="E197" s="65" t="s">
        <v>1822</v>
      </c>
      <c r="F197" s="162" t="s">
        <v>1597</v>
      </c>
      <c r="G197" s="65" t="s">
        <v>1823</v>
      </c>
      <c r="H197" s="218">
        <v>1</v>
      </c>
      <c r="I197" s="65"/>
      <c r="J197" s="218">
        <v>420</v>
      </c>
      <c r="K197" s="108"/>
      <c r="L197" s="275">
        <v>420</v>
      </c>
      <c r="M197" s="65" t="s">
        <v>1824</v>
      </c>
      <c r="N197" s="219"/>
      <c r="O197" s="65" t="s">
        <v>55</v>
      </c>
      <c r="P197" s="162" t="s">
        <v>1403</v>
      </c>
      <c r="Q197" s="158"/>
      <c r="R197" s="157"/>
      <c r="S197" s="114"/>
      <c r="T197" s="162" t="s">
        <v>25</v>
      </c>
      <c r="U197" s="65" t="s">
        <v>12</v>
      </c>
      <c r="V197" s="162">
        <v>1036</v>
      </c>
      <c r="W197" s="165"/>
      <c r="X197" s="218" t="s">
        <v>1363</v>
      </c>
      <c r="Y197" s="167">
        <v>44665.488321759258</v>
      </c>
    </row>
    <row r="198" spans="1:25">
      <c r="A198" s="131" t="s">
        <v>62</v>
      </c>
      <c r="B198" s="109" t="s">
        <v>1320</v>
      </c>
      <c r="C198" s="160" t="s">
        <v>454</v>
      </c>
      <c r="D198" s="162" t="s">
        <v>455</v>
      </c>
      <c r="E198" s="65" t="s">
        <v>1822</v>
      </c>
      <c r="F198" s="162" t="s">
        <v>1597</v>
      </c>
      <c r="G198" s="65" t="s">
        <v>1825</v>
      </c>
      <c r="H198" s="218">
        <v>1</v>
      </c>
      <c r="I198" s="65"/>
      <c r="J198" s="218">
        <v>420</v>
      </c>
      <c r="K198" s="108"/>
      <c r="L198" s="275">
        <v>420</v>
      </c>
      <c r="M198" s="65" t="s">
        <v>1824</v>
      </c>
      <c r="N198" s="219"/>
      <c r="O198" s="65" t="s">
        <v>55</v>
      </c>
      <c r="P198" s="162" t="s">
        <v>1403</v>
      </c>
      <c r="Q198" s="158"/>
      <c r="R198" s="157"/>
      <c r="S198" s="114"/>
      <c r="T198" s="162" t="s">
        <v>25</v>
      </c>
      <c r="U198" s="65" t="s">
        <v>12</v>
      </c>
      <c r="V198" s="162">
        <v>1036</v>
      </c>
      <c r="W198" s="165"/>
      <c r="X198" s="218" t="s">
        <v>1363</v>
      </c>
      <c r="Y198" s="167">
        <v>44665.488321759258</v>
      </c>
    </row>
    <row r="199" spans="1:25">
      <c r="A199" s="131" t="s">
        <v>62</v>
      </c>
      <c r="B199" s="109" t="s">
        <v>1385</v>
      </c>
      <c r="C199" s="160" t="s">
        <v>1826</v>
      </c>
      <c r="D199" s="162" t="s">
        <v>1827</v>
      </c>
      <c r="E199" s="65"/>
      <c r="F199" s="162" t="s">
        <v>17</v>
      </c>
      <c r="G199" s="65"/>
      <c r="H199" s="218"/>
      <c r="I199" s="65"/>
      <c r="J199" s="218"/>
      <c r="K199" s="108"/>
      <c r="L199" s="275">
        <v>450</v>
      </c>
      <c r="M199" s="65"/>
      <c r="N199" s="219"/>
      <c r="O199" s="65" t="s">
        <v>1285</v>
      </c>
      <c r="P199" s="162"/>
      <c r="Q199" s="158"/>
      <c r="R199" s="157" t="s">
        <v>208</v>
      </c>
      <c r="S199" s="114"/>
      <c r="T199" s="162" t="s">
        <v>29</v>
      </c>
      <c r="U199" s="65" t="s">
        <v>17</v>
      </c>
      <c r="V199" s="162" t="s">
        <v>208</v>
      </c>
      <c r="W199" s="165" t="s">
        <v>1828</v>
      </c>
      <c r="X199" s="218"/>
      <c r="Y199" s="167" t="s">
        <v>208</v>
      </c>
    </row>
    <row r="200" spans="1:25">
      <c r="A200" s="131" t="s">
        <v>100</v>
      </c>
      <c r="B200" s="109" t="s">
        <v>1385</v>
      </c>
      <c r="C200" s="160" t="s">
        <v>1829</v>
      </c>
      <c r="D200" s="162" t="s">
        <v>1830</v>
      </c>
      <c r="E200" s="65" t="s">
        <v>1429</v>
      </c>
      <c r="F200" s="162" t="s">
        <v>1388</v>
      </c>
      <c r="G200" s="65" t="s">
        <v>208</v>
      </c>
      <c r="H200" s="218">
        <v>1</v>
      </c>
      <c r="I200" s="65"/>
      <c r="J200" s="218">
        <v>205</v>
      </c>
      <c r="K200" s="108"/>
      <c r="L200" s="275">
        <v>205</v>
      </c>
      <c r="M200" s="65" t="s">
        <v>1831</v>
      </c>
      <c r="N200" s="219">
        <v>0</v>
      </c>
      <c r="O200" s="65" t="s">
        <v>1285</v>
      </c>
      <c r="P200" s="162" t="s">
        <v>1407</v>
      </c>
      <c r="Q200" s="158"/>
      <c r="R200" s="157" t="s">
        <v>1832</v>
      </c>
      <c r="S200" s="114"/>
      <c r="T200" s="162" t="s">
        <v>29</v>
      </c>
      <c r="U200" s="65" t="s">
        <v>1388</v>
      </c>
      <c r="V200" s="162">
        <v>1972</v>
      </c>
      <c r="W200" s="165"/>
      <c r="X200" s="218" t="s">
        <v>1481</v>
      </c>
      <c r="Y200" s="167">
        <v>44679.624618055554</v>
      </c>
    </row>
    <row r="201" spans="1:25">
      <c r="A201" s="131" t="s">
        <v>80</v>
      </c>
      <c r="B201" s="109" t="s">
        <v>1320</v>
      </c>
      <c r="C201" s="160" t="s">
        <v>1833</v>
      </c>
      <c r="D201" s="162" t="s">
        <v>1834</v>
      </c>
      <c r="E201" s="65" t="s">
        <v>1419</v>
      </c>
      <c r="F201" s="162" t="s">
        <v>17</v>
      </c>
      <c r="G201" s="65" t="s">
        <v>1835</v>
      </c>
      <c r="H201" s="218">
        <v>23</v>
      </c>
      <c r="I201" s="65"/>
      <c r="J201" s="218">
        <v>2</v>
      </c>
      <c r="K201" s="108"/>
      <c r="L201" s="275">
        <v>46</v>
      </c>
      <c r="M201" s="65" t="s">
        <v>1836</v>
      </c>
      <c r="N201" s="219"/>
      <c r="O201" s="65" t="s">
        <v>55</v>
      </c>
      <c r="P201" s="162" t="s">
        <v>1362</v>
      </c>
      <c r="Q201" s="158"/>
      <c r="R201" s="157" t="s">
        <v>1837</v>
      </c>
      <c r="S201" s="114"/>
      <c r="T201" s="162" t="s">
        <v>25</v>
      </c>
      <c r="U201" s="65" t="s">
        <v>17</v>
      </c>
      <c r="V201" s="162">
        <v>1037</v>
      </c>
      <c r="W201" s="165"/>
      <c r="X201" s="218" t="s">
        <v>1363</v>
      </c>
      <c r="Y201" s="167">
        <v>44665.489293981482</v>
      </c>
    </row>
    <row r="202" spans="1:25">
      <c r="A202" s="131" t="s">
        <v>46</v>
      </c>
      <c r="B202" s="109" t="s">
        <v>1385</v>
      </c>
      <c r="C202" s="160" t="s">
        <v>1838</v>
      </c>
      <c r="D202" s="162" t="s">
        <v>1839</v>
      </c>
      <c r="E202" s="65" t="s">
        <v>1419</v>
      </c>
      <c r="F202" s="162" t="s">
        <v>17</v>
      </c>
      <c r="G202" s="65" t="s">
        <v>208</v>
      </c>
      <c r="H202" s="218">
        <v>32</v>
      </c>
      <c r="I202" s="65">
        <v>2.2000000000000002</v>
      </c>
      <c r="J202" s="218">
        <v>4.2</v>
      </c>
      <c r="K202" s="108">
        <v>70.400000000000006</v>
      </c>
      <c r="L202" s="275">
        <v>134.4</v>
      </c>
      <c r="M202" s="65" t="s">
        <v>1840</v>
      </c>
      <c r="N202" s="219"/>
      <c r="O202" s="65" t="s">
        <v>1285</v>
      </c>
      <c r="P202" s="162" t="s">
        <v>1407</v>
      </c>
      <c r="Q202" s="158"/>
      <c r="R202" s="157"/>
      <c r="S202" s="114"/>
      <c r="T202" s="162" t="s">
        <v>29</v>
      </c>
      <c r="U202" s="65" t="s">
        <v>17</v>
      </c>
      <c r="V202" s="162">
        <v>1278</v>
      </c>
      <c r="W202" s="165" t="s">
        <v>3940</v>
      </c>
      <c r="X202" s="218" t="s">
        <v>1363</v>
      </c>
      <c r="Y202" s="167">
        <v>44671.358171296299</v>
      </c>
    </row>
    <row r="203" spans="1:25">
      <c r="A203" s="131" t="s">
        <v>46</v>
      </c>
      <c r="B203" s="109" t="s">
        <v>1385</v>
      </c>
      <c r="C203" s="160" t="s">
        <v>1841</v>
      </c>
      <c r="D203" s="162" t="s">
        <v>1842</v>
      </c>
      <c r="E203" s="65" t="s">
        <v>1391</v>
      </c>
      <c r="F203" s="162" t="s">
        <v>21</v>
      </c>
      <c r="G203" s="65" t="s">
        <v>208</v>
      </c>
      <c r="H203" s="218">
        <v>1</v>
      </c>
      <c r="I203" s="65"/>
      <c r="J203" s="218">
        <v>100</v>
      </c>
      <c r="K203" s="108"/>
      <c r="L203" s="275">
        <v>100</v>
      </c>
      <c r="M203" s="65" t="s">
        <v>1546</v>
      </c>
      <c r="N203" s="219">
        <v>200</v>
      </c>
      <c r="O203" s="65" t="s">
        <v>1285</v>
      </c>
      <c r="P203" s="162" t="s">
        <v>1393</v>
      </c>
      <c r="Q203" s="158" t="s">
        <v>1843</v>
      </c>
      <c r="R203" s="157" t="s">
        <v>1377</v>
      </c>
      <c r="S203" s="114"/>
      <c r="T203" s="162" t="s">
        <v>29</v>
      </c>
      <c r="U203" s="65" t="s">
        <v>20</v>
      </c>
      <c r="V203" s="162">
        <v>1890</v>
      </c>
      <c r="W203" s="165" t="s">
        <v>3927</v>
      </c>
      <c r="X203" s="225" t="s">
        <v>1453</v>
      </c>
      <c r="Y203" s="167">
        <v>44747.430636574078</v>
      </c>
    </row>
    <row r="204" spans="1:25">
      <c r="A204" s="131" t="s">
        <v>46</v>
      </c>
      <c r="B204" s="109" t="s">
        <v>1320</v>
      </c>
      <c r="C204" s="160" t="s">
        <v>1116</v>
      </c>
      <c r="D204" s="162" t="s">
        <v>1844</v>
      </c>
      <c r="E204" s="65" t="s">
        <v>1398</v>
      </c>
      <c r="F204" s="162" t="s">
        <v>1388</v>
      </c>
      <c r="G204" s="65" t="s">
        <v>1845</v>
      </c>
      <c r="H204" s="218">
        <v>4</v>
      </c>
      <c r="I204" s="65"/>
      <c r="J204" s="218">
        <v>0.5</v>
      </c>
      <c r="K204" s="108"/>
      <c r="L204" s="275">
        <v>2</v>
      </c>
      <c r="M204" s="65" t="s">
        <v>1846</v>
      </c>
      <c r="N204" s="219"/>
      <c r="O204" s="65" t="s">
        <v>55</v>
      </c>
      <c r="P204" s="162" t="s">
        <v>1362</v>
      </c>
      <c r="Q204" s="158"/>
      <c r="R204" s="157" t="s">
        <v>1769</v>
      </c>
      <c r="S204" s="114"/>
      <c r="T204" s="162" t="s">
        <v>25</v>
      </c>
      <c r="U204" s="65" t="s">
        <v>1388</v>
      </c>
      <c r="V204" s="162">
        <v>1039</v>
      </c>
      <c r="W204" s="165"/>
      <c r="X204" s="218" t="s">
        <v>1363</v>
      </c>
      <c r="Y204" s="167">
        <v>44670.581863425927</v>
      </c>
    </row>
    <row r="205" spans="1:25">
      <c r="A205" s="131" t="s">
        <v>46</v>
      </c>
      <c r="B205" s="109" t="s">
        <v>1320</v>
      </c>
      <c r="C205" s="160" t="s">
        <v>1847</v>
      </c>
      <c r="D205" s="162" t="s">
        <v>1848</v>
      </c>
      <c r="E205" s="65" t="s">
        <v>1419</v>
      </c>
      <c r="F205" s="162" t="s">
        <v>17</v>
      </c>
      <c r="G205" s="65" t="s">
        <v>1849</v>
      </c>
      <c r="H205" s="218">
        <v>67</v>
      </c>
      <c r="I205" s="65"/>
      <c r="J205" s="218">
        <v>2.1</v>
      </c>
      <c r="K205" s="108"/>
      <c r="L205" s="275">
        <v>140.70000000000002</v>
      </c>
      <c r="M205" s="65" t="s">
        <v>1850</v>
      </c>
      <c r="N205" s="219"/>
      <c r="O205" s="65" t="s">
        <v>55</v>
      </c>
      <c r="P205" s="162" t="s">
        <v>1362</v>
      </c>
      <c r="Q205" s="158"/>
      <c r="R205" s="157" t="s">
        <v>1511</v>
      </c>
      <c r="S205" s="114"/>
      <c r="T205" s="162" t="s">
        <v>25</v>
      </c>
      <c r="U205" s="65" t="s">
        <v>17</v>
      </c>
      <c r="V205" s="162">
        <v>1038</v>
      </c>
      <c r="W205" s="165"/>
      <c r="X205" s="218" t="s">
        <v>1363</v>
      </c>
      <c r="Y205" s="167">
        <v>44665.490185185183</v>
      </c>
    </row>
    <row r="206" spans="1:25">
      <c r="A206" s="131" t="s">
        <v>62</v>
      </c>
      <c r="B206" s="109" t="s">
        <v>1385</v>
      </c>
      <c r="C206" s="254" t="s">
        <v>4008</v>
      </c>
      <c r="D206" s="162" t="s">
        <v>4009</v>
      </c>
      <c r="E206" s="65"/>
      <c r="F206" s="162" t="s">
        <v>3990</v>
      </c>
      <c r="G206" s="65"/>
      <c r="H206" s="218"/>
      <c r="I206" s="65"/>
      <c r="J206" s="242"/>
      <c r="K206" s="108"/>
      <c r="L206" s="282">
        <v>381</v>
      </c>
      <c r="M206" s="243"/>
      <c r="N206" s="219"/>
      <c r="O206" s="65" t="s">
        <v>1285</v>
      </c>
      <c r="P206" s="162"/>
      <c r="Q206" s="158"/>
      <c r="R206" s="157"/>
      <c r="S206" s="114"/>
      <c r="T206" s="162" t="s">
        <v>29</v>
      </c>
      <c r="U206" s="65" t="s">
        <v>17</v>
      </c>
      <c r="V206" s="162"/>
      <c r="W206" s="165" t="s">
        <v>4040</v>
      </c>
      <c r="X206" s="218"/>
      <c r="Y206" s="167"/>
    </row>
    <row r="207" spans="1:25">
      <c r="A207" s="131" t="s">
        <v>46</v>
      </c>
      <c r="B207" s="109" t="s">
        <v>1385</v>
      </c>
      <c r="C207" s="160" t="s">
        <v>1851</v>
      </c>
      <c r="D207" s="162" t="s">
        <v>1852</v>
      </c>
      <c r="E207" s="65" t="s">
        <v>1398</v>
      </c>
      <c r="F207" s="162" t="s">
        <v>1388</v>
      </c>
      <c r="G207" s="65" t="s">
        <v>208</v>
      </c>
      <c r="H207" s="218">
        <v>3</v>
      </c>
      <c r="I207" s="65"/>
      <c r="J207" s="218">
        <v>5</v>
      </c>
      <c r="K207" s="108"/>
      <c r="L207" s="275">
        <v>15</v>
      </c>
      <c r="M207" s="65" t="s">
        <v>1696</v>
      </c>
      <c r="N207" s="219"/>
      <c r="O207" s="65" t="s">
        <v>1285</v>
      </c>
      <c r="P207" s="162" t="s">
        <v>1362</v>
      </c>
      <c r="Q207" s="158"/>
      <c r="R207" s="157"/>
      <c r="S207" s="114"/>
      <c r="T207" s="162" t="s">
        <v>29</v>
      </c>
      <c r="U207" s="65" t="s">
        <v>1388</v>
      </c>
      <c r="V207" s="162">
        <v>1910</v>
      </c>
      <c r="W207" s="165"/>
      <c r="X207" s="225" t="s">
        <v>1453</v>
      </c>
      <c r="Y207" s="167">
        <v>44748.421840277777</v>
      </c>
    </row>
    <row r="208" spans="1:25">
      <c r="A208" s="131" t="s">
        <v>100</v>
      </c>
      <c r="B208" s="109" t="s">
        <v>1320</v>
      </c>
      <c r="C208" s="160" t="s">
        <v>1853</v>
      </c>
      <c r="D208" s="162" t="s">
        <v>1393</v>
      </c>
      <c r="E208" s="65" t="s">
        <v>1539</v>
      </c>
      <c r="F208" s="162" t="s">
        <v>18</v>
      </c>
      <c r="G208" s="65" t="s">
        <v>208</v>
      </c>
      <c r="H208" s="218">
        <v>1</v>
      </c>
      <c r="I208" s="65"/>
      <c r="J208" s="218">
        <v>0.09</v>
      </c>
      <c r="K208" s="108"/>
      <c r="L208" s="275">
        <v>0.09</v>
      </c>
      <c r="M208" s="65" t="s">
        <v>1854</v>
      </c>
      <c r="N208" s="219"/>
      <c r="O208" s="65" t="s">
        <v>55</v>
      </c>
      <c r="P208" s="162" t="s">
        <v>1362</v>
      </c>
      <c r="Q208" s="158"/>
      <c r="R208" s="157"/>
      <c r="S208" s="114"/>
      <c r="T208" s="162" t="s">
        <v>25</v>
      </c>
      <c r="U208" s="65" t="s">
        <v>18</v>
      </c>
      <c r="V208" s="162">
        <v>5</v>
      </c>
      <c r="W208" s="165"/>
      <c r="X208" s="218" t="s">
        <v>208</v>
      </c>
      <c r="Y208" s="167">
        <v>43312</v>
      </c>
    </row>
    <row r="209" spans="1:25">
      <c r="A209" s="131" t="s">
        <v>100</v>
      </c>
      <c r="B209" s="109" t="s">
        <v>1320</v>
      </c>
      <c r="C209" s="160" t="s">
        <v>1855</v>
      </c>
      <c r="D209" s="162" t="s">
        <v>1393</v>
      </c>
      <c r="E209" s="65" t="s">
        <v>1596</v>
      </c>
      <c r="F209" s="162" t="s">
        <v>1856</v>
      </c>
      <c r="G209" s="65" t="s">
        <v>208</v>
      </c>
      <c r="H209" s="218">
        <v>1</v>
      </c>
      <c r="I209" s="65"/>
      <c r="J209" s="218">
        <v>3.1</v>
      </c>
      <c r="K209" s="108"/>
      <c r="L209" s="275">
        <v>3.1</v>
      </c>
      <c r="M209" s="65" t="s">
        <v>1857</v>
      </c>
      <c r="N209" s="219"/>
      <c r="O209" s="65" t="s">
        <v>55</v>
      </c>
      <c r="P209" s="162" t="s">
        <v>1362</v>
      </c>
      <c r="Q209" s="158"/>
      <c r="R209" s="157"/>
      <c r="S209" s="114"/>
      <c r="T209" s="162" t="s">
        <v>25</v>
      </c>
      <c r="U209" s="65" t="s">
        <v>19</v>
      </c>
      <c r="V209" s="162">
        <v>6</v>
      </c>
      <c r="W209" s="165"/>
      <c r="X209" s="218" t="s">
        <v>208</v>
      </c>
      <c r="Y209" s="167">
        <v>43312</v>
      </c>
    </row>
    <row r="210" spans="1:25">
      <c r="A210" s="131" t="s">
        <v>100</v>
      </c>
      <c r="B210" s="109" t="s">
        <v>1385</v>
      </c>
      <c r="C210" s="160" t="s">
        <v>1858</v>
      </c>
      <c r="D210" s="162" t="s">
        <v>1859</v>
      </c>
      <c r="E210" s="65" t="s">
        <v>1429</v>
      </c>
      <c r="F210" s="162" t="s">
        <v>1388</v>
      </c>
      <c r="G210" s="65" t="s">
        <v>208</v>
      </c>
      <c r="H210" s="218">
        <v>1</v>
      </c>
      <c r="I210" s="65"/>
      <c r="J210" s="218">
        <v>74</v>
      </c>
      <c r="K210" s="108"/>
      <c r="L210" s="281">
        <v>74</v>
      </c>
      <c r="M210" s="65" t="s">
        <v>1860</v>
      </c>
      <c r="N210" s="219">
        <v>0</v>
      </c>
      <c r="O210" s="65" t="s">
        <v>1285</v>
      </c>
      <c r="P210" s="162" t="s">
        <v>1407</v>
      </c>
      <c r="Q210" s="158"/>
      <c r="R210" s="157"/>
      <c r="S210" s="114"/>
      <c r="T210" s="162" t="s">
        <v>29</v>
      </c>
      <c r="U210" s="65" t="s">
        <v>1388</v>
      </c>
      <c r="V210" s="162">
        <v>1713</v>
      </c>
      <c r="W210" s="165"/>
      <c r="X210" s="225" t="s">
        <v>1453</v>
      </c>
      <c r="Y210" s="167">
        <v>44748.423622685186</v>
      </c>
    </row>
    <row r="211" spans="1:25">
      <c r="A211" s="131" t="s">
        <v>80</v>
      </c>
      <c r="B211" s="109" t="s">
        <v>1385</v>
      </c>
      <c r="C211" s="160" t="s">
        <v>1861</v>
      </c>
      <c r="D211" s="162" t="s">
        <v>1862</v>
      </c>
      <c r="E211" s="65" t="s">
        <v>1419</v>
      </c>
      <c r="F211" s="162" t="s">
        <v>17</v>
      </c>
      <c r="G211" s="65" t="s">
        <v>208</v>
      </c>
      <c r="H211" s="218">
        <v>45</v>
      </c>
      <c r="I211" s="65">
        <v>4</v>
      </c>
      <c r="J211" s="218">
        <v>6.6</v>
      </c>
      <c r="K211" s="108">
        <v>180</v>
      </c>
      <c r="L211" s="275">
        <v>297</v>
      </c>
      <c r="M211" s="65" t="s">
        <v>1863</v>
      </c>
      <c r="N211" s="219">
        <v>0</v>
      </c>
      <c r="O211" s="65" t="s">
        <v>1285</v>
      </c>
      <c r="P211" s="162" t="s">
        <v>1407</v>
      </c>
      <c r="Q211" s="158"/>
      <c r="R211" s="157"/>
      <c r="S211" s="114"/>
      <c r="T211" s="162" t="s">
        <v>29</v>
      </c>
      <c r="U211" s="65" t="s">
        <v>17</v>
      </c>
      <c r="V211" s="162">
        <v>1040</v>
      </c>
      <c r="W211" s="165"/>
      <c r="X211" s="218" t="s">
        <v>1400</v>
      </c>
      <c r="Y211" s="167">
        <v>44679.463483796295</v>
      </c>
    </row>
    <row r="212" spans="1:25">
      <c r="A212" s="131" t="s">
        <v>46</v>
      </c>
      <c r="B212" s="109" t="s">
        <v>1385</v>
      </c>
      <c r="C212" s="160" t="s">
        <v>1864</v>
      </c>
      <c r="D212" s="162" t="s">
        <v>1734</v>
      </c>
      <c r="E212" s="65" t="s">
        <v>1398</v>
      </c>
      <c r="F212" s="162" t="s">
        <v>1388</v>
      </c>
      <c r="G212" s="65" t="s">
        <v>208</v>
      </c>
      <c r="H212" s="218">
        <v>1</v>
      </c>
      <c r="I212" s="65"/>
      <c r="J212" s="218">
        <v>144</v>
      </c>
      <c r="K212" s="108"/>
      <c r="L212" s="275">
        <v>144</v>
      </c>
      <c r="M212" s="65" t="s">
        <v>1865</v>
      </c>
      <c r="N212" s="219"/>
      <c r="O212" s="65" t="s">
        <v>1285</v>
      </c>
      <c r="P212" s="162" t="s">
        <v>1407</v>
      </c>
      <c r="Q212" s="158"/>
      <c r="R212" s="157"/>
      <c r="S212" s="114"/>
      <c r="T212" s="162" t="s">
        <v>29</v>
      </c>
      <c r="U212" s="65" t="s">
        <v>1388</v>
      </c>
      <c r="V212" s="162">
        <v>1593</v>
      </c>
      <c r="W212" s="165"/>
      <c r="X212" s="218" t="s">
        <v>208</v>
      </c>
      <c r="Y212" s="167">
        <v>43769.416655092595</v>
      </c>
    </row>
    <row r="213" spans="1:25">
      <c r="A213" s="131" t="s">
        <v>100</v>
      </c>
      <c r="B213" s="109" t="s">
        <v>1385</v>
      </c>
      <c r="C213" s="160" t="s">
        <v>1866</v>
      </c>
      <c r="D213" s="162" t="s">
        <v>1867</v>
      </c>
      <c r="E213" s="65" t="s">
        <v>1429</v>
      </c>
      <c r="F213" s="162" t="s">
        <v>1388</v>
      </c>
      <c r="G213" s="65" t="s">
        <v>208</v>
      </c>
      <c r="H213" s="218">
        <v>1</v>
      </c>
      <c r="I213" s="65"/>
      <c r="J213" s="218">
        <v>150</v>
      </c>
      <c r="K213" s="108"/>
      <c r="L213" s="275">
        <v>150</v>
      </c>
      <c r="M213" s="65" t="s">
        <v>1480</v>
      </c>
      <c r="N213" s="219"/>
      <c r="O213" s="65" t="s">
        <v>1285</v>
      </c>
      <c r="P213" s="162" t="s">
        <v>1407</v>
      </c>
      <c r="Q213" s="158"/>
      <c r="R213" s="157"/>
      <c r="S213" s="114"/>
      <c r="T213" s="162" t="s">
        <v>29</v>
      </c>
      <c r="U213" s="65" t="s">
        <v>1388</v>
      </c>
      <c r="V213" s="162">
        <v>1687</v>
      </c>
      <c r="W213" s="165"/>
      <c r="X213" s="218" t="s">
        <v>1481</v>
      </c>
      <c r="Y213" s="167">
        <v>44340.643634259257</v>
      </c>
    </row>
    <row r="214" spans="1:25">
      <c r="A214" s="131" t="s">
        <v>100</v>
      </c>
      <c r="B214" s="109" t="s">
        <v>1385</v>
      </c>
      <c r="C214" s="160" t="s">
        <v>1868</v>
      </c>
      <c r="D214" s="162" t="s">
        <v>1867</v>
      </c>
      <c r="E214" s="65" t="s">
        <v>1429</v>
      </c>
      <c r="F214" s="162" t="s">
        <v>1388</v>
      </c>
      <c r="G214" s="65" t="s">
        <v>208</v>
      </c>
      <c r="H214" s="218">
        <v>1</v>
      </c>
      <c r="I214" s="65"/>
      <c r="J214" s="218">
        <v>150</v>
      </c>
      <c r="K214" s="108"/>
      <c r="L214" s="275">
        <v>150</v>
      </c>
      <c r="M214" s="65" t="s">
        <v>1480</v>
      </c>
      <c r="N214" s="219"/>
      <c r="O214" s="65" t="s">
        <v>1285</v>
      </c>
      <c r="P214" s="162" t="s">
        <v>1407</v>
      </c>
      <c r="Q214" s="158"/>
      <c r="R214" s="157"/>
      <c r="S214" s="114"/>
      <c r="T214" s="162" t="s">
        <v>29</v>
      </c>
      <c r="U214" s="65" t="s">
        <v>1388</v>
      </c>
      <c r="V214" s="162">
        <v>1688</v>
      </c>
      <c r="W214" s="165"/>
      <c r="X214" s="218" t="s">
        <v>1400</v>
      </c>
      <c r="Y214" s="167">
        <v>44340.676759259259</v>
      </c>
    </row>
    <row r="215" spans="1:25">
      <c r="A215" s="131" t="s">
        <v>95</v>
      </c>
      <c r="B215" s="109" t="s">
        <v>1320</v>
      </c>
      <c r="C215" s="160" t="s">
        <v>1869</v>
      </c>
      <c r="D215" s="162" t="s">
        <v>1585</v>
      </c>
      <c r="E215" s="65" t="s">
        <v>1539</v>
      </c>
      <c r="F215" s="162" t="s">
        <v>18</v>
      </c>
      <c r="G215" s="65" t="s">
        <v>1870</v>
      </c>
      <c r="H215" s="218">
        <v>1</v>
      </c>
      <c r="I215" s="65"/>
      <c r="J215" s="218">
        <v>24</v>
      </c>
      <c r="K215" s="108"/>
      <c r="L215" s="275">
        <v>24</v>
      </c>
      <c r="M215" s="65" t="s">
        <v>1871</v>
      </c>
      <c r="N215" s="219"/>
      <c r="O215" s="65" t="s">
        <v>55</v>
      </c>
      <c r="P215" s="162" t="s">
        <v>1403</v>
      </c>
      <c r="Q215" s="158"/>
      <c r="R215" s="157" t="s">
        <v>1588</v>
      </c>
      <c r="S215" s="114"/>
      <c r="T215" s="162" t="s">
        <v>25</v>
      </c>
      <c r="U215" s="65" t="s">
        <v>18</v>
      </c>
      <c r="V215" s="162">
        <v>1041</v>
      </c>
      <c r="W215" s="165"/>
      <c r="X215" s="218" t="s">
        <v>1363</v>
      </c>
      <c r="Y215" s="167">
        <v>44672.403645833336</v>
      </c>
    </row>
    <row r="216" spans="1:25">
      <c r="A216" s="131" t="s">
        <v>95</v>
      </c>
      <c r="B216" s="109" t="s">
        <v>1320</v>
      </c>
      <c r="C216" s="160" t="s">
        <v>1869</v>
      </c>
      <c r="D216" s="162" t="s">
        <v>1585</v>
      </c>
      <c r="E216" s="65" t="s">
        <v>1539</v>
      </c>
      <c r="F216" s="162" t="s">
        <v>18</v>
      </c>
      <c r="G216" s="65" t="s">
        <v>1870</v>
      </c>
      <c r="H216" s="218">
        <v>1</v>
      </c>
      <c r="I216" s="65"/>
      <c r="J216" s="218">
        <v>27</v>
      </c>
      <c r="K216" s="108"/>
      <c r="L216" s="275">
        <v>27</v>
      </c>
      <c r="M216" s="65" t="s">
        <v>1872</v>
      </c>
      <c r="N216" s="219"/>
      <c r="O216" s="65" t="s">
        <v>55</v>
      </c>
      <c r="P216" s="162" t="s">
        <v>1403</v>
      </c>
      <c r="Q216" s="158"/>
      <c r="R216" s="157" t="s">
        <v>1588</v>
      </c>
      <c r="S216" s="114"/>
      <c r="T216" s="162" t="s">
        <v>25</v>
      </c>
      <c r="U216" s="65" t="s">
        <v>18</v>
      </c>
      <c r="V216" s="162">
        <v>1041</v>
      </c>
      <c r="W216" s="165"/>
      <c r="X216" s="218" t="s">
        <v>1363</v>
      </c>
      <c r="Y216" s="167">
        <v>44672.403645833336</v>
      </c>
    </row>
    <row r="217" spans="1:25">
      <c r="A217" s="131" t="s">
        <v>95</v>
      </c>
      <c r="B217" s="109" t="s">
        <v>1320</v>
      </c>
      <c r="C217" s="160" t="s">
        <v>1869</v>
      </c>
      <c r="D217" s="162" t="s">
        <v>1585</v>
      </c>
      <c r="E217" s="65" t="s">
        <v>1539</v>
      </c>
      <c r="F217" s="162" t="s">
        <v>18</v>
      </c>
      <c r="G217" s="65" t="s">
        <v>1870</v>
      </c>
      <c r="H217" s="218">
        <v>1</v>
      </c>
      <c r="I217" s="65"/>
      <c r="J217" s="218">
        <v>31.5</v>
      </c>
      <c r="K217" s="108"/>
      <c r="L217" s="275">
        <v>31.5</v>
      </c>
      <c r="M217" s="65" t="s">
        <v>1873</v>
      </c>
      <c r="N217" s="219"/>
      <c r="O217" s="65" t="s">
        <v>55</v>
      </c>
      <c r="P217" s="162" t="s">
        <v>1403</v>
      </c>
      <c r="Q217" s="158"/>
      <c r="R217" s="157" t="s">
        <v>1588</v>
      </c>
      <c r="S217" s="114"/>
      <c r="T217" s="162" t="s">
        <v>25</v>
      </c>
      <c r="U217" s="65" t="s">
        <v>18</v>
      </c>
      <c r="V217" s="162">
        <v>1041</v>
      </c>
      <c r="W217" s="165"/>
      <c r="X217" s="218" t="s">
        <v>1363</v>
      </c>
      <c r="Y217" s="167">
        <v>44672.403645833336</v>
      </c>
    </row>
    <row r="218" spans="1:25">
      <c r="A218" s="131" t="s">
        <v>95</v>
      </c>
      <c r="B218" s="109" t="s">
        <v>1320</v>
      </c>
      <c r="C218" s="160" t="s">
        <v>1869</v>
      </c>
      <c r="D218" s="162" t="s">
        <v>1585</v>
      </c>
      <c r="E218" s="65" t="s">
        <v>1539</v>
      </c>
      <c r="F218" s="162" t="s">
        <v>18</v>
      </c>
      <c r="G218" s="65" t="s">
        <v>1870</v>
      </c>
      <c r="H218" s="218">
        <v>2</v>
      </c>
      <c r="I218" s="65"/>
      <c r="J218" s="218">
        <v>27.9</v>
      </c>
      <c r="K218" s="108"/>
      <c r="L218" s="275">
        <v>55.8</v>
      </c>
      <c r="M218" s="65" t="s">
        <v>1874</v>
      </c>
      <c r="N218" s="219"/>
      <c r="O218" s="65" t="s">
        <v>55</v>
      </c>
      <c r="P218" s="162" t="s">
        <v>1403</v>
      </c>
      <c r="Q218" s="158"/>
      <c r="R218" s="157" t="s">
        <v>1588</v>
      </c>
      <c r="S218" s="114"/>
      <c r="T218" s="162" t="s">
        <v>25</v>
      </c>
      <c r="U218" s="65" t="s">
        <v>18</v>
      </c>
      <c r="V218" s="162">
        <v>1041</v>
      </c>
      <c r="W218" s="165"/>
      <c r="X218" s="218" t="s">
        <v>1363</v>
      </c>
      <c r="Y218" s="167">
        <v>44672.403645833336</v>
      </c>
    </row>
    <row r="219" spans="1:25">
      <c r="A219" s="131" t="s">
        <v>95</v>
      </c>
      <c r="B219" s="109" t="s">
        <v>1320</v>
      </c>
      <c r="C219" s="160" t="s">
        <v>1869</v>
      </c>
      <c r="D219" s="162" t="s">
        <v>1585</v>
      </c>
      <c r="E219" s="65" t="s">
        <v>1539</v>
      </c>
      <c r="F219" s="162" t="s">
        <v>18</v>
      </c>
      <c r="G219" s="65" t="s">
        <v>1870</v>
      </c>
      <c r="H219" s="218">
        <v>3</v>
      </c>
      <c r="I219" s="65"/>
      <c r="J219" s="218">
        <v>12.8</v>
      </c>
      <c r="K219" s="108"/>
      <c r="L219" s="275">
        <v>38.400000000000006</v>
      </c>
      <c r="M219" s="65" t="s">
        <v>1875</v>
      </c>
      <c r="N219" s="219"/>
      <c r="O219" s="65" t="s">
        <v>55</v>
      </c>
      <c r="P219" s="162" t="s">
        <v>1403</v>
      </c>
      <c r="Q219" s="158"/>
      <c r="R219" s="157" t="s">
        <v>1588</v>
      </c>
      <c r="S219" s="114"/>
      <c r="T219" s="162" t="s">
        <v>25</v>
      </c>
      <c r="U219" s="65" t="s">
        <v>18</v>
      </c>
      <c r="V219" s="162">
        <v>1041</v>
      </c>
      <c r="W219" s="165"/>
      <c r="X219" s="218" t="s">
        <v>1363</v>
      </c>
      <c r="Y219" s="167">
        <v>44672.403645833336</v>
      </c>
    </row>
    <row r="220" spans="1:25">
      <c r="A220" s="131" t="s">
        <v>80</v>
      </c>
      <c r="B220" s="109" t="s">
        <v>1320</v>
      </c>
      <c r="C220" s="160" t="s">
        <v>1876</v>
      </c>
      <c r="D220" s="162" t="s">
        <v>1877</v>
      </c>
      <c r="E220" s="65" t="s">
        <v>1419</v>
      </c>
      <c r="F220" s="162" t="s">
        <v>17</v>
      </c>
      <c r="G220" s="65" t="s">
        <v>1878</v>
      </c>
      <c r="H220" s="218">
        <v>33</v>
      </c>
      <c r="I220" s="65"/>
      <c r="J220" s="218">
        <v>2</v>
      </c>
      <c r="K220" s="108"/>
      <c r="L220" s="275">
        <v>66</v>
      </c>
      <c r="M220" s="65" t="s">
        <v>1879</v>
      </c>
      <c r="N220" s="219"/>
      <c r="O220" s="65" t="s">
        <v>55</v>
      </c>
      <c r="P220" s="162" t="s">
        <v>1407</v>
      </c>
      <c r="Q220" s="158"/>
      <c r="R220" s="157" t="s">
        <v>1655</v>
      </c>
      <c r="S220" s="114"/>
      <c r="T220" s="162" t="s">
        <v>25</v>
      </c>
      <c r="U220" s="65" t="s">
        <v>17</v>
      </c>
      <c r="V220" s="162">
        <v>1042</v>
      </c>
      <c r="W220" s="165"/>
      <c r="X220" s="218" t="s">
        <v>1363</v>
      </c>
      <c r="Y220" s="167">
        <v>44665.502951388888</v>
      </c>
    </row>
    <row r="221" spans="1:25">
      <c r="A221" s="131" t="s">
        <v>95</v>
      </c>
      <c r="B221" s="109" t="s">
        <v>1320</v>
      </c>
      <c r="C221" s="160" t="s">
        <v>358</v>
      </c>
      <c r="D221" s="162" t="s">
        <v>359</v>
      </c>
      <c r="E221" s="65" t="s">
        <v>1419</v>
      </c>
      <c r="F221" s="162" t="s">
        <v>17</v>
      </c>
      <c r="G221" s="65" t="s">
        <v>360</v>
      </c>
      <c r="H221" s="218">
        <v>45</v>
      </c>
      <c r="I221" s="65"/>
      <c r="J221" s="218">
        <v>3.2</v>
      </c>
      <c r="K221" s="108"/>
      <c r="L221" s="275">
        <v>144</v>
      </c>
      <c r="M221" s="65" t="s">
        <v>1865</v>
      </c>
      <c r="N221" s="219"/>
      <c r="O221" s="65" t="s">
        <v>55</v>
      </c>
      <c r="P221" s="162" t="s">
        <v>1407</v>
      </c>
      <c r="Q221" s="158"/>
      <c r="R221" s="157" t="s">
        <v>1558</v>
      </c>
      <c r="S221" s="114"/>
      <c r="T221" s="162" t="s">
        <v>25</v>
      </c>
      <c r="U221" s="65" t="s">
        <v>17</v>
      </c>
      <c r="V221" s="162">
        <v>1260</v>
      </c>
      <c r="W221" s="165"/>
      <c r="X221" s="225" t="s">
        <v>1453</v>
      </c>
      <c r="Y221" s="167">
        <v>44743.444386574076</v>
      </c>
    </row>
    <row r="222" spans="1:25">
      <c r="A222" s="131" t="s">
        <v>100</v>
      </c>
      <c r="B222" s="109" t="s">
        <v>1320</v>
      </c>
      <c r="C222" s="160" t="s">
        <v>1880</v>
      </c>
      <c r="D222" s="162" t="s">
        <v>1881</v>
      </c>
      <c r="E222" s="65" t="s">
        <v>1398</v>
      </c>
      <c r="F222" s="162" t="s">
        <v>1388</v>
      </c>
      <c r="G222" s="65" t="s">
        <v>208</v>
      </c>
      <c r="H222" s="218">
        <v>1</v>
      </c>
      <c r="I222" s="65"/>
      <c r="J222" s="218">
        <v>0.2</v>
      </c>
      <c r="K222" s="108"/>
      <c r="L222" s="275">
        <v>0.19980000000000001</v>
      </c>
      <c r="M222" s="65" t="s">
        <v>1882</v>
      </c>
      <c r="N222" s="219"/>
      <c r="O222" s="65" t="s">
        <v>55</v>
      </c>
      <c r="P222" s="162" t="s">
        <v>1362</v>
      </c>
      <c r="Q222" s="158"/>
      <c r="R222" s="157"/>
      <c r="S222" s="114"/>
      <c r="T222" s="162" t="s">
        <v>25</v>
      </c>
      <c r="U222" s="65" t="s">
        <v>1388</v>
      </c>
      <c r="V222" s="162">
        <v>51</v>
      </c>
      <c r="W222" s="165"/>
      <c r="X222" s="218" t="s">
        <v>208</v>
      </c>
      <c r="Y222" s="167">
        <v>43312</v>
      </c>
    </row>
    <row r="223" spans="1:25">
      <c r="A223" s="131" t="s">
        <v>62</v>
      </c>
      <c r="B223" s="109" t="s">
        <v>1385</v>
      </c>
      <c r="C223" s="160" t="s">
        <v>1883</v>
      </c>
      <c r="D223" s="162" t="s">
        <v>1884</v>
      </c>
      <c r="E223" s="65" t="s">
        <v>1391</v>
      </c>
      <c r="F223" s="162" t="s">
        <v>21</v>
      </c>
      <c r="G223" s="65" t="s">
        <v>208</v>
      </c>
      <c r="H223" s="218">
        <v>1</v>
      </c>
      <c r="I223" s="65"/>
      <c r="J223" s="218">
        <v>150</v>
      </c>
      <c r="K223" s="108"/>
      <c r="L223" s="275">
        <v>150</v>
      </c>
      <c r="M223" s="65" t="s">
        <v>1480</v>
      </c>
      <c r="N223" s="219">
        <v>150</v>
      </c>
      <c r="O223" s="65" t="s">
        <v>1285</v>
      </c>
      <c r="P223" s="162" t="s">
        <v>1393</v>
      </c>
      <c r="Q223" s="158" t="s">
        <v>1885</v>
      </c>
      <c r="R223" s="157"/>
      <c r="S223" s="114"/>
      <c r="T223" s="162" t="s">
        <v>29</v>
      </c>
      <c r="U223" s="65" t="s">
        <v>20</v>
      </c>
      <c r="V223" s="162">
        <v>1935</v>
      </c>
      <c r="W223" s="165"/>
      <c r="X223" s="225" t="s">
        <v>1453</v>
      </c>
      <c r="Y223" s="167">
        <v>44746.508252314816</v>
      </c>
    </row>
    <row r="224" spans="1:25">
      <c r="A224" s="131" t="s">
        <v>46</v>
      </c>
      <c r="B224" s="109" t="s">
        <v>1385</v>
      </c>
      <c r="C224" s="160" t="s">
        <v>1886</v>
      </c>
      <c r="D224" s="162" t="s">
        <v>1887</v>
      </c>
      <c r="E224" s="65" t="s">
        <v>1539</v>
      </c>
      <c r="F224" s="162" t="s">
        <v>18</v>
      </c>
      <c r="G224" s="65"/>
      <c r="H224" s="218"/>
      <c r="I224" s="65"/>
      <c r="J224" s="218"/>
      <c r="K224" s="108"/>
      <c r="L224" s="275">
        <v>325</v>
      </c>
      <c r="M224" s="65"/>
      <c r="N224" s="219"/>
      <c r="O224" s="65" t="s">
        <v>1285</v>
      </c>
      <c r="P224" s="162"/>
      <c r="Q224" s="158"/>
      <c r="R224" s="157"/>
      <c r="S224" s="114"/>
      <c r="T224" s="162" t="s">
        <v>29</v>
      </c>
      <c r="U224" s="65" t="s">
        <v>18</v>
      </c>
      <c r="V224" s="162" t="s">
        <v>208</v>
      </c>
      <c r="W224" s="165" t="s">
        <v>1888</v>
      </c>
      <c r="X224" s="218"/>
      <c r="Y224" s="167" t="s">
        <v>208</v>
      </c>
    </row>
    <row r="225" spans="1:25">
      <c r="A225" s="131" t="s">
        <v>95</v>
      </c>
      <c r="B225" s="109" t="s">
        <v>1320</v>
      </c>
      <c r="C225" s="160" t="s">
        <v>1889</v>
      </c>
      <c r="D225" s="162" t="s">
        <v>1585</v>
      </c>
      <c r="E225" s="65" t="s">
        <v>1539</v>
      </c>
      <c r="F225" s="162" t="s">
        <v>18</v>
      </c>
      <c r="G225" s="65" t="s">
        <v>1890</v>
      </c>
      <c r="H225" s="218">
        <v>1</v>
      </c>
      <c r="I225" s="65"/>
      <c r="J225" s="218">
        <v>85</v>
      </c>
      <c r="K225" s="108"/>
      <c r="L225" s="275">
        <v>85</v>
      </c>
      <c r="M225" s="65" t="s">
        <v>1891</v>
      </c>
      <c r="N225" s="219"/>
      <c r="O225" s="65" t="s">
        <v>55</v>
      </c>
      <c r="P225" s="162" t="s">
        <v>1403</v>
      </c>
      <c r="Q225" s="158"/>
      <c r="R225" s="157" t="s">
        <v>1588</v>
      </c>
      <c r="S225" s="114"/>
      <c r="T225" s="162" t="s">
        <v>25</v>
      </c>
      <c r="U225" s="65" t="s">
        <v>18</v>
      </c>
      <c r="V225" s="162">
        <v>1043</v>
      </c>
      <c r="W225" s="165"/>
      <c r="X225" s="218" t="s">
        <v>1363</v>
      </c>
      <c r="Y225" s="167">
        <v>44672.650509259256</v>
      </c>
    </row>
    <row r="226" spans="1:25">
      <c r="A226" s="131" t="s">
        <v>95</v>
      </c>
      <c r="B226" s="109" t="s">
        <v>1385</v>
      </c>
      <c r="C226" s="254" t="s">
        <v>4057</v>
      </c>
      <c r="D226" s="162" t="s">
        <v>1590</v>
      </c>
      <c r="E226" s="65"/>
      <c r="F226" s="162" t="s">
        <v>4063</v>
      </c>
      <c r="G226" s="65"/>
      <c r="H226" s="218">
        <v>4</v>
      </c>
      <c r="I226" s="65"/>
      <c r="J226" s="218">
        <v>750</v>
      </c>
      <c r="K226" s="108"/>
      <c r="L226" s="275">
        <v>750</v>
      </c>
      <c r="M226" s="65"/>
      <c r="N226" s="219"/>
      <c r="O226" s="65" t="s">
        <v>1285</v>
      </c>
      <c r="P226" s="162"/>
      <c r="Q226" s="158"/>
      <c r="R226" s="157"/>
      <c r="S226" s="114"/>
      <c r="T226" s="162" t="s">
        <v>29</v>
      </c>
      <c r="U226" s="65" t="s">
        <v>18</v>
      </c>
      <c r="V226" s="162"/>
      <c r="W226" s="165" t="s">
        <v>3972</v>
      </c>
      <c r="X226" s="218"/>
      <c r="Y226" s="167"/>
    </row>
    <row r="227" spans="1:25">
      <c r="A227" s="131" t="s">
        <v>80</v>
      </c>
      <c r="B227" s="109" t="s">
        <v>1385</v>
      </c>
      <c r="C227" s="160" t="s">
        <v>1892</v>
      </c>
      <c r="D227" s="162" t="s">
        <v>1549</v>
      </c>
      <c r="E227" s="65"/>
      <c r="F227" s="162" t="s">
        <v>21</v>
      </c>
      <c r="G227" s="65"/>
      <c r="H227" s="218"/>
      <c r="I227" s="65"/>
      <c r="J227" s="218"/>
      <c r="K227" s="108"/>
      <c r="L227" s="275">
        <v>50</v>
      </c>
      <c r="M227" s="65"/>
      <c r="N227" s="219"/>
      <c r="O227" s="65" t="s">
        <v>1285</v>
      </c>
      <c r="P227" s="162"/>
      <c r="Q227" s="158"/>
      <c r="R227" s="157" t="s">
        <v>208</v>
      </c>
      <c r="S227" s="114"/>
      <c r="T227" s="162" t="s">
        <v>29</v>
      </c>
      <c r="U227" s="65" t="s">
        <v>20</v>
      </c>
      <c r="V227" s="162" t="s">
        <v>208</v>
      </c>
      <c r="W227" s="165" t="s">
        <v>1893</v>
      </c>
      <c r="X227" s="218"/>
      <c r="Y227" s="167" t="s">
        <v>208</v>
      </c>
    </row>
    <row r="228" spans="1:25">
      <c r="A228" s="131" t="s">
        <v>80</v>
      </c>
      <c r="B228" s="109" t="s">
        <v>1385</v>
      </c>
      <c r="C228" s="160" t="s">
        <v>1892</v>
      </c>
      <c r="D228" s="162" t="s">
        <v>1549</v>
      </c>
      <c r="E228" s="65"/>
      <c r="F228" s="162" t="s">
        <v>1388</v>
      </c>
      <c r="G228" s="65"/>
      <c r="H228" s="218"/>
      <c r="I228" s="65"/>
      <c r="J228" s="218"/>
      <c r="K228" s="108"/>
      <c r="L228" s="275">
        <v>100</v>
      </c>
      <c r="M228" s="65"/>
      <c r="N228" s="219"/>
      <c r="O228" s="65" t="s">
        <v>1285</v>
      </c>
      <c r="P228" s="162"/>
      <c r="Q228" s="158"/>
      <c r="R228" s="157" t="s">
        <v>208</v>
      </c>
      <c r="S228" s="114"/>
      <c r="T228" s="162" t="s">
        <v>29</v>
      </c>
      <c r="U228" s="65" t="s">
        <v>1388</v>
      </c>
      <c r="V228" s="162" t="s">
        <v>208</v>
      </c>
      <c r="W228" s="165" t="s">
        <v>1893</v>
      </c>
      <c r="X228" s="218"/>
      <c r="Y228" s="167" t="s">
        <v>208</v>
      </c>
    </row>
    <row r="229" spans="1:25">
      <c r="A229" s="131" t="s">
        <v>100</v>
      </c>
      <c r="B229" s="109" t="s">
        <v>1320</v>
      </c>
      <c r="C229" s="160" t="s">
        <v>1894</v>
      </c>
      <c r="D229" s="162" t="s">
        <v>1895</v>
      </c>
      <c r="E229" s="65" t="s">
        <v>1419</v>
      </c>
      <c r="F229" s="162" t="s">
        <v>17</v>
      </c>
      <c r="G229" s="65" t="s">
        <v>1896</v>
      </c>
      <c r="H229" s="218">
        <v>35</v>
      </c>
      <c r="I229" s="65"/>
      <c r="J229" s="218">
        <v>1.5</v>
      </c>
      <c r="K229" s="108"/>
      <c r="L229" s="275">
        <v>52.5</v>
      </c>
      <c r="M229" s="65" t="s">
        <v>1897</v>
      </c>
      <c r="N229" s="219"/>
      <c r="O229" s="65" t="s">
        <v>55</v>
      </c>
      <c r="P229" s="162" t="s">
        <v>1362</v>
      </c>
      <c r="Q229" s="158"/>
      <c r="R229" s="157"/>
      <c r="S229" s="114"/>
      <c r="T229" s="162" t="s">
        <v>25</v>
      </c>
      <c r="U229" s="65" t="s">
        <v>17</v>
      </c>
      <c r="V229" s="162">
        <v>1044</v>
      </c>
      <c r="W229" s="165"/>
      <c r="X229" s="218" t="s">
        <v>1363</v>
      </c>
      <c r="Y229" s="167">
        <v>44678.375439814816</v>
      </c>
    </row>
    <row r="230" spans="1:25">
      <c r="A230" s="131" t="s">
        <v>62</v>
      </c>
      <c r="B230" s="109" t="s">
        <v>1385</v>
      </c>
      <c r="C230" s="160" t="s">
        <v>1898</v>
      </c>
      <c r="D230" s="162" t="s">
        <v>1709</v>
      </c>
      <c r="E230" s="65" t="s">
        <v>1419</v>
      </c>
      <c r="F230" s="162" t="s">
        <v>17</v>
      </c>
      <c r="G230" s="65" t="s">
        <v>208</v>
      </c>
      <c r="H230" s="218">
        <v>94</v>
      </c>
      <c r="I230" s="65"/>
      <c r="J230" s="218">
        <v>7</v>
      </c>
      <c r="K230" s="108"/>
      <c r="L230" s="275">
        <v>658</v>
      </c>
      <c r="M230" s="65" t="s">
        <v>1899</v>
      </c>
      <c r="N230" s="219"/>
      <c r="O230" s="65" t="s">
        <v>1285</v>
      </c>
      <c r="P230" s="162" t="s">
        <v>1393</v>
      </c>
      <c r="Q230" s="158"/>
      <c r="R230" s="157"/>
      <c r="S230" s="114"/>
      <c r="T230" s="162" t="s">
        <v>29</v>
      </c>
      <c r="U230" s="65" t="s">
        <v>17</v>
      </c>
      <c r="V230" s="162">
        <v>2001</v>
      </c>
      <c r="W230" s="165" t="s">
        <v>3961</v>
      </c>
      <c r="X230" s="218" t="s">
        <v>208</v>
      </c>
      <c r="Y230" s="167">
        <v>44726.651423611111</v>
      </c>
    </row>
    <row r="231" spans="1:25">
      <c r="A231" s="131" t="s">
        <v>62</v>
      </c>
      <c r="B231" s="109" t="s">
        <v>1385</v>
      </c>
      <c r="C231" s="160" t="s">
        <v>1900</v>
      </c>
      <c r="D231" s="162" t="s">
        <v>107</v>
      </c>
      <c r="E231" s="65" t="s">
        <v>1429</v>
      </c>
      <c r="F231" s="162" t="s">
        <v>1388</v>
      </c>
      <c r="G231" s="65" t="s">
        <v>208</v>
      </c>
      <c r="H231" s="218">
        <v>40</v>
      </c>
      <c r="I231" s="65"/>
      <c r="J231" s="218">
        <v>3</v>
      </c>
      <c r="K231" s="108"/>
      <c r="L231" s="275">
        <v>120</v>
      </c>
      <c r="M231" s="65" t="s">
        <v>1460</v>
      </c>
      <c r="N231" s="219"/>
      <c r="O231" s="65" t="s">
        <v>1285</v>
      </c>
      <c r="P231" s="162" t="s">
        <v>1407</v>
      </c>
      <c r="Q231" s="158"/>
      <c r="R231" s="157"/>
      <c r="S231" s="114"/>
      <c r="T231" s="162" t="s">
        <v>29</v>
      </c>
      <c r="U231" s="65" t="s">
        <v>1388</v>
      </c>
      <c r="V231" s="162">
        <v>1856</v>
      </c>
      <c r="W231" s="165"/>
      <c r="X231" s="218" t="s">
        <v>208</v>
      </c>
      <c r="Y231" s="167">
        <v>43965.982685185183</v>
      </c>
    </row>
    <row r="232" spans="1:25">
      <c r="A232" s="131" t="s">
        <v>100</v>
      </c>
      <c r="B232" s="109" t="s">
        <v>1320</v>
      </c>
      <c r="C232" s="160" t="s">
        <v>1901</v>
      </c>
      <c r="D232" s="162" t="s">
        <v>1902</v>
      </c>
      <c r="E232" s="65" t="s">
        <v>1419</v>
      </c>
      <c r="F232" s="162" t="s">
        <v>17</v>
      </c>
      <c r="G232" s="65" t="s">
        <v>1903</v>
      </c>
      <c r="H232" s="218">
        <v>3</v>
      </c>
      <c r="I232" s="65"/>
      <c r="J232" s="218">
        <v>2.0499999999999998</v>
      </c>
      <c r="K232" s="108"/>
      <c r="L232" s="275">
        <v>6.1499999999999995</v>
      </c>
      <c r="M232" s="65" t="s">
        <v>1904</v>
      </c>
      <c r="N232" s="219">
        <v>0</v>
      </c>
      <c r="O232" s="65" t="s">
        <v>55</v>
      </c>
      <c r="P232" s="162" t="s">
        <v>1362</v>
      </c>
      <c r="Q232" s="158"/>
      <c r="R232" s="157"/>
      <c r="S232" s="114"/>
      <c r="T232" s="162" t="s">
        <v>25</v>
      </c>
      <c r="U232" s="65" t="s">
        <v>17</v>
      </c>
      <c r="V232" s="162">
        <v>1261</v>
      </c>
      <c r="W232" s="165"/>
      <c r="X232" s="218" t="s">
        <v>1400</v>
      </c>
      <c r="Y232" s="167">
        <v>44679.719178240739</v>
      </c>
    </row>
    <row r="233" spans="1:25">
      <c r="A233" s="131" t="s">
        <v>100</v>
      </c>
      <c r="B233" s="109" t="s">
        <v>1320</v>
      </c>
      <c r="C233" s="160" t="s">
        <v>418</v>
      </c>
      <c r="D233" s="162" t="s">
        <v>419</v>
      </c>
      <c r="E233" s="65" t="s">
        <v>1419</v>
      </c>
      <c r="F233" s="162" t="s">
        <v>17</v>
      </c>
      <c r="G233" s="65" t="s">
        <v>420</v>
      </c>
      <c r="H233" s="218">
        <v>16</v>
      </c>
      <c r="I233" s="65"/>
      <c r="J233" s="218">
        <v>3.6</v>
      </c>
      <c r="K233" s="108"/>
      <c r="L233" s="275">
        <v>57.6</v>
      </c>
      <c r="M233" s="65" t="s">
        <v>1905</v>
      </c>
      <c r="N233" s="219"/>
      <c r="O233" s="65" t="s">
        <v>55</v>
      </c>
      <c r="P233" s="162" t="s">
        <v>1407</v>
      </c>
      <c r="Q233" s="158"/>
      <c r="R233" s="157" t="s">
        <v>1532</v>
      </c>
      <c r="S233" s="114"/>
      <c r="T233" s="162" t="s">
        <v>25</v>
      </c>
      <c r="U233" s="65" t="s">
        <v>17</v>
      </c>
      <c r="V233" s="162">
        <v>1263</v>
      </c>
      <c r="W233" s="165"/>
      <c r="X233" s="218" t="s">
        <v>1363</v>
      </c>
      <c r="Y233" s="167">
        <v>44671.354074074072</v>
      </c>
    </row>
    <row r="234" spans="1:25">
      <c r="A234" s="131" t="s">
        <v>62</v>
      </c>
      <c r="B234" s="109" t="s">
        <v>1320</v>
      </c>
      <c r="C234" s="160" t="s">
        <v>567</v>
      </c>
      <c r="D234" s="162" t="s">
        <v>568</v>
      </c>
      <c r="E234" s="65" t="s">
        <v>1429</v>
      </c>
      <c r="F234" s="162" t="s">
        <v>1388</v>
      </c>
      <c r="G234" s="65" t="s">
        <v>569</v>
      </c>
      <c r="H234" s="218">
        <v>37</v>
      </c>
      <c r="I234" s="65"/>
      <c r="J234" s="218">
        <v>1.51</v>
      </c>
      <c r="K234" s="108"/>
      <c r="L234" s="275">
        <v>55.87</v>
      </c>
      <c r="M234" s="65" t="s">
        <v>1906</v>
      </c>
      <c r="N234" s="219">
        <v>0</v>
      </c>
      <c r="O234" s="65" t="s">
        <v>55</v>
      </c>
      <c r="P234" s="162" t="s">
        <v>1407</v>
      </c>
      <c r="Q234" s="158"/>
      <c r="R234" s="157" t="s">
        <v>1547</v>
      </c>
      <c r="S234" s="114"/>
      <c r="T234" s="162" t="s">
        <v>25</v>
      </c>
      <c r="U234" s="65" t="s">
        <v>1388</v>
      </c>
      <c r="V234" s="162">
        <v>1441</v>
      </c>
      <c r="W234" s="165"/>
      <c r="X234" s="218" t="s">
        <v>1404</v>
      </c>
      <c r="Y234" s="167">
        <v>44700.333009259259</v>
      </c>
    </row>
    <row r="235" spans="1:25">
      <c r="A235" s="131" t="s">
        <v>46</v>
      </c>
      <c r="B235" s="109" t="s">
        <v>1320</v>
      </c>
      <c r="C235" s="160" t="s">
        <v>1907</v>
      </c>
      <c r="D235" s="162" t="s">
        <v>1393</v>
      </c>
      <c r="E235" s="65" t="s">
        <v>1398</v>
      </c>
      <c r="F235" s="162" t="s">
        <v>1388</v>
      </c>
      <c r="G235" s="65" t="s">
        <v>208</v>
      </c>
      <c r="H235" s="218">
        <v>1</v>
      </c>
      <c r="I235" s="65"/>
      <c r="J235" s="218">
        <v>4.7699999999999996</v>
      </c>
      <c r="K235" s="108"/>
      <c r="L235" s="275">
        <v>4.7699999999999996</v>
      </c>
      <c r="M235" s="65" t="s">
        <v>1908</v>
      </c>
      <c r="N235" s="219"/>
      <c r="O235" s="65" t="s">
        <v>55</v>
      </c>
      <c r="P235" s="162" t="s">
        <v>1362</v>
      </c>
      <c r="Q235" s="158"/>
      <c r="R235" s="157"/>
      <c r="S235" s="114"/>
      <c r="T235" s="162" t="s">
        <v>25</v>
      </c>
      <c r="U235" s="65" t="s">
        <v>1388</v>
      </c>
      <c r="V235" s="162">
        <v>11</v>
      </c>
      <c r="W235" s="165"/>
      <c r="X235" s="218" t="s">
        <v>208</v>
      </c>
      <c r="Y235" s="167">
        <v>43312</v>
      </c>
    </row>
    <row r="236" spans="1:25">
      <c r="A236" s="131" t="s">
        <v>62</v>
      </c>
      <c r="B236" s="109" t="s">
        <v>1320</v>
      </c>
      <c r="C236" s="160" t="s">
        <v>1909</v>
      </c>
      <c r="D236" s="162" t="s">
        <v>1910</v>
      </c>
      <c r="E236" s="65" t="s">
        <v>1398</v>
      </c>
      <c r="F236" s="162" t="s">
        <v>1388</v>
      </c>
      <c r="G236" s="65" t="s">
        <v>208</v>
      </c>
      <c r="H236" s="218">
        <v>60</v>
      </c>
      <c r="I236" s="65"/>
      <c r="J236" s="218">
        <v>0.06</v>
      </c>
      <c r="K236" s="108"/>
      <c r="L236" s="275">
        <v>3.5999999999999996</v>
      </c>
      <c r="M236" s="65" t="s">
        <v>1911</v>
      </c>
      <c r="N236" s="219">
        <v>0</v>
      </c>
      <c r="O236" s="65" t="s">
        <v>55</v>
      </c>
      <c r="P236" s="162" t="s">
        <v>1362</v>
      </c>
      <c r="Q236" s="158"/>
      <c r="R236" s="157"/>
      <c r="S236" s="114"/>
      <c r="T236" s="162" t="s">
        <v>25</v>
      </c>
      <c r="U236" s="65" t="s">
        <v>1388</v>
      </c>
      <c r="V236" s="162">
        <v>1498</v>
      </c>
      <c r="W236" s="165"/>
      <c r="X236" s="218" t="s">
        <v>1400</v>
      </c>
      <c r="Y236" s="167">
        <v>44679.714953703704</v>
      </c>
    </row>
    <row r="237" spans="1:25">
      <c r="A237" s="131" t="s">
        <v>62</v>
      </c>
      <c r="B237" s="109" t="s">
        <v>1385</v>
      </c>
      <c r="C237" s="160" t="s">
        <v>1912</v>
      </c>
      <c r="D237" s="162" t="s">
        <v>1913</v>
      </c>
      <c r="E237" s="65" t="s">
        <v>1429</v>
      </c>
      <c r="F237" s="162" t="s">
        <v>1388</v>
      </c>
      <c r="G237" s="65" t="s">
        <v>208</v>
      </c>
      <c r="H237" s="218">
        <v>69</v>
      </c>
      <c r="I237" s="65"/>
      <c r="J237" s="218">
        <v>1.64</v>
      </c>
      <c r="K237" s="108"/>
      <c r="L237" s="275">
        <v>113.16</v>
      </c>
      <c r="M237" s="65" t="s">
        <v>1914</v>
      </c>
      <c r="N237" s="219"/>
      <c r="O237" s="65" t="s">
        <v>1285</v>
      </c>
      <c r="P237" s="162" t="s">
        <v>1407</v>
      </c>
      <c r="Q237" s="158"/>
      <c r="R237" s="157"/>
      <c r="S237" s="114"/>
      <c r="T237" s="162" t="s">
        <v>29</v>
      </c>
      <c r="U237" s="65" t="s">
        <v>1388</v>
      </c>
      <c r="V237" s="162">
        <v>1418</v>
      </c>
      <c r="W237" s="165"/>
      <c r="X237" s="218" t="s">
        <v>208</v>
      </c>
      <c r="Y237" s="167">
        <v>43966.413206018522</v>
      </c>
    </row>
    <row r="238" spans="1:25">
      <c r="A238" s="131" t="s">
        <v>46</v>
      </c>
      <c r="B238" s="109" t="s">
        <v>1385</v>
      </c>
      <c r="C238" s="160" t="s">
        <v>1915</v>
      </c>
      <c r="D238" s="162" t="s">
        <v>1916</v>
      </c>
      <c r="E238" s="65" t="s">
        <v>1596</v>
      </c>
      <c r="F238" s="162" t="s">
        <v>21</v>
      </c>
      <c r="G238" s="65" t="s">
        <v>208</v>
      </c>
      <c r="H238" s="218">
        <v>1</v>
      </c>
      <c r="I238" s="65"/>
      <c r="J238" s="218">
        <v>8</v>
      </c>
      <c r="K238" s="108"/>
      <c r="L238" s="275">
        <v>8</v>
      </c>
      <c r="M238" s="65" t="s">
        <v>1917</v>
      </c>
      <c r="N238" s="219"/>
      <c r="O238" s="65" t="s">
        <v>1285</v>
      </c>
      <c r="P238" s="162" t="s">
        <v>1362</v>
      </c>
      <c r="Q238" s="158"/>
      <c r="R238" s="157"/>
      <c r="S238" s="114"/>
      <c r="T238" s="162" t="s">
        <v>29</v>
      </c>
      <c r="U238" s="65" t="s">
        <v>21</v>
      </c>
      <c r="V238" s="162">
        <v>1479</v>
      </c>
      <c r="W238" s="165"/>
      <c r="X238" s="218" t="s">
        <v>1400</v>
      </c>
      <c r="Y238" s="167">
        <v>43769.416655092595</v>
      </c>
    </row>
    <row r="239" spans="1:25" ht="22.5">
      <c r="A239" s="131" t="s">
        <v>80</v>
      </c>
      <c r="B239" s="109" t="s">
        <v>1385</v>
      </c>
      <c r="C239" s="160" t="s">
        <v>122</v>
      </c>
      <c r="D239" s="162" t="s">
        <v>82</v>
      </c>
      <c r="E239" s="65" t="s">
        <v>1391</v>
      </c>
      <c r="F239" s="162" t="s">
        <v>21</v>
      </c>
      <c r="G239" s="65" t="s">
        <v>123</v>
      </c>
      <c r="H239" s="218">
        <v>1</v>
      </c>
      <c r="I239" s="65"/>
      <c r="J239" s="218">
        <v>2.09</v>
      </c>
      <c r="K239" s="108"/>
      <c r="L239" s="275">
        <v>2.09</v>
      </c>
      <c r="M239" s="65" t="s">
        <v>1918</v>
      </c>
      <c r="N239" s="219">
        <v>4.32</v>
      </c>
      <c r="O239" s="65" t="s">
        <v>27</v>
      </c>
      <c r="P239" s="162" t="s">
        <v>1403</v>
      </c>
      <c r="Q239" s="158" t="s">
        <v>1537</v>
      </c>
      <c r="R239" s="157" t="s">
        <v>1405</v>
      </c>
      <c r="S239" s="114"/>
      <c r="T239" s="162" t="s">
        <v>27</v>
      </c>
      <c r="U239" s="65" t="s">
        <v>20</v>
      </c>
      <c r="V239" s="162">
        <v>1845</v>
      </c>
      <c r="W239" s="165"/>
      <c r="X239" s="218" t="s">
        <v>1363</v>
      </c>
      <c r="Y239" s="167">
        <v>44671.363344907404</v>
      </c>
    </row>
    <row r="240" spans="1:25" ht="22.5">
      <c r="A240" s="131" t="s">
        <v>80</v>
      </c>
      <c r="B240" s="109" t="s">
        <v>1385</v>
      </c>
      <c r="C240" s="160" t="s">
        <v>122</v>
      </c>
      <c r="D240" s="162" t="s">
        <v>82</v>
      </c>
      <c r="E240" s="65" t="s">
        <v>1429</v>
      </c>
      <c r="F240" s="162" t="s">
        <v>1388</v>
      </c>
      <c r="G240" s="65" t="s">
        <v>124</v>
      </c>
      <c r="H240" s="218">
        <v>2</v>
      </c>
      <c r="I240" s="65"/>
      <c r="J240" s="218">
        <v>2.4</v>
      </c>
      <c r="K240" s="108"/>
      <c r="L240" s="275">
        <v>4.8</v>
      </c>
      <c r="M240" s="65" t="s">
        <v>1919</v>
      </c>
      <c r="N240" s="219"/>
      <c r="O240" s="65" t="s">
        <v>27</v>
      </c>
      <c r="P240" s="162" t="s">
        <v>1407</v>
      </c>
      <c r="Q240" s="158" t="s">
        <v>1537</v>
      </c>
      <c r="R240" s="157" t="s">
        <v>1405</v>
      </c>
      <c r="S240" s="114"/>
      <c r="T240" s="162" t="s">
        <v>27</v>
      </c>
      <c r="U240" s="65" t="s">
        <v>1388</v>
      </c>
      <c r="V240" s="162">
        <v>1845</v>
      </c>
      <c r="W240" s="165"/>
      <c r="X240" s="218" t="s">
        <v>1363</v>
      </c>
      <c r="Y240" s="167">
        <v>44671.363344907404</v>
      </c>
    </row>
    <row r="241" spans="1:25">
      <c r="A241" s="131" t="s">
        <v>62</v>
      </c>
      <c r="B241" s="109" t="s">
        <v>1320</v>
      </c>
      <c r="C241" s="160" t="s">
        <v>1920</v>
      </c>
      <c r="D241" s="162" t="s">
        <v>1393</v>
      </c>
      <c r="E241" s="65" t="s">
        <v>1398</v>
      </c>
      <c r="F241" s="162" t="s">
        <v>1388</v>
      </c>
      <c r="G241" s="65" t="s">
        <v>208</v>
      </c>
      <c r="H241" s="218">
        <v>1</v>
      </c>
      <c r="I241" s="65"/>
      <c r="J241" s="218">
        <v>0.90700000000000003</v>
      </c>
      <c r="K241" s="108"/>
      <c r="L241" s="275">
        <v>0.90720000000000001</v>
      </c>
      <c r="M241" s="65" t="s">
        <v>1921</v>
      </c>
      <c r="N241" s="219"/>
      <c r="O241" s="65" t="s">
        <v>55</v>
      </c>
      <c r="P241" s="162" t="s">
        <v>1362</v>
      </c>
      <c r="Q241" s="158"/>
      <c r="R241" s="157"/>
      <c r="S241" s="114"/>
      <c r="T241" s="162" t="s">
        <v>25</v>
      </c>
      <c r="U241" s="65" t="s">
        <v>1388</v>
      </c>
      <c r="V241" s="162">
        <v>89</v>
      </c>
      <c r="W241" s="165"/>
      <c r="X241" s="218" t="s">
        <v>208</v>
      </c>
      <c r="Y241" s="167">
        <v>43312</v>
      </c>
    </row>
    <row r="242" spans="1:25">
      <c r="A242" s="131" t="s">
        <v>62</v>
      </c>
      <c r="B242" s="109" t="s">
        <v>1320</v>
      </c>
      <c r="C242" s="160" t="s">
        <v>570</v>
      </c>
      <c r="D242" s="162" t="s">
        <v>571</v>
      </c>
      <c r="E242" s="65" t="s">
        <v>1429</v>
      </c>
      <c r="F242" s="162" t="s">
        <v>1388</v>
      </c>
      <c r="G242" s="65" t="s">
        <v>1922</v>
      </c>
      <c r="H242" s="218">
        <v>69</v>
      </c>
      <c r="I242" s="65"/>
      <c r="J242" s="218">
        <v>1.6</v>
      </c>
      <c r="K242" s="108"/>
      <c r="L242" s="275">
        <v>110.4</v>
      </c>
      <c r="M242" s="65" t="s">
        <v>1923</v>
      </c>
      <c r="N242" s="219"/>
      <c r="O242" s="65" t="s">
        <v>55</v>
      </c>
      <c r="P242" s="162" t="s">
        <v>1407</v>
      </c>
      <c r="Q242" s="158"/>
      <c r="R242" s="157" t="s">
        <v>1457</v>
      </c>
      <c r="S242" s="114"/>
      <c r="T242" s="162" t="s">
        <v>25</v>
      </c>
      <c r="U242" s="65" t="s">
        <v>1388</v>
      </c>
      <c r="V242" s="162">
        <v>1383</v>
      </c>
      <c r="W242" s="165"/>
      <c r="X242" s="218" t="s">
        <v>1363</v>
      </c>
      <c r="Y242" s="167">
        <v>44671.430601851855</v>
      </c>
    </row>
    <row r="243" spans="1:25">
      <c r="A243" s="131" t="s">
        <v>62</v>
      </c>
      <c r="B243" s="109" t="s">
        <v>1385</v>
      </c>
      <c r="C243" s="160" t="s">
        <v>1924</v>
      </c>
      <c r="D243" s="162" t="s">
        <v>1925</v>
      </c>
      <c r="E243" s="65" t="s">
        <v>1429</v>
      </c>
      <c r="F243" s="162" t="s">
        <v>1388</v>
      </c>
      <c r="G243" s="65" t="s">
        <v>208</v>
      </c>
      <c r="H243" s="218">
        <v>40</v>
      </c>
      <c r="I243" s="65">
        <v>2.5</v>
      </c>
      <c r="J243" s="218">
        <v>8.75</v>
      </c>
      <c r="K243" s="108">
        <v>100</v>
      </c>
      <c r="L243" s="275">
        <v>350</v>
      </c>
      <c r="M243" s="65" t="s">
        <v>1926</v>
      </c>
      <c r="N243" s="219">
        <v>0</v>
      </c>
      <c r="O243" s="65" t="s">
        <v>1285</v>
      </c>
      <c r="P243" s="162" t="s">
        <v>1407</v>
      </c>
      <c r="Q243" s="158"/>
      <c r="R243" s="157"/>
      <c r="S243" s="114"/>
      <c r="T243" s="162" t="s">
        <v>29</v>
      </c>
      <c r="U243" s="65" t="s">
        <v>1388</v>
      </c>
      <c r="V243" s="162">
        <v>1435</v>
      </c>
      <c r="W243" s="165"/>
      <c r="X243" s="218" t="s">
        <v>1400</v>
      </c>
      <c r="Y243" s="167">
        <v>44679.638553240744</v>
      </c>
    </row>
    <row r="244" spans="1:25" ht="22.5">
      <c r="A244" s="131" t="s">
        <v>62</v>
      </c>
      <c r="B244" s="109" t="s">
        <v>1385</v>
      </c>
      <c r="C244" s="160" t="s">
        <v>1927</v>
      </c>
      <c r="D244" s="162" t="s">
        <v>1928</v>
      </c>
      <c r="E244" s="65" t="s">
        <v>1398</v>
      </c>
      <c r="F244" s="162" t="s">
        <v>1388</v>
      </c>
      <c r="G244" s="65" t="s">
        <v>208</v>
      </c>
      <c r="H244" s="218">
        <v>1</v>
      </c>
      <c r="I244" s="65"/>
      <c r="J244" s="218">
        <v>200</v>
      </c>
      <c r="K244" s="108"/>
      <c r="L244" s="275">
        <v>200</v>
      </c>
      <c r="M244" s="65" t="s">
        <v>1615</v>
      </c>
      <c r="N244" s="219"/>
      <c r="O244" s="65" t="s">
        <v>1285</v>
      </c>
      <c r="P244" s="162" t="s">
        <v>1407</v>
      </c>
      <c r="Q244" s="158"/>
      <c r="R244" s="157"/>
      <c r="S244" s="114"/>
      <c r="T244" s="162" t="s">
        <v>29</v>
      </c>
      <c r="U244" s="65" t="s">
        <v>1388</v>
      </c>
      <c r="V244" s="162">
        <v>101</v>
      </c>
      <c r="W244" s="165"/>
      <c r="X244" s="218" t="s">
        <v>208</v>
      </c>
      <c r="Y244" s="167">
        <v>43312</v>
      </c>
    </row>
    <row r="245" spans="1:25">
      <c r="A245" s="131" t="s">
        <v>62</v>
      </c>
      <c r="B245" s="109" t="s">
        <v>1385</v>
      </c>
      <c r="C245" s="160" t="s">
        <v>1929</v>
      </c>
      <c r="D245" s="162" t="s">
        <v>1930</v>
      </c>
      <c r="E245" s="65" t="s">
        <v>1419</v>
      </c>
      <c r="F245" s="162" t="s">
        <v>17</v>
      </c>
      <c r="G245" s="65" t="s">
        <v>1931</v>
      </c>
      <c r="H245" s="218">
        <v>77</v>
      </c>
      <c r="I245" s="65"/>
      <c r="J245" s="218">
        <v>4.5</v>
      </c>
      <c r="K245" s="108"/>
      <c r="L245" s="275">
        <v>346.5</v>
      </c>
      <c r="M245" s="65" t="s">
        <v>1932</v>
      </c>
      <c r="N245" s="219"/>
      <c r="O245" s="65" t="s">
        <v>27</v>
      </c>
      <c r="P245" s="162" t="s">
        <v>1407</v>
      </c>
      <c r="Q245" s="158" t="s">
        <v>1933</v>
      </c>
      <c r="R245" s="157" t="s">
        <v>1547</v>
      </c>
      <c r="S245" s="114"/>
      <c r="T245" s="162" t="s">
        <v>27</v>
      </c>
      <c r="U245" s="65" t="s">
        <v>17</v>
      </c>
      <c r="V245" s="162">
        <v>1988</v>
      </c>
      <c r="W245" s="165"/>
      <c r="X245" s="225" t="s">
        <v>1453</v>
      </c>
      <c r="Y245" s="167">
        <v>44747.412800925929</v>
      </c>
    </row>
    <row r="246" spans="1:25">
      <c r="A246" s="131" t="s">
        <v>62</v>
      </c>
      <c r="B246" s="109" t="s">
        <v>1385</v>
      </c>
      <c r="C246" s="160" t="s">
        <v>1929</v>
      </c>
      <c r="D246" s="162" t="s">
        <v>1930</v>
      </c>
      <c r="E246" s="65" t="s">
        <v>1419</v>
      </c>
      <c r="F246" s="162" t="s">
        <v>17</v>
      </c>
      <c r="G246" s="65" t="s">
        <v>1934</v>
      </c>
      <c r="H246" s="218">
        <v>23</v>
      </c>
      <c r="I246" s="65"/>
      <c r="J246" s="218">
        <v>4.5</v>
      </c>
      <c r="K246" s="108"/>
      <c r="L246" s="275">
        <v>103.5</v>
      </c>
      <c r="M246" s="65" t="s">
        <v>1935</v>
      </c>
      <c r="N246" s="219"/>
      <c r="O246" s="65" t="s">
        <v>27</v>
      </c>
      <c r="P246" s="162" t="s">
        <v>1407</v>
      </c>
      <c r="Q246" s="158" t="s">
        <v>1933</v>
      </c>
      <c r="R246" s="157" t="s">
        <v>1547</v>
      </c>
      <c r="S246" s="114"/>
      <c r="T246" s="162" t="s">
        <v>27</v>
      </c>
      <c r="U246" s="65" t="s">
        <v>17</v>
      </c>
      <c r="V246" s="162">
        <v>1988</v>
      </c>
      <c r="W246" s="165"/>
      <c r="X246" s="225" t="s">
        <v>1453</v>
      </c>
      <c r="Y246" s="167">
        <v>44747.412800925929</v>
      </c>
    </row>
    <row r="247" spans="1:25">
      <c r="A247" s="131" t="s">
        <v>100</v>
      </c>
      <c r="B247" s="109" t="s">
        <v>1320</v>
      </c>
      <c r="C247" s="254" t="s">
        <v>1936</v>
      </c>
      <c r="D247" s="162" t="s">
        <v>1631</v>
      </c>
      <c r="E247" s="65" t="s">
        <v>1359</v>
      </c>
      <c r="F247" s="162" t="s">
        <v>1422</v>
      </c>
      <c r="G247" s="65" t="s">
        <v>1937</v>
      </c>
      <c r="H247" s="218">
        <v>12</v>
      </c>
      <c r="I247" s="65"/>
      <c r="J247" s="218">
        <v>1</v>
      </c>
      <c r="K247" s="108"/>
      <c r="L247" s="275">
        <v>12</v>
      </c>
      <c r="M247" s="65" t="s">
        <v>1392</v>
      </c>
      <c r="N247" s="219"/>
      <c r="O247" s="65" t="s">
        <v>55</v>
      </c>
      <c r="P247" s="162" t="s">
        <v>1362</v>
      </c>
      <c r="Q247" s="158"/>
      <c r="R247" s="157" t="s">
        <v>1382</v>
      </c>
      <c r="S247" s="114"/>
      <c r="T247" s="162" t="s">
        <v>25</v>
      </c>
      <c r="U247" s="65" t="s">
        <v>19</v>
      </c>
      <c r="V247" s="162">
        <v>1046</v>
      </c>
      <c r="W247" s="165"/>
      <c r="X247" s="218" t="s">
        <v>1363</v>
      </c>
      <c r="Y247" s="167">
        <v>44665.498356481483</v>
      </c>
    </row>
    <row r="248" spans="1:25">
      <c r="A248" s="131" t="s">
        <v>62</v>
      </c>
      <c r="B248" s="109" t="s">
        <v>1385</v>
      </c>
      <c r="C248" s="254" t="s">
        <v>4004</v>
      </c>
      <c r="D248" s="162" t="s">
        <v>293</v>
      </c>
      <c r="E248" s="65"/>
      <c r="F248" s="162" t="s">
        <v>3990</v>
      </c>
      <c r="G248" s="65"/>
      <c r="H248" s="218">
        <v>18</v>
      </c>
      <c r="I248" s="65"/>
      <c r="J248" s="218">
        <v>5.7</v>
      </c>
      <c r="K248" s="108"/>
      <c r="L248" s="275">
        <v>103</v>
      </c>
      <c r="M248" s="65"/>
      <c r="N248" s="219"/>
      <c r="O248" s="65" t="s">
        <v>1285</v>
      </c>
      <c r="P248" s="162"/>
      <c r="Q248" s="158"/>
      <c r="R248" s="157"/>
      <c r="S248" s="114"/>
      <c r="T248" s="162" t="s">
        <v>29</v>
      </c>
      <c r="U248" s="65" t="s">
        <v>17</v>
      </c>
      <c r="V248" s="162"/>
      <c r="W248" s="165" t="s">
        <v>4037</v>
      </c>
      <c r="X248" s="218"/>
      <c r="Y248" s="167"/>
    </row>
    <row r="249" spans="1:25">
      <c r="A249" s="131" t="s">
        <v>80</v>
      </c>
      <c r="B249" s="109" t="s">
        <v>1385</v>
      </c>
      <c r="C249" s="254" t="s">
        <v>1938</v>
      </c>
      <c r="D249" s="162" t="s">
        <v>1939</v>
      </c>
      <c r="E249" s="65" t="s">
        <v>1391</v>
      </c>
      <c r="F249" s="162" t="s">
        <v>21</v>
      </c>
      <c r="G249" s="65" t="s">
        <v>208</v>
      </c>
      <c r="H249" s="218">
        <v>1</v>
      </c>
      <c r="I249" s="65"/>
      <c r="J249" s="218">
        <v>60</v>
      </c>
      <c r="K249" s="108"/>
      <c r="L249" s="275">
        <v>60</v>
      </c>
      <c r="M249" s="65" t="s">
        <v>1651</v>
      </c>
      <c r="N249" s="219">
        <v>120</v>
      </c>
      <c r="O249" s="65" t="s">
        <v>1285</v>
      </c>
      <c r="P249" s="162" t="s">
        <v>1407</v>
      </c>
      <c r="Q249" s="158"/>
      <c r="R249" s="157"/>
      <c r="S249" s="114"/>
      <c r="T249" s="162" t="s">
        <v>29</v>
      </c>
      <c r="U249" s="65" t="s">
        <v>20</v>
      </c>
      <c r="V249" s="162">
        <v>1993</v>
      </c>
      <c r="W249" s="165" t="s">
        <v>3953</v>
      </c>
      <c r="X249" s="218" t="s">
        <v>208</v>
      </c>
      <c r="Y249" s="167">
        <v>44539.468807870369</v>
      </c>
    </row>
    <row r="250" spans="1:25">
      <c r="A250" s="131" t="s">
        <v>80</v>
      </c>
      <c r="B250" s="109" t="s">
        <v>1320</v>
      </c>
      <c r="C250" s="254" t="s">
        <v>1940</v>
      </c>
      <c r="D250" s="162" t="s">
        <v>1939</v>
      </c>
      <c r="E250" s="65" t="s">
        <v>1419</v>
      </c>
      <c r="F250" s="162" t="s">
        <v>17</v>
      </c>
      <c r="G250" s="65" t="s">
        <v>1941</v>
      </c>
      <c r="H250" s="218">
        <v>27</v>
      </c>
      <c r="I250" s="65"/>
      <c r="J250" s="218">
        <v>2.1</v>
      </c>
      <c r="K250" s="108"/>
      <c r="L250" s="275">
        <v>56.7</v>
      </c>
      <c r="M250" s="65" t="s">
        <v>1942</v>
      </c>
      <c r="N250" s="219"/>
      <c r="O250" s="65" t="s">
        <v>55</v>
      </c>
      <c r="P250" s="162" t="s">
        <v>1407</v>
      </c>
      <c r="Q250" s="158"/>
      <c r="R250" s="157" t="s">
        <v>1943</v>
      </c>
      <c r="S250" s="114"/>
      <c r="T250" s="162" t="s">
        <v>25</v>
      </c>
      <c r="U250" s="65" t="s">
        <v>17</v>
      </c>
      <c r="V250" s="162">
        <v>1047</v>
      </c>
      <c r="W250" s="165"/>
      <c r="X250" s="218" t="s">
        <v>1453</v>
      </c>
      <c r="Y250" s="167">
        <v>44743.634548611109</v>
      </c>
    </row>
    <row r="251" spans="1:25">
      <c r="A251" s="131" t="s">
        <v>62</v>
      </c>
      <c r="B251" s="109" t="s">
        <v>1320</v>
      </c>
      <c r="C251" s="254" t="s">
        <v>574</v>
      </c>
      <c r="D251" s="162" t="s">
        <v>575</v>
      </c>
      <c r="E251" s="65" t="s">
        <v>1429</v>
      </c>
      <c r="F251" s="162" t="s">
        <v>1388</v>
      </c>
      <c r="G251" s="65" t="s">
        <v>576</v>
      </c>
      <c r="H251" s="218">
        <v>37</v>
      </c>
      <c r="I251" s="65"/>
      <c r="J251" s="218">
        <v>2.5</v>
      </c>
      <c r="K251" s="108"/>
      <c r="L251" s="275">
        <v>92.5</v>
      </c>
      <c r="M251" s="65" t="s">
        <v>1944</v>
      </c>
      <c r="N251" s="219"/>
      <c r="O251" s="65" t="s">
        <v>55</v>
      </c>
      <c r="P251" s="162" t="s">
        <v>1407</v>
      </c>
      <c r="Q251" s="158"/>
      <c r="R251" s="157" t="s">
        <v>1547</v>
      </c>
      <c r="S251" s="114"/>
      <c r="T251" s="162" t="s">
        <v>25</v>
      </c>
      <c r="U251" s="65" t="s">
        <v>1388</v>
      </c>
      <c r="V251" s="162">
        <v>1562</v>
      </c>
      <c r="W251" s="165"/>
      <c r="X251" s="218" t="s">
        <v>1404</v>
      </c>
      <c r="Y251" s="167">
        <v>44699.35900462963</v>
      </c>
    </row>
    <row r="252" spans="1:25">
      <c r="A252" s="131" t="s">
        <v>100</v>
      </c>
      <c r="B252" s="109" t="s">
        <v>1320</v>
      </c>
      <c r="C252" s="254" t="s">
        <v>1945</v>
      </c>
      <c r="D252" s="162" t="s">
        <v>49</v>
      </c>
      <c r="E252" s="65" t="s">
        <v>1539</v>
      </c>
      <c r="F252" s="162" t="s">
        <v>18</v>
      </c>
      <c r="G252" s="65" t="s">
        <v>1946</v>
      </c>
      <c r="H252" s="218">
        <v>2</v>
      </c>
      <c r="I252" s="65"/>
      <c r="J252" s="218">
        <v>14.5</v>
      </c>
      <c r="K252" s="108"/>
      <c r="L252" s="275">
        <v>29</v>
      </c>
      <c r="M252" s="65" t="s">
        <v>1760</v>
      </c>
      <c r="N252" s="219"/>
      <c r="O252" s="65" t="s">
        <v>55</v>
      </c>
      <c r="P252" s="162" t="s">
        <v>1362</v>
      </c>
      <c r="Q252" s="158"/>
      <c r="R252" s="157" t="s">
        <v>1542</v>
      </c>
      <c r="S252" s="114"/>
      <c r="T252" s="162" t="s">
        <v>25</v>
      </c>
      <c r="U252" s="65" t="s">
        <v>18</v>
      </c>
      <c r="V252" s="162">
        <v>1048</v>
      </c>
      <c r="W252" s="165"/>
      <c r="X252" s="218" t="s">
        <v>1363</v>
      </c>
      <c r="Y252" s="167">
        <v>44665.6408912037</v>
      </c>
    </row>
    <row r="253" spans="1:25">
      <c r="A253" s="131" t="s">
        <v>46</v>
      </c>
      <c r="B253" s="109" t="s">
        <v>1320</v>
      </c>
      <c r="C253" s="254" t="s">
        <v>1947</v>
      </c>
      <c r="D253" s="162" t="s">
        <v>1947</v>
      </c>
      <c r="E253" s="65" t="s">
        <v>1948</v>
      </c>
      <c r="F253" s="162" t="s">
        <v>1431</v>
      </c>
      <c r="G253" s="65" t="s">
        <v>208</v>
      </c>
      <c r="H253" s="218">
        <v>1</v>
      </c>
      <c r="I253" s="65"/>
      <c r="J253" s="218">
        <v>0</v>
      </c>
      <c r="K253" s="108"/>
      <c r="L253" s="275">
        <v>0</v>
      </c>
      <c r="M253" s="65" t="s">
        <v>1600</v>
      </c>
      <c r="N253" s="219"/>
      <c r="O253" s="65" t="s">
        <v>55</v>
      </c>
      <c r="P253" s="162" t="s">
        <v>1362</v>
      </c>
      <c r="Q253" s="158"/>
      <c r="R253" s="157"/>
      <c r="S253" s="114"/>
      <c r="T253" s="162" t="s">
        <v>25</v>
      </c>
      <c r="U253" s="65" t="s">
        <v>21</v>
      </c>
      <c r="V253" s="162">
        <v>1049</v>
      </c>
      <c r="W253" s="165"/>
      <c r="X253" s="218" t="s">
        <v>208</v>
      </c>
      <c r="Y253" s="167">
        <v>43769.416655092595</v>
      </c>
    </row>
    <row r="254" spans="1:25">
      <c r="A254" s="131" t="s">
        <v>95</v>
      </c>
      <c r="B254" s="109" t="s">
        <v>1320</v>
      </c>
      <c r="C254" s="254" t="s">
        <v>1949</v>
      </c>
      <c r="D254" s="162" t="s">
        <v>1585</v>
      </c>
      <c r="E254" s="65" t="s">
        <v>1539</v>
      </c>
      <c r="F254" s="162" t="s">
        <v>18</v>
      </c>
      <c r="G254" s="65" t="s">
        <v>1950</v>
      </c>
      <c r="H254" s="218">
        <v>1</v>
      </c>
      <c r="I254" s="65"/>
      <c r="J254" s="218">
        <v>19</v>
      </c>
      <c r="K254" s="108"/>
      <c r="L254" s="275">
        <v>19</v>
      </c>
      <c r="M254" s="65" t="s">
        <v>1805</v>
      </c>
      <c r="N254" s="219"/>
      <c r="O254" s="65" t="s">
        <v>55</v>
      </c>
      <c r="P254" s="162" t="s">
        <v>1362</v>
      </c>
      <c r="Q254" s="158"/>
      <c r="R254" s="157" t="s">
        <v>1588</v>
      </c>
      <c r="S254" s="114"/>
      <c r="T254" s="162" t="s">
        <v>25</v>
      </c>
      <c r="U254" s="65" t="s">
        <v>18</v>
      </c>
      <c r="V254" s="162">
        <v>1050</v>
      </c>
      <c r="W254" s="165"/>
      <c r="X254" s="218" t="s">
        <v>1363</v>
      </c>
      <c r="Y254" s="167">
        <v>44670.583113425928</v>
      </c>
    </row>
    <row r="255" spans="1:25">
      <c r="A255" s="131" t="s">
        <v>100</v>
      </c>
      <c r="B255" s="109" t="s">
        <v>1320</v>
      </c>
      <c r="C255" s="254" t="s">
        <v>1951</v>
      </c>
      <c r="D255" s="162" t="s">
        <v>1952</v>
      </c>
      <c r="E255" s="65" t="s">
        <v>1419</v>
      </c>
      <c r="F255" s="162" t="s">
        <v>17</v>
      </c>
      <c r="G255" s="65" t="s">
        <v>1953</v>
      </c>
      <c r="H255" s="218">
        <v>14</v>
      </c>
      <c r="I255" s="65"/>
      <c r="J255" s="218">
        <v>1.3</v>
      </c>
      <c r="K255" s="108"/>
      <c r="L255" s="275">
        <v>18.2</v>
      </c>
      <c r="M255" s="65" t="s">
        <v>1954</v>
      </c>
      <c r="N255" s="219"/>
      <c r="O255" s="65" t="s">
        <v>55</v>
      </c>
      <c r="P255" s="162" t="s">
        <v>1362</v>
      </c>
      <c r="Q255" s="158"/>
      <c r="R255" s="157"/>
      <c r="S255" s="114"/>
      <c r="T255" s="162" t="s">
        <v>25</v>
      </c>
      <c r="U255" s="65" t="s">
        <v>17</v>
      </c>
      <c r="V255" s="162">
        <v>1051</v>
      </c>
      <c r="W255" s="165"/>
      <c r="X255" s="218" t="s">
        <v>1400</v>
      </c>
      <c r="Y255" s="167">
        <v>43999</v>
      </c>
    </row>
    <row r="256" spans="1:25">
      <c r="A256" s="131" t="s">
        <v>100</v>
      </c>
      <c r="B256" s="109" t="s">
        <v>1320</v>
      </c>
      <c r="C256" s="254" t="s">
        <v>637</v>
      </c>
      <c r="D256" s="162" t="s">
        <v>1789</v>
      </c>
      <c r="E256" s="65" t="s">
        <v>1429</v>
      </c>
      <c r="F256" s="162" t="s">
        <v>1388</v>
      </c>
      <c r="G256" s="65" t="s">
        <v>1955</v>
      </c>
      <c r="H256" s="218">
        <v>19</v>
      </c>
      <c r="I256" s="65"/>
      <c r="J256" s="218">
        <v>1.42</v>
      </c>
      <c r="K256" s="108"/>
      <c r="L256" s="275">
        <v>26.979999999999997</v>
      </c>
      <c r="M256" s="65" t="s">
        <v>1956</v>
      </c>
      <c r="N256" s="219"/>
      <c r="O256" s="65" t="s">
        <v>27</v>
      </c>
      <c r="P256" s="162" t="s">
        <v>1407</v>
      </c>
      <c r="Q256" s="158"/>
      <c r="R256" s="157" t="s">
        <v>1534</v>
      </c>
      <c r="S256" s="114"/>
      <c r="T256" s="162" t="s">
        <v>25</v>
      </c>
      <c r="U256" s="65" t="s">
        <v>1388</v>
      </c>
      <c r="V256" s="162">
        <v>1691</v>
      </c>
      <c r="W256" s="165"/>
      <c r="X256" s="218" t="s">
        <v>1453</v>
      </c>
      <c r="Y256" s="167">
        <v>44732.481886574074</v>
      </c>
    </row>
    <row r="257" spans="1:25">
      <c r="A257" s="131" t="s">
        <v>46</v>
      </c>
      <c r="B257" s="109" t="s">
        <v>1385</v>
      </c>
      <c r="C257" s="254" t="s">
        <v>4077</v>
      </c>
      <c r="D257" s="162" t="s">
        <v>4070</v>
      </c>
      <c r="E257" s="65"/>
      <c r="F257" s="162" t="s">
        <v>21</v>
      </c>
      <c r="G257" s="65"/>
      <c r="H257" s="218"/>
      <c r="I257" s="65"/>
      <c r="J257" s="218"/>
      <c r="K257" s="108"/>
      <c r="L257" s="275">
        <v>100</v>
      </c>
      <c r="M257" s="65"/>
      <c r="N257" s="219"/>
      <c r="O257" s="65" t="s">
        <v>1285</v>
      </c>
      <c r="P257" s="162"/>
      <c r="Q257" s="158"/>
      <c r="R257" s="157" t="s">
        <v>208</v>
      </c>
      <c r="S257" s="114"/>
      <c r="T257" s="162" t="s">
        <v>29</v>
      </c>
      <c r="U257" s="65" t="s">
        <v>20</v>
      </c>
      <c r="V257" s="162">
        <v>1940</v>
      </c>
      <c r="W257" s="165" t="s">
        <v>4078</v>
      </c>
      <c r="X257" s="218"/>
      <c r="Y257" s="167"/>
    </row>
    <row r="258" spans="1:25">
      <c r="A258" s="131" t="s">
        <v>46</v>
      </c>
      <c r="B258" s="109" t="s">
        <v>1320</v>
      </c>
      <c r="C258" s="254" t="s">
        <v>536</v>
      </c>
      <c r="D258" s="162" t="s">
        <v>537</v>
      </c>
      <c r="E258" s="65" t="s">
        <v>1429</v>
      </c>
      <c r="F258" s="162" t="s">
        <v>1388</v>
      </c>
      <c r="G258" s="65" t="s">
        <v>1957</v>
      </c>
      <c r="H258" s="218">
        <v>90</v>
      </c>
      <c r="I258" s="65"/>
      <c r="J258" s="218">
        <v>1.67</v>
      </c>
      <c r="K258" s="108"/>
      <c r="L258" s="275">
        <v>150.29999999999998</v>
      </c>
      <c r="M258" s="65" t="s">
        <v>1958</v>
      </c>
      <c r="N258" s="219"/>
      <c r="O258" s="65" t="s">
        <v>55</v>
      </c>
      <c r="P258" s="162" t="s">
        <v>1407</v>
      </c>
      <c r="Q258" s="158"/>
      <c r="R258" s="157" t="s">
        <v>1959</v>
      </c>
      <c r="S258" s="114"/>
      <c r="T258" s="162" t="s">
        <v>25</v>
      </c>
      <c r="U258" s="65" t="s">
        <v>1388</v>
      </c>
      <c r="V258" s="162">
        <v>1420</v>
      </c>
      <c r="W258" s="165"/>
      <c r="X258" s="218" t="s">
        <v>1363</v>
      </c>
      <c r="Y258" s="167">
        <v>44671.445439814815</v>
      </c>
    </row>
    <row r="259" spans="1:25">
      <c r="A259" s="131" t="s">
        <v>46</v>
      </c>
      <c r="B259" s="109" t="s">
        <v>1320</v>
      </c>
      <c r="C259" s="254" t="s">
        <v>210</v>
      </c>
      <c r="D259" s="162" t="s">
        <v>102</v>
      </c>
      <c r="E259" s="65" t="s">
        <v>1419</v>
      </c>
      <c r="F259" s="162" t="s">
        <v>17</v>
      </c>
      <c r="G259" s="65" t="s">
        <v>211</v>
      </c>
      <c r="H259" s="218">
        <v>54</v>
      </c>
      <c r="I259" s="65"/>
      <c r="J259" s="218">
        <v>4.2</v>
      </c>
      <c r="K259" s="108"/>
      <c r="L259" s="275">
        <v>226.8</v>
      </c>
      <c r="M259" s="65" t="s">
        <v>1960</v>
      </c>
      <c r="N259" s="219"/>
      <c r="O259" s="65" t="s">
        <v>55</v>
      </c>
      <c r="P259" s="162" t="s">
        <v>1407</v>
      </c>
      <c r="Q259" s="158"/>
      <c r="R259" s="157" t="s">
        <v>1681</v>
      </c>
      <c r="S259" s="114"/>
      <c r="T259" s="162" t="s">
        <v>25</v>
      </c>
      <c r="U259" s="65" t="s">
        <v>17</v>
      </c>
      <c r="V259" s="162">
        <v>1052</v>
      </c>
      <c r="W259" s="165"/>
      <c r="X259" s="218" t="s">
        <v>1363</v>
      </c>
      <c r="Y259" s="167">
        <v>44665.64203703704</v>
      </c>
    </row>
    <row r="260" spans="1:25" ht="22.5">
      <c r="A260" s="131" t="s">
        <v>62</v>
      </c>
      <c r="B260" s="109" t="s">
        <v>1385</v>
      </c>
      <c r="C260" s="254" t="s">
        <v>1961</v>
      </c>
      <c r="D260" s="162" t="s">
        <v>1962</v>
      </c>
      <c r="E260" s="65"/>
      <c r="F260" s="162" t="s">
        <v>21</v>
      </c>
      <c r="G260" s="65"/>
      <c r="H260" s="218"/>
      <c r="I260" s="65"/>
      <c r="J260" s="218"/>
      <c r="K260" s="108"/>
      <c r="L260" s="275">
        <v>990</v>
      </c>
      <c r="M260" s="65"/>
      <c r="N260" s="219"/>
      <c r="O260" s="65" t="s">
        <v>1285</v>
      </c>
      <c r="P260" s="162"/>
      <c r="Q260" s="158"/>
      <c r="R260" s="157" t="s">
        <v>208</v>
      </c>
      <c r="S260" s="114"/>
      <c r="T260" s="162" t="s">
        <v>29</v>
      </c>
      <c r="U260" s="65" t="s">
        <v>12</v>
      </c>
      <c r="V260" s="162" t="s">
        <v>208</v>
      </c>
      <c r="W260" s="165" t="s">
        <v>1963</v>
      </c>
      <c r="X260" s="218"/>
      <c r="Y260" s="167" t="s">
        <v>208</v>
      </c>
    </row>
    <row r="261" spans="1:25">
      <c r="A261" s="131" t="s">
        <v>62</v>
      </c>
      <c r="B261" s="109" t="s">
        <v>1385</v>
      </c>
      <c r="C261" s="254" t="s">
        <v>1964</v>
      </c>
      <c r="D261" s="162" t="s">
        <v>1965</v>
      </c>
      <c r="E261" s="65" t="s">
        <v>1391</v>
      </c>
      <c r="F261" s="162" t="s">
        <v>21</v>
      </c>
      <c r="G261" s="65" t="s">
        <v>208</v>
      </c>
      <c r="H261" s="218">
        <v>1</v>
      </c>
      <c r="I261" s="65"/>
      <c r="J261" s="218">
        <v>150</v>
      </c>
      <c r="K261" s="108"/>
      <c r="L261" s="275">
        <v>150</v>
      </c>
      <c r="M261" s="65" t="s">
        <v>1480</v>
      </c>
      <c r="N261" s="219">
        <v>300</v>
      </c>
      <c r="O261" s="65" t="s">
        <v>1285</v>
      </c>
      <c r="P261" s="162" t="s">
        <v>1393</v>
      </c>
      <c r="Q261" s="158"/>
      <c r="R261" s="157"/>
      <c r="S261" s="114"/>
      <c r="T261" s="162" t="s">
        <v>29</v>
      </c>
      <c r="U261" s="65" t="s">
        <v>20</v>
      </c>
      <c r="V261" s="162">
        <v>1734</v>
      </c>
      <c r="W261" s="165"/>
      <c r="X261" s="218" t="s">
        <v>1363</v>
      </c>
      <c r="Y261" s="167">
        <v>43965.703472222223</v>
      </c>
    </row>
    <row r="262" spans="1:25">
      <c r="A262" s="131" t="s">
        <v>62</v>
      </c>
      <c r="B262" s="109" t="s">
        <v>1320</v>
      </c>
      <c r="C262" s="254" t="s">
        <v>577</v>
      </c>
      <c r="D262" s="162" t="s">
        <v>102</v>
      </c>
      <c r="E262" s="65" t="s">
        <v>1398</v>
      </c>
      <c r="F262" s="162" t="s">
        <v>1388</v>
      </c>
      <c r="G262" s="65" t="s">
        <v>1966</v>
      </c>
      <c r="H262" s="218">
        <v>17</v>
      </c>
      <c r="I262" s="65"/>
      <c r="J262" s="218">
        <v>2.5</v>
      </c>
      <c r="K262" s="108"/>
      <c r="L262" s="275">
        <v>42.5</v>
      </c>
      <c r="M262" s="65" t="s">
        <v>1967</v>
      </c>
      <c r="N262" s="219"/>
      <c r="O262" s="65" t="s">
        <v>55</v>
      </c>
      <c r="P262" s="162" t="s">
        <v>1407</v>
      </c>
      <c r="Q262" s="158"/>
      <c r="R262" s="157" t="s">
        <v>1558</v>
      </c>
      <c r="S262" s="114"/>
      <c r="T262" s="162" t="s">
        <v>25</v>
      </c>
      <c r="U262" s="65" t="s">
        <v>1388</v>
      </c>
      <c r="V262" s="162">
        <v>1349</v>
      </c>
      <c r="W262" s="165"/>
      <c r="X262" s="218" t="s">
        <v>1363</v>
      </c>
      <c r="Y262" s="167">
        <v>44671.391400462962</v>
      </c>
    </row>
    <row r="263" spans="1:25">
      <c r="A263" s="131" t="s">
        <v>46</v>
      </c>
      <c r="B263" s="109" t="s">
        <v>1320</v>
      </c>
      <c r="C263" s="254" t="s">
        <v>1968</v>
      </c>
      <c r="D263" s="162" t="s">
        <v>558</v>
      </c>
      <c r="E263" s="65" t="s">
        <v>1493</v>
      </c>
      <c r="F263" s="162" t="s">
        <v>1360</v>
      </c>
      <c r="G263" s="65" t="s">
        <v>1969</v>
      </c>
      <c r="H263" s="218">
        <v>1</v>
      </c>
      <c r="I263" s="65"/>
      <c r="J263" s="218">
        <v>181</v>
      </c>
      <c r="K263" s="108"/>
      <c r="L263" s="275">
        <v>181</v>
      </c>
      <c r="M263" s="65" t="s">
        <v>1970</v>
      </c>
      <c r="N263" s="219"/>
      <c r="O263" s="65" t="s">
        <v>55</v>
      </c>
      <c r="P263" s="162" t="s">
        <v>1403</v>
      </c>
      <c r="Q263" s="158"/>
      <c r="R263" s="157" t="s">
        <v>1434</v>
      </c>
      <c r="S263" s="114"/>
      <c r="T263" s="162" t="s">
        <v>25</v>
      </c>
      <c r="U263" s="65" t="s">
        <v>14</v>
      </c>
      <c r="V263" s="162">
        <v>1053</v>
      </c>
      <c r="W263" s="165"/>
      <c r="X263" s="218" t="s">
        <v>1363</v>
      </c>
      <c r="Y263" s="167">
        <v>44665.646296296298</v>
      </c>
    </row>
    <row r="264" spans="1:25">
      <c r="A264" s="131" t="s">
        <v>46</v>
      </c>
      <c r="B264" s="109" t="s">
        <v>1320</v>
      </c>
      <c r="C264" s="254" t="s">
        <v>1968</v>
      </c>
      <c r="D264" s="162" t="s">
        <v>558</v>
      </c>
      <c r="E264" s="65" t="s">
        <v>1493</v>
      </c>
      <c r="F264" s="162" t="s">
        <v>1360</v>
      </c>
      <c r="G264" s="65" t="s">
        <v>1971</v>
      </c>
      <c r="H264" s="218">
        <v>1</v>
      </c>
      <c r="I264" s="65"/>
      <c r="J264" s="218">
        <v>181</v>
      </c>
      <c r="K264" s="108"/>
      <c r="L264" s="275">
        <v>181</v>
      </c>
      <c r="M264" s="65" t="s">
        <v>1970</v>
      </c>
      <c r="N264" s="219"/>
      <c r="O264" s="65" t="s">
        <v>55</v>
      </c>
      <c r="P264" s="162" t="s">
        <v>1403</v>
      </c>
      <c r="Q264" s="158"/>
      <c r="R264" s="157" t="s">
        <v>1434</v>
      </c>
      <c r="S264" s="114"/>
      <c r="T264" s="162" t="s">
        <v>25</v>
      </c>
      <c r="U264" s="65" t="s">
        <v>14</v>
      </c>
      <c r="V264" s="162">
        <v>1053</v>
      </c>
      <c r="W264" s="165"/>
      <c r="X264" s="218" t="s">
        <v>1363</v>
      </c>
      <c r="Y264" s="167">
        <v>44665.646296296298</v>
      </c>
    </row>
    <row r="265" spans="1:25">
      <c r="A265" s="131" t="s">
        <v>46</v>
      </c>
      <c r="B265" s="109" t="s">
        <v>1320</v>
      </c>
      <c r="C265" s="254" t="s">
        <v>1968</v>
      </c>
      <c r="D265" s="162" t="s">
        <v>558</v>
      </c>
      <c r="E265" s="65" t="s">
        <v>1493</v>
      </c>
      <c r="F265" s="162" t="s">
        <v>1360</v>
      </c>
      <c r="G265" s="65" t="s">
        <v>1972</v>
      </c>
      <c r="H265" s="218">
        <v>1</v>
      </c>
      <c r="I265" s="65"/>
      <c r="J265" s="218">
        <v>181</v>
      </c>
      <c r="K265" s="108"/>
      <c r="L265" s="275">
        <v>181</v>
      </c>
      <c r="M265" s="65" t="s">
        <v>1970</v>
      </c>
      <c r="N265" s="219"/>
      <c r="O265" s="65" t="s">
        <v>55</v>
      </c>
      <c r="P265" s="162" t="s">
        <v>1403</v>
      </c>
      <c r="Q265" s="158"/>
      <c r="R265" s="157" t="s">
        <v>1434</v>
      </c>
      <c r="S265" s="114"/>
      <c r="T265" s="162" t="s">
        <v>25</v>
      </c>
      <c r="U265" s="65" t="s">
        <v>14</v>
      </c>
      <c r="V265" s="162">
        <v>1053</v>
      </c>
      <c r="W265" s="165"/>
      <c r="X265" s="218" t="s">
        <v>1363</v>
      </c>
      <c r="Y265" s="167">
        <v>44665.646296296298</v>
      </c>
    </row>
    <row r="266" spans="1:25">
      <c r="A266" s="131" t="s">
        <v>46</v>
      </c>
      <c r="B266" s="109" t="s">
        <v>1320</v>
      </c>
      <c r="C266" s="254" t="s">
        <v>1968</v>
      </c>
      <c r="D266" s="162" t="s">
        <v>558</v>
      </c>
      <c r="E266" s="65" t="s">
        <v>1493</v>
      </c>
      <c r="F266" s="162" t="s">
        <v>1360</v>
      </c>
      <c r="G266" s="65" t="s">
        <v>1973</v>
      </c>
      <c r="H266" s="218">
        <v>1</v>
      </c>
      <c r="I266" s="65"/>
      <c r="J266" s="218">
        <v>181</v>
      </c>
      <c r="K266" s="108"/>
      <c r="L266" s="275">
        <v>181</v>
      </c>
      <c r="M266" s="65" t="s">
        <v>1970</v>
      </c>
      <c r="N266" s="219"/>
      <c r="O266" s="65" t="s">
        <v>55</v>
      </c>
      <c r="P266" s="162" t="s">
        <v>1403</v>
      </c>
      <c r="Q266" s="158"/>
      <c r="R266" s="157" t="s">
        <v>1434</v>
      </c>
      <c r="S266" s="114"/>
      <c r="T266" s="162" t="s">
        <v>25</v>
      </c>
      <c r="U266" s="65" t="s">
        <v>14</v>
      </c>
      <c r="V266" s="162">
        <v>1053</v>
      </c>
      <c r="W266" s="165"/>
      <c r="X266" s="218" t="s">
        <v>1363</v>
      </c>
      <c r="Y266" s="167">
        <v>44665.646296296298</v>
      </c>
    </row>
    <row r="267" spans="1:25">
      <c r="A267" s="131" t="s">
        <v>62</v>
      </c>
      <c r="B267" s="109" t="s">
        <v>1385</v>
      </c>
      <c r="C267" s="254" t="s">
        <v>295</v>
      </c>
      <c r="D267" s="162" t="s">
        <v>296</v>
      </c>
      <c r="E267" s="65" t="s">
        <v>1429</v>
      </c>
      <c r="F267" s="162" t="s">
        <v>1388</v>
      </c>
      <c r="G267" s="65" t="s">
        <v>208</v>
      </c>
      <c r="H267" s="218">
        <v>79</v>
      </c>
      <c r="I267" s="65"/>
      <c r="J267" s="218">
        <v>2.75</v>
      </c>
      <c r="K267" s="108"/>
      <c r="L267" s="275">
        <v>217.25</v>
      </c>
      <c r="M267" s="65" t="s">
        <v>1974</v>
      </c>
      <c r="N267" s="219">
        <v>0</v>
      </c>
      <c r="O267" s="65" t="s">
        <v>27</v>
      </c>
      <c r="P267" s="162" t="s">
        <v>1407</v>
      </c>
      <c r="Q267" s="158" t="s">
        <v>1975</v>
      </c>
      <c r="R267" s="157" t="s">
        <v>1681</v>
      </c>
      <c r="S267" s="114"/>
      <c r="T267" s="162" t="s">
        <v>27</v>
      </c>
      <c r="U267" s="65" t="s">
        <v>1388</v>
      </c>
      <c r="V267" s="162">
        <v>1459</v>
      </c>
      <c r="W267" s="165"/>
      <c r="X267" s="218" t="s">
        <v>1453</v>
      </c>
      <c r="Y267" s="167">
        <v>44700.428391203706</v>
      </c>
    </row>
    <row r="268" spans="1:25">
      <c r="A268" s="131" t="s">
        <v>62</v>
      </c>
      <c r="B268" s="109" t="s">
        <v>1320</v>
      </c>
      <c r="C268" s="254" t="s">
        <v>1976</v>
      </c>
      <c r="D268" s="162" t="s">
        <v>1977</v>
      </c>
      <c r="E268" s="65" t="s">
        <v>1596</v>
      </c>
      <c r="F268" s="162" t="s">
        <v>1722</v>
      </c>
      <c r="G268" s="65" t="s">
        <v>1978</v>
      </c>
      <c r="H268" s="218">
        <v>1</v>
      </c>
      <c r="I268" s="65"/>
      <c r="J268" s="218">
        <v>57</v>
      </c>
      <c r="K268" s="108"/>
      <c r="L268" s="275">
        <v>57</v>
      </c>
      <c r="M268" s="65" t="s">
        <v>1979</v>
      </c>
      <c r="N268" s="219"/>
      <c r="O268" s="65" t="s">
        <v>55</v>
      </c>
      <c r="P268" s="162" t="s">
        <v>1403</v>
      </c>
      <c r="Q268" s="158"/>
      <c r="R268" s="157" t="s">
        <v>1943</v>
      </c>
      <c r="S268" s="114"/>
      <c r="T268" s="162" t="s">
        <v>25</v>
      </c>
      <c r="U268" s="65" t="s">
        <v>15</v>
      </c>
      <c r="V268" s="162">
        <v>1054</v>
      </c>
      <c r="W268" s="165"/>
      <c r="X268" s="218" t="s">
        <v>1453</v>
      </c>
      <c r="Y268" s="167">
        <v>44746.698275462964</v>
      </c>
    </row>
    <row r="269" spans="1:25">
      <c r="A269" s="131" t="s">
        <v>62</v>
      </c>
      <c r="B269" s="109" t="s">
        <v>1320</v>
      </c>
      <c r="C269" s="254" t="s">
        <v>1976</v>
      </c>
      <c r="D269" s="162" t="s">
        <v>1977</v>
      </c>
      <c r="E269" s="65" t="s">
        <v>1980</v>
      </c>
      <c r="F269" s="162" t="s">
        <v>1722</v>
      </c>
      <c r="G269" s="65" t="s">
        <v>1978</v>
      </c>
      <c r="H269" s="218">
        <v>2</v>
      </c>
      <c r="I269" s="65"/>
      <c r="J269" s="218">
        <v>43.7</v>
      </c>
      <c r="K269" s="108"/>
      <c r="L269" s="275">
        <v>87.4</v>
      </c>
      <c r="M269" s="65" t="s">
        <v>1981</v>
      </c>
      <c r="N269" s="219"/>
      <c r="O269" s="65" t="s">
        <v>55</v>
      </c>
      <c r="P269" s="162" t="s">
        <v>1403</v>
      </c>
      <c r="Q269" s="158"/>
      <c r="R269" s="157" t="s">
        <v>1943</v>
      </c>
      <c r="S269" s="114"/>
      <c r="T269" s="162" t="s">
        <v>25</v>
      </c>
      <c r="U269" s="65" t="s">
        <v>13</v>
      </c>
      <c r="V269" s="162">
        <v>1054</v>
      </c>
      <c r="W269" s="165"/>
      <c r="X269" s="218" t="s">
        <v>1453</v>
      </c>
      <c r="Y269" s="167">
        <v>44746.698275462964</v>
      </c>
    </row>
    <row r="270" spans="1:25">
      <c r="A270" s="131" t="s">
        <v>46</v>
      </c>
      <c r="B270" s="109" t="s">
        <v>1320</v>
      </c>
      <c r="C270" s="254" t="s">
        <v>1982</v>
      </c>
      <c r="D270" s="162" t="s">
        <v>1756</v>
      </c>
      <c r="E270" s="65" t="s">
        <v>1596</v>
      </c>
      <c r="F270" s="162" t="s">
        <v>1856</v>
      </c>
      <c r="G270" s="65" t="s">
        <v>1983</v>
      </c>
      <c r="H270" s="218">
        <v>1</v>
      </c>
      <c r="I270" s="65"/>
      <c r="J270" s="218">
        <v>30</v>
      </c>
      <c r="K270" s="108"/>
      <c r="L270" s="275">
        <v>30</v>
      </c>
      <c r="M270" s="65" t="s">
        <v>1435</v>
      </c>
      <c r="N270" s="219">
        <v>0</v>
      </c>
      <c r="O270" s="65" t="s">
        <v>55</v>
      </c>
      <c r="P270" s="162" t="s">
        <v>1362</v>
      </c>
      <c r="Q270" s="158"/>
      <c r="R270" s="157"/>
      <c r="S270" s="114"/>
      <c r="T270" s="162" t="s">
        <v>25</v>
      </c>
      <c r="U270" s="65" t="s">
        <v>19</v>
      </c>
      <c r="V270" s="162">
        <v>1055</v>
      </c>
      <c r="W270" s="165"/>
      <c r="X270" s="218" t="s">
        <v>1400</v>
      </c>
      <c r="Y270" s="167">
        <v>44679.650578703702</v>
      </c>
    </row>
    <row r="271" spans="1:25">
      <c r="A271" s="131" t="s">
        <v>100</v>
      </c>
      <c r="B271" s="109" t="s">
        <v>1385</v>
      </c>
      <c r="C271" s="254" t="s">
        <v>1984</v>
      </c>
      <c r="D271" s="162" t="s">
        <v>1985</v>
      </c>
      <c r="E271" s="65"/>
      <c r="F271" s="162" t="s">
        <v>21</v>
      </c>
      <c r="G271" s="65"/>
      <c r="H271" s="218"/>
      <c r="I271" s="65"/>
      <c r="J271" s="218"/>
      <c r="K271" s="108"/>
      <c r="L271" s="275">
        <v>400</v>
      </c>
      <c r="M271" s="65"/>
      <c r="N271" s="219"/>
      <c r="O271" s="65" t="s">
        <v>1285</v>
      </c>
      <c r="P271" s="162"/>
      <c r="Q271" s="158"/>
      <c r="R271" s="157"/>
      <c r="S271" s="114"/>
      <c r="T271" s="162" t="s">
        <v>29</v>
      </c>
      <c r="U271" s="65" t="s">
        <v>20</v>
      </c>
      <c r="V271" s="162" t="s">
        <v>208</v>
      </c>
      <c r="W271" s="165" t="s">
        <v>1986</v>
      </c>
      <c r="X271" s="218"/>
      <c r="Y271" s="167" t="s">
        <v>208</v>
      </c>
    </row>
    <row r="272" spans="1:25">
      <c r="A272" s="131" t="s">
        <v>46</v>
      </c>
      <c r="B272" s="109" t="s">
        <v>1385</v>
      </c>
      <c r="C272" s="254" t="s">
        <v>1987</v>
      </c>
      <c r="D272" s="162" t="s">
        <v>1709</v>
      </c>
      <c r="E272" s="65" t="s">
        <v>1419</v>
      </c>
      <c r="F272" s="162" t="s">
        <v>17</v>
      </c>
      <c r="G272" s="65" t="s">
        <v>208</v>
      </c>
      <c r="H272" s="218">
        <v>15</v>
      </c>
      <c r="I272" s="65"/>
      <c r="J272" s="218">
        <v>2</v>
      </c>
      <c r="K272" s="108"/>
      <c r="L272" s="275">
        <v>30</v>
      </c>
      <c r="M272" s="65" t="s">
        <v>1435</v>
      </c>
      <c r="N272" s="219">
        <v>0</v>
      </c>
      <c r="O272" s="65" t="s">
        <v>1285</v>
      </c>
      <c r="P272" s="162" t="s">
        <v>1407</v>
      </c>
      <c r="Q272" s="158"/>
      <c r="R272" s="157"/>
      <c r="S272" s="114"/>
      <c r="T272" s="162" t="s">
        <v>29</v>
      </c>
      <c r="U272" s="65" t="s">
        <v>17</v>
      </c>
      <c r="V272" s="162">
        <v>1056</v>
      </c>
      <c r="W272" s="165"/>
      <c r="X272" s="218" t="s">
        <v>1400</v>
      </c>
      <c r="Y272" s="167">
        <v>44679.720266203702</v>
      </c>
    </row>
    <row r="273" spans="1:25">
      <c r="A273" s="131" t="s">
        <v>100</v>
      </c>
      <c r="B273" s="109" t="s">
        <v>1385</v>
      </c>
      <c r="C273" s="254" t="s">
        <v>1988</v>
      </c>
      <c r="D273" s="162" t="s">
        <v>1989</v>
      </c>
      <c r="E273" s="65"/>
      <c r="F273" s="162" t="s">
        <v>1388</v>
      </c>
      <c r="G273" s="65"/>
      <c r="H273" s="218"/>
      <c r="I273" s="65"/>
      <c r="J273" s="218"/>
      <c r="K273" s="108"/>
      <c r="L273" s="275">
        <v>270</v>
      </c>
      <c r="M273" s="65">
        <v>270</v>
      </c>
      <c r="N273" s="219"/>
      <c r="O273" s="65" t="s">
        <v>1285</v>
      </c>
      <c r="P273" s="162"/>
      <c r="Q273" s="158"/>
      <c r="R273" s="157"/>
      <c r="S273" s="114"/>
      <c r="T273" s="162" t="s">
        <v>29</v>
      </c>
      <c r="U273" s="65" t="s">
        <v>1388</v>
      </c>
      <c r="V273" s="162" t="s">
        <v>208</v>
      </c>
      <c r="W273" s="165" t="s">
        <v>1990</v>
      </c>
      <c r="X273" s="218"/>
      <c r="Y273" s="167" t="s">
        <v>208</v>
      </c>
    </row>
    <row r="274" spans="1:25">
      <c r="A274" s="131" t="s">
        <v>46</v>
      </c>
      <c r="B274" s="109" t="s">
        <v>1385</v>
      </c>
      <c r="C274" s="254" t="s">
        <v>1991</v>
      </c>
      <c r="D274" s="162" t="s">
        <v>1992</v>
      </c>
      <c r="E274" s="65" t="s">
        <v>1429</v>
      </c>
      <c r="F274" s="162" t="s">
        <v>1388</v>
      </c>
      <c r="G274" s="65" t="s">
        <v>208</v>
      </c>
      <c r="H274" s="218">
        <v>2</v>
      </c>
      <c r="I274" s="65"/>
      <c r="J274" s="218">
        <v>130</v>
      </c>
      <c r="K274" s="108"/>
      <c r="L274" s="275">
        <v>260</v>
      </c>
      <c r="M274" s="65" t="s">
        <v>1993</v>
      </c>
      <c r="N274" s="219">
        <v>0</v>
      </c>
      <c r="O274" s="65" t="s">
        <v>1285</v>
      </c>
      <c r="P274" s="162" t="s">
        <v>1407</v>
      </c>
      <c r="Q274" s="158"/>
      <c r="R274" s="157"/>
      <c r="S274" s="114"/>
      <c r="T274" s="162" t="s">
        <v>29</v>
      </c>
      <c r="U274" s="65" t="s">
        <v>1388</v>
      </c>
      <c r="V274" s="162">
        <v>1983</v>
      </c>
      <c r="W274" s="165"/>
      <c r="X274" s="218" t="s">
        <v>1481</v>
      </c>
      <c r="Y274" s="167">
        <v>44679.644849537035</v>
      </c>
    </row>
    <row r="275" spans="1:25">
      <c r="A275" s="131" t="s">
        <v>46</v>
      </c>
      <c r="B275" s="109" t="s">
        <v>1385</v>
      </c>
      <c r="C275" s="254" t="s">
        <v>1994</v>
      </c>
      <c r="D275" s="162" t="s">
        <v>1995</v>
      </c>
      <c r="E275" s="65"/>
      <c r="F275" s="162" t="s">
        <v>1388</v>
      </c>
      <c r="G275" s="65"/>
      <c r="H275" s="218"/>
      <c r="I275" s="65"/>
      <c r="J275" s="218"/>
      <c r="K275" s="108"/>
      <c r="L275" s="275">
        <v>100</v>
      </c>
      <c r="M275" s="65"/>
      <c r="N275" s="219"/>
      <c r="O275" s="65" t="s">
        <v>1285</v>
      </c>
      <c r="P275" s="162"/>
      <c r="Q275" s="158"/>
      <c r="R275" s="157" t="s">
        <v>208</v>
      </c>
      <c r="S275" s="114"/>
      <c r="T275" s="162" t="s">
        <v>29</v>
      </c>
      <c r="U275" s="65" t="s">
        <v>1388</v>
      </c>
      <c r="V275" s="162" t="s">
        <v>208</v>
      </c>
      <c r="W275" s="165" t="s">
        <v>1996</v>
      </c>
      <c r="X275" s="218"/>
      <c r="Y275" s="167" t="s">
        <v>208</v>
      </c>
    </row>
    <row r="276" spans="1:25">
      <c r="A276" s="131" t="s">
        <v>100</v>
      </c>
      <c r="B276" s="109" t="s">
        <v>1320</v>
      </c>
      <c r="C276" s="254" t="s">
        <v>982</v>
      </c>
      <c r="D276" s="162" t="s">
        <v>1997</v>
      </c>
      <c r="E276" s="65" t="s">
        <v>1419</v>
      </c>
      <c r="F276" s="162" t="s">
        <v>17</v>
      </c>
      <c r="G276" s="65" t="s">
        <v>1998</v>
      </c>
      <c r="H276" s="218">
        <v>6</v>
      </c>
      <c r="I276" s="65"/>
      <c r="J276" s="218">
        <v>3.3</v>
      </c>
      <c r="K276" s="108"/>
      <c r="L276" s="275">
        <v>19.799999999999997</v>
      </c>
      <c r="M276" s="65" t="s">
        <v>1999</v>
      </c>
      <c r="N276" s="219"/>
      <c r="O276" s="65" t="s">
        <v>55</v>
      </c>
      <c r="P276" s="162" t="s">
        <v>1362</v>
      </c>
      <c r="Q276" s="158"/>
      <c r="R276" s="157" t="s">
        <v>1441</v>
      </c>
      <c r="S276" s="114"/>
      <c r="T276" s="162" t="s">
        <v>25</v>
      </c>
      <c r="U276" s="65" t="s">
        <v>17</v>
      </c>
      <c r="V276" s="162">
        <v>1333</v>
      </c>
      <c r="W276" s="165"/>
      <c r="X276" s="218" t="s">
        <v>1363</v>
      </c>
      <c r="Y276" s="167">
        <v>44746.67769675926</v>
      </c>
    </row>
    <row r="277" spans="1:25">
      <c r="A277" s="131" t="s">
        <v>80</v>
      </c>
      <c r="B277" s="109" t="s">
        <v>1320</v>
      </c>
      <c r="C277" s="254" t="s">
        <v>2000</v>
      </c>
      <c r="D277" s="162" t="s">
        <v>525</v>
      </c>
      <c r="E277" s="65" t="s">
        <v>1980</v>
      </c>
      <c r="F277" s="162" t="s">
        <v>1360</v>
      </c>
      <c r="G277" s="65" t="s">
        <v>208</v>
      </c>
      <c r="H277" s="218">
        <v>1</v>
      </c>
      <c r="I277" s="65"/>
      <c r="J277" s="218">
        <v>4.4000000000000004</v>
      </c>
      <c r="K277" s="108"/>
      <c r="L277" s="275">
        <v>4.4000000000000004</v>
      </c>
      <c r="M277" s="65" t="s">
        <v>2001</v>
      </c>
      <c r="N277" s="219"/>
      <c r="O277" s="65" t="s">
        <v>55</v>
      </c>
      <c r="P277" s="162" t="s">
        <v>1362</v>
      </c>
      <c r="Q277" s="158"/>
      <c r="R277" s="157"/>
      <c r="S277" s="114"/>
      <c r="T277" s="162" t="s">
        <v>25</v>
      </c>
      <c r="U277" s="65" t="s">
        <v>13</v>
      </c>
      <c r="V277" s="162">
        <v>1542</v>
      </c>
      <c r="W277" s="165"/>
      <c r="X277" s="218" t="s">
        <v>1400</v>
      </c>
      <c r="Y277" s="167">
        <v>43769.416655092595</v>
      </c>
    </row>
    <row r="278" spans="1:25">
      <c r="A278" s="131" t="s">
        <v>62</v>
      </c>
      <c r="B278" s="109" t="s">
        <v>1320</v>
      </c>
      <c r="C278" s="254" t="s">
        <v>476</v>
      </c>
      <c r="D278" s="162" t="s">
        <v>477</v>
      </c>
      <c r="E278" s="65" t="s">
        <v>1419</v>
      </c>
      <c r="F278" s="162" t="s">
        <v>17</v>
      </c>
      <c r="G278" s="65" t="s">
        <v>478</v>
      </c>
      <c r="H278" s="218">
        <v>32</v>
      </c>
      <c r="I278" s="65"/>
      <c r="J278" s="218">
        <v>3.83</v>
      </c>
      <c r="K278" s="108"/>
      <c r="L278" s="275">
        <v>122.56</v>
      </c>
      <c r="M278" s="65" t="s">
        <v>2002</v>
      </c>
      <c r="N278" s="219"/>
      <c r="O278" s="65" t="s">
        <v>131</v>
      </c>
      <c r="P278" s="162" t="s">
        <v>1407</v>
      </c>
      <c r="Q278" s="158" t="s">
        <v>2003</v>
      </c>
      <c r="R278" s="157" t="s">
        <v>1558</v>
      </c>
      <c r="S278" s="114"/>
      <c r="T278" s="162" t="s">
        <v>25</v>
      </c>
      <c r="U278" s="65" t="s">
        <v>17</v>
      </c>
      <c r="V278" s="162">
        <v>1057</v>
      </c>
      <c r="W278" s="165"/>
      <c r="X278" s="218" t="s">
        <v>1363</v>
      </c>
      <c r="Y278" s="167">
        <v>44670.584131944444</v>
      </c>
    </row>
    <row r="279" spans="1:25">
      <c r="A279" s="131" t="s">
        <v>62</v>
      </c>
      <c r="B279" s="109" t="s">
        <v>1320</v>
      </c>
      <c r="C279" s="254" t="s">
        <v>476</v>
      </c>
      <c r="D279" s="162" t="s">
        <v>477</v>
      </c>
      <c r="E279" s="65" t="s">
        <v>1419</v>
      </c>
      <c r="F279" s="162" t="s">
        <v>17</v>
      </c>
      <c r="G279" s="65" t="s">
        <v>478</v>
      </c>
      <c r="H279" s="218">
        <v>91</v>
      </c>
      <c r="I279" s="65"/>
      <c r="J279" s="218">
        <v>3.63</v>
      </c>
      <c r="K279" s="108"/>
      <c r="L279" s="275">
        <v>330.33</v>
      </c>
      <c r="M279" s="65" t="s">
        <v>2004</v>
      </c>
      <c r="N279" s="219"/>
      <c r="O279" s="65" t="s">
        <v>131</v>
      </c>
      <c r="P279" s="162" t="s">
        <v>1407</v>
      </c>
      <c r="Q279" s="158" t="s">
        <v>2003</v>
      </c>
      <c r="R279" s="157" t="s">
        <v>1558</v>
      </c>
      <c r="S279" s="114"/>
      <c r="T279" s="162" t="s">
        <v>25</v>
      </c>
      <c r="U279" s="65" t="s">
        <v>17</v>
      </c>
      <c r="V279" s="162">
        <v>1057</v>
      </c>
      <c r="W279" s="165"/>
      <c r="X279" s="218" t="s">
        <v>1363</v>
      </c>
      <c r="Y279" s="167">
        <v>44670.584131944444</v>
      </c>
    </row>
    <row r="280" spans="1:25">
      <c r="A280" s="131" t="s">
        <v>46</v>
      </c>
      <c r="B280" s="109" t="s">
        <v>1320</v>
      </c>
      <c r="C280" s="254" t="s">
        <v>2005</v>
      </c>
      <c r="D280" s="162" t="s">
        <v>525</v>
      </c>
      <c r="E280" s="65" t="s">
        <v>1539</v>
      </c>
      <c r="F280" s="162" t="s">
        <v>18</v>
      </c>
      <c r="G280" s="65" t="s">
        <v>2006</v>
      </c>
      <c r="H280" s="218">
        <v>1</v>
      </c>
      <c r="I280" s="65"/>
      <c r="J280" s="218">
        <v>20</v>
      </c>
      <c r="K280" s="108"/>
      <c r="L280" s="275">
        <v>20</v>
      </c>
      <c r="M280" s="65" t="s">
        <v>1433</v>
      </c>
      <c r="N280" s="219"/>
      <c r="O280" s="65" t="s">
        <v>55</v>
      </c>
      <c r="P280" s="162" t="s">
        <v>1362</v>
      </c>
      <c r="Q280" s="158"/>
      <c r="R280" s="157"/>
      <c r="S280" s="114"/>
      <c r="T280" s="162" t="s">
        <v>25</v>
      </c>
      <c r="U280" s="65" t="s">
        <v>18</v>
      </c>
      <c r="V280" s="162">
        <v>1058</v>
      </c>
      <c r="W280" s="165"/>
      <c r="X280" s="218" t="s">
        <v>1363</v>
      </c>
      <c r="Y280" s="167">
        <v>44665.6484837963</v>
      </c>
    </row>
    <row r="281" spans="1:25">
      <c r="A281" s="131" t="s">
        <v>46</v>
      </c>
      <c r="B281" s="109" t="s">
        <v>1385</v>
      </c>
      <c r="C281" s="254" t="s">
        <v>2007</v>
      </c>
      <c r="D281" s="162" t="s">
        <v>2008</v>
      </c>
      <c r="E281" s="65" t="s">
        <v>1419</v>
      </c>
      <c r="F281" s="162" t="s">
        <v>17</v>
      </c>
      <c r="G281" s="65" t="s">
        <v>208</v>
      </c>
      <c r="H281" s="218">
        <v>1</v>
      </c>
      <c r="I281" s="65"/>
      <c r="J281" s="218">
        <v>285</v>
      </c>
      <c r="K281" s="108"/>
      <c r="L281" s="275">
        <v>285</v>
      </c>
      <c r="M281" s="65" t="s">
        <v>2009</v>
      </c>
      <c r="N281" s="219">
        <v>0</v>
      </c>
      <c r="O281" s="65" t="s">
        <v>1285</v>
      </c>
      <c r="P281" s="162" t="s">
        <v>1407</v>
      </c>
      <c r="Q281" s="158"/>
      <c r="R281" s="157"/>
      <c r="S281" s="114"/>
      <c r="T281" s="162" t="s">
        <v>29</v>
      </c>
      <c r="U281" s="65" t="s">
        <v>17</v>
      </c>
      <c r="V281" s="162">
        <v>1581</v>
      </c>
      <c r="W281" s="165" t="s">
        <v>3930</v>
      </c>
      <c r="X281" s="218" t="s">
        <v>1395</v>
      </c>
      <c r="Y281" s="167">
        <v>44679.715555555558</v>
      </c>
    </row>
    <row r="282" spans="1:25">
      <c r="A282" s="131" t="s">
        <v>100</v>
      </c>
      <c r="B282" s="109" t="s">
        <v>1320</v>
      </c>
      <c r="C282" s="254" t="s">
        <v>2010</v>
      </c>
      <c r="D282" s="162" t="s">
        <v>1631</v>
      </c>
      <c r="E282" s="65" t="s">
        <v>1359</v>
      </c>
      <c r="F282" s="162" t="s">
        <v>1422</v>
      </c>
      <c r="G282" s="65" t="s">
        <v>2011</v>
      </c>
      <c r="H282" s="218">
        <v>1</v>
      </c>
      <c r="I282" s="65"/>
      <c r="J282" s="218">
        <v>1</v>
      </c>
      <c r="K282" s="108"/>
      <c r="L282" s="275">
        <v>1</v>
      </c>
      <c r="M282" s="65" t="s">
        <v>1366</v>
      </c>
      <c r="N282" s="219"/>
      <c r="O282" s="65" t="s">
        <v>55</v>
      </c>
      <c r="P282" s="162" t="s">
        <v>1362</v>
      </c>
      <c r="Q282" s="158"/>
      <c r="R282" s="157" t="s">
        <v>1751</v>
      </c>
      <c r="S282" s="114"/>
      <c r="T282" s="162" t="s">
        <v>25</v>
      </c>
      <c r="U282" s="65" t="s">
        <v>19</v>
      </c>
      <c r="V282" s="162">
        <v>1292</v>
      </c>
      <c r="W282" s="165"/>
      <c r="X282" s="218" t="s">
        <v>1363</v>
      </c>
      <c r="Y282" s="167">
        <v>44671.364791666667</v>
      </c>
    </row>
    <row r="283" spans="1:25">
      <c r="A283" s="131" t="s">
        <v>46</v>
      </c>
      <c r="B283" s="109" t="s">
        <v>1320</v>
      </c>
      <c r="C283" s="254" t="s">
        <v>277</v>
      </c>
      <c r="D283" s="162" t="s">
        <v>278</v>
      </c>
      <c r="E283" s="65" t="s">
        <v>1429</v>
      </c>
      <c r="F283" s="162" t="s">
        <v>1388</v>
      </c>
      <c r="G283" s="65" t="s">
        <v>279</v>
      </c>
      <c r="H283" s="218">
        <v>22</v>
      </c>
      <c r="I283" s="65"/>
      <c r="J283" s="218">
        <v>1.6359999999999999</v>
      </c>
      <c r="K283" s="108"/>
      <c r="L283" s="275">
        <v>35.991999999999997</v>
      </c>
      <c r="M283" s="65" t="s">
        <v>2012</v>
      </c>
      <c r="N283" s="219"/>
      <c r="O283" s="65" t="s">
        <v>27</v>
      </c>
      <c r="P283" s="162" t="s">
        <v>1407</v>
      </c>
      <c r="Q283" s="158" t="s">
        <v>1395</v>
      </c>
      <c r="R283" s="157" t="s">
        <v>1744</v>
      </c>
      <c r="S283" s="114"/>
      <c r="T283" s="162" t="s">
        <v>25</v>
      </c>
      <c r="U283" s="65" t="s">
        <v>1388</v>
      </c>
      <c r="V283" s="162">
        <v>1520</v>
      </c>
      <c r="W283" s="165"/>
      <c r="X283" s="218" t="s">
        <v>1481</v>
      </c>
      <c r="Y283" s="167">
        <v>44671.470833333333</v>
      </c>
    </row>
    <row r="284" spans="1:25">
      <c r="A284" s="131" t="s">
        <v>100</v>
      </c>
      <c r="B284" s="109" t="s">
        <v>1385</v>
      </c>
      <c r="C284" s="254" t="s">
        <v>2013</v>
      </c>
      <c r="D284" s="162" t="s">
        <v>2014</v>
      </c>
      <c r="E284" s="65"/>
      <c r="F284" s="162" t="s">
        <v>21</v>
      </c>
      <c r="G284" s="65"/>
      <c r="H284" s="218"/>
      <c r="I284" s="65"/>
      <c r="J284" s="218"/>
      <c r="K284" s="108"/>
      <c r="L284" s="275">
        <v>150</v>
      </c>
      <c r="M284" s="65"/>
      <c r="N284" s="219"/>
      <c r="O284" s="65" t="s">
        <v>1285</v>
      </c>
      <c r="P284" s="162"/>
      <c r="Q284" s="158"/>
      <c r="R284" s="157" t="s">
        <v>208</v>
      </c>
      <c r="S284" s="114"/>
      <c r="T284" s="162" t="s">
        <v>29</v>
      </c>
      <c r="U284" s="65" t="s">
        <v>20</v>
      </c>
      <c r="V284" s="162" t="s">
        <v>208</v>
      </c>
      <c r="W284" s="165" t="s">
        <v>2015</v>
      </c>
      <c r="X284" s="218"/>
      <c r="Y284" s="167" t="s">
        <v>208</v>
      </c>
    </row>
    <row r="285" spans="1:25">
      <c r="A285" s="131" t="s">
        <v>100</v>
      </c>
      <c r="B285" s="109" t="s">
        <v>1385</v>
      </c>
      <c r="C285" s="254" t="s">
        <v>2016</v>
      </c>
      <c r="D285" s="162" t="s">
        <v>2017</v>
      </c>
      <c r="E285" s="65"/>
      <c r="F285" s="162" t="s">
        <v>21</v>
      </c>
      <c r="G285" s="65"/>
      <c r="H285" s="218"/>
      <c r="I285" s="65"/>
      <c r="J285" s="218"/>
      <c r="K285" s="108"/>
      <c r="L285" s="275">
        <v>240</v>
      </c>
      <c r="M285" s="65"/>
      <c r="N285" s="219"/>
      <c r="O285" s="65" t="s">
        <v>1285</v>
      </c>
      <c r="P285" s="162"/>
      <c r="Q285" s="158"/>
      <c r="R285" s="157" t="s">
        <v>208</v>
      </c>
      <c r="S285" s="114"/>
      <c r="T285" s="162" t="s">
        <v>29</v>
      </c>
      <c r="U285" s="65" t="s">
        <v>20</v>
      </c>
      <c r="V285" s="162" t="s">
        <v>208</v>
      </c>
      <c r="W285" s="165" t="s">
        <v>2018</v>
      </c>
      <c r="X285" s="218"/>
      <c r="Y285" s="167" t="s">
        <v>208</v>
      </c>
    </row>
    <row r="286" spans="1:25">
      <c r="A286" s="131" t="s">
        <v>46</v>
      </c>
      <c r="B286" s="109" t="s">
        <v>1320</v>
      </c>
      <c r="C286" s="254" t="s">
        <v>2019</v>
      </c>
      <c r="D286" s="162" t="s">
        <v>1653</v>
      </c>
      <c r="E286" s="65" t="s">
        <v>1419</v>
      </c>
      <c r="F286" s="162" t="s">
        <v>17</v>
      </c>
      <c r="G286" s="65" t="s">
        <v>208</v>
      </c>
      <c r="H286" s="218">
        <v>8</v>
      </c>
      <c r="I286" s="65"/>
      <c r="J286" s="218">
        <v>0.6</v>
      </c>
      <c r="K286" s="108"/>
      <c r="L286" s="275">
        <v>4.8</v>
      </c>
      <c r="M286" s="65" t="s">
        <v>1919</v>
      </c>
      <c r="N286" s="219"/>
      <c r="O286" s="65" t="s">
        <v>55</v>
      </c>
      <c r="P286" s="162" t="s">
        <v>1362</v>
      </c>
      <c r="Q286" s="158"/>
      <c r="R286" s="157" t="s">
        <v>1820</v>
      </c>
      <c r="S286" s="114"/>
      <c r="T286" s="162" t="s">
        <v>25</v>
      </c>
      <c r="U286" s="65" t="s">
        <v>17</v>
      </c>
      <c r="V286" s="162">
        <v>1060</v>
      </c>
      <c r="W286" s="165"/>
      <c r="X286" s="218" t="s">
        <v>1363</v>
      </c>
      <c r="Y286" s="167">
        <v>44670.585046296299</v>
      </c>
    </row>
    <row r="287" spans="1:25">
      <c r="A287" s="131" t="s">
        <v>46</v>
      </c>
      <c r="B287" s="109" t="s">
        <v>1320</v>
      </c>
      <c r="C287" s="254" t="s">
        <v>540</v>
      </c>
      <c r="D287" s="162" t="s">
        <v>541</v>
      </c>
      <c r="E287" s="65" t="s">
        <v>1419</v>
      </c>
      <c r="F287" s="162" t="s">
        <v>17</v>
      </c>
      <c r="G287" s="65" t="s">
        <v>2020</v>
      </c>
      <c r="H287" s="218">
        <v>28</v>
      </c>
      <c r="I287" s="65"/>
      <c r="J287" s="218">
        <v>3.43</v>
      </c>
      <c r="K287" s="108"/>
      <c r="L287" s="275">
        <v>96.04</v>
      </c>
      <c r="M287" s="65" t="s">
        <v>2021</v>
      </c>
      <c r="N287" s="219"/>
      <c r="O287" s="65" t="s">
        <v>55</v>
      </c>
      <c r="P287" s="162" t="s">
        <v>1407</v>
      </c>
      <c r="Q287" s="158"/>
      <c r="R287" s="157" t="s">
        <v>1769</v>
      </c>
      <c r="S287" s="114"/>
      <c r="T287" s="162" t="s">
        <v>25</v>
      </c>
      <c r="U287" s="65" t="s">
        <v>17</v>
      </c>
      <c r="V287" s="162">
        <v>1061</v>
      </c>
      <c r="W287" s="165"/>
      <c r="X287" s="218" t="s">
        <v>1453</v>
      </c>
      <c r="Y287" s="167">
        <v>44742.559953703705</v>
      </c>
    </row>
    <row r="288" spans="1:25">
      <c r="A288" s="131" t="s">
        <v>46</v>
      </c>
      <c r="B288" s="109" t="s">
        <v>1385</v>
      </c>
      <c r="C288" s="254" t="s">
        <v>2022</v>
      </c>
      <c r="D288" s="162" t="s">
        <v>2023</v>
      </c>
      <c r="E288" s="65" t="s">
        <v>1419</v>
      </c>
      <c r="F288" s="162" t="s">
        <v>17</v>
      </c>
      <c r="G288" s="65" t="s">
        <v>208</v>
      </c>
      <c r="H288" s="218">
        <v>23</v>
      </c>
      <c r="I288" s="65"/>
      <c r="J288" s="218">
        <v>3.83</v>
      </c>
      <c r="K288" s="108"/>
      <c r="L288" s="275">
        <v>88.09</v>
      </c>
      <c r="M288" s="65" t="s">
        <v>2024</v>
      </c>
      <c r="N288" s="219">
        <v>0</v>
      </c>
      <c r="O288" s="65" t="s">
        <v>1285</v>
      </c>
      <c r="P288" s="162" t="s">
        <v>1407</v>
      </c>
      <c r="Q288" s="158"/>
      <c r="R288" s="157"/>
      <c r="S288" s="114"/>
      <c r="T288" s="162" t="s">
        <v>29</v>
      </c>
      <c r="U288" s="65" t="s">
        <v>17</v>
      </c>
      <c r="V288" s="162">
        <v>1062</v>
      </c>
      <c r="W288" s="165" t="s">
        <v>3973</v>
      </c>
      <c r="X288" s="218" t="s">
        <v>1400</v>
      </c>
      <c r="Y288" s="167">
        <v>44679.716944444444</v>
      </c>
    </row>
    <row r="289" spans="1:25">
      <c r="A289" s="131" t="s">
        <v>62</v>
      </c>
      <c r="B289" s="109" t="s">
        <v>1385</v>
      </c>
      <c r="C289" s="254" t="s">
        <v>2025</v>
      </c>
      <c r="D289" s="162" t="s">
        <v>2026</v>
      </c>
      <c r="E289" s="65"/>
      <c r="F289" s="162" t="s">
        <v>1388</v>
      </c>
      <c r="G289" s="65"/>
      <c r="H289" s="218"/>
      <c r="I289" s="65"/>
      <c r="J289" s="218"/>
      <c r="K289" s="108"/>
      <c r="L289" s="275">
        <v>650</v>
      </c>
      <c r="M289" s="65"/>
      <c r="N289" s="219"/>
      <c r="O289" s="65" t="s">
        <v>1285</v>
      </c>
      <c r="P289" s="162"/>
      <c r="Q289" s="158"/>
      <c r="R289" s="157" t="s">
        <v>208</v>
      </c>
      <c r="S289" s="114"/>
      <c r="T289" s="162" t="s">
        <v>29</v>
      </c>
      <c r="U289" s="65" t="s">
        <v>1388</v>
      </c>
      <c r="V289" s="162" t="s">
        <v>208</v>
      </c>
      <c r="W289" s="165" t="s">
        <v>2027</v>
      </c>
      <c r="X289" s="218"/>
      <c r="Y289" s="167" t="s">
        <v>208</v>
      </c>
    </row>
    <row r="290" spans="1:25">
      <c r="A290" s="131" t="s">
        <v>100</v>
      </c>
      <c r="B290" s="109" t="s">
        <v>1320</v>
      </c>
      <c r="C290" s="254" t="s">
        <v>422</v>
      </c>
      <c r="D290" s="162" t="s">
        <v>423</v>
      </c>
      <c r="E290" s="65" t="s">
        <v>1419</v>
      </c>
      <c r="F290" s="162" t="s">
        <v>17</v>
      </c>
      <c r="G290" s="65" t="s">
        <v>424</v>
      </c>
      <c r="H290" s="218">
        <v>39</v>
      </c>
      <c r="I290" s="65"/>
      <c r="J290" s="218">
        <v>2.0499999999999998</v>
      </c>
      <c r="K290" s="108"/>
      <c r="L290" s="275">
        <v>79.949999999999989</v>
      </c>
      <c r="M290" s="65" t="s">
        <v>2028</v>
      </c>
      <c r="N290" s="219"/>
      <c r="O290" s="65" t="s">
        <v>55</v>
      </c>
      <c r="P290" s="162" t="s">
        <v>1407</v>
      </c>
      <c r="Q290" s="158"/>
      <c r="R290" s="157"/>
      <c r="S290" s="114"/>
      <c r="T290" s="162" t="s">
        <v>25</v>
      </c>
      <c r="U290" s="65" t="s">
        <v>17</v>
      </c>
      <c r="V290" s="162">
        <v>1566</v>
      </c>
      <c r="W290" s="165"/>
      <c r="X290" s="218" t="s">
        <v>1453</v>
      </c>
      <c r="Y290" s="167">
        <v>44743.637997685182</v>
      </c>
    </row>
    <row r="291" spans="1:25">
      <c r="A291" s="131" t="s">
        <v>100</v>
      </c>
      <c r="B291" s="109" t="s">
        <v>1320</v>
      </c>
      <c r="C291" s="254" t="s">
        <v>2029</v>
      </c>
      <c r="D291" s="162" t="s">
        <v>2030</v>
      </c>
      <c r="E291" s="65" t="s">
        <v>1359</v>
      </c>
      <c r="F291" s="162" t="s">
        <v>1360</v>
      </c>
      <c r="G291" s="65" t="s">
        <v>208</v>
      </c>
      <c r="H291" s="218">
        <v>6</v>
      </c>
      <c r="I291" s="65"/>
      <c r="J291" s="218">
        <v>0.93</v>
      </c>
      <c r="K291" s="108"/>
      <c r="L291" s="275">
        <v>5.58</v>
      </c>
      <c r="M291" s="65" t="s">
        <v>2031</v>
      </c>
      <c r="N291" s="219"/>
      <c r="O291" s="65" t="s">
        <v>55</v>
      </c>
      <c r="P291" s="162" t="s">
        <v>1362</v>
      </c>
      <c r="Q291" s="158"/>
      <c r="R291" s="157"/>
      <c r="S291" s="114"/>
      <c r="T291" s="162" t="s">
        <v>25</v>
      </c>
      <c r="U291" s="65" t="s">
        <v>15</v>
      </c>
      <c r="V291" s="162">
        <v>1354</v>
      </c>
      <c r="W291" s="165"/>
      <c r="X291" s="218" t="s">
        <v>208</v>
      </c>
      <c r="Y291" s="167">
        <v>43769.416655092595</v>
      </c>
    </row>
    <row r="292" spans="1:25">
      <c r="A292" s="131" t="s">
        <v>46</v>
      </c>
      <c r="B292" s="109" t="s">
        <v>1320</v>
      </c>
      <c r="C292" s="254" t="s">
        <v>164</v>
      </c>
      <c r="D292" s="162" t="s">
        <v>165</v>
      </c>
      <c r="E292" s="65" t="s">
        <v>1419</v>
      </c>
      <c r="F292" s="162" t="s">
        <v>17</v>
      </c>
      <c r="G292" s="65" t="s">
        <v>166</v>
      </c>
      <c r="H292" s="218">
        <v>37</v>
      </c>
      <c r="I292" s="65"/>
      <c r="J292" s="218">
        <v>3.83</v>
      </c>
      <c r="K292" s="108"/>
      <c r="L292" s="275">
        <v>141.71</v>
      </c>
      <c r="M292" s="65" t="s">
        <v>2032</v>
      </c>
      <c r="N292" s="219"/>
      <c r="O292" s="65" t="s">
        <v>131</v>
      </c>
      <c r="P292" s="162" t="s">
        <v>1407</v>
      </c>
      <c r="Q292" s="158" t="s">
        <v>1453</v>
      </c>
      <c r="R292" s="157" t="s">
        <v>1405</v>
      </c>
      <c r="S292" s="114"/>
      <c r="T292" s="162" t="s">
        <v>25</v>
      </c>
      <c r="U292" s="65" t="s">
        <v>17</v>
      </c>
      <c r="V292" s="162">
        <v>1281</v>
      </c>
      <c r="W292" s="165"/>
      <c r="X292" s="218" t="s">
        <v>1363</v>
      </c>
      <c r="Y292" s="167">
        <v>44746.445509259262</v>
      </c>
    </row>
    <row r="293" spans="1:25">
      <c r="A293" s="131" t="s">
        <v>80</v>
      </c>
      <c r="B293" s="109" t="s">
        <v>1385</v>
      </c>
      <c r="C293" s="254" t="s">
        <v>2033</v>
      </c>
      <c r="D293" s="162" t="s">
        <v>1676</v>
      </c>
      <c r="E293" s="65" t="s">
        <v>1391</v>
      </c>
      <c r="F293" s="162" t="s">
        <v>21</v>
      </c>
      <c r="G293" s="65" t="s">
        <v>208</v>
      </c>
      <c r="H293" s="218">
        <v>1</v>
      </c>
      <c r="I293" s="65"/>
      <c r="J293" s="218">
        <v>130</v>
      </c>
      <c r="K293" s="108"/>
      <c r="L293" s="275">
        <v>130</v>
      </c>
      <c r="M293" s="65" t="s">
        <v>2034</v>
      </c>
      <c r="N293" s="219">
        <v>400</v>
      </c>
      <c r="O293" s="65" t="s">
        <v>1285</v>
      </c>
      <c r="P293" s="162" t="s">
        <v>1403</v>
      </c>
      <c r="Q293" s="158"/>
      <c r="R293" s="157"/>
      <c r="S293" s="114"/>
      <c r="T293" s="162" t="s">
        <v>29</v>
      </c>
      <c r="U293" s="65" t="s">
        <v>20</v>
      </c>
      <c r="V293" s="162">
        <v>1953</v>
      </c>
      <c r="W293" s="165" t="s">
        <v>3946</v>
      </c>
      <c r="X293" s="218" t="s">
        <v>1481</v>
      </c>
      <c r="Y293" s="167">
        <v>44679.642939814818</v>
      </c>
    </row>
    <row r="294" spans="1:25">
      <c r="A294" s="131" t="s">
        <v>80</v>
      </c>
      <c r="B294" s="109" t="s">
        <v>1385</v>
      </c>
      <c r="C294" s="160" t="s">
        <v>2035</v>
      </c>
      <c r="D294" s="162" t="s">
        <v>1676</v>
      </c>
      <c r="E294" s="65" t="s">
        <v>1398</v>
      </c>
      <c r="F294" s="162" t="s">
        <v>1388</v>
      </c>
      <c r="G294" s="65" t="s">
        <v>208</v>
      </c>
      <c r="H294" s="218">
        <v>1</v>
      </c>
      <c r="I294" s="65">
        <v>100</v>
      </c>
      <c r="J294" s="218">
        <v>150</v>
      </c>
      <c r="K294" s="108">
        <v>100</v>
      </c>
      <c r="L294" s="275">
        <v>150</v>
      </c>
      <c r="M294" s="65" t="s">
        <v>2036</v>
      </c>
      <c r="N294" s="219"/>
      <c r="O294" s="65" t="s">
        <v>1285</v>
      </c>
      <c r="P294" s="162" t="s">
        <v>1407</v>
      </c>
      <c r="Q294" s="158"/>
      <c r="R294" s="157"/>
      <c r="S294" s="114"/>
      <c r="T294" s="162" t="s">
        <v>29</v>
      </c>
      <c r="U294" s="65" t="s">
        <v>1388</v>
      </c>
      <c r="V294" s="162">
        <v>1684</v>
      </c>
      <c r="W294" s="165" t="s">
        <v>3946</v>
      </c>
      <c r="X294" s="218" t="s">
        <v>1400</v>
      </c>
      <c r="Y294" s="167">
        <v>43769.416655092595</v>
      </c>
    </row>
    <row r="295" spans="1:25">
      <c r="A295" s="131" t="s">
        <v>80</v>
      </c>
      <c r="B295" s="109" t="s">
        <v>1385</v>
      </c>
      <c r="C295" s="255" t="s">
        <v>2037</v>
      </c>
      <c r="D295" s="162" t="s">
        <v>1676</v>
      </c>
      <c r="E295" s="65" t="s">
        <v>1419</v>
      </c>
      <c r="F295" s="162" t="s">
        <v>17</v>
      </c>
      <c r="G295" s="65" t="s">
        <v>208</v>
      </c>
      <c r="H295" s="218">
        <v>1</v>
      </c>
      <c r="I295" s="65">
        <v>100</v>
      </c>
      <c r="J295" s="218">
        <v>125</v>
      </c>
      <c r="K295" s="108">
        <v>100</v>
      </c>
      <c r="L295" s="275">
        <v>125</v>
      </c>
      <c r="M295" s="65" t="s">
        <v>2038</v>
      </c>
      <c r="N295" s="219"/>
      <c r="O295" s="65" t="s">
        <v>1285</v>
      </c>
      <c r="P295" s="162" t="s">
        <v>1407</v>
      </c>
      <c r="Q295" s="158"/>
      <c r="R295" s="157"/>
      <c r="S295" s="114"/>
      <c r="T295" s="162" t="s">
        <v>29</v>
      </c>
      <c r="U295" s="65" t="s">
        <v>17</v>
      </c>
      <c r="V295" s="162">
        <v>1685</v>
      </c>
      <c r="W295" s="165" t="s">
        <v>3946</v>
      </c>
      <c r="X295" s="218" t="s">
        <v>1400</v>
      </c>
      <c r="Y295" s="167">
        <v>43769.416655092595</v>
      </c>
    </row>
    <row r="296" spans="1:25">
      <c r="A296" s="131" t="s">
        <v>46</v>
      </c>
      <c r="B296" s="109" t="s">
        <v>1320</v>
      </c>
      <c r="C296" s="255" t="s">
        <v>2039</v>
      </c>
      <c r="D296" s="162" t="s">
        <v>2040</v>
      </c>
      <c r="E296" s="65" t="s">
        <v>1419</v>
      </c>
      <c r="F296" s="162" t="s">
        <v>17</v>
      </c>
      <c r="G296" s="65" t="s">
        <v>2041</v>
      </c>
      <c r="H296" s="218">
        <v>15</v>
      </c>
      <c r="I296" s="65"/>
      <c r="J296" s="218">
        <v>2</v>
      </c>
      <c r="K296" s="108"/>
      <c r="L296" s="275">
        <v>30</v>
      </c>
      <c r="M296" s="65" t="s">
        <v>1435</v>
      </c>
      <c r="N296" s="219"/>
      <c r="O296" s="65" t="s">
        <v>55</v>
      </c>
      <c r="P296" s="162" t="s">
        <v>1362</v>
      </c>
      <c r="Q296" s="158"/>
      <c r="R296" s="157" t="s">
        <v>1959</v>
      </c>
      <c r="S296" s="114"/>
      <c r="T296" s="162" t="s">
        <v>25</v>
      </c>
      <c r="U296" s="65" t="s">
        <v>17</v>
      </c>
      <c r="V296" s="162">
        <v>1064</v>
      </c>
      <c r="W296" s="165"/>
      <c r="X296" s="218" t="s">
        <v>1363</v>
      </c>
      <c r="Y296" s="167">
        <v>44665.650856481479</v>
      </c>
    </row>
    <row r="297" spans="1:25">
      <c r="A297" s="131" t="s">
        <v>80</v>
      </c>
      <c r="B297" s="109" t="s">
        <v>1385</v>
      </c>
      <c r="C297" s="255" t="s">
        <v>2042</v>
      </c>
      <c r="D297" s="162" t="s">
        <v>2043</v>
      </c>
      <c r="E297" s="65" t="s">
        <v>1429</v>
      </c>
      <c r="F297" s="162" t="s">
        <v>1388</v>
      </c>
      <c r="G297" s="65" t="s">
        <v>208</v>
      </c>
      <c r="H297" s="218">
        <v>104</v>
      </c>
      <c r="I297" s="65"/>
      <c r="J297" s="218">
        <v>3.4369999999999998</v>
      </c>
      <c r="K297" s="108"/>
      <c r="L297" s="275">
        <v>357.44799999999998</v>
      </c>
      <c r="M297" s="65" t="s">
        <v>2044</v>
      </c>
      <c r="N297" s="219"/>
      <c r="O297" s="65" t="s">
        <v>1285</v>
      </c>
      <c r="P297" s="162" t="s">
        <v>1407</v>
      </c>
      <c r="Q297" s="158" t="s">
        <v>2045</v>
      </c>
      <c r="R297" s="157" t="s">
        <v>1832</v>
      </c>
      <c r="S297" s="114"/>
      <c r="T297" s="162" t="s">
        <v>29</v>
      </c>
      <c r="U297" s="65" t="s">
        <v>1388</v>
      </c>
      <c r="V297" s="162">
        <v>1886</v>
      </c>
      <c r="W297" s="165"/>
      <c r="X297" s="225" t="s">
        <v>1453</v>
      </c>
      <c r="Y297" s="167">
        <v>44699.381076388891</v>
      </c>
    </row>
    <row r="298" spans="1:25">
      <c r="A298" s="131" t="s">
        <v>46</v>
      </c>
      <c r="B298" s="109" t="s">
        <v>1385</v>
      </c>
      <c r="C298" s="255" t="s">
        <v>2046</v>
      </c>
      <c r="D298" s="162" t="s">
        <v>2047</v>
      </c>
      <c r="E298" s="65" t="s">
        <v>1398</v>
      </c>
      <c r="F298" s="162" t="s">
        <v>1388</v>
      </c>
      <c r="G298" s="65" t="s">
        <v>208</v>
      </c>
      <c r="H298" s="218">
        <v>195</v>
      </c>
      <c r="I298" s="65"/>
      <c r="J298" s="218">
        <v>1</v>
      </c>
      <c r="K298" s="108"/>
      <c r="L298" s="275">
        <v>195</v>
      </c>
      <c r="M298" s="65" t="s">
        <v>2048</v>
      </c>
      <c r="N298" s="219"/>
      <c r="O298" s="65" t="s">
        <v>1285</v>
      </c>
      <c r="P298" s="162" t="s">
        <v>1407</v>
      </c>
      <c r="Q298" s="158"/>
      <c r="R298" s="157"/>
      <c r="S298" s="114"/>
      <c r="T298" s="162" t="s">
        <v>29</v>
      </c>
      <c r="U298" s="65" t="s">
        <v>1388</v>
      </c>
      <c r="V298" s="162">
        <v>1622</v>
      </c>
      <c r="W298" s="165"/>
      <c r="X298" s="218" t="s">
        <v>1400</v>
      </c>
      <c r="Y298" s="167">
        <v>43769.416655092595</v>
      </c>
    </row>
    <row r="299" spans="1:25">
      <c r="A299" s="131" t="s">
        <v>62</v>
      </c>
      <c r="B299" s="109" t="s">
        <v>1320</v>
      </c>
      <c r="C299" s="255" t="s">
        <v>1091</v>
      </c>
      <c r="D299" s="162" t="s">
        <v>2049</v>
      </c>
      <c r="E299" s="65" t="s">
        <v>1365</v>
      </c>
      <c r="F299" s="162" t="s">
        <v>1722</v>
      </c>
      <c r="G299" s="65" t="s">
        <v>208</v>
      </c>
      <c r="H299" s="218">
        <v>11</v>
      </c>
      <c r="I299" s="65"/>
      <c r="J299" s="218">
        <v>3.0129999999999999</v>
      </c>
      <c r="K299" s="108"/>
      <c r="L299" s="275">
        <v>33.143000000000001</v>
      </c>
      <c r="M299" s="65" t="s">
        <v>2050</v>
      </c>
      <c r="N299" s="219"/>
      <c r="O299" s="65" t="s">
        <v>303</v>
      </c>
      <c r="P299" s="162" t="s">
        <v>1362</v>
      </c>
      <c r="Q299" s="158"/>
      <c r="R299" s="157"/>
      <c r="S299" s="114"/>
      <c r="T299" s="162" t="s">
        <v>30</v>
      </c>
      <c r="U299" s="65" t="s">
        <v>15</v>
      </c>
      <c r="V299" s="162">
        <v>1248</v>
      </c>
      <c r="W299" s="165"/>
      <c r="X299" s="218" t="s">
        <v>1363</v>
      </c>
      <c r="Y299" s="167">
        <v>44671.348819444444</v>
      </c>
    </row>
    <row r="300" spans="1:25">
      <c r="A300" s="131" t="s">
        <v>62</v>
      </c>
      <c r="B300" s="109" t="s">
        <v>1385</v>
      </c>
      <c r="C300" s="255" t="s">
        <v>2051</v>
      </c>
      <c r="D300" s="162" t="s">
        <v>1549</v>
      </c>
      <c r="E300" s="65" t="s">
        <v>1398</v>
      </c>
      <c r="F300" s="162" t="s">
        <v>1388</v>
      </c>
      <c r="G300" s="65" t="s">
        <v>208</v>
      </c>
      <c r="H300" s="218">
        <v>1</v>
      </c>
      <c r="I300" s="65"/>
      <c r="J300" s="218">
        <v>4.99</v>
      </c>
      <c r="K300" s="108"/>
      <c r="L300" s="275">
        <v>4.99</v>
      </c>
      <c r="M300" s="65" t="s">
        <v>2052</v>
      </c>
      <c r="N300" s="219">
        <v>0</v>
      </c>
      <c r="O300" s="65" t="s">
        <v>1285</v>
      </c>
      <c r="P300" s="162" t="s">
        <v>1362</v>
      </c>
      <c r="Q300" s="158"/>
      <c r="R300" s="157"/>
      <c r="S300" s="114"/>
      <c r="T300" s="162" t="s">
        <v>29</v>
      </c>
      <c r="U300" s="65" t="s">
        <v>1388</v>
      </c>
      <c r="V300" s="162">
        <v>1412</v>
      </c>
      <c r="W300" s="165"/>
      <c r="X300" s="218" t="s">
        <v>1400</v>
      </c>
      <c r="Y300" s="167">
        <v>44679.718124999999</v>
      </c>
    </row>
    <row r="301" spans="1:25">
      <c r="A301" s="131" t="s">
        <v>80</v>
      </c>
      <c r="B301" s="109" t="s">
        <v>1320</v>
      </c>
      <c r="C301" s="255" t="s">
        <v>2053</v>
      </c>
      <c r="D301" s="162" t="s">
        <v>2054</v>
      </c>
      <c r="E301" s="65" t="s">
        <v>1391</v>
      </c>
      <c r="F301" s="162" t="s">
        <v>21</v>
      </c>
      <c r="G301" s="65" t="s">
        <v>2055</v>
      </c>
      <c r="H301" s="218">
        <v>12</v>
      </c>
      <c r="I301" s="65"/>
      <c r="J301" s="218">
        <v>2.5</v>
      </c>
      <c r="K301" s="108"/>
      <c r="L301" s="275">
        <v>30</v>
      </c>
      <c r="M301" s="65" t="s">
        <v>1435</v>
      </c>
      <c r="N301" s="219">
        <v>8</v>
      </c>
      <c r="O301" s="65" t="s">
        <v>55</v>
      </c>
      <c r="P301" s="162" t="s">
        <v>1403</v>
      </c>
      <c r="Q301" s="158"/>
      <c r="R301" s="157" t="s">
        <v>1655</v>
      </c>
      <c r="S301" s="114"/>
      <c r="T301" s="162" t="s">
        <v>25</v>
      </c>
      <c r="U301" s="65" t="s">
        <v>20</v>
      </c>
      <c r="V301" s="162">
        <v>1553</v>
      </c>
      <c r="W301" s="165"/>
      <c r="X301" s="218" t="s">
        <v>1363</v>
      </c>
      <c r="Y301" s="167">
        <v>44671.473483796297</v>
      </c>
    </row>
    <row r="302" spans="1:25">
      <c r="A302" s="131" t="s">
        <v>62</v>
      </c>
      <c r="B302" s="109" t="s">
        <v>1320</v>
      </c>
      <c r="C302" s="255" t="s">
        <v>2056</v>
      </c>
      <c r="D302" s="162" t="s">
        <v>465</v>
      </c>
      <c r="E302" s="65" t="s">
        <v>1980</v>
      </c>
      <c r="F302" s="162" t="s">
        <v>1722</v>
      </c>
      <c r="G302" s="65" t="s">
        <v>2057</v>
      </c>
      <c r="H302" s="218">
        <v>1</v>
      </c>
      <c r="I302" s="65"/>
      <c r="J302" s="218">
        <v>280</v>
      </c>
      <c r="K302" s="108"/>
      <c r="L302" s="275">
        <v>280</v>
      </c>
      <c r="M302" s="65" t="s">
        <v>1797</v>
      </c>
      <c r="N302" s="219"/>
      <c r="O302" s="65" t="s">
        <v>55</v>
      </c>
      <c r="P302" s="162" t="s">
        <v>1403</v>
      </c>
      <c r="Q302" s="158"/>
      <c r="R302" s="157" t="s">
        <v>1534</v>
      </c>
      <c r="S302" s="114"/>
      <c r="T302" s="162" t="s">
        <v>25</v>
      </c>
      <c r="U302" s="65" t="s">
        <v>13</v>
      </c>
      <c r="V302" s="162">
        <v>1066</v>
      </c>
      <c r="W302" s="165"/>
      <c r="X302" s="218" t="s">
        <v>1363</v>
      </c>
      <c r="Y302" s="167">
        <v>44665.661006944443</v>
      </c>
    </row>
    <row r="303" spans="1:25">
      <c r="A303" s="131" t="s">
        <v>62</v>
      </c>
      <c r="B303" s="109" t="s">
        <v>1320</v>
      </c>
      <c r="C303" s="255" t="s">
        <v>2056</v>
      </c>
      <c r="D303" s="162" t="s">
        <v>465</v>
      </c>
      <c r="E303" s="65" t="s">
        <v>1980</v>
      </c>
      <c r="F303" s="162" t="s">
        <v>1722</v>
      </c>
      <c r="G303" s="65" t="s">
        <v>2057</v>
      </c>
      <c r="H303" s="218">
        <v>3</v>
      </c>
      <c r="I303" s="65"/>
      <c r="J303" s="218">
        <v>121.5</v>
      </c>
      <c r="K303" s="108"/>
      <c r="L303" s="275">
        <v>364.5</v>
      </c>
      <c r="M303" s="65" t="s">
        <v>2058</v>
      </c>
      <c r="N303" s="219"/>
      <c r="O303" s="65" t="s">
        <v>55</v>
      </c>
      <c r="P303" s="162" t="s">
        <v>1403</v>
      </c>
      <c r="Q303" s="158"/>
      <c r="R303" s="157" t="s">
        <v>1534</v>
      </c>
      <c r="S303" s="114"/>
      <c r="T303" s="162" t="s">
        <v>25</v>
      </c>
      <c r="U303" s="65" t="s">
        <v>13</v>
      </c>
      <c r="V303" s="162">
        <v>1066</v>
      </c>
      <c r="W303" s="165"/>
      <c r="X303" s="218" t="s">
        <v>1363</v>
      </c>
      <c r="Y303" s="167">
        <v>44665.661006944443</v>
      </c>
    </row>
    <row r="304" spans="1:25">
      <c r="A304" s="131" t="s">
        <v>62</v>
      </c>
      <c r="B304" s="109" t="s">
        <v>1385</v>
      </c>
      <c r="C304" s="255" t="s">
        <v>2059</v>
      </c>
      <c r="D304" s="162" t="s">
        <v>2060</v>
      </c>
      <c r="E304" s="65" t="s">
        <v>1391</v>
      </c>
      <c r="F304" s="162" t="s">
        <v>21</v>
      </c>
      <c r="G304" s="65" t="s">
        <v>208</v>
      </c>
      <c r="H304" s="218">
        <v>1</v>
      </c>
      <c r="I304" s="65"/>
      <c r="J304" s="218">
        <v>500</v>
      </c>
      <c r="K304" s="108"/>
      <c r="L304" s="275">
        <v>500</v>
      </c>
      <c r="M304" s="65" t="s">
        <v>1447</v>
      </c>
      <c r="N304" s="219">
        <v>2000</v>
      </c>
      <c r="O304" s="65" t="s">
        <v>1285</v>
      </c>
      <c r="P304" s="162" t="s">
        <v>1393</v>
      </c>
      <c r="Q304" s="158"/>
      <c r="R304" s="157"/>
      <c r="S304" s="114"/>
      <c r="T304" s="162" t="s">
        <v>29</v>
      </c>
      <c r="U304" s="65" t="s">
        <v>20</v>
      </c>
      <c r="V304" s="162">
        <v>1883</v>
      </c>
      <c r="W304" s="165" t="s">
        <v>3965</v>
      </c>
      <c r="X304" s="218" t="s">
        <v>1363</v>
      </c>
      <c r="Y304" s="167">
        <v>44671.669571759259</v>
      </c>
    </row>
    <row r="305" spans="1:25">
      <c r="A305" s="131" t="s">
        <v>62</v>
      </c>
      <c r="B305" s="109" t="s">
        <v>1320</v>
      </c>
      <c r="C305" s="255" t="s">
        <v>579</v>
      </c>
      <c r="D305" s="162" t="s">
        <v>580</v>
      </c>
      <c r="E305" s="65" t="s">
        <v>1398</v>
      </c>
      <c r="F305" s="162" t="s">
        <v>1388</v>
      </c>
      <c r="G305" s="65" t="s">
        <v>2061</v>
      </c>
      <c r="H305" s="218">
        <v>44</v>
      </c>
      <c r="I305" s="65"/>
      <c r="J305" s="218">
        <v>2.75</v>
      </c>
      <c r="K305" s="108"/>
      <c r="L305" s="275">
        <v>121</v>
      </c>
      <c r="M305" s="65" t="s">
        <v>1697</v>
      </c>
      <c r="N305" s="219"/>
      <c r="O305" s="65" t="s">
        <v>55</v>
      </c>
      <c r="P305" s="162" t="s">
        <v>1407</v>
      </c>
      <c r="Q305" s="158"/>
      <c r="R305" s="157" t="s">
        <v>1441</v>
      </c>
      <c r="S305" s="114"/>
      <c r="T305" s="162" t="s">
        <v>25</v>
      </c>
      <c r="U305" s="65" t="s">
        <v>1388</v>
      </c>
      <c r="V305" s="162">
        <v>1545</v>
      </c>
      <c r="W305" s="165"/>
      <c r="X305" s="218" t="s">
        <v>1363</v>
      </c>
      <c r="Y305" s="167">
        <v>44672.659513888888</v>
      </c>
    </row>
    <row r="306" spans="1:25">
      <c r="A306" s="131" t="s">
        <v>46</v>
      </c>
      <c r="B306" s="252" t="s">
        <v>1385</v>
      </c>
      <c r="C306" s="245" t="s">
        <v>4079</v>
      </c>
      <c r="D306" s="218" t="s">
        <v>4073</v>
      </c>
      <c r="E306" s="257"/>
      <c r="F306" s="218" t="s">
        <v>21</v>
      </c>
      <c r="G306" s="257"/>
      <c r="H306" s="218"/>
      <c r="I306" s="257"/>
      <c r="J306" s="218"/>
      <c r="K306" s="258"/>
      <c r="L306" s="275">
        <v>300</v>
      </c>
      <c r="M306" s="257"/>
      <c r="N306" s="219"/>
      <c r="O306" s="257" t="s">
        <v>1285</v>
      </c>
      <c r="P306" s="218"/>
      <c r="Q306" s="259"/>
      <c r="R306" s="218"/>
      <c r="S306" s="261"/>
      <c r="T306" s="218" t="s">
        <v>29</v>
      </c>
      <c r="U306" s="257" t="s">
        <v>20</v>
      </c>
      <c r="V306" s="218">
        <v>1941</v>
      </c>
      <c r="W306" s="262" t="s">
        <v>4080</v>
      </c>
      <c r="X306" s="218"/>
      <c r="Y306" s="265"/>
    </row>
    <row r="307" spans="1:25" ht="22.5">
      <c r="A307" s="131" t="s">
        <v>46</v>
      </c>
      <c r="B307" s="109" t="s">
        <v>1385</v>
      </c>
      <c r="C307" s="245" t="s">
        <v>2062</v>
      </c>
      <c r="D307" s="162" t="s">
        <v>1741</v>
      </c>
      <c r="E307" s="65" t="s">
        <v>1391</v>
      </c>
      <c r="F307" s="162" t="s">
        <v>21</v>
      </c>
      <c r="G307" s="65" t="s">
        <v>208</v>
      </c>
      <c r="H307" s="218">
        <v>1</v>
      </c>
      <c r="I307" s="65"/>
      <c r="J307" s="218">
        <v>25</v>
      </c>
      <c r="K307" s="108"/>
      <c r="L307" s="275">
        <v>25</v>
      </c>
      <c r="M307" s="65" t="s">
        <v>1604</v>
      </c>
      <c r="N307" s="219">
        <v>50</v>
      </c>
      <c r="O307" s="65" t="s">
        <v>28</v>
      </c>
      <c r="P307" s="162" t="s">
        <v>1403</v>
      </c>
      <c r="Q307" s="158" t="s">
        <v>2063</v>
      </c>
      <c r="R307" s="157" t="s">
        <v>1744</v>
      </c>
      <c r="S307" s="114"/>
      <c r="T307" s="162" t="s">
        <v>28</v>
      </c>
      <c r="U307" s="65" t="s">
        <v>20</v>
      </c>
      <c r="V307" s="162">
        <v>2019</v>
      </c>
      <c r="W307" s="165" t="s">
        <v>3926</v>
      </c>
      <c r="X307" s="225" t="s">
        <v>1453</v>
      </c>
      <c r="Y307" s="167">
        <v>44742.527372685188</v>
      </c>
    </row>
    <row r="308" spans="1:25">
      <c r="A308" s="131" t="s">
        <v>46</v>
      </c>
      <c r="B308" s="109" t="s">
        <v>1320</v>
      </c>
      <c r="C308" s="245" t="s">
        <v>329</v>
      </c>
      <c r="D308" s="162" t="s">
        <v>330</v>
      </c>
      <c r="E308" s="65" t="s">
        <v>1429</v>
      </c>
      <c r="F308" s="162" t="s">
        <v>1388</v>
      </c>
      <c r="G308" s="65" t="s">
        <v>389</v>
      </c>
      <c r="H308" s="218">
        <v>108</v>
      </c>
      <c r="I308" s="65"/>
      <c r="J308" s="218">
        <v>2.5459999999999998</v>
      </c>
      <c r="K308" s="108"/>
      <c r="L308" s="275">
        <v>274.96799999999996</v>
      </c>
      <c r="M308" s="65" t="s">
        <v>2064</v>
      </c>
      <c r="N308" s="219"/>
      <c r="O308" s="65" t="s">
        <v>55</v>
      </c>
      <c r="P308" s="162" t="s">
        <v>1407</v>
      </c>
      <c r="Q308" s="158"/>
      <c r="R308" s="157" t="s">
        <v>2065</v>
      </c>
      <c r="S308" s="114"/>
      <c r="T308" s="162" t="s">
        <v>25</v>
      </c>
      <c r="U308" s="65" t="s">
        <v>1388</v>
      </c>
      <c r="V308" s="162">
        <v>1518</v>
      </c>
      <c r="W308" s="165"/>
      <c r="X308" s="218" t="s">
        <v>1363</v>
      </c>
      <c r="Y308" s="167">
        <v>44671.47016203704</v>
      </c>
    </row>
    <row r="309" spans="1:25">
      <c r="A309" s="131" t="s">
        <v>100</v>
      </c>
      <c r="B309" s="109" t="s">
        <v>1385</v>
      </c>
      <c r="C309" s="245" t="s">
        <v>2066</v>
      </c>
      <c r="D309" s="162" t="s">
        <v>2067</v>
      </c>
      <c r="E309" s="65" t="s">
        <v>1419</v>
      </c>
      <c r="F309" s="162" t="s">
        <v>21</v>
      </c>
      <c r="G309" s="65" t="s">
        <v>208</v>
      </c>
      <c r="H309" s="218">
        <v>70</v>
      </c>
      <c r="I309" s="65"/>
      <c r="J309" s="218">
        <v>0</v>
      </c>
      <c r="K309" s="108"/>
      <c r="L309" s="275">
        <v>0</v>
      </c>
      <c r="M309" s="65" t="s">
        <v>1600</v>
      </c>
      <c r="N309" s="219"/>
      <c r="O309" s="65" t="s">
        <v>1285</v>
      </c>
      <c r="P309" s="162" t="s">
        <v>1407</v>
      </c>
      <c r="Q309" s="158" t="s">
        <v>1843</v>
      </c>
      <c r="R309" s="157"/>
      <c r="S309" s="114"/>
      <c r="T309" s="162" t="s">
        <v>29</v>
      </c>
      <c r="U309" s="65" t="s">
        <v>17</v>
      </c>
      <c r="V309" s="162">
        <v>1067</v>
      </c>
      <c r="W309" s="165" t="s">
        <v>3983</v>
      </c>
      <c r="X309" s="218" t="s">
        <v>208</v>
      </c>
      <c r="Y309" s="167">
        <v>43769.416655092595</v>
      </c>
    </row>
    <row r="310" spans="1:25">
      <c r="A310" s="131" t="s">
        <v>46</v>
      </c>
      <c r="B310" s="109" t="s">
        <v>1385</v>
      </c>
      <c r="C310" s="245" t="s">
        <v>2068</v>
      </c>
      <c r="D310" s="162" t="s">
        <v>2069</v>
      </c>
      <c r="E310" s="65" t="s">
        <v>1429</v>
      </c>
      <c r="F310" s="162" t="s">
        <v>1388</v>
      </c>
      <c r="G310" s="65" t="s">
        <v>208</v>
      </c>
      <c r="H310" s="218">
        <v>32</v>
      </c>
      <c r="I310" s="65">
        <v>2.5</v>
      </c>
      <c r="J310" s="218">
        <v>3.125</v>
      </c>
      <c r="K310" s="108">
        <v>80</v>
      </c>
      <c r="L310" s="275">
        <v>100</v>
      </c>
      <c r="M310" s="65" t="s">
        <v>2070</v>
      </c>
      <c r="N310" s="219">
        <v>0</v>
      </c>
      <c r="O310" s="65" t="s">
        <v>1285</v>
      </c>
      <c r="P310" s="162" t="s">
        <v>1407</v>
      </c>
      <c r="Q310" s="158"/>
      <c r="R310" s="157"/>
      <c r="S310" s="114"/>
      <c r="T310" s="162" t="s">
        <v>29</v>
      </c>
      <c r="U310" s="65" t="s">
        <v>1388</v>
      </c>
      <c r="V310" s="162">
        <v>1570</v>
      </c>
      <c r="W310" s="165"/>
      <c r="X310" s="218" t="s">
        <v>208</v>
      </c>
      <c r="Y310" s="167">
        <v>44679.638877314814</v>
      </c>
    </row>
    <row r="311" spans="1:25">
      <c r="A311" s="131" t="s">
        <v>46</v>
      </c>
      <c r="B311" s="109" t="s">
        <v>1385</v>
      </c>
      <c r="C311" s="245" t="s">
        <v>2068</v>
      </c>
      <c r="D311" s="162" t="s">
        <v>2071</v>
      </c>
      <c r="E311" s="65"/>
      <c r="F311" s="162" t="s">
        <v>21</v>
      </c>
      <c r="G311" s="65"/>
      <c r="H311" s="218"/>
      <c r="I311" s="65"/>
      <c r="J311" s="218"/>
      <c r="K311" s="108"/>
      <c r="L311" s="275">
        <v>40</v>
      </c>
      <c r="M311" s="65"/>
      <c r="N311" s="219"/>
      <c r="O311" s="65" t="s">
        <v>1285</v>
      </c>
      <c r="P311" s="162"/>
      <c r="Q311" s="158"/>
      <c r="R311" s="157" t="s">
        <v>208</v>
      </c>
      <c r="S311" s="114"/>
      <c r="T311" s="162" t="s">
        <v>29</v>
      </c>
      <c r="U311" s="65" t="s">
        <v>20</v>
      </c>
      <c r="V311" s="162" t="s">
        <v>208</v>
      </c>
      <c r="W311" s="165" t="s">
        <v>2072</v>
      </c>
      <c r="X311" s="218"/>
      <c r="Y311" s="167" t="s">
        <v>208</v>
      </c>
    </row>
    <row r="312" spans="1:25">
      <c r="A312" s="131" t="s">
        <v>100</v>
      </c>
      <c r="B312" s="109" t="s">
        <v>1320</v>
      </c>
      <c r="C312" s="245" t="s">
        <v>2073</v>
      </c>
      <c r="D312" s="162" t="s">
        <v>49</v>
      </c>
      <c r="E312" s="65" t="s">
        <v>1539</v>
      </c>
      <c r="F312" s="162" t="s">
        <v>18</v>
      </c>
      <c r="G312" s="65" t="s">
        <v>2074</v>
      </c>
      <c r="H312" s="218">
        <v>1</v>
      </c>
      <c r="I312" s="65"/>
      <c r="J312" s="218">
        <v>185</v>
      </c>
      <c r="K312" s="108"/>
      <c r="L312" s="275">
        <v>185</v>
      </c>
      <c r="M312" s="65" t="s">
        <v>2075</v>
      </c>
      <c r="N312" s="219"/>
      <c r="O312" s="65" t="s">
        <v>55</v>
      </c>
      <c r="P312" s="162" t="s">
        <v>1403</v>
      </c>
      <c r="Q312" s="158"/>
      <c r="R312" s="157" t="s">
        <v>1542</v>
      </c>
      <c r="S312" s="114"/>
      <c r="T312" s="162" t="s">
        <v>25</v>
      </c>
      <c r="U312" s="65" t="s">
        <v>18</v>
      </c>
      <c r="V312" s="162">
        <v>1068</v>
      </c>
      <c r="W312" s="165"/>
      <c r="X312" s="218" t="s">
        <v>1363</v>
      </c>
      <c r="Y312" s="167">
        <v>44665.66333333333</v>
      </c>
    </row>
    <row r="313" spans="1:25">
      <c r="A313" s="131" t="s">
        <v>62</v>
      </c>
      <c r="B313" s="109" t="s">
        <v>1320</v>
      </c>
      <c r="C313" s="245" t="s">
        <v>583</v>
      </c>
      <c r="D313" s="162" t="s">
        <v>584</v>
      </c>
      <c r="E313" s="65" t="s">
        <v>1429</v>
      </c>
      <c r="F313" s="162" t="s">
        <v>1388</v>
      </c>
      <c r="G313" s="65" t="s">
        <v>2076</v>
      </c>
      <c r="H313" s="218">
        <v>61</v>
      </c>
      <c r="I313" s="65"/>
      <c r="J313" s="218">
        <v>2.75</v>
      </c>
      <c r="K313" s="108"/>
      <c r="L313" s="275">
        <v>167.75</v>
      </c>
      <c r="M313" s="65" t="s">
        <v>2077</v>
      </c>
      <c r="N313" s="219"/>
      <c r="O313" s="65" t="s">
        <v>55</v>
      </c>
      <c r="P313" s="162" t="s">
        <v>1407</v>
      </c>
      <c r="Q313" s="158"/>
      <c r="R313" s="157" t="s">
        <v>1452</v>
      </c>
      <c r="S313" s="114"/>
      <c r="T313" s="162" t="s">
        <v>25</v>
      </c>
      <c r="U313" s="65" t="s">
        <v>1388</v>
      </c>
      <c r="V313" s="162">
        <v>1516</v>
      </c>
      <c r="W313" s="165"/>
      <c r="X313" s="218" t="s">
        <v>1363</v>
      </c>
      <c r="Y313" s="167">
        <v>44671.468668981484</v>
      </c>
    </row>
    <row r="314" spans="1:25">
      <c r="A314" s="131" t="s">
        <v>46</v>
      </c>
      <c r="B314" s="109" t="s">
        <v>1320</v>
      </c>
      <c r="C314" s="245" t="s">
        <v>2078</v>
      </c>
      <c r="D314" s="162" t="s">
        <v>1393</v>
      </c>
      <c r="E314" s="65" t="s">
        <v>1398</v>
      </c>
      <c r="F314" s="162" t="s">
        <v>1388</v>
      </c>
      <c r="G314" s="65" t="s">
        <v>208</v>
      </c>
      <c r="H314" s="218">
        <v>1</v>
      </c>
      <c r="I314" s="65"/>
      <c r="J314" s="218">
        <v>0.23</v>
      </c>
      <c r="K314" s="108"/>
      <c r="L314" s="275">
        <v>0.23</v>
      </c>
      <c r="M314" s="65" t="s">
        <v>2079</v>
      </c>
      <c r="N314" s="219"/>
      <c r="O314" s="65" t="s">
        <v>55</v>
      </c>
      <c r="P314" s="162" t="s">
        <v>1362</v>
      </c>
      <c r="Q314" s="158"/>
      <c r="R314" s="157"/>
      <c r="S314" s="114"/>
      <c r="T314" s="162" t="s">
        <v>25</v>
      </c>
      <c r="U314" s="65" t="s">
        <v>1388</v>
      </c>
      <c r="V314" s="162">
        <v>12</v>
      </c>
      <c r="W314" s="165"/>
      <c r="X314" s="218" t="s">
        <v>208</v>
      </c>
      <c r="Y314" s="167">
        <v>43312</v>
      </c>
    </row>
    <row r="315" spans="1:25">
      <c r="A315" s="131" t="s">
        <v>100</v>
      </c>
      <c r="B315" s="109" t="s">
        <v>1385</v>
      </c>
      <c r="C315" s="245" t="s">
        <v>2080</v>
      </c>
      <c r="D315" s="162" t="s">
        <v>1526</v>
      </c>
      <c r="E315" s="65" t="s">
        <v>1529</v>
      </c>
      <c r="F315" s="162" t="s">
        <v>21</v>
      </c>
      <c r="G315" s="65"/>
      <c r="H315" s="218">
        <v>90</v>
      </c>
      <c r="I315" s="65"/>
      <c r="J315" s="218"/>
      <c r="K315" s="108"/>
      <c r="L315" s="275">
        <v>200</v>
      </c>
      <c r="M315" s="65"/>
      <c r="N315" s="219"/>
      <c r="O315" s="65" t="s">
        <v>1285</v>
      </c>
      <c r="P315" s="162"/>
      <c r="Q315" s="158"/>
      <c r="R315" s="157"/>
      <c r="S315" s="114"/>
      <c r="T315" s="162" t="s">
        <v>29</v>
      </c>
      <c r="U315" s="65" t="s">
        <v>20</v>
      </c>
      <c r="V315" s="162" t="s">
        <v>208</v>
      </c>
      <c r="W315" s="165" t="s">
        <v>2081</v>
      </c>
      <c r="X315" s="218"/>
      <c r="Y315" s="167" t="s">
        <v>208</v>
      </c>
    </row>
    <row r="316" spans="1:25">
      <c r="A316" s="131" t="s">
        <v>100</v>
      </c>
      <c r="B316" s="109" t="s">
        <v>1385</v>
      </c>
      <c r="C316" s="245" t="s">
        <v>2082</v>
      </c>
      <c r="D316" s="162" t="s">
        <v>2083</v>
      </c>
      <c r="E316" s="65" t="s">
        <v>1391</v>
      </c>
      <c r="F316" s="162" t="s">
        <v>21</v>
      </c>
      <c r="G316" s="65" t="s">
        <v>208</v>
      </c>
      <c r="H316" s="218">
        <v>1</v>
      </c>
      <c r="I316" s="65"/>
      <c r="J316" s="218">
        <v>50</v>
      </c>
      <c r="K316" s="108"/>
      <c r="L316" s="275">
        <v>50</v>
      </c>
      <c r="M316" s="65" t="s">
        <v>1489</v>
      </c>
      <c r="N316" s="219">
        <v>100</v>
      </c>
      <c r="O316" s="65" t="s">
        <v>1285</v>
      </c>
      <c r="P316" s="162" t="s">
        <v>1403</v>
      </c>
      <c r="Q316" s="158"/>
      <c r="R316" s="157"/>
      <c r="S316" s="114"/>
      <c r="T316" s="162" t="s">
        <v>29</v>
      </c>
      <c r="U316" s="65" t="s">
        <v>20</v>
      </c>
      <c r="V316" s="162">
        <v>1923</v>
      </c>
      <c r="W316" s="165" t="s">
        <v>3978</v>
      </c>
      <c r="X316" s="218" t="s">
        <v>1395</v>
      </c>
      <c r="Y316" s="167">
        <v>44679.62259259259</v>
      </c>
    </row>
    <row r="317" spans="1:25">
      <c r="A317" s="131" t="s">
        <v>100</v>
      </c>
      <c r="B317" s="109" t="s">
        <v>1385</v>
      </c>
      <c r="C317" s="245" t="s">
        <v>2084</v>
      </c>
      <c r="D317" s="162" t="s">
        <v>2085</v>
      </c>
      <c r="E317" s="65" t="s">
        <v>1419</v>
      </c>
      <c r="F317" s="162" t="s">
        <v>17</v>
      </c>
      <c r="G317" s="65" t="s">
        <v>208</v>
      </c>
      <c r="H317" s="218">
        <v>33</v>
      </c>
      <c r="I317" s="65">
        <v>6.2</v>
      </c>
      <c r="J317" s="218">
        <v>6.6</v>
      </c>
      <c r="K317" s="108">
        <v>204.6</v>
      </c>
      <c r="L317" s="275">
        <v>217.79999999999998</v>
      </c>
      <c r="M317" s="65" t="s">
        <v>2086</v>
      </c>
      <c r="N317" s="219">
        <v>0</v>
      </c>
      <c r="O317" s="65" t="s">
        <v>1285</v>
      </c>
      <c r="P317" s="162" t="s">
        <v>1407</v>
      </c>
      <c r="Q317" s="158"/>
      <c r="R317" s="157" t="s">
        <v>1832</v>
      </c>
      <c r="S317" s="114"/>
      <c r="T317" s="162" t="s">
        <v>29</v>
      </c>
      <c r="U317" s="65" t="s">
        <v>17</v>
      </c>
      <c r="V317" s="162">
        <v>1949</v>
      </c>
      <c r="W317" s="165"/>
      <c r="X317" s="218" t="s">
        <v>1395</v>
      </c>
      <c r="Y317" s="167">
        <v>44679.639247685183</v>
      </c>
    </row>
    <row r="318" spans="1:25">
      <c r="A318" s="131" t="s">
        <v>95</v>
      </c>
      <c r="B318" s="109" t="s">
        <v>1385</v>
      </c>
      <c r="C318" s="245" t="s">
        <v>2087</v>
      </c>
      <c r="D318" s="162" t="s">
        <v>2088</v>
      </c>
      <c r="E318" s="65"/>
      <c r="F318" s="162" t="s">
        <v>17</v>
      </c>
      <c r="G318" s="65"/>
      <c r="H318" s="218"/>
      <c r="I318" s="65"/>
      <c r="J318" s="218"/>
      <c r="K318" s="108"/>
      <c r="L318" s="275">
        <v>150</v>
      </c>
      <c r="M318" s="65"/>
      <c r="N318" s="219"/>
      <c r="O318" s="65" t="s">
        <v>1285</v>
      </c>
      <c r="P318" s="162"/>
      <c r="Q318" s="158"/>
      <c r="R318" s="157"/>
      <c r="S318" s="114"/>
      <c r="T318" s="162" t="s">
        <v>29</v>
      </c>
      <c r="U318" s="65" t="s">
        <v>17</v>
      </c>
      <c r="V318" s="162" t="s">
        <v>208</v>
      </c>
      <c r="W318" s="165" t="s">
        <v>2089</v>
      </c>
      <c r="X318" s="218"/>
      <c r="Y318" s="167" t="s">
        <v>208</v>
      </c>
    </row>
    <row r="319" spans="1:25">
      <c r="A319" s="131" t="s">
        <v>95</v>
      </c>
      <c r="B319" s="109" t="s">
        <v>1320</v>
      </c>
      <c r="C319" s="245" t="s">
        <v>2090</v>
      </c>
      <c r="D319" s="162" t="s">
        <v>1585</v>
      </c>
      <c r="E319" s="65" t="s">
        <v>1539</v>
      </c>
      <c r="F319" s="162" t="s">
        <v>18</v>
      </c>
      <c r="G319" s="65" t="s">
        <v>2091</v>
      </c>
      <c r="H319" s="218">
        <v>1</v>
      </c>
      <c r="I319" s="65"/>
      <c r="J319" s="218">
        <v>60</v>
      </c>
      <c r="K319" s="108"/>
      <c r="L319" s="275">
        <v>60</v>
      </c>
      <c r="M319" s="65" t="s">
        <v>1651</v>
      </c>
      <c r="N319" s="219"/>
      <c r="O319" s="65" t="s">
        <v>55</v>
      </c>
      <c r="P319" s="162" t="s">
        <v>1403</v>
      </c>
      <c r="Q319" s="158"/>
      <c r="R319" s="157" t="s">
        <v>1588</v>
      </c>
      <c r="S319" s="114"/>
      <c r="T319" s="162" t="s">
        <v>25</v>
      </c>
      <c r="U319" s="65" t="s">
        <v>18</v>
      </c>
      <c r="V319" s="162">
        <v>1069</v>
      </c>
      <c r="W319" s="165"/>
      <c r="X319" s="218" t="s">
        <v>1363</v>
      </c>
      <c r="Y319" s="167">
        <v>44678.368935185186</v>
      </c>
    </row>
    <row r="320" spans="1:25">
      <c r="A320" s="131" t="s">
        <v>46</v>
      </c>
      <c r="B320" s="109" t="s">
        <v>1320</v>
      </c>
      <c r="C320" s="245" t="s">
        <v>2092</v>
      </c>
      <c r="D320" s="162" t="s">
        <v>1393</v>
      </c>
      <c r="E320" s="65" t="s">
        <v>1398</v>
      </c>
      <c r="F320" s="162" t="s">
        <v>1388</v>
      </c>
      <c r="G320" s="65" t="s">
        <v>208</v>
      </c>
      <c r="H320" s="218">
        <v>1</v>
      </c>
      <c r="I320" s="65"/>
      <c r="J320" s="218">
        <v>0.1</v>
      </c>
      <c r="K320" s="108"/>
      <c r="L320" s="275">
        <v>0.1</v>
      </c>
      <c r="M320" s="65" t="s">
        <v>2093</v>
      </c>
      <c r="N320" s="219"/>
      <c r="O320" s="65" t="s">
        <v>55</v>
      </c>
      <c r="P320" s="162" t="s">
        <v>1362</v>
      </c>
      <c r="Q320" s="158"/>
      <c r="R320" s="157"/>
      <c r="S320" s="114"/>
      <c r="T320" s="162" t="s">
        <v>25</v>
      </c>
      <c r="U320" s="65" t="s">
        <v>1388</v>
      </c>
      <c r="V320" s="162">
        <v>13</v>
      </c>
      <c r="W320" s="165"/>
      <c r="X320" s="218" t="s">
        <v>208</v>
      </c>
      <c r="Y320" s="167">
        <v>43312</v>
      </c>
    </row>
    <row r="321" spans="1:25">
      <c r="A321" s="131" t="s">
        <v>100</v>
      </c>
      <c r="B321" s="109" t="s">
        <v>1385</v>
      </c>
      <c r="C321" s="245" t="s">
        <v>269</v>
      </c>
      <c r="D321" s="162" t="s">
        <v>270</v>
      </c>
      <c r="E321" s="65" t="s">
        <v>1419</v>
      </c>
      <c r="F321" s="162" t="s">
        <v>17</v>
      </c>
      <c r="G321" s="65" t="s">
        <v>208</v>
      </c>
      <c r="H321" s="218">
        <v>2</v>
      </c>
      <c r="I321" s="65"/>
      <c r="J321" s="218">
        <v>4</v>
      </c>
      <c r="K321" s="108"/>
      <c r="L321" s="275">
        <v>8</v>
      </c>
      <c r="M321" s="65" t="s">
        <v>1917</v>
      </c>
      <c r="N321" s="219">
        <v>0</v>
      </c>
      <c r="O321" s="65" t="s">
        <v>27</v>
      </c>
      <c r="P321" s="162" t="s">
        <v>1362</v>
      </c>
      <c r="Q321" s="158" t="s">
        <v>2094</v>
      </c>
      <c r="R321" s="157"/>
      <c r="S321" s="114"/>
      <c r="T321" s="162" t="s">
        <v>27</v>
      </c>
      <c r="U321" s="65" t="s">
        <v>17</v>
      </c>
      <c r="V321" s="162">
        <v>1496</v>
      </c>
      <c r="W321" s="165"/>
      <c r="X321" s="225" t="s">
        <v>1453</v>
      </c>
      <c r="Y321" s="167">
        <v>44743.435555555552</v>
      </c>
    </row>
    <row r="322" spans="1:25">
      <c r="A322" s="131" t="s">
        <v>46</v>
      </c>
      <c r="B322" s="109" t="s">
        <v>1385</v>
      </c>
      <c r="C322" s="245" t="s">
        <v>2095</v>
      </c>
      <c r="D322" s="162" t="s">
        <v>2096</v>
      </c>
      <c r="E322" s="65" t="s">
        <v>1419</v>
      </c>
      <c r="F322" s="162" t="s">
        <v>17</v>
      </c>
      <c r="G322" s="65" t="s">
        <v>208</v>
      </c>
      <c r="H322" s="218">
        <v>170</v>
      </c>
      <c r="I322" s="65">
        <v>6</v>
      </c>
      <c r="J322" s="218">
        <v>10</v>
      </c>
      <c r="K322" s="108">
        <v>1020</v>
      </c>
      <c r="L322" s="275">
        <v>1700</v>
      </c>
      <c r="M322" s="65" t="s">
        <v>2097</v>
      </c>
      <c r="N322" s="219">
        <v>0</v>
      </c>
      <c r="O322" s="65" t="s">
        <v>1285</v>
      </c>
      <c r="P322" s="162" t="s">
        <v>1407</v>
      </c>
      <c r="Q322" s="158"/>
      <c r="R322" s="157" t="s">
        <v>1542</v>
      </c>
      <c r="S322" s="114"/>
      <c r="T322" s="162" t="s">
        <v>29</v>
      </c>
      <c r="U322" s="65" t="s">
        <v>17</v>
      </c>
      <c r="V322" s="162">
        <v>1924</v>
      </c>
      <c r="W322" s="165"/>
      <c r="X322" s="218" t="s">
        <v>1395</v>
      </c>
      <c r="Y322" s="167">
        <v>44488.353645833333</v>
      </c>
    </row>
    <row r="323" spans="1:25">
      <c r="A323" s="131" t="s">
        <v>62</v>
      </c>
      <c r="B323" s="109" t="s">
        <v>1385</v>
      </c>
      <c r="C323" s="245" t="s">
        <v>2098</v>
      </c>
      <c r="D323" s="162" t="s">
        <v>2099</v>
      </c>
      <c r="E323" s="65" t="s">
        <v>1429</v>
      </c>
      <c r="F323" s="162" t="s">
        <v>1388</v>
      </c>
      <c r="G323" s="65" t="s">
        <v>208</v>
      </c>
      <c r="H323" s="218">
        <v>1</v>
      </c>
      <c r="I323" s="65"/>
      <c r="J323" s="218"/>
      <c r="K323" s="108"/>
      <c r="L323" s="275"/>
      <c r="M323" s="65"/>
      <c r="N323" s="219"/>
      <c r="O323" s="65" t="s">
        <v>1285</v>
      </c>
      <c r="P323" s="162" t="s">
        <v>1407</v>
      </c>
      <c r="Q323" s="158"/>
      <c r="R323" s="157"/>
      <c r="S323" s="114"/>
      <c r="T323" s="162" t="s">
        <v>29</v>
      </c>
      <c r="U323" s="65" t="s">
        <v>1388</v>
      </c>
      <c r="V323" s="162">
        <v>1671</v>
      </c>
      <c r="W323" s="165"/>
      <c r="X323" s="218" t="s">
        <v>1400</v>
      </c>
      <c r="Y323" s="167">
        <v>43769.416655092595</v>
      </c>
    </row>
    <row r="324" spans="1:25">
      <c r="A324" s="131" t="s">
        <v>46</v>
      </c>
      <c r="B324" s="109" t="s">
        <v>1385</v>
      </c>
      <c r="C324" s="245" t="s">
        <v>4000</v>
      </c>
      <c r="D324" s="162" t="s">
        <v>1676</v>
      </c>
      <c r="E324" s="65"/>
      <c r="F324" s="162" t="s">
        <v>3990</v>
      </c>
      <c r="G324" s="65"/>
      <c r="H324" s="218">
        <v>24</v>
      </c>
      <c r="I324" s="65"/>
      <c r="J324" s="242">
        <v>6</v>
      </c>
      <c r="K324" s="108"/>
      <c r="L324" s="282">
        <v>144</v>
      </c>
      <c r="M324" s="243">
        <v>144</v>
      </c>
      <c r="N324" s="219"/>
      <c r="O324" s="65" t="s">
        <v>1285</v>
      </c>
      <c r="P324" s="162"/>
      <c r="Q324" s="158"/>
      <c r="R324" s="157"/>
      <c r="S324" s="114"/>
      <c r="T324" s="162" t="s">
        <v>29</v>
      </c>
      <c r="U324" s="65" t="s">
        <v>17</v>
      </c>
      <c r="V324" s="162"/>
      <c r="W324" s="165" t="s">
        <v>4034</v>
      </c>
      <c r="X324" s="218"/>
      <c r="Y324" s="167"/>
    </row>
    <row r="325" spans="1:25">
      <c r="A325" s="131" t="s">
        <v>46</v>
      </c>
      <c r="B325" s="109" t="s">
        <v>1320</v>
      </c>
      <c r="C325" s="245" t="s">
        <v>2100</v>
      </c>
      <c r="D325" s="162" t="s">
        <v>1393</v>
      </c>
      <c r="E325" s="65" t="s">
        <v>1398</v>
      </c>
      <c r="F325" s="162" t="s">
        <v>1388</v>
      </c>
      <c r="G325" s="65" t="s">
        <v>208</v>
      </c>
      <c r="H325" s="218">
        <v>1</v>
      </c>
      <c r="I325" s="65"/>
      <c r="J325" s="218">
        <v>0.2</v>
      </c>
      <c r="K325" s="108"/>
      <c r="L325" s="275">
        <v>0.2</v>
      </c>
      <c r="M325" s="65" t="s">
        <v>2101</v>
      </c>
      <c r="N325" s="219"/>
      <c r="O325" s="65" t="s">
        <v>55</v>
      </c>
      <c r="P325" s="162" t="s">
        <v>1362</v>
      </c>
      <c r="Q325" s="158"/>
      <c r="R325" s="157"/>
      <c r="S325" s="114"/>
      <c r="T325" s="162" t="s">
        <v>25</v>
      </c>
      <c r="U325" s="65" t="s">
        <v>1388</v>
      </c>
      <c r="V325" s="162">
        <v>14</v>
      </c>
      <c r="W325" s="165"/>
      <c r="X325" s="218" t="s">
        <v>208</v>
      </c>
      <c r="Y325" s="167">
        <v>43312</v>
      </c>
    </row>
    <row r="326" spans="1:25">
      <c r="A326" s="131" t="s">
        <v>80</v>
      </c>
      <c r="B326" s="109" t="s">
        <v>1320</v>
      </c>
      <c r="C326" s="245" t="s">
        <v>2102</v>
      </c>
      <c r="D326" s="162" t="s">
        <v>2103</v>
      </c>
      <c r="E326" s="65" t="s">
        <v>1493</v>
      </c>
      <c r="F326" s="162" t="s">
        <v>1360</v>
      </c>
      <c r="G326" s="65" t="s">
        <v>2104</v>
      </c>
      <c r="H326" s="218">
        <v>1</v>
      </c>
      <c r="I326" s="65"/>
      <c r="J326" s="218">
        <v>52</v>
      </c>
      <c r="K326" s="108"/>
      <c r="L326" s="275">
        <v>52</v>
      </c>
      <c r="M326" s="65" t="s">
        <v>2105</v>
      </c>
      <c r="N326" s="219"/>
      <c r="O326" s="65" t="s">
        <v>55</v>
      </c>
      <c r="P326" s="162" t="s">
        <v>1403</v>
      </c>
      <c r="Q326" s="158"/>
      <c r="R326" s="157" t="s">
        <v>1655</v>
      </c>
      <c r="S326" s="114"/>
      <c r="T326" s="162" t="s">
        <v>25</v>
      </c>
      <c r="U326" s="65" t="s">
        <v>14</v>
      </c>
      <c r="V326" s="162">
        <v>1070</v>
      </c>
      <c r="W326" s="165"/>
      <c r="X326" s="218" t="s">
        <v>1363</v>
      </c>
      <c r="Y326" s="167">
        <v>44665.667407407411</v>
      </c>
    </row>
    <row r="327" spans="1:25">
      <c r="A327" s="131" t="s">
        <v>80</v>
      </c>
      <c r="B327" s="109" t="s">
        <v>1320</v>
      </c>
      <c r="C327" s="245" t="s">
        <v>2102</v>
      </c>
      <c r="D327" s="162" t="s">
        <v>2103</v>
      </c>
      <c r="E327" s="65" t="s">
        <v>1493</v>
      </c>
      <c r="F327" s="162" t="s">
        <v>1360</v>
      </c>
      <c r="G327" s="65" t="s">
        <v>2106</v>
      </c>
      <c r="H327" s="218">
        <v>1</v>
      </c>
      <c r="I327" s="65"/>
      <c r="J327" s="218">
        <v>52</v>
      </c>
      <c r="K327" s="108"/>
      <c r="L327" s="275">
        <v>52</v>
      </c>
      <c r="M327" s="65" t="s">
        <v>2105</v>
      </c>
      <c r="N327" s="219"/>
      <c r="O327" s="65" t="s">
        <v>55</v>
      </c>
      <c r="P327" s="162" t="s">
        <v>1403</v>
      </c>
      <c r="Q327" s="158"/>
      <c r="R327" s="157" t="s">
        <v>1655</v>
      </c>
      <c r="S327" s="114"/>
      <c r="T327" s="162" t="s">
        <v>25</v>
      </c>
      <c r="U327" s="65" t="s">
        <v>14</v>
      </c>
      <c r="V327" s="162">
        <v>1070</v>
      </c>
      <c r="W327" s="165"/>
      <c r="X327" s="218" t="s">
        <v>1363</v>
      </c>
      <c r="Y327" s="167">
        <v>44665.667407407411</v>
      </c>
    </row>
    <row r="328" spans="1:25">
      <c r="A328" s="131" t="s">
        <v>80</v>
      </c>
      <c r="B328" s="109" t="s">
        <v>1320</v>
      </c>
      <c r="C328" s="245" t="s">
        <v>2102</v>
      </c>
      <c r="D328" s="162" t="s">
        <v>2103</v>
      </c>
      <c r="E328" s="65" t="s">
        <v>1493</v>
      </c>
      <c r="F328" s="162" t="s">
        <v>1360</v>
      </c>
      <c r="G328" s="65" t="s">
        <v>2107</v>
      </c>
      <c r="H328" s="218">
        <v>1</v>
      </c>
      <c r="I328" s="65"/>
      <c r="J328" s="218">
        <v>52</v>
      </c>
      <c r="K328" s="108"/>
      <c r="L328" s="275">
        <v>52</v>
      </c>
      <c r="M328" s="65" t="s">
        <v>2105</v>
      </c>
      <c r="N328" s="219"/>
      <c r="O328" s="65" t="s">
        <v>55</v>
      </c>
      <c r="P328" s="162" t="s">
        <v>1403</v>
      </c>
      <c r="Q328" s="158"/>
      <c r="R328" s="157" t="s">
        <v>1655</v>
      </c>
      <c r="S328" s="114"/>
      <c r="T328" s="162" t="s">
        <v>25</v>
      </c>
      <c r="U328" s="65" t="s">
        <v>14</v>
      </c>
      <c r="V328" s="162">
        <v>1070</v>
      </c>
      <c r="W328" s="165"/>
      <c r="X328" s="218" t="s">
        <v>1363</v>
      </c>
      <c r="Y328" s="167">
        <v>44665.667407407411</v>
      </c>
    </row>
    <row r="329" spans="1:25">
      <c r="A329" s="131" t="s">
        <v>62</v>
      </c>
      <c r="B329" s="109" t="s">
        <v>1385</v>
      </c>
      <c r="C329" s="245" t="s">
        <v>2108</v>
      </c>
      <c r="D329" s="162" t="s">
        <v>107</v>
      </c>
      <c r="E329" s="65" t="s">
        <v>1429</v>
      </c>
      <c r="F329" s="162" t="s">
        <v>1388</v>
      </c>
      <c r="G329" s="65" t="s">
        <v>208</v>
      </c>
      <c r="H329" s="218">
        <v>28</v>
      </c>
      <c r="I329" s="65"/>
      <c r="J329" s="218">
        <v>3</v>
      </c>
      <c r="K329" s="108"/>
      <c r="L329" s="275">
        <v>84</v>
      </c>
      <c r="M329" s="65" t="s">
        <v>2109</v>
      </c>
      <c r="N329" s="219"/>
      <c r="O329" s="65" t="s">
        <v>1285</v>
      </c>
      <c r="P329" s="162" t="s">
        <v>1407</v>
      </c>
      <c r="Q329" s="158"/>
      <c r="R329" s="157"/>
      <c r="S329" s="114"/>
      <c r="T329" s="162" t="s">
        <v>29</v>
      </c>
      <c r="U329" s="65" t="s">
        <v>1388</v>
      </c>
      <c r="V329" s="162">
        <v>1855</v>
      </c>
      <c r="W329" s="165"/>
      <c r="X329" s="218" t="s">
        <v>208</v>
      </c>
      <c r="Y329" s="167">
        <v>43965.982662037037</v>
      </c>
    </row>
    <row r="330" spans="1:25">
      <c r="A330" s="131" t="s">
        <v>62</v>
      </c>
      <c r="B330" s="109" t="s">
        <v>1385</v>
      </c>
      <c r="C330" s="245" t="s">
        <v>229</v>
      </c>
      <c r="D330" s="162" t="s">
        <v>2110</v>
      </c>
      <c r="E330" s="65" t="s">
        <v>1419</v>
      </c>
      <c r="F330" s="162" t="s">
        <v>17</v>
      </c>
      <c r="G330" s="65" t="s">
        <v>208</v>
      </c>
      <c r="H330" s="218">
        <v>43</v>
      </c>
      <c r="I330" s="65"/>
      <c r="J330" s="218">
        <v>4.0229999999999997</v>
      </c>
      <c r="K330" s="108"/>
      <c r="L330" s="275">
        <v>172.98899999999998</v>
      </c>
      <c r="M330" s="65" t="s">
        <v>2111</v>
      </c>
      <c r="N330" s="219"/>
      <c r="O330" s="65" t="s">
        <v>27</v>
      </c>
      <c r="P330" s="162" t="s">
        <v>1407</v>
      </c>
      <c r="Q330" s="158" t="s">
        <v>2112</v>
      </c>
      <c r="R330" s="157" t="s">
        <v>1700</v>
      </c>
      <c r="S330" s="114"/>
      <c r="T330" s="162" t="s">
        <v>27</v>
      </c>
      <c r="U330" s="65" t="s">
        <v>17</v>
      </c>
      <c r="V330" s="162">
        <v>1706</v>
      </c>
      <c r="W330" s="165"/>
      <c r="X330" s="225" t="s">
        <v>1453</v>
      </c>
      <c r="Y330" s="167">
        <v>44746.654178240744</v>
      </c>
    </row>
    <row r="331" spans="1:25">
      <c r="A331" s="131" t="s">
        <v>46</v>
      </c>
      <c r="B331" s="109" t="s">
        <v>1385</v>
      </c>
      <c r="C331" s="245" t="s">
        <v>2113</v>
      </c>
      <c r="D331" s="162" t="s">
        <v>2114</v>
      </c>
      <c r="E331" s="65" t="s">
        <v>1429</v>
      </c>
      <c r="F331" s="162" t="s">
        <v>1388</v>
      </c>
      <c r="G331" s="65" t="s">
        <v>208</v>
      </c>
      <c r="H331" s="218">
        <v>1</v>
      </c>
      <c r="I331" s="65"/>
      <c r="J331" s="218">
        <v>190</v>
      </c>
      <c r="K331" s="108"/>
      <c r="L331" s="275">
        <v>190</v>
      </c>
      <c r="M331" s="65" t="s">
        <v>2115</v>
      </c>
      <c r="N331" s="219">
        <v>0</v>
      </c>
      <c r="O331" s="65" t="s">
        <v>1285</v>
      </c>
      <c r="P331" s="162" t="s">
        <v>1407</v>
      </c>
      <c r="Q331" s="158"/>
      <c r="R331" s="157"/>
      <c r="S331" s="114"/>
      <c r="T331" s="162" t="s">
        <v>29</v>
      </c>
      <c r="U331" s="65" t="s">
        <v>1388</v>
      </c>
      <c r="V331" s="162">
        <v>1907</v>
      </c>
      <c r="W331" s="165" t="s">
        <v>3919</v>
      </c>
      <c r="X331" s="218" t="s">
        <v>1481</v>
      </c>
      <c r="Y331" s="167">
        <v>44679.647939814815</v>
      </c>
    </row>
    <row r="332" spans="1:25">
      <c r="A332" s="131" t="s">
        <v>62</v>
      </c>
      <c r="B332" s="109" t="s">
        <v>1320</v>
      </c>
      <c r="C332" s="245" t="s">
        <v>805</v>
      </c>
      <c r="D332" s="162" t="s">
        <v>2116</v>
      </c>
      <c r="E332" s="65" t="s">
        <v>1398</v>
      </c>
      <c r="F332" s="162" t="s">
        <v>1388</v>
      </c>
      <c r="G332" s="65" t="s">
        <v>208</v>
      </c>
      <c r="H332" s="218">
        <v>4</v>
      </c>
      <c r="I332" s="65"/>
      <c r="J332" s="218">
        <v>1.8</v>
      </c>
      <c r="K332" s="108"/>
      <c r="L332" s="275">
        <v>7.2</v>
      </c>
      <c r="M332" s="65" t="s">
        <v>2117</v>
      </c>
      <c r="N332" s="219">
        <v>0</v>
      </c>
      <c r="O332" s="65" t="s">
        <v>55</v>
      </c>
      <c r="P332" s="162" t="s">
        <v>1362</v>
      </c>
      <c r="Q332" s="158"/>
      <c r="R332" s="157"/>
      <c r="S332" s="114"/>
      <c r="T332" s="162" t="s">
        <v>25</v>
      </c>
      <c r="U332" s="65" t="s">
        <v>1388</v>
      </c>
      <c r="V332" s="162">
        <v>1429</v>
      </c>
      <c r="W332" s="165"/>
      <c r="X332" s="218" t="s">
        <v>1400</v>
      </c>
      <c r="Y332" s="167">
        <v>44679.637916666667</v>
      </c>
    </row>
    <row r="333" spans="1:25" customFormat="1">
      <c r="A333" s="244" t="s">
        <v>100</v>
      </c>
      <c r="B333" s="253" t="s">
        <v>1320</v>
      </c>
      <c r="C333" s="245" t="s">
        <v>425</v>
      </c>
      <c r="D333" s="256" t="s">
        <v>426</v>
      </c>
      <c r="E333" s="248" t="s">
        <v>1419</v>
      </c>
      <c r="F333" s="256" t="s">
        <v>17</v>
      </c>
      <c r="G333" s="248" t="s">
        <v>427</v>
      </c>
      <c r="H333" s="246">
        <v>40</v>
      </c>
      <c r="I333" s="248"/>
      <c r="J333" s="246">
        <v>4.2</v>
      </c>
      <c r="K333" s="249"/>
      <c r="L333" s="281">
        <v>168</v>
      </c>
      <c r="M333" s="248" t="s">
        <v>2118</v>
      </c>
      <c r="N333" s="247"/>
      <c r="O333" s="248" t="s">
        <v>131</v>
      </c>
      <c r="P333" s="256" t="s">
        <v>1407</v>
      </c>
      <c r="Q333" s="250" t="s">
        <v>1363</v>
      </c>
      <c r="R333" s="260" t="s">
        <v>1534</v>
      </c>
      <c r="S333" s="251"/>
      <c r="T333" s="256" t="s">
        <v>25</v>
      </c>
      <c r="U333" s="248" t="s">
        <v>17</v>
      </c>
      <c r="V333" s="256">
        <v>1303</v>
      </c>
      <c r="W333" s="263"/>
      <c r="X333" s="218" t="s">
        <v>1363</v>
      </c>
      <c r="Y333" s="266">
        <v>44671.696030092593</v>
      </c>
    </row>
    <row r="334" spans="1:25">
      <c r="A334" s="131" t="s">
        <v>100</v>
      </c>
      <c r="B334" s="109" t="s">
        <v>1320</v>
      </c>
      <c r="C334" s="245" t="s">
        <v>425</v>
      </c>
      <c r="D334" s="162" t="s">
        <v>426</v>
      </c>
      <c r="E334" s="65" t="s">
        <v>1419</v>
      </c>
      <c r="F334" s="162" t="s">
        <v>17</v>
      </c>
      <c r="G334" s="65" t="s">
        <v>2119</v>
      </c>
      <c r="H334" s="218">
        <v>11</v>
      </c>
      <c r="I334" s="65"/>
      <c r="J334" s="218">
        <v>4.2</v>
      </c>
      <c r="K334" s="108"/>
      <c r="L334" s="275">
        <v>46.2</v>
      </c>
      <c r="M334" s="65" t="s">
        <v>2120</v>
      </c>
      <c r="N334" s="219"/>
      <c r="O334" s="65" t="s">
        <v>131</v>
      </c>
      <c r="P334" s="162" t="s">
        <v>1407</v>
      </c>
      <c r="Q334" s="158" t="s">
        <v>1363</v>
      </c>
      <c r="R334" s="157" t="s">
        <v>1534</v>
      </c>
      <c r="S334" s="114"/>
      <c r="T334" s="162" t="s">
        <v>25</v>
      </c>
      <c r="U334" s="65" t="s">
        <v>17</v>
      </c>
      <c r="V334" s="162">
        <v>1303</v>
      </c>
      <c r="W334" s="165"/>
      <c r="X334" s="218" t="s">
        <v>1363</v>
      </c>
      <c r="Y334" s="167">
        <v>44671.696030092593</v>
      </c>
    </row>
    <row r="335" spans="1:25">
      <c r="A335" s="131" t="s">
        <v>100</v>
      </c>
      <c r="B335" s="109" t="s">
        <v>1320</v>
      </c>
      <c r="C335" s="245" t="s">
        <v>425</v>
      </c>
      <c r="D335" s="162" t="s">
        <v>426</v>
      </c>
      <c r="E335" s="65" t="s">
        <v>1419</v>
      </c>
      <c r="F335" s="162" t="s">
        <v>17</v>
      </c>
      <c r="G335" s="65" t="s">
        <v>2121</v>
      </c>
      <c r="H335" s="218">
        <v>29</v>
      </c>
      <c r="I335" s="65"/>
      <c r="J335" s="218">
        <v>4.2</v>
      </c>
      <c r="K335" s="108"/>
      <c r="L335" s="275">
        <v>121.80000000000001</v>
      </c>
      <c r="M335" s="65" t="s">
        <v>2122</v>
      </c>
      <c r="N335" s="219"/>
      <c r="O335" s="65" t="s">
        <v>131</v>
      </c>
      <c r="P335" s="162" t="s">
        <v>1407</v>
      </c>
      <c r="Q335" s="158" t="s">
        <v>1363</v>
      </c>
      <c r="R335" s="157" t="s">
        <v>1534</v>
      </c>
      <c r="S335" s="114"/>
      <c r="T335" s="162" t="s">
        <v>25</v>
      </c>
      <c r="U335" s="65" t="s">
        <v>17</v>
      </c>
      <c r="V335" s="162">
        <v>1303</v>
      </c>
      <c r="W335" s="165"/>
      <c r="X335" s="218" t="s">
        <v>1363</v>
      </c>
      <c r="Y335" s="167">
        <v>44671.696030092593</v>
      </c>
    </row>
    <row r="336" spans="1:25">
      <c r="A336" s="131" t="s">
        <v>46</v>
      </c>
      <c r="B336" s="109" t="s">
        <v>1385</v>
      </c>
      <c r="C336" s="245" t="s">
        <v>2123</v>
      </c>
      <c r="D336" s="162" t="s">
        <v>2124</v>
      </c>
      <c r="E336" s="65" t="s">
        <v>1429</v>
      </c>
      <c r="F336" s="162" t="s">
        <v>1388</v>
      </c>
      <c r="G336" s="65" t="s">
        <v>208</v>
      </c>
      <c r="H336" s="218">
        <v>1</v>
      </c>
      <c r="I336" s="65"/>
      <c r="J336" s="218">
        <v>55</v>
      </c>
      <c r="K336" s="108"/>
      <c r="L336" s="275">
        <v>55</v>
      </c>
      <c r="M336" s="65" t="s">
        <v>2125</v>
      </c>
      <c r="N336" s="219">
        <v>0</v>
      </c>
      <c r="O336" s="65" t="s">
        <v>1285</v>
      </c>
      <c r="P336" s="162" t="s">
        <v>1407</v>
      </c>
      <c r="Q336" s="158"/>
      <c r="R336" s="157"/>
      <c r="S336" s="114"/>
      <c r="T336" s="162" t="s">
        <v>29</v>
      </c>
      <c r="U336" s="65" t="s">
        <v>1388</v>
      </c>
      <c r="V336" s="162">
        <v>1632</v>
      </c>
      <c r="W336" s="165"/>
      <c r="X336" s="218" t="s">
        <v>1400</v>
      </c>
      <c r="Y336" s="167">
        <v>44679.714247685188</v>
      </c>
    </row>
    <row r="337" spans="1:25">
      <c r="A337" s="131" t="s">
        <v>46</v>
      </c>
      <c r="B337" s="109" t="s">
        <v>1385</v>
      </c>
      <c r="C337" s="245" t="s">
        <v>2126</v>
      </c>
      <c r="D337" s="162" t="s">
        <v>343</v>
      </c>
      <c r="E337" s="65" t="s">
        <v>1469</v>
      </c>
      <c r="F337" s="162" t="s">
        <v>18</v>
      </c>
      <c r="G337" s="65" t="s">
        <v>208</v>
      </c>
      <c r="H337" s="218">
        <v>1</v>
      </c>
      <c r="I337" s="65"/>
      <c r="J337" s="218">
        <v>0</v>
      </c>
      <c r="K337" s="108"/>
      <c r="L337" s="275">
        <v>0</v>
      </c>
      <c r="M337" s="65" t="s">
        <v>1600</v>
      </c>
      <c r="N337" s="219">
        <v>0</v>
      </c>
      <c r="O337" s="65" t="s">
        <v>1285</v>
      </c>
      <c r="P337" s="162" t="s">
        <v>1407</v>
      </c>
      <c r="Q337" s="158"/>
      <c r="R337" s="157"/>
      <c r="S337" s="114"/>
      <c r="T337" s="162" t="s">
        <v>29</v>
      </c>
      <c r="U337" s="65" t="s">
        <v>18</v>
      </c>
      <c r="V337" s="162">
        <v>1926</v>
      </c>
      <c r="W337" s="165" t="s">
        <v>3971</v>
      </c>
      <c r="X337" s="218" t="s">
        <v>208</v>
      </c>
      <c r="Y337" s="167">
        <v>44721.601736111108</v>
      </c>
    </row>
    <row r="338" spans="1:25">
      <c r="A338" s="131" t="s">
        <v>62</v>
      </c>
      <c r="B338" s="109" t="s">
        <v>1385</v>
      </c>
      <c r="C338" s="245" t="s">
        <v>2127</v>
      </c>
      <c r="D338" s="162" t="s">
        <v>221</v>
      </c>
      <c r="E338" s="65" t="s">
        <v>1398</v>
      </c>
      <c r="F338" s="162" t="s">
        <v>1388</v>
      </c>
      <c r="G338" s="65" t="s">
        <v>208</v>
      </c>
      <c r="H338" s="218">
        <v>100</v>
      </c>
      <c r="I338" s="65"/>
      <c r="J338" s="218">
        <v>1</v>
      </c>
      <c r="K338" s="108"/>
      <c r="L338" s="275">
        <v>100</v>
      </c>
      <c r="M338" s="65" t="s">
        <v>1546</v>
      </c>
      <c r="N338" s="219"/>
      <c r="O338" s="65" t="s">
        <v>1285</v>
      </c>
      <c r="P338" s="162" t="s">
        <v>1407</v>
      </c>
      <c r="Q338" s="158"/>
      <c r="R338" s="157"/>
      <c r="S338" s="114"/>
      <c r="T338" s="162" t="s">
        <v>29</v>
      </c>
      <c r="U338" s="65" t="s">
        <v>1388</v>
      </c>
      <c r="V338" s="162">
        <v>1627</v>
      </c>
      <c r="W338" s="165"/>
      <c r="X338" s="218" t="s">
        <v>1363</v>
      </c>
      <c r="Y338" s="167">
        <v>44671.538344907407</v>
      </c>
    </row>
    <row r="339" spans="1:25">
      <c r="A339" s="131" t="s">
        <v>46</v>
      </c>
      <c r="B339" s="109" t="s">
        <v>1320</v>
      </c>
      <c r="C339" s="245" t="s">
        <v>2128</v>
      </c>
      <c r="D339" s="162" t="s">
        <v>2128</v>
      </c>
      <c r="E339" s="65" t="s">
        <v>1359</v>
      </c>
      <c r="F339" s="162" t="s">
        <v>21</v>
      </c>
      <c r="G339" s="65" t="s">
        <v>208</v>
      </c>
      <c r="H339" s="218">
        <v>1</v>
      </c>
      <c r="I339" s="65"/>
      <c r="J339" s="218">
        <v>3.9</v>
      </c>
      <c r="K339" s="108"/>
      <c r="L339" s="275">
        <v>3.9</v>
      </c>
      <c r="M339" s="65" t="s">
        <v>2129</v>
      </c>
      <c r="N339" s="219">
        <v>0</v>
      </c>
      <c r="O339" s="65" t="s">
        <v>55</v>
      </c>
      <c r="P339" s="162" t="s">
        <v>1362</v>
      </c>
      <c r="Q339" s="158"/>
      <c r="R339" s="157"/>
      <c r="S339" s="114"/>
      <c r="T339" s="162" t="s">
        <v>25</v>
      </c>
      <c r="U339" s="65" t="s">
        <v>21</v>
      </c>
      <c r="V339" s="162">
        <v>1438</v>
      </c>
      <c r="W339" s="165"/>
      <c r="X339" s="218" t="s">
        <v>1400</v>
      </c>
      <c r="Y339" s="167">
        <v>44679.621157407404</v>
      </c>
    </row>
    <row r="340" spans="1:25" ht="22.5">
      <c r="A340" s="131" t="s">
        <v>100</v>
      </c>
      <c r="B340" s="109" t="s">
        <v>1385</v>
      </c>
      <c r="C340" s="245" t="s">
        <v>2130</v>
      </c>
      <c r="D340" s="162" t="s">
        <v>1526</v>
      </c>
      <c r="E340" s="65"/>
      <c r="F340" s="162" t="s">
        <v>1388</v>
      </c>
      <c r="G340" s="65"/>
      <c r="H340" s="218"/>
      <c r="I340" s="65"/>
      <c r="J340" s="218">
        <v>115</v>
      </c>
      <c r="K340" s="108"/>
      <c r="L340" s="275">
        <v>115</v>
      </c>
      <c r="M340" s="65"/>
      <c r="N340" s="219"/>
      <c r="O340" s="65" t="s">
        <v>1285</v>
      </c>
      <c r="P340" s="162"/>
      <c r="Q340" s="158"/>
      <c r="R340" s="157"/>
      <c r="S340" s="114"/>
      <c r="T340" s="162" t="s">
        <v>29</v>
      </c>
      <c r="U340" s="65" t="s">
        <v>1388</v>
      </c>
      <c r="V340" s="162" t="s">
        <v>208</v>
      </c>
      <c r="W340" s="165" t="s">
        <v>2131</v>
      </c>
      <c r="X340" s="218"/>
      <c r="Y340" s="167" t="s">
        <v>208</v>
      </c>
    </row>
    <row r="341" spans="1:25">
      <c r="A341" s="131" t="s">
        <v>100</v>
      </c>
      <c r="B341" s="109" t="s">
        <v>1385</v>
      </c>
      <c r="C341" s="245" t="s">
        <v>2130</v>
      </c>
      <c r="D341" s="162" t="s">
        <v>1526</v>
      </c>
      <c r="E341" s="65" t="s">
        <v>1391</v>
      </c>
      <c r="F341" s="162" t="s">
        <v>21</v>
      </c>
      <c r="G341" s="65"/>
      <c r="H341" s="218"/>
      <c r="I341" s="65"/>
      <c r="J341" s="218"/>
      <c r="K341" s="108"/>
      <c r="L341" s="275"/>
      <c r="M341" s="65"/>
      <c r="N341" s="219"/>
      <c r="O341" s="65" t="s">
        <v>1285</v>
      </c>
      <c r="P341" s="162"/>
      <c r="Q341" s="158"/>
      <c r="R341" s="157"/>
      <c r="S341" s="114"/>
      <c r="T341" s="162" t="s">
        <v>29</v>
      </c>
      <c r="U341" s="65" t="s">
        <v>20</v>
      </c>
      <c r="V341" s="162" t="s">
        <v>208</v>
      </c>
      <c r="W341" s="165" t="s">
        <v>2131</v>
      </c>
      <c r="X341" s="218"/>
      <c r="Y341" s="167" t="s">
        <v>208</v>
      </c>
    </row>
    <row r="342" spans="1:25">
      <c r="A342" s="131" t="s">
        <v>46</v>
      </c>
      <c r="B342" s="109" t="s">
        <v>1320</v>
      </c>
      <c r="C342" s="245" t="s">
        <v>2132</v>
      </c>
      <c r="D342" s="162" t="s">
        <v>324</v>
      </c>
      <c r="E342" s="65" t="s">
        <v>1359</v>
      </c>
      <c r="F342" s="162" t="s">
        <v>1422</v>
      </c>
      <c r="G342" s="65" t="s">
        <v>2133</v>
      </c>
      <c r="H342" s="218">
        <v>4</v>
      </c>
      <c r="I342" s="65"/>
      <c r="J342" s="218">
        <v>1.264</v>
      </c>
      <c r="K342" s="108"/>
      <c r="L342" s="275">
        <v>5.056</v>
      </c>
      <c r="M342" s="65" t="s">
        <v>2134</v>
      </c>
      <c r="N342" s="219"/>
      <c r="O342" s="65" t="s">
        <v>55</v>
      </c>
      <c r="P342" s="162" t="s">
        <v>1362</v>
      </c>
      <c r="Q342" s="158"/>
      <c r="R342" s="157" t="s">
        <v>1382</v>
      </c>
      <c r="S342" s="114"/>
      <c r="T342" s="162" t="s">
        <v>25</v>
      </c>
      <c r="U342" s="65" t="s">
        <v>19</v>
      </c>
      <c r="V342" s="162">
        <v>1328</v>
      </c>
      <c r="W342" s="165"/>
      <c r="X342" s="218" t="s">
        <v>1363</v>
      </c>
      <c r="Y342" s="167">
        <v>44671.387858796297</v>
      </c>
    </row>
    <row r="343" spans="1:25">
      <c r="A343" s="131" t="s">
        <v>46</v>
      </c>
      <c r="B343" s="109" t="s">
        <v>1320</v>
      </c>
      <c r="C343" s="245" t="s">
        <v>2135</v>
      </c>
      <c r="D343" s="162" t="s">
        <v>75</v>
      </c>
      <c r="E343" s="65" t="s">
        <v>1359</v>
      </c>
      <c r="F343" s="162" t="s">
        <v>1422</v>
      </c>
      <c r="G343" s="65" t="s">
        <v>208</v>
      </c>
      <c r="H343" s="218">
        <v>6</v>
      </c>
      <c r="I343" s="65"/>
      <c r="J343" s="218">
        <v>1.123</v>
      </c>
      <c r="K343" s="108"/>
      <c r="L343" s="275">
        <v>6.7379999999999995</v>
      </c>
      <c r="M343" s="65" t="s">
        <v>2136</v>
      </c>
      <c r="N343" s="219"/>
      <c r="O343" s="65" t="s">
        <v>55</v>
      </c>
      <c r="P343" s="162" t="s">
        <v>1362</v>
      </c>
      <c r="Q343" s="158"/>
      <c r="R343" s="157" t="s">
        <v>1496</v>
      </c>
      <c r="S343" s="114"/>
      <c r="T343" s="162" t="s">
        <v>25</v>
      </c>
      <c r="U343" s="65" t="s">
        <v>19</v>
      </c>
      <c r="V343" s="162">
        <v>1071</v>
      </c>
      <c r="W343" s="165"/>
      <c r="X343" s="218" t="s">
        <v>1400</v>
      </c>
      <c r="Y343" s="167">
        <v>44732.465231481481</v>
      </c>
    </row>
    <row r="344" spans="1:25">
      <c r="A344" s="131" t="s">
        <v>46</v>
      </c>
      <c r="B344" s="109" t="s">
        <v>1385</v>
      </c>
      <c r="C344" s="245" t="s">
        <v>2137</v>
      </c>
      <c r="D344" s="162" t="s">
        <v>2138</v>
      </c>
      <c r="E344" s="65" t="s">
        <v>1581</v>
      </c>
      <c r="F344" s="162" t="s">
        <v>17</v>
      </c>
      <c r="G344" s="65" t="s">
        <v>208</v>
      </c>
      <c r="H344" s="218">
        <v>1</v>
      </c>
      <c r="I344" s="65"/>
      <c r="J344" s="218">
        <v>2000</v>
      </c>
      <c r="K344" s="108"/>
      <c r="L344" s="275">
        <v>2000</v>
      </c>
      <c r="M344" s="65" t="s">
        <v>2139</v>
      </c>
      <c r="N344" s="219"/>
      <c r="O344" s="65" t="s">
        <v>1285</v>
      </c>
      <c r="P344" s="162" t="s">
        <v>1407</v>
      </c>
      <c r="Q344" s="158" t="s">
        <v>2140</v>
      </c>
      <c r="R344" s="157"/>
      <c r="S344" s="114"/>
      <c r="T344" s="162" t="s">
        <v>29</v>
      </c>
      <c r="U344" s="65" t="s">
        <v>17</v>
      </c>
      <c r="V344" s="162">
        <v>2026</v>
      </c>
      <c r="W344" s="165"/>
      <c r="X344" s="218"/>
      <c r="Y344" s="167">
        <v>44721.537615740737</v>
      </c>
    </row>
    <row r="345" spans="1:25">
      <c r="A345" s="131" t="s">
        <v>62</v>
      </c>
      <c r="B345" s="109" t="s">
        <v>1385</v>
      </c>
      <c r="C345" s="245" t="s">
        <v>230</v>
      </c>
      <c r="D345" s="162" t="s">
        <v>231</v>
      </c>
      <c r="E345" s="65" t="s">
        <v>1429</v>
      </c>
      <c r="F345" s="162" t="s">
        <v>1388</v>
      </c>
      <c r="G345" s="65" t="s">
        <v>208</v>
      </c>
      <c r="H345" s="218">
        <v>1</v>
      </c>
      <c r="I345" s="65"/>
      <c r="J345" s="218">
        <v>180</v>
      </c>
      <c r="K345" s="108"/>
      <c r="L345" s="275">
        <v>180</v>
      </c>
      <c r="M345" s="65" t="s">
        <v>2141</v>
      </c>
      <c r="N345" s="219"/>
      <c r="O345" s="65" t="s">
        <v>27</v>
      </c>
      <c r="P345" s="162" t="s">
        <v>1407</v>
      </c>
      <c r="Q345" s="158" t="s">
        <v>2142</v>
      </c>
      <c r="R345" s="157" t="s">
        <v>1700</v>
      </c>
      <c r="S345" s="114"/>
      <c r="T345" s="162" t="s">
        <v>27</v>
      </c>
      <c r="U345" s="65" t="s">
        <v>1388</v>
      </c>
      <c r="V345" s="162">
        <v>1902</v>
      </c>
      <c r="W345" s="165"/>
      <c r="X345" s="218" t="s">
        <v>1453</v>
      </c>
      <c r="Y345" s="167">
        <v>44746.519837962966</v>
      </c>
    </row>
    <row r="346" spans="1:25">
      <c r="A346" s="131" t="s">
        <v>46</v>
      </c>
      <c r="B346" s="252" t="s">
        <v>1385</v>
      </c>
      <c r="C346" s="245" t="s">
        <v>4081</v>
      </c>
      <c r="D346" s="218" t="s">
        <v>1676</v>
      </c>
      <c r="E346" s="257"/>
      <c r="F346" s="218" t="s">
        <v>1388</v>
      </c>
      <c r="G346" s="257"/>
      <c r="H346" s="218"/>
      <c r="I346" s="257"/>
      <c r="J346" s="218"/>
      <c r="K346" s="258"/>
      <c r="L346" s="275">
        <v>250</v>
      </c>
      <c r="M346" s="257"/>
      <c r="N346" s="219"/>
      <c r="O346" s="257" t="s">
        <v>1285</v>
      </c>
      <c r="P346" s="218"/>
      <c r="Q346" s="259"/>
      <c r="R346" s="218" t="s">
        <v>208</v>
      </c>
      <c r="S346" s="261"/>
      <c r="T346" s="218" t="s">
        <v>29</v>
      </c>
      <c r="U346" s="257" t="s">
        <v>1388</v>
      </c>
      <c r="V346" s="218">
        <v>1965</v>
      </c>
      <c r="W346" s="262" t="s">
        <v>4082</v>
      </c>
      <c r="X346" s="218"/>
      <c r="Y346" s="265"/>
    </row>
    <row r="347" spans="1:25">
      <c r="A347" s="131" t="s">
        <v>100</v>
      </c>
      <c r="B347" s="109" t="s">
        <v>1320</v>
      </c>
      <c r="C347" s="245" t="s">
        <v>2143</v>
      </c>
      <c r="D347" s="162" t="s">
        <v>49</v>
      </c>
      <c r="E347" s="65" t="s">
        <v>1539</v>
      </c>
      <c r="F347" s="162" t="s">
        <v>18</v>
      </c>
      <c r="G347" s="65" t="s">
        <v>2144</v>
      </c>
      <c r="H347" s="218">
        <v>1</v>
      </c>
      <c r="I347" s="65"/>
      <c r="J347" s="218">
        <v>7.5</v>
      </c>
      <c r="K347" s="108"/>
      <c r="L347" s="275">
        <v>7.5</v>
      </c>
      <c r="M347" s="65" t="s">
        <v>1691</v>
      </c>
      <c r="N347" s="219"/>
      <c r="O347" s="65" t="s">
        <v>55</v>
      </c>
      <c r="P347" s="162" t="s">
        <v>1403</v>
      </c>
      <c r="Q347" s="158"/>
      <c r="R347" s="157" t="s">
        <v>1542</v>
      </c>
      <c r="S347" s="114"/>
      <c r="T347" s="162" t="s">
        <v>25</v>
      </c>
      <c r="U347" s="65" t="s">
        <v>18</v>
      </c>
      <c r="V347" s="162">
        <v>1072</v>
      </c>
      <c r="W347" s="165"/>
      <c r="X347" s="218" t="s">
        <v>1363</v>
      </c>
      <c r="Y347" s="167">
        <v>44665.668495370373</v>
      </c>
    </row>
    <row r="348" spans="1:25">
      <c r="A348" s="131" t="s">
        <v>100</v>
      </c>
      <c r="B348" s="109" t="s">
        <v>1320</v>
      </c>
      <c r="C348" s="245" t="s">
        <v>2143</v>
      </c>
      <c r="D348" s="162" t="s">
        <v>49</v>
      </c>
      <c r="E348" s="65" t="s">
        <v>1539</v>
      </c>
      <c r="F348" s="162" t="s">
        <v>18</v>
      </c>
      <c r="G348" s="65" t="s">
        <v>2144</v>
      </c>
      <c r="H348" s="218">
        <v>1</v>
      </c>
      <c r="I348" s="65"/>
      <c r="J348" s="218">
        <v>60</v>
      </c>
      <c r="K348" s="108"/>
      <c r="L348" s="275">
        <v>60</v>
      </c>
      <c r="M348" s="65" t="s">
        <v>1651</v>
      </c>
      <c r="N348" s="219"/>
      <c r="O348" s="65" t="s">
        <v>55</v>
      </c>
      <c r="P348" s="162" t="s">
        <v>1403</v>
      </c>
      <c r="Q348" s="158"/>
      <c r="R348" s="157" t="s">
        <v>1542</v>
      </c>
      <c r="S348" s="114"/>
      <c r="T348" s="162" t="s">
        <v>25</v>
      </c>
      <c r="U348" s="65" t="s">
        <v>18</v>
      </c>
      <c r="V348" s="162">
        <v>1072</v>
      </c>
      <c r="W348" s="165"/>
      <c r="X348" s="218" t="s">
        <v>1363</v>
      </c>
      <c r="Y348" s="167">
        <v>44665.668495370373</v>
      </c>
    </row>
    <row r="349" spans="1:25">
      <c r="A349" s="131" t="s">
        <v>100</v>
      </c>
      <c r="B349" s="109" t="s">
        <v>1320</v>
      </c>
      <c r="C349" s="245" t="s">
        <v>2143</v>
      </c>
      <c r="D349" s="162" t="s">
        <v>49</v>
      </c>
      <c r="E349" s="65" t="s">
        <v>1539</v>
      </c>
      <c r="F349" s="162" t="s">
        <v>18</v>
      </c>
      <c r="G349" s="65" t="s">
        <v>2145</v>
      </c>
      <c r="H349" s="218">
        <v>1</v>
      </c>
      <c r="I349" s="65"/>
      <c r="J349" s="218">
        <v>7.5</v>
      </c>
      <c r="K349" s="108"/>
      <c r="L349" s="275">
        <v>7.5</v>
      </c>
      <c r="M349" s="65" t="s">
        <v>1691</v>
      </c>
      <c r="N349" s="219"/>
      <c r="O349" s="65" t="s">
        <v>55</v>
      </c>
      <c r="P349" s="162" t="s">
        <v>1403</v>
      </c>
      <c r="Q349" s="158"/>
      <c r="R349" s="157" t="s">
        <v>1542</v>
      </c>
      <c r="S349" s="114"/>
      <c r="T349" s="162" t="s">
        <v>25</v>
      </c>
      <c r="U349" s="65" t="s">
        <v>18</v>
      </c>
      <c r="V349" s="162">
        <v>1072</v>
      </c>
      <c r="W349" s="165"/>
      <c r="X349" s="218" t="s">
        <v>1363</v>
      </c>
      <c r="Y349" s="167">
        <v>44665.668495370373</v>
      </c>
    </row>
    <row r="350" spans="1:25">
      <c r="A350" s="131" t="s">
        <v>100</v>
      </c>
      <c r="B350" s="109" t="s">
        <v>1320</v>
      </c>
      <c r="C350" s="245" t="s">
        <v>2143</v>
      </c>
      <c r="D350" s="162" t="s">
        <v>49</v>
      </c>
      <c r="E350" s="65" t="s">
        <v>1539</v>
      </c>
      <c r="F350" s="162" t="s">
        <v>18</v>
      </c>
      <c r="G350" s="65" t="s">
        <v>2145</v>
      </c>
      <c r="H350" s="218">
        <v>1</v>
      </c>
      <c r="I350" s="65"/>
      <c r="J350" s="218">
        <v>60</v>
      </c>
      <c r="K350" s="108"/>
      <c r="L350" s="275">
        <v>60</v>
      </c>
      <c r="M350" s="65" t="s">
        <v>1651</v>
      </c>
      <c r="N350" s="219"/>
      <c r="O350" s="65" t="s">
        <v>55</v>
      </c>
      <c r="P350" s="162" t="s">
        <v>1403</v>
      </c>
      <c r="Q350" s="158"/>
      <c r="R350" s="157" t="s">
        <v>1542</v>
      </c>
      <c r="S350" s="114"/>
      <c r="T350" s="162" t="s">
        <v>25</v>
      </c>
      <c r="U350" s="65" t="s">
        <v>18</v>
      </c>
      <c r="V350" s="162">
        <v>1072</v>
      </c>
      <c r="W350" s="165"/>
      <c r="X350" s="218" t="s">
        <v>1363</v>
      </c>
      <c r="Y350" s="167">
        <v>44665.668495370373</v>
      </c>
    </row>
    <row r="351" spans="1:25">
      <c r="A351" s="131" t="s">
        <v>100</v>
      </c>
      <c r="B351" s="109" t="s">
        <v>1320</v>
      </c>
      <c r="C351" s="245" t="s">
        <v>2146</v>
      </c>
      <c r="D351" s="162" t="s">
        <v>2147</v>
      </c>
      <c r="E351" s="65" t="s">
        <v>1569</v>
      </c>
      <c r="F351" s="162" t="s">
        <v>18</v>
      </c>
      <c r="G351" s="65" t="s">
        <v>2148</v>
      </c>
      <c r="H351" s="218">
        <v>1</v>
      </c>
      <c r="I351" s="65"/>
      <c r="J351" s="218">
        <v>4.5</v>
      </c>
      <c r="K351" s="108"/>
      <c r="L351" s="275">
        <v>4.5</v>
      </c>
      <c r="M351" s="65" t="s">
        <v>2149</v>
      </c>
      <c r="N351" s="219"/>
      <c r="O351" s="65" t="s">
        <v>55</v>
      </c>
      <c r="P351" s="162" t="s">
        <v>1362</v>
      </c>
      <c r="Q351" s="158"/>
      <c r="R351" s="157"/>
      <c r="S351" s="114"/>
      <c r="T351" s="162" t="s">
        <v>25</v>
      </c>
      <c r="U351" s="65" t="s">
        <v>18</v>
      </c>
      <c r="V351" s="162">
        <v>1073</v>
      </c>
      <c r="W351" s="165"/>
      <c r="X351" s="218" t="s">
        <v>1400</v>
      </c>
      <c r="Y351" s="167">
        <v>44069.422476851854</v>
      </c>
    </row>
    <row r="352" spans="1:25">
      <c r="A352" s="131" t="s">
        <v>62</v>
      </c>
      <c r="B352" s="109" t="s">
        <v>1385</v>
      </c>
      <c r="C352" s="245" t="s">
        <v>2150</v>
      </c>
      <c r="D352" s="162" t="s">
        <v>2151</v>
      </c>
      <c r="E352" s="65" t="s">
        <v>1398</v>
      </c>
      <c r="F352" s="162" t="s">
        <v>1388</v>
      </c>
      <c r="G352" s="65" t="s">
        <v>208</v>
      </c>
      <c r="H352" s="218">
        <v>1</v>
      </c>
      <c r="I352" s="65"/>
      <c r="J352" s="218">
        <v>78</v>
      </c>
      <c r="K352" s="108"/>
      <c r="L352" s="275">
        <v>78</v>
      </c>
      <c r="M352" s="65" t="s">
        <v>2152</v>
      </c>
      <c r="N352" s="219">
        <v>0</v>
      </c>
      <c r="O352" s="65" t="s">
        <v>1285</v>
      </c>
      <c r="P352" s="162" t="s">
        <v>1407</v>
      </c>
      <c r="Q352" s="158"/>
      <c r="R352" s="157"/>
      <c r="S352" s="114"/>
      <c r="T352" s="162" t="s">
        <v>29</v>
      </c>
      <c r="U352" s="65" t="s">
        <v>1388</v>
      </c>
      <c r="V352" s="162">
        <v>1711</v>
      </c>
      <c r="W352" s="165"/>
      <c r="X352" s="225" t="s">
        <v>1453</v>
      </c>
      <c r="Y352" s="167">
        <v>44741.517187500001</v>
      </c>
    </row>
    <row r="353" spans="1:25">
      <c r="A353" s="131" t="s">
        <v>100</v>
      </c>
      <c r="B353" s="109" t="s">
        <v>1385</v>
      </c>
      <c r="C353" s="245" t="s">
        <v>2153</v>
      </c>
      <c r="D353" s="162" t="s">
        <v>2154</v>
      </c>
      <c r="E353" s="65"/>
      <c r="F353" s="162" t="s">
        <v>21</v>
      </c>
      <c r="G353" s="65"/>
      <c r="H353" s="218"/>
      <c r="I353" s="65"/>
      <c r="J353" s="218"/>
      <c r="K353" s="108"/>
      <c r="L353" s="275">
        <v>300</v>
      </c>
      <c r="M353" s="65"/>
      <c r="N353" s="219"/>
      <c r="O353" s="65" t="s">
        <v>1285</v>
      </c>
      <c r="P353" s="162"/>
      <c r="Q353" s="158"/>
      <c r="R353" s="157" t="s">
        <v>208</v>
      </c>
      <c r="S353" s="114"/>
      <c r="T353" s="162" t="s">
        <v>29</v>
      </c>
      <c r="U353" s="65" t="s">
        <v>20</v>
      </c>
      <c r="V353" s="162" t="s">
        <v>208</v>
      </c>
      <c r="W353" s="165" t="s">
        <v>2155</v>
      </c>
      <c r="X353" s="218"/>
      <c r="Y353" s="167" t="s">
        <v>208</v>
      </c>
    </row>
    <row r="354" spans="1:25">
      <c r="A354" s="131" t="s">
        <v>100</v>
      </c>
      <c r="B354" s="109" t="s">
        <v>1385</v>
      </c>
      <c r="C354" s="245" t="s">
        <v>2156</v>
      </c>
      <c r="D354" s="162" t="s">
        <v>2157</v>
      </c>
      <c r="E354" s="65" t="s">
        <v>1527</v>
      </c>
      <c r="F354" s="162" t="s">
        <v>1388</v>
      </c>
      <c r="G354" s="65"/>
      <c r="H354" s="218">
        <v>40</v>
      </c>
      <c r="I354" s="65"/>
      <c r="J354" s="218">
        <v>176</v>
      </c>
      <c r="K354" s="108"/>
      <c r="L354" s="281">
        <v>150</v>
      </c>
      <c r="M354" s="65"/>
      <c r="N354" s="219"/>
      <c r="O354" s="65" t="s">
        <v>1285</v>
      </c>
      <c r="P354" s="162"/>
      <c r="Q354" s="158"/>
      <c r="R354" s="157" t="s">
        <v>208</v>
      </c>
      <c r="S354" s="114"/>
      <c r="T354" s="162" t="s">
        <v>29</v>
      </c>
      <c r="U354" s="65" t="s">
        <v>1388</v>
      </c>
      <c r="V354" s="162" t="s">
        <v>208</v>
      </c>
      <c r="W354" s="165" t="s">
        <v>2158</v>
      </c>
      <c r="X354" s="218"/>
      <c r="Y354" s="167" t="s">
        <v>208</v>
      </c>
    </row>
    <row r="355" spans="1:25">
      <c r="A355" s="131" t="s">
        <v>100</v>
      </c>
      <c r="B355" s="109" t="s">
        <v>1320</v>
      </c>
      <c r="C355" s="245" t="s">
        <v>361</v>
      </c>
      <c r="D355" s="162" t="s">
        <v>362</v>
      </c>
      <c r="E355" s="65" t="s">
        <v>1419</v>
      </c>
      <c r="F355" s="162" t="s">
        <v>17</v>
      </c>
      <c r="G355" s="65" t="s">
        <v>363</v>
      </c>
      <c r="H355" s="218">
        <v>22</v>
      </c>
      <c r="I355" s="65"/>
      <c r="J355" s="218">
        <v>3.8</v>
      </c>
      <c r="K355" s="108"/>
      <c r="L355" s="275">
        <v>83.6</v>
      </c>
      <c r="M355" s="65" t="s">
        <v>2159</v>
      </c>
      <c r="N355" s="219"/>
      <c r="O355" s="65" t="s">
        <v>55</v>
      </c>
      <c r="P355" s="162" t="s">
        <v>1407</v>
      </c>
      <c r="Q355" s="158"/>
      <c r="R355" s="157" t="s">
        <v>1547</v>
      </c>
      <c r="S355" s="114"/>
      <c r="T355" s="162" t="s">
        <v>25</v>
      </c>
      <c r="U355" s="65" t="s">
        <v>17</v>
      </c>
      <c r="V355" s="162">
        <v>1113</v>
      </c>
      <c r="W355" s="165"/>
      <c r="X355" s="218" t="s">
        <v>1404</v>
      </c>
      <c r="Y355" s="167">
        <v>44693.43478009259</v>
      </c>
    </row>
    <row r="356" spans="1:25">
      <c r="A356" s="131" t="s">
        <v>62</v>
      </c>
      <c r="B356" s="109" t="s">
        <v>1320</v>
      </c>
      <c r="C356" s="245" t="s">
        <v>586</v>
      </c>
      <c r="D356" s="162" t="s">
        <v>587</v>
      </c>
      <c r="E356" s="65" t="s">
        <v>1429</v>
      </c>
      <c r="F356" s="162" t="s">
        <v>1388</v>
      </c>
      <c r="G356" s="65" t="s">
        <v>2160</v>
      </c>
      <c r="H356" s="218">
        <v>32</v>
      </c>
      <c r="I356" s="65"/>
      <c r="J356" s="218">
        <v>2.25</v>
      </c>
      <c r="K356" s="108"/>
      <c r="L356" s="275">
        <v>72</v>
      </c>
      <c r="M356" s="65" t="s">
        <v>1626</v>
      </c>
      <c r="N356" s="219"/>
      <c r="O356" s="65" t="s">
        <v>55</v>
      </c>
      <c r="P356" s="162" t="s">
        <v>1407</v>
      </c>
      <c r="Q356" s="158"/>
      <c r="R356" s="157" t="s">
        <v>1452</v>
      </c>
      <c r="S356" s="114"/>
      <c r="T356" s="162" t="s">
        <v>25</v>
      </c>
      <c r="U356" s="65" t="s">
        <v>1388</v>
      </c>
      <c r="V356" s="162">
        <v>1443</v>
      </c>
      <c r="W356" s="165"/>
      <c r="X356" s="218" t="s">
        <v>1404</v>
      </c>
      <c r="Y356" s="167">
        <v>44693.448125000003</v>
      </c>
    </row>
    <row r="357" spans="1:25">
      <c r="A357" s="131" t="s">
        <v>80</v>
      </c>
      <c r="B357" s="109" t="s">
        <v>1385</v>
      </c>
      <c r="C357" s="245" t="s">
        <v>4016</v>
      </c>
      <c r="D357" s="162" t="s">
        <v>1789</v>
      </c>
      <c r="E357" s="65"/>
      <c r="F357" s="162" t="s">
        <v>1529</v>
      </c>
      <c r="G357" s="65"/>
      <c r="H357" s="218"/>
      <c r="I357" s="65"/>
      <c r="J357" s="242"/>
      <c r="K357" s="108"/>
      <c r="L357" s="282">
        <v>60</v>
      </c>
      <c r="M357" s="243"/>
      <c r="N357" s="219"/>
      <c r="O357" s="65" t="s">
        <v>1285</v>
      </c>
      <c r="P357" s="162"/>
      <c r="Q357" s="158"/>
      <c r="R357" s="157"/>
      <c r="S357" s="114"/>
      <c r="T357" s="162" t="s">
        <v>29</v>
      </c>
      <c r="U357" s="65" t="s">
        <v>20</v>
      </c>
      <c r="V357" s="162"/>
      <c r="W357" s="165" t="s">
        <v>4044</v>
      </c>
      <c r="X357" s="218"/>
      <c r="Y357" s="167"/>
    </row>
    <row r="358" spans="1:25" ht="22.5">
      <c r="A358" s="131" t="s">
        <v>100</v>
      </c>
      <c r="B358" s="109" t="s">
        <v>1320</v>
      </c>
      <c r="C358" s="245" t="s">
        <v>203</v>
      </c>
      <c r="D358" s="162" t="s">
        <v>204</v>
      </c>
      <c r="E358" s="65" t="s">
        <v>1365</v>
      </c>
      <c r="F358" s="162" t="s">
        <v>1431</v>
      </c>
      <c r="G358" s="65" t="s">
        <v>208</v>
      </c>
      <c r="H358" s="218">
        <v>2</v>
      </c>
      <c r="I358" s="65"/>
      <c r="J358" s="218">
        <v>0.88</v>
      </c>
      <c r="K358" s="108"/>
      <c r="L358" s="275">
        <v>1.76</v>
      </c>
      <c r="M358" s="65" t="s">
        <v>2161</v>
      </c>
      <c r="N358" s="219"/>
      <c r="O358" s="65" t="s">
        <v>55</v>
      </c>
      <c r="P358" s="162" t="s">
        <v>1362</v>
      </c>
      <c r="Q358" s="158"/>
      <c r="R358" s="157"/>
      <c r="S358" s="114"/>
      <c r="T358" s="162" t="s">
        <v>25</v>
      </c>
      <c r="U358" s="65" t="s">
        <v>21</v>
      </c>
      <c r="V358" s="162">
        <v>1994</v>
      </c>
      <c r="W358" s="165"/>
      <c r="X358" s="218" t="s">
        <v>208</v>
      </c>
      <c r="Y358" s="167">
        <v>44568.388645833336</v>
      </c>
    </row>
    <row r="359" spans="1:25" ht="22.5">
      <c r="A359" s="131" t="s">
        <v>100</v>
      </c>
      <c r="B359" s="109" t="s">
        <v>1320</v>
      </c>
      <c r="C359" s="245" t="s">
        <v>2162</v>
      </c>
      <c r="D359" s="162" t="s">
        <v>204</v>
      </c>
      <c r="E359" s="65" t="s">
        <v>1365</v>
      </c>
      <c r="F359" s="162" t="s">
        <v>1431</v>
      </c>
      <c r="G359" s="65" t="s">
        <v>208</v>
      </c>
      <c r="H359" s="218">
        <v>2</v>
      </c>
      <c r="I359" s="65"/>
      <c r="J359" s="218">
        <v>1.5</v>
      </c>
      <c r="K359" s="108"/>
      <c r="L359" s="275">
        <v>3</v>
      </c>
      <c r="M359" s="65" t="s">
        <v>2163</v>
      </c>
      <c r="N359" s="219"/>
      <c r="O359" s="65" t="s">
        <v>55</v>
      </c>
      <c r="P359" s="162" t="s">
        <v>1362</v>
      </c>
      <c r="Q359" s="158"/>
      <c r="R359" s="157"/>
      <c r="S359" s="114"/>
      <c r="T359" s="162" t="s">
        <v>25</v>
      </c>
      <c r="U359" s="65" t="s">
        <v>21</v>
      </c>
      <c r="V359" s="162">
        <v>1858</v>
      </c>
      <c r="W359" s="165"/>
      <c r="X359" s="218" t="s">
        <v>208</v>
      </c>
      <c r="Y359" s="167">
        <v>44341.58016203704</v>
      </c>
    </row>
    <row r="360" spans="1:25">
      <c r="A360" s="131" t="s">
        <v>46</v>
      </c>
      <c r="B360" s="109" t="s">
        <v>1320</v>
      </c>
      <c r="C360" s="245" t="s">
        <v>147</v>
      </c>
      <c r="D360" s="162" t="s">
        <v>148</v>
      </c>
      <c r="E360" s="65" t="s">
        <v>1596</v>
      </c>
      <c r="F360" s="162" t="s">
        <v>1597</v>
      </c>
      <c r="G360" s="65" t="s">
        <v>2164</v>
      </c>
      <c r="H360" s="218">
        <v>1</v>
      </c>
      <c r="I360" s="65"/>
      <c r="J360" s="218">
        <v>720</v>
      </c>
      <c r="K360" s="108"/>
      <c r="L360" s="275">
        <v>720</v>
      </c>
      <c r="M360" s="65" t="s">
        <v>2165</v>
      </c>
      <c r="N360" s="219"/>
      <c r="O360" s="65" t="s">
        <v>2166</v>
      </c>
      <c r="P360" s="162" t="s">
        <v>1403</v>
      </c>
      <c r="Q360" s="158"/>
      <c r="R360" s="157" t="s">
        <v>1382</v>
      </c>
      <c r="S360" s="114">
        <v>45888</v>
      </c>
      <c r="T360" s="162" t="s">
        <v>24</v>
      </c>
      <c r="U360" s="65" t="s">
        <v>12</v>
      </c>
      <c r="V360" s="162">
        <v>1074</v>
      </c>
      <c r="W360" s="165"/>
      <c r="X360" s="218" t="s">
        <v>1363</v>
      </c>
      <c r="Y360" s="167">
        <v>44665.672442129631</v>
      </c>
    </row>
    <row r="361" spans="1:25">
      <c r="A361" s="131" t="s">
        <v>46</v>
      </c>
      <c r="B361" s="109" t="s">
        <v>1320</v>
      </c>
      <c r="C361" s="245" t="s">
        <v>147</v>
      </c>
      <c r="D361" s="162" t="s">
        <v>148</v>
      </c>
      <c r="E361" s="65" t="s">
        <v>1596</v>
      </c>
      <c r="F361" s="162" t="s">
        <v>1597</v>
      </c>
      <c r="G361" s="65" t="s">
        <v>2167</v>
      </c>
      <c r="H361" s="218">
        <v>1</v>
      </c>
      <c r="I361" s="65"/>
      <c r="J361" s="218">
        <v>720</v>
      </c>
      <c r="K361" s="108"/>
      <c r="L361" s="275">
        <v>720</v>
      </c>
      <c r="M361" s="65" t="s">
        <v>2165</v>
      </c>
      <c r="N361" s="219"/>
      <c r="O361" s="65" t="s">
        <v>2166</v>
      </c>
      <c r="P361" s="162" t="s">
        <v>1403</v>
      </c>
      <c r="Q361" s="158"/>
      <c r="R361" s="157" t="s">
        <v>1382</v>
      </c>
      <c r="S361" s="114">
        <v>45888</v>
      </c>
      <c r="T361" s="162" t="s">
        <v>24</v>
      </c>
      <c r="U361" s="65" t="s">
        <v>12</v>
      </c>
      <c r="V361" s="162">
        <v>1074</v>
      </c>
      <c r="W361" s="165"/>
      <c r="X361" s="218" t="s">
        <v>1363</v>
      </c>
      <c r="Y361" s="167">
        <v>44665.672442129631</v>
      </c>
    </row>
    <row r="362" spans="1:25">
      <c r="A362" s="131" t="s">
        <v>46</v>
      </c>
      <c r="B362" s="109" t="s">
        <v>1320</v>
      </c>
      <c r="C362" s="245" t="s">
        <v>147</v>
      </c>
      <c r="D362" s="162" t="s">
        <v>148</v>
      </c>
      <c r="E362" s="65" t="s">
        <v>1596</v>
      </c>
      <c r="F362" s="162" t="s">
        <v>1597</v>
      </c>
      <c r="G362" s="65" t="s">
        <v>2168</v>
      </c>
      <c r="H362" s="218">
        <v>1</v>
      </c>
      <c r="I362" s="65"/>
      <c r="J362" s="218">
        <v>720</v>
      </c>
      <c r="K362" s="108"/>
      <c r="L362" s="275">
        <v>720</v>
      </c>
      <c r="M362" s="65" t="s">
        <v>2165</v>
      </c>
      <c r="N362" s="219"/>
      <c r="O362" s="65" t="s">
        <v>2166</v>
      </c>
      <c r="P362" s="162" t="s">
        <v>1403</v>
      </c>
      <c r="Q362" s="158"/>
      <c r="R362" s="157" t="s">
        <v>1382</v>
      </c>
      <c r="S362" s="114">
        <v>45888</v>
      </c>
      <c r="T362" s="162" t="s">
        <v>24</v>
      </c>
      <c r="U362" s="65" t="s">
        <v>12</v>
      </c>
      <c r="V362" s="162">
        <v>1074</v>
      </c>
      <c r="W362" s="165"/>
      <c r="X362" s="218" t="s">
        <v>1363</v>
      </c>
      <c r="Y362" s="167">
        <v>44665.672442129631</v>
      </c>
    </row>
    <row r="363" spans="1:25">
      <c r="A363" s="131" t="s">
        <v>46</v>
      </c>
      <c r="B363" s="109" t="s">
        <v>1320</v>
      </c>
      <c r="C363" s="245" t="s">
        <v>147</v>
      </c>
      <c r="D363" s="162" t="s">
        <v>148</v>
      </c>
      <c r="E363" s="65" t="s">
        <v>1596</v>
      </c>
      <c r="F363" s="162" t="s">
        <v>1597</v>
      </c>
      <c r="G363" s="65" t="s">
        <v>2169</v>
      </c>
      <c r="H363" s="218">
        <v>1</v>
      </c>
      <c r="I363" s="65"/>
      <c r="J363" s="218">
        <v>720</v>
      </c>
      <c r="K363" s="108"/>
      <c r="L363" s="275">
        <v>720</v>
      </c>
      <c r="M363" s="65" t="s">
        <v>2165</v>
      </c>
      <c r="N363" s="219"/>
      <c r="O363" s="65" t="s">
        <v>2166</v>
      </c>
      <c r="P363" s="162" t="s">
        <v>1403</v>
      </c>
      <c r="Q363" s="158"/>
      <c r="R363" s="157" t="s">
        <v>1382</v>
      </c>
      <c r="S363" s="114">
        <v>45888</v>
      </c>
      <c r="T363" s="162" t="s">
        <v>24</v>
      </c>
      <c r="U363" s="65" t="s">
        <v>12</v>
      </c>
      <c r="V363" s="162">
        <v>1074</v>
      </c>
      <c r="W363" s="165"/>
      <c r="X363" s="218" t="s">
        <v>1363</v>
      </c>
      <c r="Y363" s="167">
        <v>44665.672442129631</v>
      </c>
    </row>
    <row r="364" spans="1:25">
      <c r="A364" s="131" t="s">
        <v>46</v>
      </c>
      <c r="B364" s="109" t="s">
        <v>1385</v>
      </c>
      <c r="C364" s="245" t="s">
        <v>2170</v>
      </c>
      <c r="D364" s="162" t="s">
        <v>2060</v>
      </c>
      <c r="E364" s="65" t="s">
        <v>1391</v>
      </c>
      <c r="F364" s="162" t="s">
        <v>21</v>
      </c>
      <c r="G364" s="65" t="s">
        <v>208</v>
      </c>
      <c r="H364" s="218">
        <v>1</v>
      </c>
      <c r="I364" s="65"/>
      <c r="J364" s="218">
        <v>460</v>
      </c>
      <c r="K364" s="108"/>
      <c r="L364" s="275">
        <v>460</v>
      </c>
      <c r="M364" s="65" t="s">
        <v>2171</v>
      </c>
      <c r="N364" s="219">
        <v>920</v>
      </c>
      <c r="O364" s="65" t="s">
        <v>1285</v>
      </c>
      <c r="P364" s="162" t="s">
        <v>1403</v>
      </c>
      <c r="Q364" s="158" t="s">
        <v>2172</v>
      </c>
      <c r="R364" s="157"/>
      <c r="S364" s="114"/>
      <c r="T364" s="162" t="s">
        <v>29</v>
      </c>
      <c r="U364" s="65" t="s">
        <v>20</v>
      </c>
      <c r="V364" s="162">
        <v>1870</v>
      </c>
      <c r="W364" s="165" t="s">
        <v>3934</v>
      </c>
      <c r="X364" s="218" t="s">
        <v>1363</v>
      </c>
      <c r="Y364" s="167">
        <v>44671.326249999998</v>
      </c>
    </row>
    <row r="365" spans="1:25">
      <c r="A365" s="131" t="s">
        <v>46</v>
      </c>
      <c r="B365" s="109" t="s">
        <v>1385</v>
      </c>
      <c r="C365" s="245" t="s">
        <v>2173</v>
      </c>
      <c r="D365" s="162" t="s">
        <v>2060</v>
      </c>
      <c r="E365" s="65" t="s">
        <v>1391</v>
      </c>
      <c r="F365" s="162" t="s">
        <v>21</v>
      </c>
      <c r="G365" s="65" t="s">
        <v>208</v>
      </c>
      <c r="H365" s="218">
        <v>1</v>
      </c>
      <c r="I365" s="65"/>
      <c r="J365" s="218">
        <v>240</v>
      </c>
      <c r="K365" s="108"/>
      <c r="L365" s="275">
        <v>240</v>
      </c>
      <c r="M365" s="65" t="s">
        <v>1456</v>
      </c>
      <c r="N365" s="219">
        <v>480</v>
      </c>
      <c r="O365" s="65" t="s">
        <v>1285</v>
      </c>
      <c r="P365" s="162" t="s">
        <v>1403</v>
      </c>
      <c r="Q365" s="158"/>
      <c r="R365" s="157"/>
      <c r="S365" s="114"/>
      <c r="T365" s="162" t="s">
        <v>29</v>
      </c>
      <c r="U365" s="65" t="s">
        <v>20</v>
      </c>
      <c r="V365" s="162">
        <v>1870</v>
      </c>
      <c r="W365" s="165" t="s">
        <v>3934</v>
      </c>
      <c r="X365" s="218" t="s">
        <v>1363</v>
      </c>
      <c r="Y365" s="167">
        <v>44671.326249999998</v>
      </c>
    </row>
    <row r="366" spans="1:25">
      <c r="A366" s="131" t="s">
        <v>46</v>
      </c>
      <c r="B366" s="109" t="s">
        <v>1385</v>
      </c>
      <c r="C366" s="245" t="s">
        <v>2174</v>
      </c>
      <c r="D366" s="162" t="s">
        <v>2060</v>
      </c>
      <c r="E366" s="65" t="s">
        <v>1391</v>
      </c>
      <c r="F366" s="162" t="s">
        <v>21</v>
      </c>
      <c r="G366" s="65" t="s">
        <v>208</v>
      </c>
      <c r="H366" s="218">
        <v>1</v>
      </c>
      <c r="I366" s="65"/>
      <c r="J366" s="218">
        <v>0</v>
      </c>
      <c r="K366" s="108"/>
      <c r="L366" s="275">
        <v>0</v>
      </c>
      <c r="M366" s="65" t="s">
        <v>1600</v>
      </c>
      <c r="N366" s="219">
        <v>1400</v>
      </c>
      <c r="O366" s="65" t="s">
        <v>1285</v>
      </c>
      <c r="P366" s="162" t="s">
        <v>1403</v>
      </c>
      <c r="Q366" s="158"/>
      <c r="R366" s="157"/>
      <c r="S366" s="114"/>
      <c r="T366" s="162" t="s">
        <v>29</v>
      </c>
      <c r="U366" s="65" t="s">
        <v>20</v>
      </c>
      <c r="V366" s="162">
        <v>1870</v>
      </c>
      <c r="W366" s="165" t="s">
        <v>3934</v>
      </c>
      <c r="X366" s="218" t="s">
        <v>1363</v>
      </c>
      <c r="Y366" s="167">
        <v>44671.326249999998</v>
      </c>
    </row>
    <row r="367" spans="1:25">
      <c r="A367" s="131" t="s">
        <v>46</v>
      </c>
      <c r="B367" s="109" t="s">
        <v>1320</v>
      </c>
      <c r="C367" s="245" t="s">
        <v>488</v>
      </c>
      <c r="D367" s="162" t="s">
        <v>148</v>
      </c>
      <c r="E367" s="65" t="s">
        <v>1493</v>
      </c>
      <c r="F367" s="162" t="s">
        <v>1431</v>
      </c>
      <c r="G367" s="65" t="s">
        <v>489</v>
      </c>
      <c r="H367" s="218">
        <v>1</v>
      </c>
      <c r="I367" s="65"/>
      <c r="J367" s="218">
        <v>41.5</v>
      </c>
      <c r="K367" s="108"/>
      <c r="L367" s="275">
        <v>41.5</v>
      </c>
      <c r="M367" s="65" t="s">
        <v>2175</v>
      </c>
      <c r="N367" s="219"/>
      <c r="O367" s="65" t="s">
        <v>55</v>
      </c>
      <c r="P367" s="162" t="s">
        <v>1362</v>
      </c>
      <c r="Q367" s="158"/>
      <c r="R367" s="157" t="s">
        <v>2176</v>
      </c>
      <c r="S367" s="114"/>
      <c r="T367" s="162" t="s">
        <v>25</v>
      </c>
      <c r="U367" s="65" t="s">
        <v>14</v>
      </c>
      <c r="V367" s="162">
        <v>1075</v>
      </c>
      <c r="W367" s="165"/>
      <c r="X367" s="218" t="s">
        <v>1363</v>
      </c>
      <c r="Y367" s="167">
        <v>44672.651655092595</v>
      </c>
    </row>
    <row r="368" spans="1:25">
      <c r="A368" s="131" t="s">
        <v>46</v>
      </c>
      <c r="B368" s="109" t="s">
        <v>1320</v>
      </c>
      <c r="C368" s="245" t="s">
        <v>2177</v>
      </c>
      <c r="D368" s="162" t="s">
        <v>59</v>
      </c>
      <c r="E368" s="65" t="s">
        <v>1365</v>
      </c>
      <c r="F368" s="162" t="s">
        <v>1360</v>
      </c>
      <c r="G368" s="65" t="s">
        <v>208</v>
      </c>
      <c r="H368" s="218">
        <v>1</v>
      </c>
      <c r="I368" s="65"/>
      <c r="J368" s="218">
        <v>0.38600000000000001</v>
      </c>
      <c r="K368" s="108"/>
      <c r="L368" s="275">
        <v>0.38600000000000001</v>
      </c>
      <c r="M368" s="65" t="s">
        <v>1371</v>
      </c>
      <c r="N368" s="219"/>
      <c r="O368" s="65" t="s">
        <v>55</v>
      </c>
      <c r="P368" s="162" t="s">
        <v>1362</v>
      </c>
      <c r="Q368" s="158"/>
      <c r="R368" s="157"/>
      <c r="S368" s="114"/>
      <c r="T368" s="162" t="s">
        <v>25</v>
      </c>
      <c r="U368" s="65" t="s">
        <v>15</v>
      </c>
      <c r="V368" s="162">
        <v>1363</v>
      </c>
      <c r="W368" s="165"/>
      <c r="X368" s="218" t="s">
        <v>1363</v>
      </c>
      <c r="Y368" s="167">
        <v>44273.775462962964</v>
      </c>
    </row>
    <row r="369" spans="1:25">
      <c r="A369" s="131" t="s">
        <v>80</v>
      </c>
      <c r="B369" s="109" t="s">
        <v>1385</v>
      </c>
      <c r="C369" s="245" t="s">
        <v>2178</v>
      </c>
      <c r="D369" s="162" t="s">
        <v>2179</v>
      </c>
      <c r="E369" s="65" t="s">
        <v>1419</v>
      </c>
      <c r="F369" s="162" t="s">
        <v>17</v>
      </c>
      <c r="G369" s="65" t="s">
        <v>208</v>
      </c>
      <c r="H369" s="218">
        <v>48</v>
      </c>
      <c r="I369" s="65"/>
      <c r="J369" s="218">
        <v>3</v>
      </c>
      <c r="K369" s="108"/>
      <c r="L369" s="275">
        <v>144</v>
      </c>
      <c r="M369" s="65" t="s">
        <v>1865</v>
      </c>
      <c r="N369" s="219">
        <v>0</v>
      </c>
      <c r="O369" s="65" t="s">
        <v>1285</v>
      </c>
      <c r="P369" s="162" t="s">
        <v>1407</v>
      </c>
      <c r="Q369" s="158"/>
      <c r="R369" s="157"/>
      <c r="S369" s="114"/>
      <c r="T369" s="162" t="s">
        <v>29</v>
      </c>
      <c r="U369" s="65" t="s">
        <v>17</v>
      </c>
      <c r="V369" s="162">
        <v>1304</v>
      </c>
      <c r="W369" s="165"/>
      <c r="X369" s="218" t="s">
        <v>1400</v>
      </c>
      <c r="Y369" s="167">
        <v>44747.471863425926</v>
      </c>
    </row>
    <row r="370" spans="1:25">
      <c r="A370" s="131" t="s">
        <v>100</v>
      </c>
      <c r="B370" s="109" t="s">
        <v>1385</v>
      </c>
      <c r="C370" s="245" t="s">
        <v>2180</v>
      </c>
      <c r="D370" s="162" t="s">
        <v>2181</v>
      </c>
      <c r="E370" s="65" t="s">
        <v>1419</v>
      </c>
      <c r="F370" s="162" t="s">
        <v>17</v>
      </c>
      <c r="G370" s="65" t="s">
        <v>208</v>
      </c>
      <c r="H370" s="218">
        <v>2</v>
      </c>
      <c r="I370" s="65"/>
      <c r="J370" s="218">
        <v>4</v>
      </c>
      <c r="K370" s="108"/>
      <c r="L370" s="275">
        <v>8</v>
      </c>
      <c r="M370" s="65" t="s">
        <v>1917</v>
      </c>
      <c r="N370" s="219"/>
      <c r="O370" s="65" t="s">
        <v>1285</v>
      </c>
      <c r="P370" s="162" t="s">
        <v>1362</v>
      </c>
      <c r="Q370" s="158"/>
      <c r="R370" s="157"/>
      <c r="S370" s="114"/>
      <c r="T370" s="162" t="s">
        <v>29</v>
      </c>
      <c r="U370" s="65" t="s">
        <v>17</v>
      </c>
      <c r="V370" s="162">
        <v>1872</v>
      </c>
      <c r="W370" s="165"/>
      <c r="X370" s="218" t="s">
        <v>208</v>
      </c>
      <c r="Y370" s="167">
        <v>44216.812962962962</v>
      </c>
    </row>
    <row r="371" spans="1:25">
      <c r="A371" s="131" t="s">
        <v>100</v>
      </c>
      <c r="B371" s="109" t="s">
        <v>1320</v>
      </c>
      <c r="C371" s="245" t="s">
        <v>2182</v>
      </c>
      <c r="D371" s="162" t="s">
        <v>2181</v>
      </c>
      <c r="E371" s="65" t="s">
        <v>1419</v>
      </c>
      <c r="F371" s="162" t="s">
        <v>17</v>
      </c>
      <c r="G371" s="65" t="s">
        <v>2183</v>
      </c>
      <c r="H371" s="218">
        <v>3</v>
      </c>
      <c r="I371" s="65"/>
      <c r="J371" s="218">
        <v>4</v>
      </c>
      <c r="K371" s="108"/>
      <c r="L371" s="275">
        <v>12</v>
      </c>
      <c r="M371" s="65" t="s">
        <v>1392</v>
      </c>
      <c r="N371" s="219">
        <v>0</v>
      </c>
      <c r="O371" s="65" t="s">
        <v>55</v>
      </c>
      <c r="P371" s="162" t="s">
        <v>1362</v>
      </c>
      <c r="Q371" s="158"/>
      <c r="R371" s="157"/>
      <c r="S371" s="114"/>
      <c r="T371" s="162" t="s">
        <v>25</v>
      </c>
      <c r="U371" s="65" t="s">
        <v>17</v>
      </c>
      <c r="V371" s="162">
        <v>1649</v>
      </c>
      <c r="W371" s="165"/>
      <c r="X371" s="218" t="s">
        <v>1400</v>
      </c>
      <c r="Y371" s="167">
        <v>44679.634884259256</v>
      </c>
    </row>
    <row r="372" spans="1:25">
      <c r="A372" s="131" t="s">
        <v>46</v>
      </c>
      <c r="B372" s="109" t="s">
        <v>1320</v>
      </c>
      <c r="C372" s="245" t="s">
        <v>471</v>
      </c>
      <c r="D372" s="162" t="s">
        <v>472</v>
      </c>
      <c r="E372" s="65" t="s">
        <v>1429</v>
      </c>
      <c r="F372" s="162" t="s">
        <v>1388</v>
      </c>
      <c r="G372" s="65" t="s">
        <v>473</v>
      </c>
      <c r="H372" s="218">
        <v>99</v>
      </c>
      <c r="I372" s="65"/>
      <c r="J372" s="218">
        <v>1.64</v>
      </c>
      <c r="K372" s="108"/>
      <c r="L372" s="275">
        <v>162.35999999999999</v>
      </c>
      <c r="M372" s="65" t="s">
        <v>2184</v>
      </c>
      <c r="N372" s="219">
        <v>0</v>
      </c>
      <c r="O372" s="65" t="s">
        <v>55</v>
      </c>
      <c r="P372" s="162" t="s">
        <v>1407</v>
      </c>
      <c r="Q372" s="158"/>
      <c r="R372" s="157" t="s">
        <v>1547</v>
      </c>
      <c r="S372" s="114"/>
      <c r="T372" s="162" t="s">
        <v>25</v>
      </c>
      <c r="U372" s="65" t="s">
        <v>1388</v>
      </c>
      <c r="V372" s="162">
        <v>1680</v>
      </c>
      <c r="W372" s="165"/>
      <c r="X372" s="218" t="s">
        <v>1404</v>
      </c>
      <c r="Y372" s="167">
        <v>44700.334687499999</v>
      </c>
    </row>
    <row r="373" spans="1:25">
      <c r="A373" s="131" t="s">
        <v>46</v>
      </c>
      <c r="B373" s="109" t="s">
        <v>1385</v>
      </c>
      <c r="C373" s="245" t="s">
        <v>2185</v>
      </c>
      <c r="D373" s="162" t="s">
        <v>69</v>
      </c>
      <c r="E373" s="65" t="s">
        <v>1398</v>
      </c>
      <c r="F373" s="162" t="s">
        <v>1388</v>
      </c>
      <c r="G373" s="65" t="s">
        <v>208</v>
      </c>
      <c r="H373" s="218">
        <v>1</v>
      </c>
      <c r="I373" s="65"/>
      <c r="J373" s="218">
        <v>190</v>
      </c>
      <c r="K373" s="108"/>
      <c r="L373" s="275">
        <v>190</v>
      </c>
      <c r="M373" s="65" t="s">
        <v>2115</v>
      </c>
      <c r="N373" s="219"/>
      <c r="O373" s="65" t="s">
        <v>1285</v>
      </c>
      <c r="P373" s="162" t="s">
        <v>1407</v>
      </c>
      <c r="Q373" s="158"/>
      <c r="R373" s="157"/>
      <c r="S373" s="114"/>
      <c r="T373" s="162" t="s">
        <v>29</v>
      </c>
      <c r="U373" s="65" t="s">
        <v>1388</v>
      </c>
      <c r="V373" s="162">
        <v>1579</v>
      </c>
      <c r="W373" s="165"/>
      <c r="X373" s="218" t="s">
        <v>1363</v>
      </c>
      <c r="Y373" s="167">
        <v>44671.480370370373</v>
      </c>
    </row>
    <row r="374" spans="1:25">
      <c r="A374" s="131" t="s">
        <v>95</v>
      </c>
      <c r="B374" s="109" t="s">
        <v>1320</v>
      </c>
      <c r="C374" s="245" t="s">
        <v>2186</v>
      </c>
      <c r="D374" s="162" t="s">
        <v>1585</v>
      </c>
      <c r="E374" s="65" t="s">
        <v>1539</v>
      </c>
      <c r="F374" s="162" t="s">
        <v>18</v>
      </c>
      <c r="G374" s="65" t="s">
        <v>2187</v>
      </c>
      <c r="H374" s="218">
        <v>1</v>
      </c>
      <c r="I374" s="65"/>
      <c r="J374" s="218">
        <v>43.2</v>
      </c>
      <c r="K374" s="108"/>
      <c r="L374" s="275">
        <v>43.2</v>
      </c>
      <c r="M374" s="65" t="s">
        <v>2188</v>
      </c>
      <c r="N374" s="219"/>
      <c r="O374" s="65" t="s">
        <v>55</v>
      </c>
      <c r="P374" s="162" t="s">
        <v>1403</v>
      </c>
      <c r="Q374" s="158"/>
      <c r="R374" s="157" t="s">
        <v>1588</v>
      </c>
      <c r="S374" s="114"/>
      <c r="T374" s="162" t="s">
        <v>25</v>
      </c>
      <c r="U374" s="65" t="s">
        <v>18</v>
      </c>
      <c r="V374" s="162">
        <v>1076</v>
      </c>
      <c r="W374" s="165"/>
      <c r="X374" s="218" t="s">
        <v>1363</v>
      </c>
      <c r="Y374" s="167">
        <v>44670.589108796295</v>
      </c>
    </row>
    <row r="375" spans="1:25">
      <c r="A375" s="131" t="s">
        <v>100</v>
      </c>
      <c r="B375" s="109" t="s">
        <v>1320</v>
      </c>
      <c r="C375" s="245" t="s">
        <v>2189</v>
      </c>
      <c r="D375" s="162" t="s">
        <v>1393</v>
      </c>
      <c r="E375" s="65" t="s">
        <v>1398</v>
      </c>
      <c r="F375" s="162" t="s">
        <v>1388</v>
      </c>
      <c r="G375" s="65" t="s">
        <v>208</v>
      </c>
      <c r="H375" s="218">
        <v>1</v>
      </c>
      <c r="I375" s="65"/>
      <c r="J375" s="218">
        <v>0.14899999999999999</v>
      </c>
      <c r="K375" s="108"/>
      <c r="L375" s="275">
        <v>0.14940000000000001</v>
      </c>
      <c r="M375" s="65" t="s">
        <v>2190</v>
      </c>
      <c r="N375" s="219"/>
      <c r="O375" s="65" t="s">
        <v>55</v>
      </c>
      <c r="P375" s="162" t="s">
        <v>1362</v>
      </c>
      <c r="Q375" s="158"/>
      <c r="R375" s="157"/>
      <c r="S375" s="114"/>
      <c r="T375" s="162" t="s">
        <v>25</v>
      </c>
      <c r="U375" s="65" t="s">
        <v>1388</v>
      </c>
      <c r="V375" s="162">
        <v>52</v>
      </c>
      <c r="W375" s="165"/>
      <c r="X375" s="218" t="s">
        <v>208</v>
      </c>
      <c r="Y375" s="167">
        <v>43312</v>
      </c>
    </row>
    <row r="376" spans="1:25">
      <c r="A376" s="131" t="s">
        <v>46</v>
      </c>
      <c r="B376" s="109" t="s">
        <v>1385</v>
      </c>
      <c r="C376" s="245" t="s">
        <v>2191</v>
      </c>
      <c r="D376" s="162" t="s">
        <v>2192</v>
      </c>
      <c r="E376" s="65" t="s">
        <v>1419</v>
      </c>
      <c r="F376" s="162" t="s">
        <v>17</v>
      </c>
      <c r="G376" s="65" t="s">
        <v>208</v>
      </c>
      <c r="H376" s="218">
        <v>38</v>
      </c>
      <c r="I376" s="65"/>
      <c r="J376" s="218">
        <v>3.83</v>
      </c>
      <c r="K376" s="108"/>
      <c r="L376" s="275">
        <v>145.54</v>
      </c>
      <c r="M376" s="65" t="s">
        <v>2193</v>
      </c>
      <c r="N376" s="219"/>
      <c r="O376" s="65" t="s">
        <v>1285</v>
      </c>
      <c r="P376" s="162" t="s">
        <v>1407</v>
      </c>
      <c r="Q376" s="158"/>
      <c r="R376" s="157"/>
      <c r="S376" s="114"/>
      <c r="T376" s="162" t="s">
        <v>29</v>
      </c>
      <c r="U376" s="65" t="s">
        <v>17</v>
      </c>
      <c r="V376" s="162">
        <v>1268</v>
      </c>
      <c r="W376" s="165"/>
      <c r="X376" s="225" t="s">
        <v>1453</v>
      </c>
      <c r="Y376" s="167">
        <v>44743.426192129627</v>
      </c>
    </row>
    <row r="377" spans="1:25" customFormat="1">
      <c r="A377" s="244" t="s">
        <v>46</v>
      </c>
      <c r="B377" s="253" t="s">
        <v>1385</v>
      </c>
      <c r="C377" s="245" t="s">
        <v>2194</v>
      </c>
      <c r="D377" s="256" t="s">
        <v>2195</v>
      </c>
      <c r="E377" s="248"/>
      <c r="F377" s="256" t="s">
        <v>1388</v>
      </c>
      <c r="G377" s="248"/>
      <c r="H377" s="246"/>
      <c r="I377" s="248"/>
      <c r="J377" s="246"/>
      <c r="K377" s="249"/>
      <c r="L377" s="281">
        <v>120</v>
      </c>
      <c r="M377" s="248"/>
      <c r="N377" s="247"/>
      <c r="O377" s="248" t="s">
        <v>1285</v>
      </c>
      <c r="P377" s="256"/>
      <c r="Q377" s="250"/>
      <c r="R377" s="260"/>
      <c r="S377" s="251"/>
      <c r="T377" s="256" t="s">
        <v>29</v>
      </c>
      <c r="U377" s="248" t="s">
        <v>1388</v>
      </c>
      <c r="V377" s="256" t="s">
        <v>208</v>
      </c>
      <c r="W377" s="263" t="s">
        <v>2196</v>
      </c>
      <c r="X377" s="218"/>
      <c r="Y377" s="266" t="s">
        <v>208</v>
      </c>
    </row>
    <row r="378" spans="1:25" customFormat="1">
      <c r="A378" s="244" t="s">
        <v>62</v>
      </c>
      <c r="B378" s="253" t="s">
        <v>1385</v>
      </c>
      <c r="C378" s="245" t="s">
        <v>2197</v>
      </c>
      <c r="D378" s="256" t="s">
        <v>2198</v>
      </c>
      <c r="E378" s="248" t="s">
        <v>1419</v>
      </c>
      <c r="F378" s="256" t="s">
        <v>17</v>
      </c>
      <c r="G378" s="248" t="s">
        <v>208</v>
      </c>
      <c r="H378" s="246">
        <v>30</v>
      </c>
      <c r="I378" s="248">
        <v>2.5</v>
      </c>
      <c r="J378" s="246">
        <v>5.5</v>
      </c>
      <c r="K378" s="249">
        <v>75</v>
      </c>
      <c r="L378" s="281">
        <v>165</v>
      </c>
      <c r="M378" s="248" t="s">
        <v>2199</v>
      </c>
      <c r="N378" s="247"/>
      <c r="O378" s="248" t="s">
        <v>1285</v>
      </c>
      <c r="P378" s="256" t="s">
        <v>1407</v>
      </c>
      <c r="Q378" s="250"/>
      <c r="R378" s="260"/>
      <c r="S378" s="251"/>
      <c r="T378" s="256" t="s">
        <v>29</v>
      </c>
      <c r="U378" s="248" t="s">
        <v>17</v>
      </c>
      <c r="V378" s="256">
        <v>1279</v>
      </c>
      <c r="W378" s="263"/>
      <c r="X378" s="225" t="s">
        <v>1363</v>
      </c>
      <c r="Y378" s="266">
        <v>44671.48578703704</v>
      </c>
    </row>
    <row r="379" spans="1:25">
      <c r="A379" s="131" t="s">
        <v>100</v>
      </c>
      <c r="B379" s="109" t="s">
        <v>1385</v>
      </c>
      <c r="C379" s="245" t="s">
        <v>2200</v>
      </c>
      <c r="D379" s="162" t="s">
        <v>1549</v>
      </c>
      <c r="E379" s="65" t="s">
        <v>1527</v>
      </c>
      <c r="F379" s="162" t="s">
        <v>1388</v>
      </c>
      <c r="G379" s="65"/>
      <c r="H379" s="218">
        <v>20</v>
      </c>
      <c r="I379" s="65"/>
      <c r="J379" s="218"/>
      <c r="K379" s="108"/>
      <c r="L379" s="275">
        <v>80</v>
      </c>
      <c r="M379" s="65"/>
      <c r="N379" s="219"/>
      <c r="O379" s="65" t="s">
        <v>1285</v>
      </c>
      <c r="P379" s="162"/>
      <c r="Q379" s="158"/>
      <c r="R379" s="157"/>
      <c r="S379" s="114"/>
      <c r="T379" s="162" t="s">
        <v>29</v>
      </c>
      <c r="U379" s="65" t="s">
        <v>1388</v>
      </c>
      <c r="V379" s="162" t="s">
        <v>208</v>
      </c>
      <c r="W379" s="165" t="s">
        <v>2201</v>
      </c>
      <c r="X379" s="225"/>
      <c r="Y379" s="167" t="s">
        <v>208</v>
      </c>
    </row>
    <row r="380" spans="1:25">
      <c r="A380" s="131" t="s">
        <v>100</v>
      </c>
      <c r="B380" s="109" t="s">
        <v>1385</v>
      </c>
      <c r="C380" s="245" t="s">
        <v>2200</v>
      </c>
      <c r="D380" s="162" t="s">
        <v>1549</v>
      </c>
      <c r="E380" s="65" t="s">
        <v>1529</v>
      </c>
      <c r="F380" s="162" t="s">
        <v>21</v>
      </c>
      <c r="G380" s="65"/>
      <c r="H380" s="218">
        <v>30</v>
      </c>
      <c r="I380" s="65"/>
      <c r="J380" s="218"/>
      <c r="K380" s="108"/>
      <c r="L380" s="275">
        <v>120</v>
      </c>
      <c r="M380" s="65"/>
      <c r="N380" s="219"/>
      <c r="O380" s="65" t="s">
        <v>1285</v>
      </c>
      <c r="P380" s="162"/>
      <c r="Q380" s="158"/>
      <c r="R380" s="157"/>
      <c r="S380" s="114"/>
      <c r="T380" s="162" t="s">
        <v>29</v>
      </c>
      <c r="U380" s="65" t="s">
        <v>20</v>
      </c>
      <c r="V380" s="162" t="s">
        <v>208</v>
      </c>
      <c r="W380" s="165" t="s">
        <v>2201</v>
      </c>
      <c r="X380" s="225"/>
      <c r="Y380" s="167" t="s">
        <v>208</v>
      </c>
    </row>
    <row r="381" spans="1:25">
      <c r="A381" s="131" t="s">
        <v>62</v>
      </c>
      <c r="B381" s="109" t="s">
        <v>1320</v>
      </c>
      <c r="C381" s="245" t="s">
        <v>2202</v>
      </c>
      <c r="D381" s="162" t="s">
        <v>2203</v>
      </c>
      <c r="E381" s="65" t="s">
        <v>1596</v>
      </c>
      <c r="F381" s="162" t="s">
        <v>2204</v>
      </c>
      <c r="G381" s="65" t="s">
        <v>208</v>
      </c>
      <c r="H381" s="218">
        <v>1</v>
      </c>
      <c r="I381" s="65"/>
      <c r="J381" s="218">
        <v>30</v>
      </c>
      <c r="K381" s="108"/>
      <c r="L381" s="275">
        <v>30</v>
      </c>
      <c r="M381" s="65" t="s">
        <v>1435</v>
      </c>
      <c r="N381" s="219"/>
      <c r="O381" s="65" t="s">
        <v>55</v>
      </c>
      <c r="P381" s="162" t="s">
        <v>1362</v>
      </c>
      <c r="Q381" s="158"/>
      <c r="R381" s="157"/>
      <c r="S381" s="114"/>
      <c r="T381" s="162" t="s">
        <v>25</v>
      </c>
      <c r="U381" s="65" t="s">
        <v>19</v>
      </c>
      <c r="V381" s="162">
        <v>1</v>
      </c>
      <c r="W381" s="165"/>
      <c r="X381" s="225" t="s">
        <v>208</v>
      </c>
      <c r="Y381" s="167">
        <v>43312</v>
      </c>
    </row>
    <row r="382" spans="1:25" customFormat="1">
      <c r="A382" s="244" t="s">
        <v>62</v>
      </c>
      <c r="B382" s="253" t="s">
        <v>1320</v>
      </c>
      <c r="C382" s="245" t="s">
        <v>2205</v>
      </c>
      <c r="D382" s="256" t="s">
        <v>2206</v>
      </c>
      <c r="E382" s="248" t="s">
        <v>1398</v>
      </c>
      <c r="F382" s="256" t="s">
        <v>1388</v>
      </c>
      <c r="G382" s="248" t="s">
        <v>208</v>
      </c>
      <c r="H382" s="246">
        <v>1</v>
      </c>
      <c r="I382" s="248"/>
      <c r="J382" s="246">
        <v>0.40100000000000002</v>
      </c>
      <c r="K382" s="249"/>
      <c r="L382" s="281">
        <v>0.40100000000000002</v>
      </c>
      <c r="M382" s="248" t="s">
        <v>2207</v>
      </c>
      <c r="N382" s="247"/>
      <c r="O382" s="248" t="s">
        <v>55</v>
      </c>
      <c r="P382" s="256" t="s">
        <v>1362</v>
      </c>
      <c r="Q382" s="250"/>
      <c r="R382" s="260"/>
      <c r="S382" s="251"/>
      <c r="T382" s="256" t="s">
        <v>25</v>
      </c>
      <c r="U382" s="248" t="s">
        <v>1388</v>
      </c>
      <c r="V382" s="256">
        <v>1309</v>
      </c>
      <c r="W382" s="263"/>
      <c r="X382" s="225" t="s">
        <v>1400</v>
      </c>
      <c r="Y382" s="266">
        <v>43769.416655092595</v>
      </c>
    </row>
    <row r="383" spans="1:25" customFormat="1">
      <c r="A383" s="244" t="s">
        <v>62</v>
      </c>
      <c r="B383" s="253" t="s">
        <v>1385</v>
      </c>
      <c r="C383" s="245" t="s">
        <v>2208</v>
      </c>
      <c r="D383" s="256" t="s">
        <v>2209</v>
      </c>
      <c r="E383" s="248" t="s">
        <v>1429</v>
      </c>
      <c r="F383" s="256" t="s">
        <v>1388</v>
      </c>
      <c r="G383" s="248" t="s">
        <v>208</v>
      </c>
      <c r="H383" s="246">
        <v>1</v>
      </c>
      <c r="I383" s="248"/>
      <c r="J383" s="246">
        <v>350</v>
      </c>
      <c r="K383" s="249"/>
      <c r="L383" s="281">
        <v>350</v>
      </c>
      <c r="M383" s="248" t="s">
        <v>1819</v>
      </c>
      <c r="N383" s="247">
        <v>0</v>
      </c>
      <c r="O383" s="248" t="s">
        <v>1285</v>
      </c>
      <c r="P383" s="256" t="s">
        <v>1407</v>
      </c>
      <c r="Q383" s="250"/>
      <c r="R383" s="260" t="s">
        <v>1832</v>
      </c>
      <c r="S383" s="251"/>
      <c r="T383" s="256" t="s">
        <v>29</v>
      </c>
      <c r="U383" s="248" t="s">
        <v>1388</v>
      </c>
      <c r="V383" s="256">
        <v>1419</v>
      </c>
      <c r="W383" s="263"/>
      <c r="X383" s="218" t="s">
        <v>1583</v>
      </c>
      <c r="Y383" s="266">
        <v>44741.519942129627</v>
      </c>
    </row>
    <row r="384" spans="1:25" customFormat="1">
      <c r="A384" s="244" t="s">
        <v>100</v>
      </c>
      <c r="B384" s="253" t="s">
        <v>1385</v>
      </c>
      <c r="C384" s="245" t="s">
        <v>2210</v>
      </c>
      <c r="D384" s="256" t="s">
        <v>2211</v>
      </c>
      <c r="E384" s="248" t="s">
        <v>1429</v>
      </c>
      <c r="F384" s="256" t="s">
        <v>1388</v>
      </c>
      <c r="G384" s="248" t="s">
        <v>208</v>
      </c>
      <c r="H384" s="246">
        <v>1</v>
      </c>
      <c r="I384" s="248"/>
      <c r="J384" s="246">
        <v>77</v>
      </c>
      <c r="K384" s="249"/>
      <c r="L384" s="281">
        <v>77</v>
      </c>
      <c r="M384" s="248" t="s">
        <v>2212</v>
      </c>
      <c r="N384" s="247">
        <v>0</v>
      </c>
      <c r="O384" s="248" t="s">
        <v>1285</v>
      </c>
      <c r="P384" s="256" t="s">
        <v>1407</v>
      </c>
      <c r="Q384" s="250"/>
      <c r="R384" s="260" t="s">
        <v>1832</v>
      </c>
      <c r="S384" s="251"/>
      <c r="T384" s="256" t="s">
        <v>29</v>
      </c>
      <c r="U384" s="248" t="s">
        <v>1388</v>
      </c>
      <c r="V384" s="256">
        <v>1971</v>
      </c>
      <c r="W384" s="263"/>
      <c r="X384" s="218" t="s">
        <v>1481</v>
      </c>
      <c r="Y384" s="266">
        <v>44679.623807870368</v>
      </c>
    </row>
    <row r="385" spans="1:25" customFormat="1">
      <c r="A385" s="244" t="s">
        <v>100</v>
      </c>
      <c r="B385" s="253" t="s">
        <v>1385</v>
      </c>
      <c r="C385" s="245" t="s">
        <v>2213</v>
      </c>
      <c r="D385" s="256" t="s">
        <v>2214</v>
      </c>
      <c r="E385" s="248" t="s">
        <v>1429</v>
      </c>
      <c r="F385" s="256" t="s">
        <v>1388</v>
      </c>
      <c r="G385" s="248" t="s">
        <v>208</v>
      </c>
      <c r="H385" s="246">
        <v>1</v>
      </c>
      <c r="I385" s="248"/>
      <c r="J385" s="246">
        <v>80</v>
      </c>
      <c r="K385" s="249"/>
      <c r="L385" s="281">
        <v>80</v>
      </c>
      <c r="M385" s="248" t="s">
        <v>1665</v>
      </c>
      <c r="N385" s="247">
        <v>0</v>
      </c>
      <c r="O385" s="248" t="s">
        <v>1285</v>
      </c>
      <c r="P385" s="256" t="s">
        <v>1407</v>
      </c>
      <c r="Q385" s="250"/>
      <c r="R385" s="260"/>
      <c r="S385" s="251"/>
      <c r="T385" s="256" t="s">
        <v>29</v>
      </c>
      <c r="U385" s="248" t="s">
        <v>1388</v>
      </c>
      <c r="V385" s="256">
        <v>1977</v>
      </c>
      <c r="W385" s="263"/>
      <c r="X385" s="218" t="s">
        <v>208</v>
      </c>
      <c r="Y385" s="266">
        <v>44679.639467592591</v>
      </c>
    </row>
    <row r="386" spans="1:25">
      <c r="A386" s="131" t="s">
        <v>62</v>
      </c>
      <c r="B386" s="109" t="s">
        <v>1320</v>
      </c>
      <c r="C386" s="245" t="s">
        <v>458</v>
      </c>
      <c r="D386" s="162" t="s">
        <v>459</v>
      </c>
      <c r="E386" s="65" t="s">
        <v>1429</v>
      </c>
      <c r="F386" s="162" t="s">
        <v>1388</v>
      </c>
      <c r="G386" s="65" t="s">
        <v>2215</v>
      </c>
      <c r="H386" s="218">
        <v>54</v>
      </c>
      <c r="I386" s="65"/>
      <c r="J386" s="218">
        <v>3</v>
      </c>
      <c r="K386" s="108"/>
      <c r="L386" s="275">
        <v>162</v>
      </c>
      <c r="M386" s="65" t="s">
        <v>2216</v>
      </c>
      <c r="N386" s="219"/>
      <c r="O386" s="65" t="s">
        <v>131</v>
      </c>
      <c r="P386" s="162" t="s">
        <v>1407</v>
      </c>
      <c r="Q386" s="158" t="s">
        <v>1843</v>
      </c>
      <c r="R386" s="157" t="s">
        <v>1744</v>
      </c>
      <c r="S386" s="114"/>
      <c r="T386" s="162" t="s">
        <v>25</v>
      </c>
      <c r="U386" s="65" t="s">
        <v>1388</v>
      </c>
      <c r="V386" s="162">
        <v>1538</v>
      </c>
      <c r="W386" s="165"/>
      <c r="X386" s="225" t="s">
        <v>1453</v>
      </c>
      <c r="Y386" s="167">
        <v>44743.647453703707</v>
      </c>
    </row>
    <row r="387" spans="1:25">
      <c r="A387" s="131" t="s">
        <v>100</v>
      </c>
      <c r="B387" s="109" t="s">
        <v>1320</v>
      </c>
      <c r="C387" s="245" t="s">
        <v>708</v>
      </c>
      <c r="D387" s="162" t="s">
        <v>2217</v>
      </c>
      <c r="E387" s="65" t="s">
        <v>1391</v>
      </c>
      <c r="F387" s="162" t="s">
        <v>21</v>
      </c>
      <c r="G387" s="65" t="s">
        <v>2218</v>
      </c>
      <c r="H387" s="218">
        <v>1</v>
      </c>
      <c r="I387" s="65"/>
      <c r="J387" s="218">
        <v>25.33</v>
      </c>
      <c r="K387" s="108"/>
      <c r="L387" s="275">
        <v>25.33</v>
      </c>
      <c r="M387" s="65" t="s">
        <v>2219</v>
      </c>
      <c r="N387" s="219">
        <v>50</v>
      </c>
      <c r="O387" s="65" t="s">
        <v>55</v>
      </c>
      <c r="P387" s="162" t="s">
        <v>1403</v>
      </c>
      <c r="Q387" s="158"/>
      <c r="R387" s="157" t="s">
        <v>1521</v>
      </c>
      <c r="S387" s="114"/>
      <c r="T387" s="162" t="s">
        <v>25</v>
      </c>
      <c r="U387" s="65" t="s">
        <v>20</v>
      </c>
      <c r="V387" s="162">
        <v>1470</v>
      </c>
      <c r="W387" s="165"/>
      <c r="X387" s="225" t="s">
        <v>1363</v>
      </c>
      <c r="Y387" s="167">
        <v>44746.565474537034</v>
      </c>
    </row>
    <row r="388" spans="1:25">
      <c r="A388" s="131" t="s">
        <v>100</v>
      </c>
      <c r="B388" s="109" t="s">
        <v>1320</v>
      </c>
      <c r="C388" s="245" t="s">
        <v>710</v>
      </c>
      <c r="D388" s="162" t="s">
        <v>2220</v>
      </c>
      <c r="E388" s="65" t="s">
        <v>1429</v>
      </c>
      <c r="F388" s="162" t="s">
        <v>1388</v>
      </c>
      <c r="G388" s="65" t="s">
        <v>2221</v>
      </c>
      <c r="H388" s="218">
        <v>22</v>
      </c>
      <c r="I388" s="65"/>
      <c r="J388" s="218">
        <v>2.5</v>
      </c>
      <c r="K388" s="108"/>
      <c r="L388" s="275">
        <v>55</v>
      </c>
      <c r="M388" s="65" t="s">
        <v>2125</v>
      </c>
      <c r="N388" s="219"/>
      <c r="O388" s="65" t="s">
        <v>55</v>
      </c>
      <c r="P388" s="162" t="s">
        <v>1407</v>
      </c>
      <c r="Q388" s="158"/>
      <c r="R388" s="157" t="s">
        <v>1452</v>
      </c>
      <c r="S388" s="114"/>
      <c r="T388" s="162" t="s">
        <v>25</v>
      </c>
      <c r="U388" s="65" t="s">
        <v>1388</v>
      </c>
      <c r="V388" s="162">
        <v>1396</v>
      </c>
      <c r="W388" s="165"/>
      <c r="X388" s="225" t="s">
        <v>1363</v>
      </c>
      <c r="Y388" s="167">
        <v>44671.436006944445</v>
      </c>
    </row>
    <row r="389" spans="1:25" customFormat="1">
      <c r="A389" s="244" t="s">
        <v>95</v>
      </c>
      <c r="B389" s="253" t="s">
        <v>1385</v>
      </c>
      <c r="C389" s="245" t="s">
        <v>4017</v>
      </c>
      <c r="D389" s="256" t="s">
        <v>4018</v>
      </c>
      <c r="E389" s="248"/>
      <c r="F389" s="256" t="s">
        <v>1529</v>
      </c>
      <c r="G389" s="248"/>
      <c r="H389" s="246">
        <v>1</v>
      </c>
      <c r="I389" s="248"/>
      <c r="J389" s="246">
        <v>70</v>
      </c>
      <c r="K389" s="249"/>
      <c r="L389" s="281">
        <v>70</v>
      </c>
      <c r="M389" s="248">
        <v>70</v>
      </c>
      <c r="N389" s="247"/>
      <c r="O389" s="248" t="s">
        <v>1285</v>
      </c>
      <c r="P389" s="256"/>
      <c r="Q389" s="250"/>
      <c r="R389" s="260"/>
      <c r="S389" s="251"/>
      <c r="T389" s="256" t="s">
        <v>29</v>
      </c>
      <c r="U389" s="248" t="s">
        <v>20</v>
      </c>
      <c r="V389" s="256"/>
      <c r="W389" s="263" t="s">
        <v>4045</v>
      </c>
      <c r="X389" s="218"/>
      <c r="Y389" s="266"/>
    </row>
    <row r="390" spans="1:25" customFormat="1">
      <c r="A390" s="244" t="s">
        <v>95</v>
      </c>
      <c r="B390" s="253" t="s">
        <v>1385</v>
      </c>
      <c r="C390" s="245" t="s">
        <v>2222</v>
      </c>
      <c r="D390" s="256" t="s">
        <v>1709</v>
      </c>
      <c r="E390" s="248" t="s">
        <v>1429</v>
      </c>
      <c r="F390" s="256" t="s">
        <v>1388</v>
      </c>
      <c r="G390" s="248" t="s">
        <v>208</v>
      </c>
      <c r="H390" s="246">
        <v>2</v>
      </c>
      <c r="I390" s="248"/>
      <c r="J390" s="246">
        <v>2.5</v>
      </c>
      <c r="K390" s="249"/>
      <c r="L390" s="281">
        <v>5</v>
      </c>
      <c r="M390" s="248" t="s">
        <v>1416</v>
      </c>
      <c r="N390" s="247"/>
      <c r="O390" s="248" t="s">
        <v>1285</v>
      </c>
      <c r="P390" s="256" t="s">
        <v>1362</v>
      </c>
      <c r="Q390" s="250"/>
      <c r="R390" s="260"/>
      <c r="S390" s="251"/>
      <c r="T390" s="256" t="s">
        <v>29</v>
      </c>
      <c r="U390" s="248" t="s">
        <v>1388</v>
      </c>
      <c r="V390" s="256">
        <v>1489</v>
      </c>
      <c r="W390" s="263"/>
      <c r="X390" s="218" t="s">
        <v>1400</v>
      </c>
      <c r="Y390" s="266">
        <v>43769.416655092595</v>
      </c>
    </row>
    <row r="391" spans="1:25" customFormat="1">
      <c r="A391" s="244" t="s">
        <v>95</v>
      </c>
      <c r="B391" s="253" t="s">
        <v>1385</v>
      </c>
      <c r="C391" s="245" t="s">
        <v>4058</v>
      </c>
      <c r="D391" s="256" t="s">
        <v>4059</v>
      </c>
      <c r="E391" s="248"/>
      <c r="F391" s="256" t="s">
        <v>1527</v>
      </c>
      <c r="G391" s="248"/>
      <c r="H391" s="246">
        <v>130</v>
      </c>
      <c r="I391" s="248"/>
      <c r="J391" s="246">
        <v>358</v>
      </c>
      <c r="K391" s="249"/>
      <c r="L391" s="281">
        <v>358</v>
      </c>
      <c r="M391" s="248"/>
      <c r="N391" s="247"/>
      <c r="O391" s="248" t="s">
        <v>1285</v>
      </c>
      <c r="P391" s="256"/>
      <c r="Q391" s="250"/>
      <c r="R391" s="260"/>
      <c r="S391" s="251"/>
      <c r="T391" s="256" t="s">
        <v>29</v>
      </c>
      <c r="U391" s="248" t="s">
        <v>1388</v>
      </c>
      <c r="V391" s="256"/>
      <c r="W391" s="263" t="s">
        <v>4066</v>
      </c>
      <c r="X391" s="218"/>
      <c r="Y391" s="266"/>
    </row>
    <row r="392" spans="1:25" customFormat="1">
      <c r="A392" s="244" t="s">
        <v>95</v>
      </c>
      <c r="B392" s="253" t="s">
        <v>1385</v>
      </c>
      <c r="C392" s="245" t="s">
        <v>2223</v>
      </c>
      <c r="D392" s="256" t="s">
        <v>2224</v>
      </c>
      <c r="E392" s="248"/>
      <c r="F392" s="256" t="s">
        <v>17</v>
      </c>
      <c r="G392" s="248"/>
      <c r="H392" s="246"/>
      <c r="I392" s="248"/>
      <c r="J392" s="246"/>
      <c r="K392" s="249"/>
      <c r="L392" s="281">
        <v>232</v>
      </c>
      <c r="M392" s="248"/>
      <c r="N392" s="247"/>
      <c r="O392" s="248" t="s">
        <v>1285</v>
      </c>
      <c r="P392" s="256"/>
      <c r="Q392" s="250"/>
      <c r="R392" s="260"/>
      <c r="S392" s="251"/>
      <c r="T392" s="256" t="s">
        <v>29</v>
      </c>
      <c r="U392" s="248" t="s">
        <v>17</v>
      </c>
      <c r="V392" s="256" t="s">
        <v>208</v>
      </c>
      <c r="W392" s="263" t="s">
        <v>2225</v>
      </c>
      <c r="X392" s="218"/>
      <c r="Y392" s="266" t="s">
        <v>208</v>
      </c>
    </row>
    <row r="393" spans="1:25" customFormat="1">
      <c r="A393" s="244" t="s">
        <v>80</v>
      </c>
      <c r="B393" s="253" t="s">
        <v>1385</v>
      </c>
      <c r="C393" s="245" t="s">
        <v>4083</v>
      </c>
      <c r="D393" s="256" t="s">
        <v>4070</v>
      </c>
      <c r="E393" s="248"/>
      <c r="F393" s="256" t="s">
        <v>21</v>
      </c>
      <c r="G393" s="248"/>
      <c r="H393" s="246"/>
      <c r="I393" s="248"/>
      <c r="J393" s="246"/>
      <c r="K393" s="249"/>
      <c r="L393" s="281">
        <v>150</v>
      </c>
      <c r="M393" s="248"/>
      <c r="N393" s="247"/>
      <c r="O393" s="248" t="s">
        <v>1285</v>
      </c>
      <c r="P393" s="256"/>
      <c r="Q393" s="250"/>
      <c r="R393" s="260"/>
      <c r="S393" s="251"/>
      <c r="T393" s="256" t="s">
        <v>29</v>
      </c>
      <c r="U393" s="248" t="s">
        <v>20</v>
      </c>
      <c r="V393" s="256">
        <v>1943</v>
      </c>
      <c r="W393" s="263" t="s">
        <v>4084</v>
      </c>
      <c r="X393" s="218"/>
      <c r="Y393" s="266"/>
    </row>
    <row r="394" spans="1:25" customFormat="1">
      <c r="A394" s="244" t="s">
        <v>80</v>
      </c>
      <c r="B394" s="253" t="s">
        <v>1385</v>
      </c>
      <c r="C394" s="245" t="s">
        <v>4083</v>
      </c>
      <c r="D394" s="256" t="s">
        <v>4070</v>
      </c>
      <c r="E394" s="248"/>
      <c r="F394" s="256" t="s">
        <v>1388</v>
      </c>
      <c r="G394" s="248"/>
      <c r="H394" s="246"/>
      <c r="I394" s="248"/>
      <c r="J394" s="246"/>
      <c r="K394" s="249"/>
      <c r="L394" s="281">
        <v>250</v>
      </c>
      <c r="M394" s="248"/>
      <c r="N394" s="247"/>
      <c r="O394" s="248" t="s">
        <v>1285</v>
      </c>
      <c r="P394" s="256"/>
      <c r="Q394" s="250"/>
      <c r="R394" s="260"/>
      <c r="S394" s="251"/>
      <c r="T394" s="256" t="s">
        <v>29</v>
      </c>
      <c r="U394" s="248" t="s">
        <v>1388</v>
      </c>
      <c r="V394" s="256">
        <v>1943</v>
      </c>
      <c r="W394" s="263" t="s">
        <v>4084</v>
      </c>
      <c r="X394" s="218"/>
      <c r="Y394" s="266"/>
    </row>
    <row r="395" spans="1:25" customFormat="1">
      <c r="A395" s="244" t="s">
        <v>62</v>
      </c>
      <c r="B395" s="253" t="s">
        <v>1320</v>
      </c>
      <c r="C395" s="245" t="s">
        <v>2226</v>
      </c>
      <c r="D395" s="256" t="s">
        <v>2227</v>
      </c>
      <c r="E395" s="248" t="s">
        <v>1359</v>
      </c>
      <c r="F395" s="256" t="s">
        <v>1438</v>
      </c>
      <c r="G395" s="248" t="s">
        <v>2228</v>
      </c>
      <c r="H395" s="246">
        <v>4</v>
      </c>
      <c r="I395" s="248"/>
      <c r="J395" s="246">
        <v>3.3</v>
      </c>
      <c r="K395" s="249"/>
      <c r="L395" s="281">
        <v>13.2</v>
      </c>
      <c r="M395" s="248" t="s">
        <v>2229</v>
      </c>
      <c r="N395" s="247"/>
      <c r="O395" s="248" t="s">
        <v>55</v>
      </c>
      <c r="P395" s="256" t="s">
        <v>1362</v>
      </c>
      <c r="Q395" s="250"/>
      <c r="R395" s="260" t="s">
        <v>1441</v>
      </c>
      <c r="S395" s="251"/>
      <c r="T395" s="256" t="s">
        <v>25</v>
      </c>
      <c r="U395" s="248" t="s">
        <v>15</v>
      </c>
      <c r="V395" s="256">
        <v>1325</v>
      </c>
      <c r="W395" s="263"/>
      <c r="X395" s="218" t="s">
        <v>1363</v>
      </c>
      <c r="Y395" s="266">
        <v>44671.385555555556</v>
      </c>
    </row>
    <row r="396" spans="1:25" customFormat="1">
      <c r="A396" s="244" t="s">
        <v>62</v>
      </c>
      <c r="B396" s="253" t="s">
        <v>1320</v>
      </c>
      <c r="C396" s="245" t="s">
        <v>2226</v>
      </c>
      <c r="D396" s="256" t="s">
        <v>2227</v>
      </c>
      <c r="E396" s="248" t="s">
        <v>1359</v>
      </c>
      <c r="F396" s="256" t="s">
        <v>1438</v>
      </c>
      <c r="G396" s="248" t="s">
        <v>2228</v>
      </c>
      <c r="H396" s="246">
        <v>16</v>
      </c>
      <c r="I396" s="248"/>
      <c r="J396" s="246">
        <v>1.988</v>
      </c>
      <c r="K396" s="249"/>
      <c r="L396" s="281">
        <v>31.808</v>
      </c>
      <c r="M396" s="248" t="s">
        <v>2230</v>
      </c>
      <c r="N396" s="247"/>
      <c r="O396" s="248" t="s">
        <v>55</v>
      </c>
      <c r="P396" s="256" t="s">
        <v>1362</v>
      </c>
      <c r="Q396" s="250"/>
      <c r="R396" s="260" t="s">
        <v>1441</v>
      </c>
      <c r="S396" s="251"/>
      <c r="T396" s="256" t="s">
        <v>25</v>
      </c>
      <c r="U396" s="248" t="s">
        <v>15</v>
      </c>
      <c r="V396" s="256">
        <v>1325</v>
      </c>
      <c r="W396" s="263"/>
      <c r="X396" s="218" t="s">
        <v>1363</v>
      </c>
      <c r="Y396" s="266">
        <v>44671.385555555556</v>
      </c>
    </row>
    <row r="397" spans="1:25" customFormat="1">
      <c r="A397" s="244" t="s">
        <v>46</v>
      </c>
      <c r="B397" s="253" t="s">
        <v>1385</v>
      </c>
      <c r="C397" s="245" t="s">
        <v>2231</v>
      </c>
      <c r="D397" s="256" t="s">
        <v>2232</v>
      </c>
      <c r="E397" s="248" t="s">
        <v>1398</v>
      </c>
      <c r="F397" s="256" t="s">
        <v>1388</v>
      </c>
      <c r="G397" s="248" t="s">
        <v>208</v>
      </c>
      <c r="H397" s="246">
        <v>1</v>
      </c>
      <c r="I397" s="248"/>
      <c r="J397" s="246">
        <v>15</v>
      </c>
      <c r="K397" s="249"/>
      <c r="L397" s="281">
        <v>15</v>
      </c>
      <c r="M397" s="248" t="s">
        <v>1696</v>
      </c>
      <c r="N397" s="247"/>
      <c r="O397" s="248" t="s">
        <v>1285</v>
      </c>
      <c r="P397" s="256" t="s">
        <v>1362</v>
      </c>
      <c r="Q397" s="250"/>
      <c r="R397" s="260"/>
      <c r="S397" s="251"/>
      <c r="T397" s="256" t="s">
        <v>29</v>
      </c>
      <c r="U397" s="248" t="s">
        <v>1388</v>
      </c>
      <c r="V397" s="256">
        <v>1457</v>
      </c>
      <c r="W397" s="263"/>
      <c r="X397" s="218" t="s">
        <v>1400</v>
      </c>
      <c r="Y397" s="266">
        <v>43769.416655092595</v>
      </c>
    </row>
    <row r="398" spans="1:25" customFormat="1">
      <c r="A398" s="244" t="s">
        <v>46</v>
      </c>
      <c r="B398" s="253" t="s">
        <v>1385</v>
      </c>
      <c r="C398" s="245" t="s">
        <v>3855</v>
      </c>
      <c r="D398" s="256" t="s">
        <v>4092</v>
      </c>
      <c r="E398" s="248" t="s">
        <v>1398</v>
      </c>
      <c r="F398" s="256" t="s">
        <v>1388</v>
      </c>
      <c r="G398" s="248" t="s">
        <v>208</v>
      </c>
      <c r="H398" s="246">
        <v>1</v>
      </c>
      <c r="I398" s="248">
        <v>50</v>
      </c>
      <c r="J398" s="246">
        <v>60</v>
      </c>
      <c r="K398" s="249">
        <v>50</v>
      </c>
      <c r="L398" s="281">
        <v>60</v>
      </c>
      <c r="M398" s="248" t="s">
        <v>4093</v>
      </c>
      <c r="N398" s="247">
        <v>0</v>
      </c>
      <c r="O398" s="248" t="s">
        <v>1285</v>
      </c>
      <c r="P398" s="256" t="s">
        <v>1407</v>
      </c>
      <c r="Q398" s="250"/>
      <c r="R398" s="260" t="s">
        <v>1744</v>
      </c>
      <c r="S398" s="251"/>
      <c r="T398" s="256" t="s">
        <v>29</v>
      </c>
      <c r="U398" s="248" t="s">
        <v>1388</v>
      </c>
      <c r="V398" s="256">
        <v>1421</v>
      </c>
      <c r="W398" s="263"/>
      <c r="X398" s="218"/>
      <c r="Y398" s="266"/>
    </row>
    <row r="399" spans="1:25" customFormat="1">
      <c r="A399" s="244" t="s">
        <v>100</v>
      </c>
      <c r="B399" s="253" t="s">
        <v>1385</v>
      </c>
      <c r="C399" s="245" t="s">
        <v>2234</v>
      </c>
      <c r="D399" s="256" t="s">
        <v>2235</v>
      </c>
      <c r="E399" s="248" t="s">
        <v>2236</v>
      </c>
      <c r="F399" s="256" t="s">
        <v>1388</v>
      </c>
      <c r="G399" s="248" t="s">
        <v>208</v>
      </c>
      <c r="H399" s="246">
        <v>1</v>
      </c>
      <c r="I399" s="248"/>
      <c r="J399" s="246">
        <v>118</v>
      </c>
      <c r="K399" s="249"/>
      <c r="L399" s="281">
        <v>118</v>
      </c>
      <c r="M399" s="248" t="s">
        <v>2237</v>
      </c>
      <c r="N399" s="247"/>
      <c r="O399" s="248" t="s">
        <v>1285</v>
      </c>
      <c r="P399" s="256" t="s">
        <v>1407</v>
      </c>
      <c r="Q399" s="250"/>
      <c r="R399" s="260"/>
      <c r="S399" s="251"/>
      <c r="T399" s="256" t="s">
        <v>29</v>
      </c>
      <c r="U399" s="248" t="s">
        <v>1388</v>
      </c>
      <c r="V399" s="256">
        <v>122</v>
      </c>
      <c r="W399" s="263"/>
      <c r="X399" s="218" t="s">
        <v>208</v>
      </c>
      <c r="Y399" s="266">
        <v>43312</v>
      </c>
    </row>
    <row r="400" spans="1:25" customFormat="1">
      <c r="A400" s="244" t="s">
        <v>62</v>
      </c>
      <c r="B400" s="253" t="s">
        <v>1320</v>
      </c>
      <c r="C400" s="245" t="s">
        <v>2238</v>
      </c>
      <c r="D400" s="256" t="s">
        <v>2239</v>
      </c>
      <c r="E400" s="248" t="s">
        <v>1596</v>
      </c>
      <c r="F400" s="256" t="s">
        <v>1597</v>
      </c>
      <c r="G400" s="248" t="s">
        <v>2240</v>
      </c>
      <c r="H400" s="246">
        <v>1</v>
      </c>
      <c r="I400" s="248"/>
      <c r="J400" s="246">
        <v>280</v>
      </c>
      <c r="K400" s="249"/>
      <c r="L400" s="281">
        <v>280</v>
      </c>
      <c r="M400" s="248" t="s">
        <v>1797</v>
      </c>
      <c r="N400" s="247"/>
      <c r="O400" s="248" t="s">
        <v>55</v>
      </c>
      <c r="P400" s="256" t="s">
        <v>1403</v>
      </c>
      <c r="Q400" s="250"/>
      <c r="R400" s="260" t="s">
        <v>1837</v>
      </c>
      <c r="S400" s="251"/>
      <c r="T400" s="256" t="s">
        <v>25</v>
      </c>
      <c r="U400" s="248" t="s">
        <v>12</v>
      </c>
      <c r="V400" s="256">
        <v>1077</v>
      </c>
      <c r="W400" s="263"/>
      <c r="X400" s="218" t="s">
        <v>1363</v>
      </c>
      <c r="Y400" s="266">
        <v>44732.466435185182</v>
      </c>
    </row>
    <row r="401" spans="1:25" customFormat="1">
      <c r="A401" s="244" t="s">
        <v>62</v>
      </c>
      <c r="B401" s="253" t="s">
        <v>1320</v>
      </c>
      <c r="C401" s="245" t="s">
        <v>2238</v>
      </c>
      <c r="D401" s="256" t="s">
        <v>2239</v>
      </c>
      <c r="E401" s="248" t="s">
        <v>1596</v>
      </c>
      <c r="F401" s="256" t="s">
        <v>1597</v>
      </c>
      <c r="G401" s="248" t="s">
        <v>2241</v>
      </c>
      <c r="H401" s="246">
        <v>1</v>
      </c>
      <c r="I401" s="248"/>
      <c r="J401" s="246">
        <v>280</v>
      </c>
      <c r="K401" s="249"/>
      <c r="L401" s="281">
        <v>280</v>
      </c>
      <c r="M401" s="248" t="s">
        <v>1797</v>
      </c>
      <c r="N401" s="247"/>
      <c r="O401" s="248" t="s">
        <v>55</v>
      </c>
      <c r="P401" s="256" t="s">
        <v>1403</v>
      </c>
      <c r="Q401" s="250"/>
      <c r="R401" s="260" t="s">
        <v>1837</v>
      </c>
      <c r="S401" s="251"/>
      <c r="T401" s="256" t="s">
        <v>25</v>
      </c>
      <c r="U401" s="248" t="s">
        <v>12</v>
      </c>
      <c r="V401" s="256">
        <v>1077</v>
      </c>
      <c r="W401" s="263"/>
      <c r="X401" s="218" t="s">
        <v>1363</v>
      </c>
      <c r="Y401" s="266">
        <v>44732.466435185182</v>
      </c>
    </row>
    <row r="402" spans="1:25" customFormat="1">
      <c r="A402" s="244" t="s">
        <v>62</v>
      </c>
      <c r="B402" s="253" t="s">
        <v>1320</v>
      </c>
      <c r="C402" s="245" t="s">
        <v>2238</v>
      </c>
      <c r="D402" s="256" t="s">
        <v>2239</v>
      </c>
      <c r="E402" s="248" t="s">
        <v>1596</v>
      </c>
      <c r="F402" s="256" t="s">
        <v>1597</v>
      </c>
      <c r="G402" s="248" t="s">
        <v>2242</v>
      </c>
      <c r="H402" s="246">
        <v>1</v>
      </c>
      <c r="I402" s="248"/>
      <c r="J402" s="246">
        <v>280</v>
      </c>
      <c r="K402" s="249"/>
      <c r="L402" s="281">
        <v>280</v>
      </c>
      <c r="M402" s="248" t="s">
        <v>1797</v>
      </c>
      <c r="N402" s="247"/>
      <c r="O402" s="248" t="s">
        <v>55</v>
      </c>
      <c r="P402" s="256" t="s">
        <v>1403</v>
      </c>
      <c r="Q402" s="250"/>
      <c r="R402" s="260" t="s">
        <v>1837</v>
      </c>
      <c r="S402" s="251"/>
      <c r="T402" s="256" t="s">
        <v>25</v>
      </c>
      <c r="U402" s="248" t="s">
        <v>12</v>
      </c>
      <c r="V402" s="256">
        <v>1077</v>
      </c>
      <c r="W402" s="263"/>
      <c r="X402" s="218" t="s">
        <v>1363</v>
      </c>
      <c r="Y402" s="266">
        <v>44732.466435185182</v>
      </c>
    </row>
    <row r="403" spans="1:25" customFormat="1">
      <c r="A403" s="244" t="s">
        <v>62</v>
      </c>
      <c r="B403" s="253" t="s">
        <v>1320</v>
      </c>
      <c r="C403" s="245" t="s">
        <v>2238</v>
      </c>
      <c r="D403" s="256" t="s">
        <v>2239</v>
      </c>
      <c r="E403" s="248" t="s">
        <v>1596</v>
      </c>
      <c r="F403" s="256" t="s">
        <v>1597</v>
      </c>
      <c r="G403" s="248" t="s">
        <v>2243</v>
      </c>
      <c r="H403" s="246">
        <v>1</v>
      </c>
      <c r="I403" s="248"/>
      <c r="J403" s="246">
        <v>280</v>
      </c>
      <c r="K403" s="249"/>
      <c r="L403" s="281">
        <v>280</v>
      </c>
      <c r="M403" s="248" t="s">
        <v>1797</v>
      </c>
      <c r="N403" s="247"/>
      <c r="O403" s="248" t="s">
        <v>55</v>
      </c>
      <c r="P403" s="256" t="s">
        <v>1403</v>
      </c>
      <c r="Q403" s="250"/>
      <c r="R403" s="260" t="s">
        <v>1837</v>
      </c>
      <c r="S403" s="251"/>
      <c r="T403" s="256" t="s">
        <v>25</v>
      </c>
      <c r="U403" s="248" t="s">
        <v>12</v>
      </c>
      <c r="V403" s="256">
        <v>1077</v>
      </c>
      <c r="W403" s="263"/>
      <c r="X403" s="218" t="s">
        <v>1363</v>
      </c>
      <c r="Y403" s="266">
        <v>44732.466435185182</v>
      </c>
    </row>
    <row r="404" spans="1:25" customFormat="1">
      <c r="A404" s="244" t="s">
        <v>62</v>
      </c>
      <c r="B404" s="253" t="s">
        <v>1320</v>
      </c>
      <c r="C404" s="245" t="s">
        <v>2238</v>
      </c>
      <c r="D404" s="256" t="s">
        <v>2239</v>
      </c>
      <c r="E404" s="248" t="s">
        <v>1596</v>
      </c>
      <c r="F404" s="256" t="s">
        <v>1597</v>
      </c>
      <c r="G404" s="248" t="s">
        <v>2244</v>
      </c>
      <c r="H404" s="246">
        <v>1</v>
      </c>
      <c r="I404" s="248"/>
      <c r="J404" s="246">
        <v>280</v>
      </c>
      <c r="K404" s="249"/>
      <c r="L404" s="281">
        <v>280</v>
      </c>
      <c r="M404" s="248" t="s">
        <v>1797</v>
      </c>
      <c r="N404" s="247"/>
      <c r="O404" s="248" t="s">
        <v>55</v>
      </c>
      <c r="P404" s="256" t="s">
        <v>1403</v>
      </c>
      <c r="Q404" s="250"/>
      <c r="R404" s="260" t="s">
        <v>1837</v>
      </c>
      <c r="S404" s="251"/>
      <c r="T404" s="256" t="s">
        <v>25</v>
      </c>
      <c r="U404" s="248" t="s">
        <v>12</v>
      </c>
      <c r="V404" s="256">
        <v>1077</v>
      </c>
      <c r="W404" s="263"/>
      <c r="X404" s="218" t="s">
        <v>1363</v>
      </c>
      <c r="Y404" s="266">
        <v>44732.466435185182</v>
      </c>
    </row>
    <row r="405" spans="1:25" customFormat="1">
      <c r="A405" s="244" t="s">
        <v>62</v>
      </c>
      <c r="B405" s="253" t="s">
        <v>1320</v>
      </c>
      <c r="C405" s="245" t="s">
        <v>2238</v>
      </c>
      <c r="D405" s="256" t="s">
        <v>2239</v>
      </c>
      <c r="E405" s="248" t="s">
        <v>1596</v>
      </c>
      <c r="F405" s="256" t="s">
        <v>1597</v>
      </c>
      <c r="G405" s="248" t="s">
        <v>2245</v>
      </c>
      <c r="H405" s="246">
        <v>1</v>
      </c>
      <c r="I405" s="248"/>
      <c r="J405" s="246">
        <v>280</v>
      </c>
      <c r="K405" s="249"/>
      <c r="L405" s="281">
        <v>280</v>
      </c>
      <c r="M405" s="248" t="s">
        <v>1797</v>
      </c>
      <c r="N405" s="247"/>
      <c r="O405" s="248" t="s">
        <v>55</v>
      </c>
      <c r="P405" s="256" t="s">
        <v>1403</v>
      </c>
      <c r="Q405" s="250"/>
      <c r="R405" s="260" t="s">
        <v>1837</v>
      </c>
      <c r="S405" s="251"/>
      <c r="T405" s="256" t="s">
        <v>25</v>
      </c>
      <c r="U405" s="248" t="s">
        <v>12</v>
      </c>
      <c r="V405" s="256">
        <v>1077</v>
      </c>
      <c r="W405" s="263"/>
      <c r="X405" s="218" t="s">
        <v>1363</v>
      </c>
      <c r="Y405" s="266">
        <v>44732.466435185182</v>
      </c>
    </row>
    <row r="406" spans="1:25" customFormat="1">
      <c r="A406" s="244" t="s">
        <v>46</v>
      </c>
      <c r="B406" s="253" t="s">
        <v>1385</v>
      </c>
      <c r="C406" s="245" t="s">
        <v>2246</v>
      </c>
      <c r="D406" s="256" t="s">
        <v>2247</v>
      </c>
      <c r="E406" s="248" t="s">
        <v>1419</v>
      </c>
      <c r="F406" s="256" t="s">
        <v>17</v>
      </c>
      <c r="G406" s="248" t="s">
        <v>208</v>
      </c>
      <c r="H406" s="246">
        <v>25</v>
      </c>
      <c r="I406" s="248"/>
      <c r="J406" s="246">
        <v>3.6</v>
      </c>
      <c r="K406" s="249"/>
      <c r="L406" s="281">
        <v>90</v>
      </c>
      <c r="M406" s="248" t="s">
        <v>1747</v>
      </c>
      <c r="N406" s="247">
        <v>0</v>
      </c>
      <c r="O406" s="248" t="s">
        <v>1285</v>
      </c>
      <c r="P406" s="256" t="s">
        <v>1407</v>
      </c>
      <c r="Q406" s="250"/>
      <c r="R406" s="260"/>
      <c r="S406" s="251"/>
      <c r="T406" s="256" t="s">
        <v>29</v>
      </c>
      <c r="U406" s="248" t="s">
        <v>17</v>
      </c>
      <c r="V406" s="256">
        <v>1080</v>
      </c>
      <c r="W406" s="263"/>
      <c r="X406" s="218" t="s">
        <v>1400</v>
      </c>
      <c r="Y406" s="266">
        <v>44679.639884259261</v>
      </c>
    </row>
    <row r="407" spans="1:25" customFormat="1">
      <c r="A407" s="244" t="s">
        <v>46</v>
      </c>
      <c r="B407" s="253" t="s">
        <v>1320</v>
      </c>
      <c r="C407" s="245" t="s">
        <v>2248</v>
      </c>
      <c r="D407" s="256" t="s">
        <v>525</v>
      </c>
      <c r="E407" s="248" t="s">
        <v>1539</v>
      </c>
      <c r="F407" s="256" t="s">
        <v>18</v>
      </c>
      <c r="G407" s="248" t="s">
        <v>208</v>
      </c>
      <c r="H407" s="246">
        <v>1</v>
      </c>
      <c r="I407" s="248"/>
      <c r="J407" s="246">
        <v>5</v>
      </c>
      <c r="K407" s="249"/>
      <c r="L407" s="281">
        <v>5</v>
      </c>
      <c r="M407" s="248" t="s">
        <v>1416</v>
      </c>
      <c r="N407" s="247"/>
      <c r="O407" s="248" t="s">
        <v>55</v>
      </c>
      <c r="P407" s="256" t="s">
        <v>1362</v>
      </c>
      <c r="Q407" s="250"/>
      <c r="R407" s="260"/>
      <c r="S407" s="251"/>
      <c r="T407" s="256" t="s">
        <v>25</v>
      </c>
      <c r="U407" s="248" t="s">
        <v>18</v>
      </c>
      <c r="V407" s="256">
        <v>1078</v>
      </c>
      <c r="W407" s="263"/>
      <c r="X407" s="218" t="s">
        <v>1363</v>
      </c>
      <c r="Y407" s="266">
        <v>44665.675011574072</v>
      </c>
    </row>
    <row r="408" spans="1:25" customFormat="1">
      <c r="A408" s="244" t="s">
        <v>100</v>
      </c>
      <c r="B408" s="253" t="s">
        <v>1385</v>
      </c>
      <c r="C408" s="245" t="s">
        <v>2249</v>
      </c>
      <c r="D408" s="256" t="s">
        <v>1523</v>
      </c>
      <c r="E408" s="248" t="s">
        <v>1391</v>
      </c>
      <c r="F408" s="256" t="s">
        <v>21</v>
      </c>
      <c r="G408" s="248"/>
      <c r="H408" s="246"/>
      <c r="I408" s="248"/>
      <c r="J408" s="246"/>
      <c r="K408" s="249"/>
      <c r="L408" s="281">
        <v>250</v>
      </c>
      <c r="M408" s="248"/>
      <c r="N408" s="247"/>
      <c r="O408" s="248" t="s">
        <v>1285</v>
      </c>
      <c r="P408" s="256"/>
      <c r="Q408" s="250"/>
      <c r="R408" s="260"/>
      <c r="S408" s="251"/>
      <c r="T408" s="256" t="s">
        <v>29</v>
      </c>
      <c r="U408" s="248" t="s">
        <v>20</v>
      </c>
      <c r="V408" s="256" t="s">
        <v>208</v>
      </c>
      <c r="W408" s="263" t="s">
        <v>2250</v>
      </c>
      <c r="X408" s="218"/>
      <c r="Y408" s="266" t="s">
        <v>208</v>
      </c>
    </row>
    <row r="409" spans="1:25" customFormat="1">
      <c r="A409" s="244" t="s">
        <v>46</v>
      </c>
      <c r="B409" s="253" t="s">
        <v>1385</v>
      </c>
      <c r="C409" s="245" t="s">
        <v>2251</v>
      </c>
      <c r="D409" s="256" t="s">
        <v>2252</v>
      </c>
      <c r="E409" s="248"/>
      <c r="F409" s="256" t="s">
        <v>1388</v>
      </c>
      <c r="G409" s="248"/>
      <c r="H409" s="246"/>
      <c r="I409" s="248"/>
      <c r="J409" s="246"/>
      <c r="K409" s="249"/>
      <c r="L409" s="281">
        <v>200</v>
      </c>
      <c r="M409" s="248"/>
      <c r="N409" s="247"/>
      <c r="O409" s="248" t="s">
        <v>1285</v>
      </c>
      <c r="P409" s="256"/>
      <c r="Q409" s="250"/>
      <c r="R409" s="260" t="s">
        <v>208</v>
      </c>
      <c r="S409" s="251"/>
      <c r="T409" s="256" t="s">
        <v>29</v>
      </c>
      <c r="U409" s="248" t="s">
        <v>1388</v>
      </c>
      <c r="V409" s="256" t="s">
        <v>208</v>
      </c>
      <c r="W409" s="263" t="s">
        <v>2253</v>
      </c>
      <c r="X409" s="218"/>
      <c r="Y409" s="266" t="s">
        <v>208</v>
      </c>
    </row>
    <row r="410" spans="1:25" customFormat="1">
      <c r="A410" s="244" t="s">
        <v>100</v>
      </c>
      <c r="B410" s="253" t="s">
        <v>1320</v>
      </c>
      <c r="C410" s="245" t="s">
        <v>2254</v>
      </c>
      <c r="D410" s="256" t="s">
        <v>2147</v>
      </c>
      <c r="E410" s="248" t="s">
        <v>1539</v>
      </c>
      <c r="F410" s="256" t="s">
        <v>18</v>
      </c>
      <c r="G410" s="248" t="s">
        <v>2255</v>
      </c>
      <c r="H410" s="246">
        <v>1</v>
      </c>
      <c r="I410" s="248"/>
      <c r="J410" s="246">
        <v>1.9</v>
      </c>
      <c r="K410" s="249"/>
      <c r="L410" s="281">
        <v>1.9</v>
      </c>
      <c r="M410" s="248" t="s">
        <v>2256</v>
      </c>
      <c r="N410" s="247"/>
      <c r="O410" s="248" t="s">
        <v>55</v>
      </c>
      <c r="P410" s="256" t="s">
        <v>1362</v>
      </c>
      <c r="Q410" s="250"/>
      <c r="R410" s="260"/>
      <c r="S410" s="251"/>
      <c r="T410" s="256" t="s">
        <v>25</v>
      </c>
      <c r="U410" s="248" t="s">
        <v>18</v>
      </c>
      <c r="V410" s="256">
        <v>1079</v>
      </c>
      <c r="W410" s="263"/>
      <c r="X410" s="218" t="s">
        <v>1400</v>
      </c>
      <c r="Y410" s="266">
        <v>43999</v>
      </c>
    </row>
    <row r="411" spans="1:25" customFormat="1">
      <c r="A411" s="244" t="s">
        <v>46</v>
      </c>
      <c r="B411" s="253" t="s">
        <v>1320</v>
      </c>
      <c r="C411" s="245" t="s">
        <v>2257</v>
      </c>
      <c r="D411" s="256" t="s">
        <v>2258</v>
      </c>
      <c r="E411" s="248" t="s">
        <v>1359</v>
      </c>
      <c r="F411" s="256" t="s">
        <v>1438</v>
      </c>
      <c r="G411" s="248" t="s">
        <v>2259</v>
      </c>
      <c r="H411" s="246">
        <v>12</v>
      </c>
      <c r="I411" s="248"/>
      <c r="J411" s="246">
        <v>1.0649999999999999</v>
      </c>
      <c r="K411" s="249"/>
      <c r="L411" s="281">
        <v>12.78</v>
      </c>
      <c r="M411" s="248" t="s">
        <v>2260</v>
      </c>
      <c r="N411" s="247"/>
      <c r="O411" s="248" t="s">
        <v>55</v>
      </c>
      <c r="P411" s="256" t="s">
        <v>1362</v>
      </c>
      <c r="Q411" s="250"/>
      <c r="R411" s="260" t="s">
        <v>1384</v>
      </c>
      <c r="S411" s="251"/>
      <c r="T411" s="256" t="s">
        <v>25</v>
      </c>
      <c r="U411" s="248" t="s">
        <v>15</v>
      </c>
      <c r="V411" s="256">
        <v>1360</v>
      </c>
      <c r="W411" s="263"/>
      <c r="X411" s="218" t="s">
        <v>1363</v>
      </c>
      <c r="Y411" s="266">
        <v>44671.392766203702</v>
      </c>
    </row>
    <row r="412" spans="1:25" customFormat="1">
      <c r="A412" s="244" t="s">
        <v>95</v>
      </c>
      <c r="B412" s="253" t="s">
        <v>1320</v>
      </c>
      <c r="C412" s="245" t="s">
        <v>2261</v>
      </c>
      <c r="D412" s="256" t="s">
        <v>2262</v>
      </c>
      <c r="E412" s="248" t="s">
        <v>1359</v>
      </c>
      <c r="F412" s="256" t="s">
        <v>1422</v>
      </c>
      <c r="G412" s="248" t="s">
        <v>208</v>
      </c>
      <c r="H412" s="246">
        <v>2</v>
      </c>
      <c r="I412" s="248"/>
      <c r="J412" s="246">
        <v>1.69</v>
      </c>
      <c r="K412" s="249"/>
      <c r="L412" s="281">
        <v>3.38</v>
      </c>
      <c r="M412" s="248" t="s">
        <v>2263</v>
      </c>
      <c r="N412" s="247"/>
      <c r="O412" s="248" t="s">
        <v>55</v>
      </c>
      <c r="P412" s="256" t="s">
        <v>1362</v>
      </c>
      <c r="Q412" s="250"/>
      <c r="R412" s="260" t="s">
        <v>1588</v>
      </c>
      <c r="S412" s="251"/>
      <c r="T412" s="256" t="s">
        <v>25</v>
      </c>
      <c r="U412" s="248" t="s">
        <v>19</v>
      </c>
      <c r="V412" s="256">
        <v>1315</v>
      </c>
      <c r="W412" s="263"/>
      <c r="X412" s="218" t="s">
        <v>1363</v>
      </c>
      <c r="Y412" s="266">
        <v>44671.381331018521</v>
      </c>
    </row>
    <row r="413" spans="1:25" customFormat="1">
      <c r="A413" s="244" t="s">
        <v>100</v>
      </c>
      <c r="B413" s="253" t="s">
        <v>1385</v>
      </c>
      <c r="C413" s="245" t="s">
        <v>2264</v>
      </c>
      <c r="D413" s="256" t="s">
        <v>2099</v>
      </c>
      <c r="E413" s="248" t="s">
        <v>1398</v>
      </c>
      <c r="F413" s="256" t="s">
        <v>1388</v>
      </c>
      <c r="G413" s="248" t="s">
        <v>208</v>
      </c>
      <c r="H413" s="246">
        <v>140</v>
      </c>
      <c r="I413" s="248"/>
      <c r="J413" s="246">
        <v>1</v>
      </c>
      <c r="K413" s="249"/>
      <c r="L413" s="281">
        <v>140</v>
      </c>
      <c r="M413" s="248" t="s">
        <v>1490</v>
      </c>
      <c r="N413" s="247"/>
      <c r="O413" s="248" t="s">
        <v>1285</v>
      </c>
      <c r="P413" s="256" t="s">
        <v>1407</v>
      </c>
      <c r="Q413" s="250"/>
      <c r="R413" s="260"/>
      <c r="S413" s="251"/>
      <c r="T413" s="256" t="s">
        <v>29</v>
      </c>
      <c r="U413" s="248" t="s">
        <v>1388</v>
      </c>
      <c r="V413" s="256">
        <v>1623</v>
      </c>
      <c r="W413" s="263"/>
      <c r="X413" s="218" t="s">
        <v>1453</v>
      </c>
      <c r="Y413" s="266">
        <v>44748.420578703706</v>
      </c>
    </row>
    <row r="414" spans="1:25" customFormat="1">
      <c r="A414" s="244" t="s">
        <v>100</v>
      </c>
      <c r="B414" s="253" t="s">
        <v>1320</v>
      </c>
      <c r="C414" s="245" t="s">
        <v>2265</v>
      </c>
      <c r="D414" s="256" t="s">
        <v>315</v>
      </c>
      <c r="E414" s="248" t="s">
        <v>1429</v>
      </c>
      <c r="F414" s="256" t="s">
        <v>1388</v>
      </c>
      <c r="G414" s="248" t="s">
        <v>316</v>
      </c>
      <c r="H414" s="246">
        <v>48</v>
      </c>
      <c r="I414" s="248"/>
      <c r="J414" s="246">
        <v>2.75</v>
      </c>
      <c r="K414" s="249"/>
      <c r="L414" s="281">
        <v>132</v>
      </c>
      <c r="M414" s="248" t="s">
        <v>2266</v>
      </c>
      <c r="N414" s="247">
        <v>0</v>
      </c>
      <c r="O414" s="248" t="s">
        <v>55</v>
      </c>
      <c r="P414" s="256" t="s">
        <v>1407</v>
      </c>
      <c r="Q414" s="250"/>
      <c r="R414" s="260" t="s">
        <v>1744</v>
      </c>
      <c r="S414" s="251"/>
      <c r="T414" s="256" t="s">
        <v>25</v>
      </c>
      <c r="U414" s="248" t="s">
        <v>1388</v>
      </c>
      <c r="V414" s="256">
        <v>1541</v>
      </c>
      <c r="W414" s="263"/>
      <c r="X414" s="218" t="s">
        <v>1404</v>
      </c>
      <c r="Y414" s="266">
        <v>44699.358287037037</v>
      </c>
    </row>
    <row r="415" spans="1:25" customFormat="1">
      <c r="A415" s="244" t="s">
        <v>100</v>
      </c>
      <c r="B415" s="253" t="s">
        <v>1385</v>
      </c>
      <c r="C415" s="245" t="s">
        <v>2267</v>
      </c>
      <c r="D415" s="256" t="s">
        <v>2268</v>
      </c>
      <c r="E415" s="248" t="s">
        <v>1391</v>
      </c>
      <c r="F415" s="256" t="s">
        <v>21</v>
      </c>
      <c r="G415" s="248" t="s">
        <v>208</v>
      </c>
      <c r="H415" s="246">
        <v>100</v>
      </c>
      <c r="I415" s="248"/>
      <c r="J415" s="246">
        <v>2.9</v>
      </c>
      <c r="K415" s="249"/>
      <c r="L415" s="281">
        <v>290</v>
      </c>
      <c r="M415" s="248" t="s">
        <v>2269</v>
      </c>
      <c r="N415" s="247">
        <v>550</v>
      </c>
      <c r="O415" s="248" t="s">
        <v>1285</v>
      </c>
      <c r="P415" s="256" t="s">
        <v>1403</v>
      </c>
      <c r="Q415" s="250"/>
      <c r="R415" s="260"/>
      <c r="S415" s="251"/>
      <c r="T415" s="256" t="s">
        <v>29</v>
      </c>
      <c r="U415" s="248" t="s">
        <v>20</v>
      </c>
      <c r="V415" s="256">
        <v>1912</v>
      </c>
      <c r="W415" s="263" t="s">
        <v>3982</v>
      </c>
      <c r="X415" s="218" t="s">
        <v>1583</v>
      </c>
      <c r="Y415" s="266">
        <v>44679.630624999998</v>
      </c>
    </row>
    <row r="416" spans="1:25" customFormat="1">
      <c r="A416" s="244" t="s">
        <v>80</v>
      </c>
      <c r="B416" s="253" t="s">
        <v>1385</v>
      </c>
      <c r="C416" s="245" t="s">
        <v>2270</v>
      </c>
      <c r="D416" s="256" t="s">
        <v>2271</v>
      </c>
      <c r="E416" s="248" t="s">
        <v>1469</v>
      </c>
      <c r="F416" s="256" t="s">
        <v>18</v>
      </c>
      <c r="G416" s="248" t="s">
        <v>208</v>
      </c>
      <c r="H416" s="246">
        <v>1</v>
      </c>
      <c r="I416" s="248"/>
      <c r="J416" s="246">
        <v>230</v>
      </c>
      <c r="K416" s="249"/>
      <c r="L416" s="281">
        <v>230</v>
      </c>
      <c r="M416" s="248" t="s">
        <v>2272</v>
      </c>
      <c r="N416" s="247">
        <v>1840</v>
      </c>
      <c r="O416" s="248" t="s">
        <v>1285</v>
      </c>
      <c r="P416" s="256" t="s">
        <v>1403</v>
      </c>
      <c r="Q416" s="250"/>
      <c r="R416" s="260"/>
      <c r="S416" s="251"/>
      <c r="T416" s="256" t="s">
        <v>29</v>
      </c>
      <c r="U416" s="248" t="s">
        <v>18</v>
      </c>
      <c r="V416" s="256">
        <v>1491</v>
      </c>
      <c r="W416" s="263"/>
      <c r="X416" s="218" t="s">
        <v>1363</v>
      </c>
      <c r="Y416" s="266">
        <v>44672.40053240741</v>
      </c>
    </row>
    <row r="417" spans="1:25" customFormat="1">
      <c r="A417" s="244" t="s">
        <v>100</v>
      </c>
      <c r="B417" s="253" t="s">
        <v>1385</v>
      </c>
      <c r="C417" s="245" t="s">
        <v>2273</v>
      </c>
      <c r="D417" s="256" t="s">
        <v>2274</v>
      </c>
      <c r="E417" s="248" t="s">
        <v>1419</v>
      </c>
      <c r="F417" s="256" t="s">
        <v>17</v>
      </c>
      <c r="G417" s="248" t="s">
        <v>208</v>
      </c>
      <c r="H417" s="246">
        <v>122</v>
      </c>
      <c r="I417" s="248"/>
      <c r="J417" s="246">
        <v>6.2</v>
      </c>
      <c r="K417" s="249"/>
      <c r="L417" s="281">
        <v>756.4</v>
      </c>
      <c r="M417" s="248" t="s">
        <v>2275</v>
      </c>
      <c r="N417" s="247"/>
      <c r="O417" s="248" t="s">
        <v>1285</v>
      </c>
      <c r="P417" s="256" t="s">
        <v>1407</v>
      </c>
      <c r="Q417" s="250"/>
      <c r="R417" s="260" t="s">
        <v>1700</v>
      </c>
      <c r="S417" s="251"/>
      <c r="T417" s="256" t="s">
        <v>29</v>
      </c>
      <c r="U417" s="248" t="s">
        <v>17</v>
      </c>
      <c r="V417" s="256">
        <v>1487</v>
      </c>
      <c r="W417" s="263" t="s">
        <v>2276</v>
      </c>
      <c r="X417" s="218" t="s">
        <v>1404</v>
      </c>
      <c r="Y417" s="266">
        <v>44699.345462962963</v>
      </c>
    </row>
    <row r="418" spans="1:25" customFormat="1">
      <c r="A418" s="244" t="s">
        <v>100</v>
      </c>
      <c r="B418" s="253" t="s">
        <v>1385</v>
      </c>
      <c r="C418" s="245" t="s">
        <v>2277</v>
      </c>
      <c r="D418" s="256" t="s">
        <v>2278</v>
      </c>
      <c r="E418" s="248" t="s">
        <v>1419</v>
      </c>
      <c r="F418" s="256" t="s">
        <v>17</v>
      </c>
      <c r="G418" s="248" t="s">
        <v>208</v>
      </c>
      <c r="H418" s="246">
        <v>93</v>
      </c>
      <c r="I418" s="248"/>
      <c r="J418" s="246">
        <v>6.2</v>
      </c>
      <c r="K418" s="249"/>
      <c r="L418" s="281">
        <v>576.6</v>
      </c>
      <c r="M418" s="248" t="s">
        <v>2279</v>
      </c>
      <c r="N418" s="247"/>
      <c r="O418" s="248" t="s">
        <v>1285</v>
      </c>
      <c r="P418" s="256" t="s">
        <v>1407</v>
      </c>
      <c r="Q418" s="250"/>
      <c r="R418" s="260" t="s">
        <v>1832</v>
      </c>
      <c r="S418" s="251"/>
      <c r="T418" s="256" t="s">
        <v>29</v>
      </c>
      <c r="U418" s="248" t="s">
        <v>17</v>
      </c>
      <c r="V418" s="256">
        <v>1990</v>
      </c>
      <c r="W418" s="263" t="s">
        <v>2280</v>
      </c>
      <c r="X418" s="218" t="s">
        <v>208</v>
      </c>
      <c r="Y418" s="266">
        <v>44699.380115740743</v>
      </c>
    </row>
    <row r="419" spans="1:25" customFormat="1">
      <c r="A419" s="244" t="s">
        <v>46</v>
      </c>
      <c r="B419" s="253" t="s">
        <v>1385</v>
      </c>
      <c r="C419" s="245" t="s">
        <v>2281</v>
      </c>
      <c r="D419" s="256" t="s">
        <v>2282</v>
      </c>
      <c r="E419" s="248" t="s">
        <v>1391</v>
      </c>
      <c r="F419" s="256" t="s">
        <v>21</v>
      </c>
      <c r="G419" s="248" t="s">
        <v>208</v>
      </c>
      <c r="H419" s="246">
        <v>1</v>
      </c>
      <c r="I419" s="248"/>
      <c r="J419" s="246">
        <v>12</v>
      </c>
      <c r="K419" s="249"/>
      <c r="L419" s="281">
        <v>12</v>
      </c>
      <c r="M419" s="248" t="s">
        <v>1392</v>
      </c>
      <c r="N419" s="247">
        <v>6.66</v>
      </c>
      <c r="O419" s="248" t="s">
        <v>1285</v>
      </c>
      <c r="P419" s="256" t="s">
        <v>1393</v>
      </c>
      <c r="Q419" s="250"/>
      <c r="R419" s="260"/>
      <c r="S419" s="251"/>
      <c r="T419" s="256" t="s">
        <v>29</v>
      </c>
      <c r="U419" s="248" t="s">
        <v>20</v>
      </c>
      <c r="V419" s="256">
        <v>1891</v>
      </c>
      <c r="W419" s="263"/>
      <c r="X419" s="218" t="s">
        <v>1400</v>
      </c>
      <c r="Y419" s="266">
        <v>44679.716087962966</v>
      </c>
    </row>
    <row r="420" spans="1:25" customFormat="1">
      <c r="A420" s="244" t="s">
        <v>46</v>
      </c>
      <c r="B420" s="253" t="s">
        <v>1385</v>
      </c>
      <c r="C420" s="245" t="s">
        <v>2283</v>
      </c>
      <c r="D420" s="256" t="s">
        <v>2282</v>
      </c>
      <c r="E420" s="248" t="s">
        <v>1365</v>
      </c>
      <c r="F420" s="256" t="s">
        <v>2284</v>
      </c>
      <c r="G420" s="248" t="s">
        <v>208</v>
      </c>
      <c r="H420" s="246">
        <v>1</v>
      </c>
      <c r="I420" s="248"/>
      <c r="J420" s="246">
        <v>72</v>
      </c>
      <c r="K420" s="249"/>
      <c r="L420" s="281">
        <v>72</v>
      </c>
      <c r="M420" s="248" t="s">
        <v>1626</v>
      </c>
      <c r="N420" s="247">
        <v>0</v>
      </c>
      <c r="O420" s="248" t="s">
        <v>1285</v>
      </c>
      <c r="P420" s="256" t="s">
        <v>1393</v>
      </c>
      <c r="Q420" s="250"/>
      <c r="R420" s="260"/>
      <c r="S420" s="251"/>
      <c r="T420" s="256" t="s">
        <v>29</v>
      </c>
      <c r="U420" s="248" t="s">
        <v>15</v>
      </c>
      <c r="V420" s="256">
        <v>1892</v>
      </c>
      <c r="W420" s="263"/>
      <c r="X420" s="218" t="s">
        <v>1400</v>
      </c>
      <c r="Y420" s="266">
        <v>44679.715937499997</v>
      </c>
    </row>
    <row r="421" spans="1:25" customFormat="1">
      <c r="A421" s="244" t="s">
        <v>46</v>
      </c>
      <c r="B421" s="253" t="s">
        <v>1320</v>
      </c>
      <c r="C421" s="245" t="s">
        <v>168</v>
      </c>
      <c r="D421" s="256" t="s">
        <v>169</v>
      </c>
      <c r="E421" s="248" t="s">
        <v>1429</v>
      </c>
      <c r="F421" s="256" t="s">
        <v>1388</v>
      </c>
      <c r="G421" s="248" t="s">
        <v>170</v>
      </c>
      <c r="H421" s="246">
        <v>31</v>
      </c>
      <c r="I421" s="248"/>
      <c r="J421" s="246">
        <v>2.25</v>
      </c>
      <c r="K421" s="249"/>
      <c r="L421" s="281">
        <v>69.75</v>
      </c>
      <c r="M421" s="248" t="s">
        <v>2285</v>
      </c>
      <c r="N421" s="247"/>
      <c r="O421" s="248" t="s">
        <v>55</v>
      </c>
      <c r="P421" s="256" t="s">
        <v>1407</v>
      </c>
      <c r="Q421" s="250"/>
      <c r="R421" s="260" t="s">
        <v>1532</v>
      </c>
      <c r="S421" s="251"/>
      <c r="T421" s="256" t="s">
        <v>25</v>
      </c>
      <c r="U421" s="248" t="s">
        <v>1388</v>
      </c>
      <c r="V421" s="256">
        <v>1400</v>
      </c>
      <c r="W421" s="263"/>
      <c r="X421" s="218" t="s">
        <v>1363</v>
      </c>
      <c r="Y421" s="266">
        <v>44671.436712962961</v>
      </c>
    </row>
    <row r="422" spans="1:25" customFormat="1">
      <c r="A422" s="244" t="s">
        <v>100</v>
      </c>
      <c r="B422" s="253" t="s">
        <v>1385</v>
      </c>
      <c r="C422" s="245" t="s">
        <v>2286</v>
      </c>
      <c r="D422" s="256" t="s">
        <v>2268</v>
      </c>
      <c r="E422" s="248" t="s">
        <v>1529</v>
      </c>
      <c r="F422" s="256" t="s">
        <v>21</v>
      </c>
      <c r="G422" s="248"/>
      <c r="H422" s="246"/>
      <c r="I422" s="248"/>
      <c r="J422" s="246"/>
      <c r="K422" s="249"/>
      <c r="L422" s="281">
        <v>350</v>
      </c>
      <c r="M422" s="248"/>
      <c r="N422" s="247"/>
      <c r="O422" s="248" t="s">
        <v>1285</v>
      </c>
      <c r="P422" s="256"/>
      <c r="Q422" s="250"/>
      <c r="R422" s="260"/>
      <c r="S422" s="251"/>
      <c r="T422" s="256" t="s">
        <v>29</v>
      </c>
      <c r="U422" s="248" t="s">
        <v>20</v>
      </c>
      <c r="V422" s="256" t="s">
        <v>208</v>
      </c>
      <c r="W422" s="263" t="s">
        <v>2287</v>
      </c>
      <c r="X422" s="218"/>
      <c r="Y422" s="266" t="s">
        <v>208</v>
      </c>
    </row>
    <row r="423" spans="1:25" customFormat="1">
      <c r="A423" s="244" t="s">
        <v>95</v>
      </c>
      <c r="B423" s="253" t="s">
        <v>1320</v>
      </c>
      <c r="C423" s="245" t="s">
        <v>2288</v>
      </c>
      <c r="D423" s="256" t="s">
        <v>1585</v>
      </c>
      <c r="E423" s="248" t="s">
        <v>1539</v>
      </c>
      <c r="F423" s="256" t="s">
        <v>18</v>
      </c>
      <c r="G423" s="248" t="s">
        <v>2289</v>
      </c>
      <c r="H423" s="246">
        <v>3</v>
      </c>
      <c r="I423" s="248"/>
      <c r="J423" s="246">
        <v>144</v>
      </c>
      <c r="K423" s="249"/>
      <c r="L423" s="281">
        <v>432</v>
      </c>
      <c r="M423" s="248" t="s">
        <v>2290</v>
      </c>
      <c r="N423" s="247"/>
      <c r="O423" s="248" t="s">
        <v>55</v>
      </c>
      <c r="P423" s="256" t="s">
        <v>1403</v>
      </c>
      <c r="Q423" s="250"/>
      <c r="R423" s="260" t="s">
        <v>1588</v>
      </c>
      <c r="S423" s="251"/>
      <c r="T423" s="256" t="s">
        <v>25</v>
      </c>
      <c r="U423" s="248" t="s">
        <v>18</v>
      </c>
      <c r="V423" s="256">
        <v>1081</v>
      </c>
      <c r="W423" s="263"/>
      <c r="X423" s="218" t="s">
        <v>1363</v>
      </c>
      <c r="Y423" s="266">
        <v>44670.591226851851</v>
      </c>
    </row>
    <row r="424" spans="1:25" customFormat="1">
      <c r="A424" s="244" t="s">
        <v>46</v>
      </c>
      <c r="B424" s="253" t="s">
        <v>1385</v>
      </c>
      <c r="C424" s="245" t="s">
        <v>2291</v>
      </c>
      <c r="D424" s="256" t="s">
        <v>2292</v>
      </c>
      <c r="E424" s="248" t="s">
        <v>1359</v>
      </c>
      <c r="F424" s="256" t="s">
        <v>19</v>
      </c>
      <c r="G424" s="248" t="s">
        <v>208</v>
      </c>
      <c r="H424" s="246">
        <v>2</v>
      </c>
      <c r="I424" s="248"/>
      <c r="J424" s="246">
        <v>0.8</v>
      </c>
      <c r="K424" s="249"/>
      <c r="L424" s="281">
        <v>1.6</v>
      </c>
      <c r="M424" s="248" t="s">
        <v>1518</v>
      </c>
      <c r="N424" s="247">
        <v>0</v>
      </c>
      <c r="O424" s="248" t="s">
        <v>1285</v>
      </c>
      <c r="P424" s="256" t="s">
        <v>1362</v>
      </c>
      <c r="Q424" s="250"/>
      <c r="R424" s="260" t="s">
        <v>1959</v>
      </c>
      <c r="S424" s="251"/>
      <c r="T424" s="256" t="s">
        <v>29</v>
      </c>
      <c r="U424" s="248" t="s">
        <v>19</v>
      </c>
      <c r="V424" s="256">
        <v>1658</v>
      </c>
      <c r="W424" s="263"/>
      <c r="X424" s="218" t="s">
        <v>1400</v>
      </c>
      <c r="Y424" s="266">
        <v>44741.483495370368</v>
      </c>
    </row>
    <row r="425" spans="1:25" customFormat="1">
      <c r="A425" s="244" t="s">
        <v>46</v>
      </c>
      <c r="B425" s="253" t="s">
        <v>1385</v>
      </c>
      <c r="C425" s="245" t="s">
        <v>2293</v>
      </c>
      <c r="D425" s="256" t="s">
        <v>2294</v>
      </c>
      <c r="E425" s="248"/>
      <c r="F425" s="256" t="s">
        <v>21</v>
      </c>
      <c r="G425" s="248"/>
      <c r="H425" s="246"/>
      <c r="I425" s="248"/>
      <c r="J425" s="246"/>
      <c r="K425" s="249"/>
      <c r="L425" s="281">
        <v>500</v>
      </c>
      <c r="M425" s="248"/>
      <c r="N425" s="247"/>
      <c r="O425" s="248" t="s">
        <v>1285</v>
      </c>
      <c r="P425" s="256"/>
      <c r="Q425" s="250"/>
      <c r="R425" s="260"/>
      <c r="S425" s="251"/>
      <c r="T425" s="256" t="s">
        <v>29</v>
      </c>
      <c r="U425" s="248" t="s">
        <v>20</v>
      </c>
      <c r="V425" s="256" t="s">
        <v>208</v>
      </c>
      <c r="W425" s="263" t="s">
        <v>2295</v>
      </c>
      <c r="X425" s="218"/>
      <c r="Y425" s="266" t="s">
        <v>208</v>
      </c>
    </row>
    <row r="426" spans="1:25" customFormat="1">
      <c r="A426" s="244" t="s">
        <v>46</v>
      </c>
      <c r="B426" s="253" t="s">
        <v>1385</v>
      </c>
      <c r="C426" s="245" t="s">
        <v>2296</v>
      </c>
      <c r="D426" s="256" t="s">
        <v>2294</v>
      </c>
      <c r="E426" s="248"/>
      <c r="F426" s="256" t="s">
        <v>1388</v>
      </c>
      <c r="G426" s="248"/>
      <c r="H426" s="246"/>
      <c r="I426" s="248"/>
      <c r="J426" s="246"/>
      <c r="K426" s="249"/>
      <c r="L426" s="281">
        <v>500</v>
      </c>
      <c r="M426" s="248"/>
      <c r="N426" s="247"/>
      <c r="O426" s="248" t="s">
        <v>1285</v>
      </c>
      <c r="P426" s="256"/>
      <c r="Q426" s="250"/>
      <c r="R426" s="260"/>
      <c r="S426" s="251"/>
      <c r="T426" s="256" t="s">
        <v>29</v>
      </c>
      <c r="U426" s="248" t="s">
        <v>1388</v>
      </c>
      <c r="V426" s="256" t="s">
        <v>208</v>
      </c>
      <c r="W426" s="263" t="s">
        <v>2297</v>
      </c>
      <c r="X426" s="218"/>
      <c r="Y426" s="266" t="s">
        <v>208</v>
      </c>
    </row>
    <row r="427" spans="1:25" customFormat="1">
      <c r="A427" s="244" t="s">
        <v>80</v>
      </c>
      <c r="B427" s="253" t="s">
        <v>1385</v>
      </c>
      <c r="C427" s="245" t="s">
        <v>2298</v>
      </c>
      <c r="D427" s="256" t="s">
        <v>298</v>
      </c>
      <c r="E427" s="248" t="s">
        <v>1391</v>
      </c>
      <c r="F427" s="256" t="s">
        <v>21</v>
      </c>
      <c r="G427" s="248" t="s">
        <v>208</v>
      </c>
      <c r="H427" s="246">
        <v>1</v>
      </c>
      <c r="I427" s="248"/>
      <c r="J427" s="246">
        <v>900</v>
      </c>
      <c r="K427" s="249"/>
      <c r="L427" s="281">
        <v>900</v>
      </c>
      <c r="M427" s="248" t="s">
        <v>2299</v>
      </c>
      <c r="N427" s="247">
        <v>1800</v>
      </c>
      <c r="O427" s="248" t="s">
        <v>1285</v>
      </c>
      <c r="P427" s="256" t="s">
        <v>1403</v>
      </c>
      <c r="Q427" s="250"/>
      <c r="R427" s="260"/>
      <c r="S427" s="251"/>
      <c r="T427" s="256" t="s">
        <v>29</v>
      </c>
      <c r="U427" s="248" t="s">
        <v>20</v>
      </c>
      <c r="V427" s="256">
        <v>1962</v>
      </c>
      <c r="W427" s="263" t="s">
        <v>3947</v>
      </c>
      <c r="X427" s="218" t="s">
        <v>1395</v>
      </c>
      <c r="Y427" s="266">
        <v>44679.64230324074</v>
      </c>
    </row>
    <row r="428" spans="1:25" customFormat="1">
      <c r="A428" s="244" t="s">
        <v>80</v>
      </c>
      <c r="B428" s="253" t="s">
        <v>1385</v>
      </c>
      <c r="C428" s="245" t="s">
        <v>2300</v>
      </c>
      <c r="D428" s="256" t="s">
        <v>298</v>
      </c>
      <c r="E428" s="248" t="s">
        <v>1429</v>
      </c>
      <c r="F428" s="256" t="s">
        <v>1388</v>
      </c>
      <c r="G428" s="248" t="s">
        <v>208</v>
      </c>
      <c r="H428" s="246">
        <v>1</v>
      </c>
      <c r="I428" s="248"/>
      <c r="J428" s="246">
        <v>600</v>
      </c>
      <c r="K428" s="249"/>
      <c r="L428" s="281">
        <v>600</v>
      </c>
      <c r="M428" s="248" t="s">
        <v>1470</v>
      </c>
      <c r="N428" s="247">
        <v>0</v>
      </c>
      <c r="O428" s="248" t="s">
        <v>1285</v>
      </c>
      <c r="P428" s="256" t="s">
        <v>1407</v>
      </c>
      <c r="Q428" s="250"/>
      <c r="R428" s="260"/>
      <c r="S428" s="251"/>
      <c r="T428" s="256" t="s">
        <v>29</v>
      </c>
      <c r="U428" s="248" t="s">
        <v>1388</v>
      </c>
      <c r="V428" s="256">
        <v>1963</v>
      </c>
      <c r="W428" s="263" t="s">
        <v>3947</v>
      </c>
      <c r="X428" s="218" t="s">
        <v>1395</v>
      </c>
      <c r="Y428" s="266">
        <v>44679.641770833332</v>
      </c>
    </row>
    <row r="429" spans="1:25" customFormat="1">
      <c r="A429" s="244" t="s">
        <v>80</v>
      </c>
      <c r="B429" s="253" t="s">
        <v>1385</v>
      </c>
      <c r="C429" s="245" t="s">
        <v>2301</v>
      </c>
      <c r="D429" s="256" t="s">
        <v>298</v>
      </c>
      <c r="E429" s="248" t="s">
        <v>1419</v>
      </c>
      <c r="F429" s="256" t="s">
        <v>17</v>
      </c>
      <c r="G429" s="248" t="s">
        <v>208</v>
      </c>
      <c r="H429" s="246">
        <v>75</v>
      </c>
      <c r="I429" s="248">
        <v>5.5</v>
      </c>
      <c r="J429" s="246">
        <v>6.2</v>
      </c>
      <c r="K429" s="249">
        <v>412.5</v>
      </c>
      <c r="L429" s="281">
        <v>465</v>
      </c>
      <c r="M429" s="248" t="s">
        <v>2302</v>
      </c>
      <c r="N429" s="247">
        <v>0</v>
      </c>
      <c r="O429" s="248" t="s">
        <v>1285</v>
      </c>
      <c r="P429" s="256" t="s">
        <v>1407</v>
      </c>
      <c r="Q429" s="250"/>
      <c r="R429" s="260"/>
      <c r="S429" s="251"/>
      <c r="T429" s="256" t="s">
        <v>29</v>
      </c>
      <c r="U429" s="248" t="s">
        <v>17</v>
      </c>
      <c r="V429" s="256">
        <v>1964</v>
      </c>
      <c r="W429" s="263" t="s">
        <v>3947</v>
      </c>
      <c r="X429" s="218" t="s">
        <v>1453</v>
      </c>
      <c r="Y429" s="266">
        <v>44747.407233796293</v>
      </c>
    </row>
    <row r="430" spans="1:25" customFormat="1">
      <c r="A430" s="244" t="s">
        <v>46</v>
      </c>
      <c r="B430" s="253" t="s">
        <v>1320</v>
      </c>
      <c r="C430" s="245" t="s">
        <v>2303</v>
      </c>
      <c r="D430" s="256" t="s">
        <v>324</v>
      </c>
      <c r="E430" s="248" t="s">
        <v>1359</v>
      </c>
      <c r="F430" s="256" t="s">
        <v>1422</v>
      </c>
      <c r="G430" s="248" t="s">
        <v>2304</v>
      </c>
      <c r="H430" s="246">
        <v>1</v>
      </c>
      <c r="I430" s="248"/>
      <c r="J430" s="246">
        <v>1.26</v>
      </c>
      <c r="K430" s="249"/>
      <c r="L430" s="281">
        <v>1.26</v>
      </c>
      <c r="M430" s="248" t="s">
        <v>2305</v>
      </c>
      <c r="N430" s="247"/>
      <c r="O430" s="248" t="s">
        <v>55</v>
      </c>
      <c r="P430" s="256" t="s">
        <v>1362</v>
      </c>
      <c r="Q430" s="250"/>
      <c r="R430" s="260" t="s">
        <v>1382</v>
      </c>
      <c r="S430" s="251"/>
      <c r="T430" s="256" t="s">
        <v>25</v>
      </c>
      <c r="U430" s="248" t="s">
        <v>19</v>
      </c>
      <c r="V430" s="256">
        <v>1329</v>
      </c>
      <c r="W430" s="263"/>
      <c r="X430" s="218" t="s">
        <v>1363</v>
      </c>
      <c r="Y430" s="266">
        <v>44671.388472222221</v>
      </c>
    </row>
    <row r="431" spans="1:25" customFormat="1">
      <c r="A431" s="244" t="s">
        <v>46</v>
      </c>
      <c r="B431" s="253" t="s">
        <v>1385</v>
      </c>
      <c r="C431" s="245" t="s">
        <v>2306</v>
      </c>
      <c r="D431" s="256" t="s">
        <v>2307</v>
      </c>
      <c r="E431" s="248" t="s">
        <v>1419</v>
      </c>
      <c r="F431" s="256" t="s">
        <v>17</v>
      </c>
      <c r="G431" s="248" t="s">
        <v>208</v>
      </c>
      <c r="H431" s="246">
        <v>121</v>
      </c>
      <c r="I431" s="248"/>
      <c r="J431" s="246">
        <v>1</v>
      </c>
      <c r="K431" s="249"/>
      <c r="L431" s="281">
        <v>121</v>
      </c>
      <c r="M431" s="248" t="s">
        <v>1697</v>
      </c>
      <c r="N431" s="247"/>
      <c r="O431" s="248" t="s">
        <v>1285</v>
      </c>
      <c r="P431" s="256" t="s">
        <v>1407</v>
      </c>
      <c r="Q431" s="250"/>
      <c r="R431" s="260"/>
      <c r="S431" s="251"/>
      <c r="T431" s="256" t="s">
        <v>29</v>
      </c>
      <c r="U431" s="248" t="s">
        <v>17</v>
      </c>
      <c r="V431" s="256">
        <v>1624</v>
      </c>
      <c r="W431" s="263"/>
      <c r="X431" s="218" t="s">
        <v>1400</v>
      </c>
      <c r="Y431" s="266">
        <v>43769.416655092595</v>
      </c>
    </row>
    <row r="432" spans="1:25" customFormat="1">
      <c r="A432" s="244" t="s">
        <v>95</v>
      </c>
      <c r="B432" s="253" t="s">
        <v>1320</v>
      </c>
      <c r="C432" s="245" t="s">
        <v>897</v>
      </c>
      <c r="D432" s="256" t="s">
        <v>2308</v>
      </c>
      <c r="E432" s="248" t="s">
        <v>1419</v>
      </c>
      <c r="F432" s="256" t="s">
        <v>17</v>
      </c>
      <c r="G432" s="248" t="s">
        <v>2309</v>
      </c>
      <c r="H432" s="246">
        <v>31</v>
      </c>
      <c r="I432" s="248"/>
      <c r="J432" s="246">
        <v>3.6</v>
      </c>
      <c r="K432" s="249"/>
      <c r="L432" s="281">
        <v>111.60000000000001</v>
      </c>
      <c r="M432" s="248" t="s">
        <v>2310</v>
      </c>
      <c r="N432" s="247"/>
      <c r="O432" s="248" t="s">
        <v>55</v>
      </c>
      <c r="P432" s="256" t="s">
        <v>1407</v>
      </c>
      <c r="Q432" s="250"/>
      <c r="R432" s="260" t="s">
        <v>2065</v>
      </c>
      <c r="S432" s="251"/>
      <c r="T432" s="256" t="s">
        <v>25</v>
      </c>
      <c r="U432" s="248" t="s">
        <v>17</v>
      </c>
      <c r="V432" s="256">
        <v>1322</v>
      </c>
      <c r="W432" s="263"/>
      <c r="X432" s="218" t="s">
        <v>1453</v>
      </c>
      <c r="Y432" s="266">
        <v>44742.562615740739</v>
      </c>
    </row>
    <row r="433" spans="1:25" customFormat="1">
      <c r="A433" s="244" t="s">
        <v>46</v>
      </c>
      <c r="B433" s="253" t="s">
        <v>1385</v>
      </c>
      <c r="C433" s="245" t="s">
        <v>2311</v>
      </c>
      <c r="D433" s="256" t="s">
        <v>2312</v>
      </c>
      <c r="E433" s="248" t="s">
        <v>1391</v>
      </c>
      <c r="F433" s="256" t="s">
        <v>21</v>
      </c>
      <c r="G433" s="248" t="s">
        <v>208</v>
      </c>
      <c r="H433" s="246">
        <v>1</v>
      </c>
      <c r="I433" s="248"/>
      <c r="J433" s="246">
        <v>500</v>
      </c>
      <c r="K433" s="249"/>
      <c r="L433" s="281">
        <v>500</v>
      </c>
      <c r="M433" s="248" t="s">
        <v>1447</v>
      </c>
      <c r="N433" s="247">
        <v>1000</v>
      </c>
      <c r="O433" s="248" t="s">
        <v>1285</v>
      </c>
      <c r="P433" s="256" t="s">
        <v>1403</v>
      </c>
      <c r="Q433" s="250"/>
      <c r="R433" s="260"/>
      <c r="S433" s="251"/>
      <c r="T433" s="256" t="s">
        <v>29</v>
      </c>
      <c r="U433" s="248" t="s">
        <v>20</v>
      </c>
      <c r="V433" s="256">
        <v>1869</v>
      </c>
      <c r="W433" s="263" t="s">
        <v>3931</v>
      </c>
      <c r="X433" s="218" t="s">
        <v>1400</v>
      </c>
      <c r="Y433" s="266">
        <v>44208.651041666664</v>
      </c>
    </row>
    <row r="434" spans="1:25" customFormat="1">
      <c r="A434" s="244" t="s">
        <v>100</v>
      </c>
      <c r="B434" s="253" t="s">
        <v>1385</v>
      </c>
      <c r="C434" s="245" t="s">
        <v>2313</v>
      </c>
      <c r="D434" s="256" t="s">
        <v>2314</v>
      </c>
      <c r="E434" s="248" t="s">
        <v>1581</v>
      </c>
      <c r="F434" s="256" t="s">
        <v>17</v>
      </c>
      <c r="G434" s="248" t="s">
        <v>208</v>
      </c>
      <c r="H434" s="246">
        <v>1</v>
      </c>
      <c r="I434" s="248"/>
      <c r="J434" s="246">
        <v>1300</v>
      </c>
      <c r="K434" s="249"/>
      <c r="L434" s="281">
        <v>1300</v>
      </c>
      <c r="M434" s="248" t="s">
        <v>2315</v>
      </c>
      <c r="N434" s="247"/>
      <c r="O434" s="248" t="s">
        <v>1285</v>
      </c>
      <c r="P434" s="256" t="s">
        <v>1407</v>
      </c>
      <c r="Q434" s="250"/>
      <c r="R434" s="260"/>
      <c r="S434" s="251"/>
      <c r="T434" s="256" t="s">
        <v>29</v>
      </c>
      <c r="U434" s="248" t="s">
        <v>17</v>
      </c>
      <c r="V434" s="256">
        <v>2027</v>
      </c>
      <c r="W434" s="263" t="s">
        <v>2233</v>
      </c>
      <c r="X434" s="218"/>
      <c r="Y434" s="266">
        <v>44722.455740740741</v>
      </c>
    </row>
    <row r="435" spans="1:25" customFormat="1">
      <c r="A435" s="244" t="s">
        <v>100</v>
      </c>
      <c r="B435" s="253" t="s">
        <v>1385</v>
      </c>
      <c r="C435" s="245" t="s">
        <v>4061</v>
      </c>
      <c r="D435" s="256" t="s">
        <v>4062</v>
      </c>
      <c r="E435" s="248"/>
      <c r="F435" s="256" t="s">
        <v>3990</v>
      </c>
      <c r="G435" s="248"/>
      <c r="H435" s="246">
        <v>100</v>
      </c>
      <c r="I435" s="248"/>
      <c r="J435" s="246">
        <v>1500</v>
      </c>
      <c r="K435" s="249"/>
      <c r="L435" s="281">
        <v>1500</v>
      </c>
      <c r="M435" s="248"/>
      <c r="N435" s="247"/>
      <c r="O435" s="248" t="s">
        <v>1285</v>
      </c>
      <c r="P435" s="256"/>
      <c r="Q435" s="250"/>
      <c r="R435" s="260"/>
      <c r="S435" s="251"/>
      <c r="T435" s="256" t="s">
        <v>29</v>
      </c>
      <c r="U435" s="248" t="s">
        <v>17</v>
      </c>
      <c r="V435" s="256"/>
      <c r="W435" s="263" t="s">
        <v>4068</v>
      </c>
      <c r="X435" s="218"/>
      <c r="Y435" s="266"/>
    </row>
    <row r="436" spans="1:25" customFormat="1">
      <c r="A436" s="244" t="s">
        <v>62</v>
      </c>
      <c r="B436" s="253" t="s">
        <v>1385</v>
      </c>
      <c r="C436" s="245" t="s">
        <v>4007</v>
      </c>
      <c r="D436" s="256" t="s">
        <v>1817</v>
      </c>
      <c r="E436" s="248"/>
      <c r="F436" s="256" t="s">
        <v>1529</v>
      </c>
      <c r="G436" s="248"/>
      <c r="H436" s="246"/>
      <c r="I436" s="248"/>
      <c r="J436" s="246"/>
      <c r="K436" s="249"/>
      <c r="L436" s="281">
        <v>200</v>
      </c>
      <c r="M436" s="248"/>
      <c r="N436" s="247"/>
      <c r="O436" s="248" t="s">
        <v>1285</v>
      </c>
      <c r="P436" s="256"/>
      <c r="Q436" s="250"/>
      <c r="R436" s="260"/>
      <c r="S436" s="251"/>
      <c r="T436" s="256" t="s">
        <v>29</v>
      </c>
      <c r="U436" s="248" t="s">
        <v>20</v>
      </c>
      <c r="V436" s="256"/>
      <c r="W436" s="263" t="s">
        <v>4039</v>
      </c>
      <c r="X436" s="218"/>
      <c r="Y436" s="266"/>
    </row>
    <row r="437" spans="1:25" customFormat="1">
      <c r="A437" s="244" t="s">
        <v>46</v>
      </c>
      <c r="B437" s="253" t="s">
        <v>1385</v>
      </c>
      <c r="C437" s="245" t="s">
        <v>2316</v>
      </c>
      <c r="D437" s="256" t="s">
        <v>2317</v>
      </c>
      <c r="E437" s="248" t="s">
        <v>1398</v>
      </c>
      <c r="F437" s="256" t="s">
        <v>1388</v>
      </c>
      <c r="G437" s="248" t="s">
        <v>208</v>
      </c>
      <c r="H437" s="246">
        <v>1</v>
      </c>
      <c r="I437" s="248"/>
      <c r="J437" s="246">
        <v>45</v>
      </c>
      <c r="K437" s="249"/>
      <c r="L437" s="281">
        <v>45</v>
      </c>
      <c r="M437" s="248" t="s">
        <v>2318</v>
      </c>
      <c r="N437" s="247"/>
      <c r="O437" s="248" t="s">
        <v>1285</v>
      </c>
      <c r="P437" s="256" t="s">
        <v>1362</v>
      </c>
      <c r="Q437" s="250"/>
      <c r="R437" s="260"/>
      <c r="S437" s="251"/>
      <c r="T437" s="256" t="s">
        <v>29</v>
      </c>
      <c r="U437" s="248" t="s">
        <v>1388</v>
      </c>
      <c r="V437" s="256">
        <v>1543</v>
      </c>
      <c r="W437" s="263" t="s">
        <v>3929</v>
      </c>
      <c r="X437" s="218" t="s">
        <v>1453</v>
      </c>
      <c r="Y437" s="266">
        <v>43769.416655092595</v>
      </c>
    </row>
    <row r="438" spans="1:25" customFormat="1">
      <c r="A438" s="244" t="s">
        <v>46</v>
      </c>
      <c r="B438" s="253" t="s">
        <v>1320</v>
      </c>
      <c r="C438" s="245" t="s">
        <v>899</v>
      </c>
      <c r="D438" s="256" t="s">
        <v>2319</v>
      </c>
      <c r="E438" s="248" t="s">
        <v>1429</v>
      </c>
      <c r="F438" s="256" t="s">
        <v>1388</v>
      </c>
      <c r="G438" s="248" t="s">
        <v>2320</v>
      </c>
      <c r="H438" s="246">
        <v>1</v>
      </c>
      <c r="I438" s="248"/>
      <c r="J438" s="246">
        <v>29.998999999999999</v>
      </c>
      <c r="K438" s="249"/>
      <c r="L438" s="281">
        <v>29.998999999999999</v>
      </c>
      <c r="M438" s="248" t="s">
        <v>2321</v>
      </c>
      <c r="N438" s="247"/>
      <c r="O438" s="248" t="s">
        <v>55</v>
      </c>
      <c r="P438" s="256" t="s">
        <v>1362</v>
      </c>
      <c r="Q438" s="250"/>
      <c r="R438" s="260" t="s">
        <v>1484</v>
      </c>
      <c r="S438" s="251"/>
      <c r="T438" s="256" t="s">
        <v>25</v>
      </c>
      <c r="U438" s="248" t="s">
        <v>1388</v>
      </c>
      <c r="V438" s="256">
        <v>1403</v>
      </c>
      <c r="W438" s="263"/>
      <c r="X438" s="218" t="s">
        <v>1363</v>
      </c>
      <c r="Y438" s="266">
        <v>44671.443148148152</v>
      </c>
    </row>
    <row r="439" spans="1:25" customFormat="1">
      <c r="A439" s="244" t="s">
        <v>62</v>
      </c>
      <c r="B439" s="253" t="s">
        <v>1320</v>
      </c>
      <c r="C439" s="245" t="s">
        <v>868</v>
      </c>
      <c r="D439" s="256" t="s">
        <v>2322</v>
      </c>
      <c r="E439" s="248" t="s">
        <v>1359</v>
      </c>
      <c r="F439" s="256" t="s">
        <v>1438</v>
      </c>
      <c r="G439" s="248" t="s">
        <v>2323</v>
      </c>
      <c r="H439" s="246">
        <v>7</v>
      </c>
      <c r="I439" s="248"/>
      <c r="J439" s="246">
        <v>3</v>
      </c>
      <c r="K439" s="249"/>
      <c r="L439" s="281">
        <v>21</v>
      </c>
      <c r="M439" s="248" t="s">
        <v>2324</v>
      </c>
      <c r="N439" s="247"/>
      <c r="O439" s="248" t="s">
        <v>55</v>
      </c>
      <c r="P439" s="256" t="s">
        <v>1362</v>
      </c>
      <c r="Q439" s="250"/>
      <c r="R439" s="260" t="s">
        <v>1959</v>
      </c>
      <c r="S439" s="251"/>
      <c r="T439" s="256" t="s">
        <v>25</v>
      </c>
      <c r="U439" s="248" t="s">
        <v>15</v>
      </c>
      <c r="V439" s="256">
        <v>1428</v>
      </c>
      <c r="W439" s="263"/>
      <c r="X439" s="218" t="s">
        <v>1363</v>
      </c>
      <c r="Y439" s="266">
        <v>44671.446053240739</v>
      </c>
    </row>
    <row r="440" spans="1:25" customFormat="1" ht="22.5">
      <c r="A440" s="244" t="s">
        <v>62</v>
      </c>
      <c r="B440" s="253" t="s">
        <v>1385</v>
      </c>
      <c r="C440" s="245" t="s">
        <v>2325</v>
      </c>
      <c r="D440" s="256" t="s">
        <v>2322</v>
      </c>
      <c r="E440" s="248" t="s">
        <v>1359</v>
      </c>
      <c r="F440" s="256" t="s">
        <v>1722</v>
      </c>
      <c r="G440" s="248" t="s">
        <v>208</v>
      </c>
      <c r="H440" s="246">
        <v>1</v>
      </c>
      <c r="I440" s="248"/>
      <c r="J440" s="246">
        <v>15.205</v>
      </c>
      <c r="K440" s="249"/>
      <c r="L440" s="281">
        <v>15.205</v>
      </c>
      <c r="M440" s="248" t="s">
        <v>2326</v>
      </c>
      <c r="N440" s="247"/>
      <c r="O440" s="248" t="s">
        <v>1285</v>
      </c>
      <c r="P440" s="256" t="s">
        <v>1362</v>
      </c>
      <c r="Q440" s="250"/>
      <c r="R440" s="260" t="s">
        <v>1959</v>
      </c>
      <c r="S440" s="251"/>
      <c r="T440" s="256" t="s">
        <v>29</v>
      </c>
      <c r="U440" s="248" t="s">
        <v>15</v>
      </c>
      <c r="V440" s="256">
        <v>1582</v>
      </c>
      <c r="W440" s="263"/>
      <c r="X440" s="218" t="s">
        <v>1363</v>
      </c>
      <c r="Y440" s="266">
        <v>44671.48165509259</v>
      </c>
    </row>
    <row r="441" spans="1:25" customFormat="1">
      <c r="A441" s="244" t="s">
        <v>62</v>
      </c>
      <c r="B441" s="253" t="s">
        <v>1385</v>
      </c>
      <c r="C441" s="245" t="s">
        <v>2327</v>
      </c>
      <c r="D441" s="256" t="s">
        <v>590</v>
      </c>
      <c r="E441" s="248" t="s">
        <v>1398</v>
      </c>
      <c r="F441" s="256" t="s">
        <v>1388</v>
      </c>
      <c r="G441" s="248" t="s">
        <v>208</v>
      </c>
      <c r="H441" s="246">
        <v>5</v>
      </c>
      <c r="I441" s="248"/>
      <c r="J441" s="246">
        <v>3.3000000000000002E-2</v>
      </c>
      <c r="K441" s="249"/>
      <c r="L441" s="281">
        <v>0.16500000000000001</v>
      </c>
      <c r="M441" s="248" t="s">
        <v>2328</v>
      </c>
      <c r="N441" s="247">
        <v>0</v>
      </c>
      <c r="O441" s="248" t="s">
        <v>94</v>
      </c>
      <c r="P441" s="256" t="s">
        <v>1362</v>
      </c>
      <c r="Q441" s="250"/>
      <c r="R441" s="260"/>
      <c r="S441" s="251"/>
      <c r="T441" s="256" t="s">
        <v>27</v>
      </c>
      <c r="U441" s="248" t="s">
        <v>1388</v>
      </c>
      <c r="V441" s="256">
        <v>1556</v>
      </c>
      <c r="W441" s="263"/>
      <c r="X441" s="218" t="s">
        <v>1453</v>
      </c>
      <c r="Y441" s="266">
        <v>44747.573287037034</v>
      </c>
    </row>
    <row r="442" spans="1:25" customFormat="1">
      <c r="A442" s="244" t="s">
        <v>62</v>
      </c>
      <c r="B442" s="253" t="s">
        <v>1385</v>
      </c>
      <c r="C442" s="245" t="s">
        <v>2329</v>
      </c>
      <c r="D442" s="256" t="s">
        <v>590</v>
      </c>
      <c r="E442" s="248" t="s">
        <v>1398</v>
      </c>
      <c r="F442" s="256" t="s">
        <v>1388</v>
      </c>
      <c r="G442" s="248" t="s">
        <v>208</v>
      </c>
      <c r="H442" s="246">
        <v>10</v>
      </c>
      <c r="I442" s="248"/>
      <c r="J442" s="246">
        <v>3.3000000000000002E-2</v>
      </c>
      <c r="K442" s="249"/>
      <c r="L442" s="281">
        <v>0.33</v>
      </c>
      <c r="M442" s="248" t="s">
        <v>2330</v>
      </c>
      <c r="N442" s="247">
        <v>0</v>
      </c>
      <c r="O442" s="248" t="s">
        <v>94</v>
      </c>
      <c r="P442" s="256" t="s">
        <v>1362</v>
      </c>
      <c r="Q442" s="250"/>
      <c r="R442" s="260"/>
      <c r="S442" s="251"/>
      <c r="T442" s="256" t="s">
        <v>27</v>
      </c>
      <c r="U442" s="248" t="s">
        <v>1388</v>
      </c>
      <c r="V442" s="256">
        <v>1555</v>
      </c>
      <c r="W442" s="263"/>
      <c r="X442" s="218" t="s">
        <v>1453</v>
      </c>
      <c r="Y442" s="266">
        <v>44747.570590277777</v>
      </c>
    </row>
    <row r="443" spans="1:25" customFormat="1">
      <c r="A443" s="244" t="s">
        <v>95</v>
      </c>
      <c r="B443" s="253" t="s">
        <v>1385</v>
      </c>
      <c r="C443" s="245" t="s">
        <v>2331</v>
      </c>
      <c r="D443" s="256" t="s">
        <v>1709</v>
      </c>
      <c r="E443" s="248" t="s">
        <v>1419</v>
      </c>
      <c r="F443" s="256" t="s">
        <v>17</v>
      </c>
      <c r="G443" s="248" t="s">
        <v>208</v>
      </c>
      <c r="H443" s="246">
        <v>80</v>
      </c>
      <c r="I443" s="248"/>
      <c r="J443" s="246">
        <v>3.75</v>
      </c>
      <c r="K443" s="249"/>
      <c r="L443" s="281">
        <v>300</v>
      </c>
      <c r="M443" s="248" t="s">
        <v>1661</v>
      </c>
      <c r="N443" s="247"/>
      <c r="O443" s="248" t="s">
        <v>1285</v>
      </c>
      <c r="P443" s="256" t="s">
        <v>1393</v>
      </c>
      <c r="Q443" s="250"/>
      <c r="R443" s="260"/>
      <c r="S443" s="251"/>
      <c r="T443" s="256" t="s">
        <v>29</v>
      </c>
      <c r="U443" s="248" t="s">
        <v>17</v>
      </c>
      <c r="V443" s="256">
        <v>2008</v>
      </c>
      <c r="W443" s="263" t="s">
        <v>3942</v>
      </c>
      <c r="X443" s="218"/>
      <c r="Y443" s="266">
        <v>44726.652997685182</v>
      </c>
    </row>
    <row r="444" spans="1:25" customFormat="1">
      <c r="A444" s="244" t="s">
        <v>46</v>
      </c>
      <c r="B444" s="253" t="s">
        <v>1385</v>
      </c>
      <c r="C444" s="245" t="s">
        <v>2332</v>
      </c>
      <c r="D444" s="256" t="s">
        <v>69</v>
      </c>
      <c r="E444" s="248" t="s">
        <v>1429</v>
      </c>
      <c r="F444" s="256" t="s">
        <v>1388</v>
      </c>
      <c r="G444" s="248" t="s">
        <v>208</v>
      </c>
      <c r="H444" s="246">
        <v>1</v>
      </c>
      <c r="I444" s="248"/>
      <c r="J444" s="246">
        <v>200</v>
      </c>
      <c r="K444" s="249"/>
      <c r="L444" s="281">
        <v>200</v>
      </c>
      <c r="M444" s="248" t="s">
        <v>1615</v>
      </c>
      <c r="N444" s="247"/>
      <c r="O444" s="248" t="s">
        <v>1285</v>
      </c>
      <c r="P444" s="256" t="s">
        <v>1407</v>
      </c>
      <c r="Q444" s="250"/>
      <c r="R444" s="260"/>
      <c r="S444" s="251"/>
      <c r="T444" s="256" t="s">
        <v>29</v>
      </c>
      <c r="U444" s="248" t="s">
        <v>1388</v>
      </c>
      <c r="V444" s="256">
        <v>1580</v>
      </c>
      <c r="W444" s="263"/>
      <c r="X444" s="218" t="s">
        <v>1363</v>
      </c>
      <c r="Y444" s="266">
        <v>44671.481030092589</v>
      </c>
    </row>
    <row r="445" spans="1:25" customFormat="1">
      <c r="A445" s="244" t="s">
        <v>46</v>
      </c>
      <c r="B445" s="253" t="s">
        <v>1320</v>
      </c>
      <c r="C445" s="245" t="s">
        <v>857</v>
      </c>
      <c r="D445" s="256" t="s">
        <v>2333</v>
      </c>
      <c r="E445" s="248" t="s">
        <v>1398</v>
      </c>
      <c r="F445" s="256" t="s">
        <v>1388</v>
      </c>
      <c r="G445" s="248" t="s">
        <v>2334</v>
      </c>
      <c r="H445" s="246">
        <v>4</v>
      </c>
      <c r="I445" s="248"/>
      <c r="J445" s="246">
        <v>2.5</v>
      </c>
      <c r="K445" s="249"/>
      <c r="L445" s="281">
        <v>10</v>
      </c>
      <c r="M445" s="248" t="s">
        <v>1543</v>
      </c>
      <c r="N445" s="247">
        <v>0</v>
      </c>
      <c r="O445" s="248" t="s">
        <v>55</v>
      </c>
      <c r="P445" s="256" t="s">
        <v>1407</v>
      </c>
      <c r="Q445" s="250"/>
      <c r="R445" s="260" t="s">
        <v>1588</v>
      </c>
      <c r="S445" s="251"/>
      <c r="T445" s="256" t="s">
        <v>25</v>
      </c>
      <c r="U445" s="248" t="s">
        <v>1388</v>
      </c>
      <c r="V445" s="256">
        <v>1432</v>
      </c>
      <c r="W445" s="263"/>
      <c r="X445" s="218" t="s">
        <v>1404</v>
      </c>
      <c r="Y445" s="266">
        <v>44693.447013888886</v>
      </c>
    </row>
    <row r="446" spans="1:25" customFormat="1">
      <c r="A446" s="244" t="s">
        <v>46</v>
      </c>
      <c r="B446" s="253" t="s">
        <v>1320</v>
      </c>
      <c r="C446" s="245" t="s">
        <v>1045</v>
      </c>
      <c r="D446" s="256" t="s">
        <v>2333</v>
      </c>
      <c r="E446" s="248" t="s">
        <v>1419</v>
      </c>
      <c r="F446" s="256" t="s">
        <v>17</v>
      </c>
      <c r="G446" s="248" t="s">
        <v>2335</v>
      </c>
      <c r="H446" s="246">
        <v>17</v>
      </c>
      <c r="I446" s="248"/>
      <c r="J446" s="246">
        <v>1.5</v>
      </c>
      <c r="K446" s="249"/>
      <c r="L446" s="281">
        <v>25.5</v>
      </c>
      <c r="M446" s="248" t="s">
        <v>2336</v>
      </c>
      <c r="N446" s="247">
        <v>0</v>
      </c>
      <c r="O446" s="248" t="s">
        <v>55</v>
      </c>
      <c r="P446" s="256" t="s">
        <v>1407</v>
      </c>
      <c r="Q446" s="250"/>
      <c r="R446" s="260" t="s">
        <v>1588</v>
      </c>
      <c r="S446" s="251"/>
      <c r="T446" s="256" t="s">
        <v>25</v>
      </c>
      <c r="U446" s="248" t="s">
        <v>17</v>
      </c>
      <c r="V446" s="256">
        <v>1422</v>
      </c>
      <c r="W446" s="263"/>
      <c r="X446" s="218" t="s">
        <v>1404</v>
      </c>
      <c r="Y446" s="266">
        <v>44693.445474537039</v>
      </c>
    </row>
    <row r="447" spans="1:25" customFormat="1">
      <c r="A447" s="244" t="s">
        <v>46</v>
      </c>
      <c r="B447" s="253" t="s">
        <v>1320</v>
      </c>
      <c r="C447" s="245" t="s">
        <v>1045</v>
      </c>
      <c r="D447" s="256" t="s">
        <v>2333</v>
      </c>
      <c r="E447" s="248" t="s">
        <v>1419</v>
      </c>
      <c r="F447" s="256" t="s">
        <v>17</v>
      </c>
      <c r="G447" s="248" t="s">
        <v>2335</v>
      </c>
      <c r="H447" s="246">
        <v>56</v>
      </c>
      <c r="I447" s="248"/>
      <c r="J447" s="246">
        <v>2.5</v>
      </c>
      <c r="K447" s="249"/>
      <c r="L447" s="281">
        <v>140</v>
      </c>
      <c r="M447" s="248" t="s">
        <v>1490</v>
      </c>
      <c r="N447" s="247">
        <v>0</v>
      </c>
      <c r="O447" s="248" t="s">
        <v>55</v>
      </c>
      <c r="P447" s="256" t="s">
        <v>1407</v>
      </c>
      <c r="Q447" s="250"/>
      <c r="R447" s="260" t="s">
        <v>1588</v>
      </c>
      <c r="S447" s="251"/>
      <c r="T447" s="256" t="s">
        <v>25</v>
      </c>
      <c r="U447" s="248" t="s">
        <v>17</v>
      </c>
      <c r="V447" s="256">
        <v>1422</v>
      </c>
      <c r="W447" s="263"/>
      <c r="X447" s="218" t="s">
        <v>1404</v>
      </c>
      <c r="Y447" s="266">
        <v>44693.445474537039</v>
      </c>
    </row>
    <row r="448" spans="1:25" customFormat="1">
      <c r="A448" s="244" t="s">
        <v>46</v>
      </c>
      <c r="B448" s="253" t="s">
        <v>1320</v>
      </c>
      <c r="C448" s="245" t="s">
        <v>2337</v>
      </c>
      <c r="D448" s="256" t="s">
        <v>172</v>
      </c>
      <c r="E448" s="248" t="s">
        <v>1419</v>
      </c>
      <c r="F448" s="256" t="s">
        <v>17</v>
      </c>
      <c r="G448" s="248" t="s">
        <v>173</v>
      </c>
      <c r="H448" s="246">
        <v>31</v>
      </c>
      <c r="I448" s="248"/>
      <c r="J448" s="246">
        <v>3.57</v>
      </c>
      <c r="K448" s="249"/>
      <c r="L448" s="281">
        <v>110.67</v>
      </c>
      <c r="M448" s="248" t="s">
        <v>2338</v>
      </c>
      <c r="N448" s="247">
        <v>0</v>
      </c>
      <c r="O448" s="248" t="s">
        <v>131</v>
      </c>
      <c r="P448" s="256" t="s">
        <v>1407</v>
      </c>
      <c r="Q448" s="250" t="s">
        <v>2063</v>
      </c>
      <c r="R448" s="260" t="s">
        <v>2339</v>
      </c>
      <c r="S448" s="251"/>
      <c r="T448" s="256" t="s">
        <v>25</v>
      </c>
      <c r="U448" s="248" t="s">
        <v>17</v>
      </c>
      <c r="V448" s="256">
        <v>1588</v>
      </c>
      <c r="W448" s="263"/>
      <c r="X448" s="218" t="s">
        <v>1404</v>
      </c>
      <c r="Y448" s="266">
        <v>44696.335497685184</v>
      </c>
    </row>
    <row r="449" spans="1:25" customFormat="1">
      <c r="A449" s="244" t="s">
        <v>46</v>
      </c>
      <c r="B449" s="253" t="s">
        <v>1385</v>
      </c>
      <c r="C449" s="245" t="s">
        <v>3997</v>
      </c>
      <c r="D449" s="256" t="s">
        <v>1995</v>
      </c>
      <c r="E449" s="248"/>
      <c r="F449" s="256" t="s">
        <v>1527</v>
      </c>
      <c r="G449" s="248"/>
      <c r="H449" s="246">
        <v>100</v>
      </c>
      <c r="I449" s="248"/>
      <c r="J449" s="246">
        <v>4</v>
      </c>
      <c r="K449" s="249"/>
      <c r="L449" s="281">
        <v>400</v>
      </c>
      <c r="M449" s="248">
        <v>400</v>
      </c>
      <c r="N449" s="247"/>
      <c r="O449" s="248" t="s">
        <v>1285</v>
      </c>
      <c r="P449" s="256"/>
      <c r="Q449" s="250"/>
      <c r="R449" s="260"/>
      <c r="S449" s="251"/>
      <c r="T449" s="256" t="s">
        <v>29</v>
      </c>
      <c r="U449" s="248" t="s">
        <v>1388</v>
      </c>
      <c r="V449" s="256"/>
      <c r="W449" s="263" t="s">
        <v>4032</v>
      </c>
      <c r="X449" s="218"/>
      <c r="Y449" s="266"/>
    </row>
    <row r="450" spans="1:25" customFormat="1">
      <c r="A450" s="244" t="s">
        <v>46</v>
      </c>
      <c r="B450" s="253" t="s">
        <v>1385</v>
      </c>
      <c r="C450" s="245" t="s">
        <v>3997</v>
      </c>
      <c r="D450" s="256" t="s">
        <v>1995</v>
      </c>
      <c r="E450" s="248"/>
      <c r="F450" s="256" t="s">
        <v>1529</v>
      </c>
      <c r="G450" s="248"/>
      <c r="H450" s="246"/>
      <c r="I450" s="248"/>
      <c r="J450" s="246"/>
      <c r="K450" s="249"/>
      <c r="L450" s="281">
        <v>200</v>
      </c>
      <c r="M450" s="248"/>
      <c r="N450" s="247"/>
      <c r="O450" s="248" t="s">
        <v>1285</v>
      </c>
      <c r="P450" s="256"/>
      <c r="Q450" s="250"/>
      <c r="R450" s="260"/>
      <c r="S450" s="251"/>
      <c r="T450" s="256" t="s">
        <v>29</v>
      </c>
      <c r="U450" s="248" t="s">
        <v>20</v>
      </c>
      <c r="V450" s="256"/>
      <c r="W450" s="263" t="s">
        <v>4032</v>
      </c>
      <c r="X450" s="218"/>
      <c r="Y450" s="266"/>
    </row>
    <row r="451" spans="1:25" customFormat="1">
      <c r="A451" s="244" t="s">
        <v>46</v>
      </c>
      <c r="B451" s="253" t="s">
        <v>1385</v>
      </c>
      <c r="C451" s="245" t="s">
        <v>281</v>
      </c>
      <c r="D451" s="256" t="s">
        <v>282</v>
      </c>
      <c r="E451" s="248" t="s">
        <v>1429</v>
      </c>
      <c r="F451" s="256" t="s">
        <v>1388</v>
      </c>
      <c r="G451" s="248" t="s">
        <v>2340</v>
      </c>
      <c r="H451" s="246">
        <v>1</v>
      </c>
      <c r="I451" s="248"/>
      <c r="J451" s="246">
        <v>110</v>
      </c>
      <c r="K451" s="249"/>
      <c r="L451" s="281">
        <v>110</v>
      </c>
      <c r="M451" s="248" t="s">
        <v>2341</v>
      </c>
      <c r="N451" s="247">
        <v>0</v>
      </c>
      <c r="O451" s="248" t="s">
        <v>27</v>
      </c>
      <c r="P451" s="256" t="s">
        <v>1407</v>
      </c>
      <c r="Q451" s="250" t="s">
        <v>2094</v>
      </c>
      <c r="R451" s="260" t="s">
        <v>2342</v>
      </c>
      <c r="S451" s="251"/>
      <c r="T451" s="256" t="s">
        <v>27</v>
      </c>
      <c r="U451" s="248" t="s">
        <v>1388</v>
      </c>
      <c r="V451" s="256">
        <v>1585</v>
      </c>
      <c r="W451" s="263"/>
      <c r="X451" s="218" t="s">
        <v>1453</v>
      </c>
      <c r="Y451" s="266">
        <v>44679.573055555556</v>
      </c>
    </row>
    <row r="452" spans="1:25" customFormat="1">
      <c r="A452" s="244" t="s">
        <v>46</v>
      </c>
      <c r="B452" s="253" t="s">
        <v>1385</v>
      </c>
      <c r="C452" s="245" t="s">
        <v>2343</v>
      </c>
      <c r="D452" s="256" t="s">
        <v>2344</v>
      </c>
      <c r="E452" s="248"/>
      <c r="F452" s="256" t="s">
        <v>21</v>
      </c>
      <c r="G452" s="248"/>
      <c r="H452" s="246"/>
      <c r="I452" s="248"/>
      <c r="J452" s="246"/>
      <c r="K452" s="249"/>
      <c r="L452" s="281">
        <v>200</v>
      </c>
      <c r="M452" s="248"/>
      <c r="N452" s="247"/>
      <c r="O452" s="248" t="s">
        <v>1285</v>
      </c>
      <c r="P452" s="256"/>
      <c r="Q452" s="250"/>
      <c r="R452" s="260" t="s">
        <v>208</v>
      </c>
      <c r="S452" s="251"/>
      <c r="T452" s="256" t="s">
        <v>29</v>
      </c>
      <c r="U452" s="248" t="s">
        <v>20</v>
      </c>
      <c r="V452" s="256" t="s">
        <v>208</v>
      </c>
      <c r="W452" s="263" t="s">
        <v>2345</v>
      </c>
      <c r="X452" s="218"/>
      <c r="Y452" s="266" t="s">
        <v>208</v>
      </c>
    </row>
    <row r="453" spans="1:25" customFormat="1">
      <c r="A453" s="244" t="s">
        <v>46</v>
      </c>
      <c r="B453" s="253" t="s">
        <v>1385</v>
      </c>
      <c r="C453" s="245" t="s">
        <v>2343</v>
      </c>
      <c r="D453" s="256" t="s">
        <v>2344</v>
      </c>
      <c r="E453" s="248"/>
      <c r="F453" s="256" t="s">
        <v>1388</v>
      </c>
      <c r="G453" s="248"/>
      <c r="H453" s="246"/>
      <c r="I453" s="248"/>
      <c r="J453" s="246"/>
      <c r="K453" s="249"/>
      <c r="L453" s="281">
        <v>250</v>
      </c>
      <c r="M453" s="248"/>
      <c r="N453" s="247"/>
      <c r="O453" s="248" t="s">
        <v>1285</v>
      </c>
      <c r="P453" s="256"/>
      <c r="Q453" s="250"/>
      <c r="R453" s="260" t="s">
        <v>208</v>
      </c>
      <c r="S453" s="251"/>
      <c r="T453" s="256" t="s">
        <v>29</v>
      </c>
      <c r="U453" s="248" t="s">
        <v>1388</v>
      </c>
      <c r="V453" s="256" t="s">
        <v>208</v>
      </c>
      <c r="W453" s="263" t="s">
        <v>2345</v>
      </c>
      <c r="X453" s="218"/>
      <c r="Y453" s="266" t="s">
        <v>208</v>
      </c>
    </row>
    <row r="454" spans="1:25" customFormat="1">
      <c r="A454" s="244" t="s">
        <v>46</v>
      </c>
      <c r="B454" s="253" t="s">
        <v>1385</v>
      </c>
      <c r="C454" s="245" t="s">
        <v>2346</v>
      </c>
      <c r="D454" s="256" t="s">
        <v>1734</v>
      </c>
      <c r="E454" s="248" t="s">
        <v>1735</v>
      </c>
      <c r="F454" s="256" t="s">
        <v>1388</v>
      </c>
      <c r="G454" s="248" t="s">
        <v>208</v>
      </c>
      <c r="H454" s="246">
        <v>1</v>
      </c>
      <c r="I454" s="248"/>
      <c r="J454" s="246">
        <v>300</v>
      </c>
      <c r="K454" s="249"/>
      <c r="L454" s="281">
        <v>300</v>
      </c>
      <c r="M454" s="248" t="s">
        <v>1661</v>
      </c>
      <c r="N454" s="247"/>
      <c r="O454" s="248" t="s">
        <v>1285</v>
      </c>
      <c r="P454" s="256" t="s">
        <v>1407</v>
      </c>
      <c r="Q454" s="250"/>
      <c r="R454" s="260"/>
      <c r="S454" s="251"/>
      <c r="T454" s="256" t="s">
        <v>29</v>
      </c>
      <c r="U454" s="248" t="s">
        <v>1388</v>
      </c>
      <c r="V454" s="256">
        <v>1594</v>
      </c>
      <c r="W454" s="263"/>
      <c r="X454" s="218" t="s">
        <v>1453</v>
      </c>
      <c r="Y454" s="266">
        <v>43769</v>
      </c>
    </row>
    <row r="455" spans="1:25" customFormat="1">
      <c r="A455" s="244" t="s">
        <v>46</v>
      </c>
      <c r="B455" s="253" t="s">
        <v>1320</v>
      </c>
      <c r="C455" s="245" t="s">
        <v>2347</v>
      </c>
      <c r="D455" s="256" t="s">
        <v>2348</v>
      </c>
      <c r="E455" s="248" t="s">
        <v>1419</v>
      </c>
      <c r="F455" s="256" t="s">
        <v>17</v>
      </c>
      <c r="G455" s="248" t="s">
        <v>2349</v>
      </c>
      <c r="H455" s="246">
        <v>31</v>
      </c>
      <c r="I455" s="248"/>
      <c r="J455" s="246">
        <v>1.5</v>
      </c>
      <c r="K455" s="249"/>
      <c r="L455" s="281">
        <v>46.5</v>
      </c>
      <c r="M455" s="248" t="s">
        <v>2350</v>
      </c>
      <c r="N455" s="247"/>
      <c r="O455" s="248" t="s">
        <v>55</v>
      </c>
      <c r="P455" s="256" t="s">
        <v>1407</v>
      </c>
      <c r="Q455" s="250"/>
      <c r="R455" s="260" t="s">
        <v>1441</v>
      </c>
      <c r="S455" s="251"/>
      <c r="T455" s="256" t="s">
        <v>25</v>
      </c>
      <c r="U455" s="248" t="s">
        <v>17</v>
      </c>
      <c r="V455" s="256">
        <v>1082</v>
      </c>
      <c r="W455" s="263"/>
      <c r="X455" s="218" t="s">
        <v>1363</v>
      </c>
      <c r="Y455" s="266">
        <v>44665.678206018521</v>
      </c>
    </row>
    <row r="456" spans="1:25" customFormat="1">
      <c r="A456" s="244" t="s">
        <v>46</v>
      </c>
      <c r="B456" s="253" t="s">
        <v>1320</v>
      </c>
      <c r="C456" s="245" t="s">
        <v>2351</v>
      </c>
      <c r="D456" s="256" t="s">
        <v>558</v>
      </c>
      <c r="E456" s="248" t="s">
        <v>1539</v>
      </c>
      <c r="F456" s="256" t="s">
        <v>18</v>
      </c>
      <c r="G456" s="248" t="s">
        <v>2352</v>
      </c>
      <c r="H456" s="246">
        <v>2</v>
      </c>
      <c r="I456" s="248"/>
      <c r="J456" s="246">
        <v>30</v>
      </c>
      <c r="K456" s="249"/>
      <c r="L456" s="281">
        <v>60</v>
      </c>
      <c r="M456" s="248" t="s">
        <v>1651</v>
      </c>
      <c r="N456" s="247"/>
      <c r="O456" s="248" t="s">
        <v>55</v>
      </c>
      <c r="P456" s="256" t="s">
        <v>1403</v>
      </c>
      <c r="Q456" s="250"/>
      <c r="R456" s="260" t="s">
        <v>1434</v>
      </c>
      <c r="S456" s="251"/>
      <c r="T456" s="256" t="s">
        <v>25</v>
      </c>
      <c r="U456" s="248" t="s">
        <v>18</v>
      </c>
      <c r="V456" s="256">
        <v>1083</v>
      </c>
      <c r="W456" s="263"/>
      <c r="X456" s="218" t="s">
        <v>1363</v>
      </c>
      <c r="Y456" s="266">
        <v>44672.607789351852</v>
      </c>
    </row>
    <row r="457" spans="1:25" customFormat="1">
      <c r="A457" s="244" t="s">
        <v>100</v>
      </c>
      <c r="B457" s="253" t="s">
        <v>1385</v>
      </c>
      <c r="C457" s="245" t="s">
        <v>2353</v>
      </c>
      <c r="D457" s="256" t="s">
        <v>2353</v>
      </c>
      <c r="E457" s="248" t="s">
        <v>1398</v>
      </c>
      <c r="F457" s="256" t="s">
        <v>1388</v>
      </c>
      <c r="G457" s="248" t="s">
        <v>208</v>
      </c>
      <c r="H457" s="246">
        <v>1</v>
      </c>
      <c r="I457" s="248"/>
      <c r="J457" s="246">
        <v>12</v>
      </c>
      <c r="K457" s="249"/>
      <c r="L457" s="281">
        <v>12</v>
      </c>
      <c r="M457" s="248" t="s">
        <v>1392</v>
      </c>
      <c r="N457" s="247"/>
      <c r="O457" s="248" t="s">
        <v>1285</v>
      </c>
      <c r="P457" s="256" t="s">
        <v>1362</v>
      </c>
      <c r="Q457" s="250"/>
      <c r="R457" s="260"/>
      <c r="S457" s="251"/>
      <c r="T457" s="256" t="s">
        <v>29</v>
      </c>
      <c r="U457" s="248" t="s">
        <v>1388</v>
      </c>
      <c r="V457" s="256">
        <v>1646</v>
      </c>
      <c r="W457" s="263"/>
      <c r="X457" s="218" t="s">
        <v>208</v>
      </c>
      <c r="Y457" s="266">
        <v>43769.416655092595</v>
      </c>
    </row>
    <row r="458" spans="1:25" customFormat="1">
      <c r="A458" s="244" t="s">
        <v>62</v>
      </c>
      <c r="B458" s="253" t="s">
        <v>1385</v>
      </c>
      <c r="C458" s="245" t="s">
        <v>2354</v>
      </c>
      <c r="D458" s="256" t="s">
        <v>73</v>
      </c>
      <c r="E458" s="248" t="s">
        <v>1398</v>
      </c>
      <c r="F458" s="256" t="s">
        <v>1388</v>
      </c>
      <c r="G458" s="248" t="s">
        <v>208</v>
      </c>
      <c r="H458" s="246">
        <v>1</v>
      </c>
      <c r="I458" s="248"/>
      <c r="J458" s="246">
        <v>350</v>
      </c>
      <c r="K458" s="249"/>
      <c r="L458" s="281">
        <v>350</v>
      </c>
      <c r="M458" s="248" t="s">
        <v>1819</v>
      </c>
      <c r="N458" s="247">
        <v>0</v>
      </c>
      <c r="O458" s="248" t="s">
        <v>1285</v>
      </c>
      <c r="P458" s="256" t="s">
        <v>1407</v>
      </c>
      <c r="Q458" s="250"/>
      <c r="R458" s="260"/>
      <c r="S458" s="251"/>
      <c r="T458" s="256" t="s">
        <v>29</v>
      </c>
      <c r="U458" s="248" t="s">
        <v>1388</v>
      </c>
      <c r="V458" s="256">
        <v>1440</v>
      </c>
      <c r="W458" s="263"/>
      <c r="X458" s="218" t="s">
        <v>1400</v>
      </c>
      <c r="Y458" s="266">
        <v>44679.625740740739</v>
      </c>
    </row>
    <row r="459" spans="1:25" customFormat="1">
      <c r="A459" s="244" t="s">
        <v>62</v>
      </c>
      <c r="B459" s="253" t="s">
        <v>1385</v>
      </c>
      <c r="C459" s="245" t="s">
        <v>2355</v>
      </c>
      <c r="D459" s="256" t="s">
        <v>73</v>
      </c>
      <c r="E459" s="248" t="s">
        <v>1391</v>
      </c>
      <c r="F459" s="256" t="s">
        <v>21</v>
      </c>
      <c r="G459" s="248" t="s">
        <v>208</v>
      </c>
      <c r="H459" s="246">
        <v>1</v>
      </c>
      <c r="I459" s="248"/>
      <c r="J459" s="246">
        <v>1000</v>
      </c>
      <c r="K459" s="249"/>
      <c r="L459" s="281">
        <v>1000</v>
      </c>
      <c r="M459" s="248" t="s">
        <v>2356</v>
      </c>
      <c r="N459" s="247">
        <v>4000</v>
      </c>
      <c r="O459" s="248" t="s">
        <v>1285</v>
      </c>
      <c r="P459" s="256" t="s">
        <v>1403</v>
      </c>
      <c r="Q459" s="250" t="s">
        <v>1481</v>
      </c>
      <c r="R459" s="260"/>
      <c r="S459" s="251"/>
      <c r="T459" s="256" t="s">
        <v>29</v>
      </c>
      <c r="U459" s="248" t="s">
        <v>20</v>
      </c>
      <c r="V459" s="256">
        <v>1653</v>
      </c>
      <c r="W459" s="263"/>
      <c r="X459" s="225" t="s">
        <v>1453</v>
      </c>
      <c r="Y459" s="266">
        <v>44684.364236111112</v>
      </c>
    </row>
    <row r="460" spans="1:25">
      <c r="A460" s="131" t="s">
        <v>62</v>
      </c>
      <c r="B460" s="109" t="s">
        <v>1385</v>
      </c>
      <c r="C460" s="245" t="s">
        <v>2357</v>
      </c>
      <c r="D460" s="162" t="s">
        <v>73</v>
      </c>
      <c r="E460" s="65" t="s">
        <v>1398</v>
      </c>
      <c r="F460" s="162" t="s">
        <v>1388</v>
      </c>
      <c r="G460" s="65" t="s">
        <v>208</v>
      </c>
      <c r="H460" s="218">
        <v>1</v>
      </c>
      <c r="I460" s="65"/>
      <c r="J460" s="218">
        <v>650</v>
      </c>
      <c r="K460" s="108"/>
      <c r="L460" s="275">
        <v>650</v>
      </c>
      <c r="M460" s="65" t="s">
        <v>2358</v>
      </c>
      <c r="N460" s="219"/>
      <c r="O460" s="65" t="s">
        <v>1285</v>
      </c>
      <c r="P460" s="162" t="s">
        <v>1407</v>
      </c>
      <c r="Q460" s="158" t="s">
        <v>1975</v>
      </c>
      <c r="R460" s="157"/>
      <c r="S460" s="114"/>
      <c r="T460" s="162" t="s">
        <v>29</v>
      </c>
      <c r="U460" s="65" t="s">
        <v>1388</v>
      </c>
      <c r="V460" s="162">
        <v>1654</v>
      </c>
      <c r="W460" s="165"/>
      <c r="X460" s="225" t="s">
        <v>1453</v>
      </c>
      <c r="Y460" s="167">
        <v>43769.416655092595</v>
      </c>
    </row>
    <row r="461" spans="1:25">
      <c r="A461" s="131" t="s">
        <v>100</v>
      </c>
      <c r="B461" s="109" t="s">
        <v>1320</v>
      </c>
      <c r="C461" s="245" t="s">
        <v>2359</v>
      </c>
      <c r="D461" s="162" t="s">
        <v>75</v>
      </c>
      <c r="E461" s="65" t="s">
        <v>1359</v>
      </c>
      <c r="F461" s="162" t="s">
        <v>1422</v>
      </c>
      <c r="G461" s="65" t="s">
        <v>2360</v>
      </c>
      <c r="H461" s="218">
        <v>8</v>
      </c>
      <c r="I461" s="65"/>
      <c r="J461" s="218">
        <v>1.123</v>
      </c>
      <c r="K461" s="108"/>
      <c r="L461" s="275">
        <v>8.984</v>
      </c>
      <c r="M461" s="65" t="s">
        <v>2361</v>
      </c>
      <c r="N461" s="219"/>
      <c r="O461" s="65" t="s">
        <v>55</v>
      </c>
      <c r="P461" s="162" t="s">
        <v>1362</v>
      </c>
      <c r="Q461" s="158"/>
      <c r="R461" s="157" t="s">
        <v>1496</v>
      </c>
      <c r="S461" s="114"/>
      <c r="T461" s="162" t="s">
        <v>25</v>
      </c>
      <c r="U461" s="65" t="s">
        <v>19</v>
      </c>
      <c r="V461" s="162">
        <v>1084</v>
      </c>
      <c r="W461" s="165"/>
      <c r="X461" s="225" t="s">
        <v>1400</v>
      </c>
      <c r="Y461" s="167">
        <v>44732.467615740738</v>
      </c>
    </row>
    <row r="462" spans="1:25" customFormat="1">
      <c r="A462" s="244" t="s">
        <v>80</v>
      </c>
      <c r="B462" s="253" t="s">
        <v>1320</v>
      </c>
      <c r="C462" s="245" t="s">
        <v>1152</v>
      </c>
      <c r="D462" s="256" t="s">
        <v>2362</v>
      </c>
      <c r="E462" s="248" t="s">
        <v>1419</v>
      </c>
      <c r="F462" s="256" t="s">
        <v>17</v>
      </c>
      <c r="G462" s="248" t="s">
        <v>2363</v>
      </c>
      <c r="H462" s="246">
        <v>63</v>
      </c>
      <c r="I462" s="248"/>
      <c r="J462" s="246">
        <v>2.1</v>
      </c>
      <c r="K462" s="249"/>
      <c r="L462" s="281">
        <v>132.30000000000001</v>
      </c>
      <c r="M462" s="248" t="s">
        <v>2364</v>
      </c>
      <c r="N462" s="247"/>
      <c r="O462" s="248" t="s">
        <v>55</v>
      </c>
      <c r="P462" s="256" t="s">
        <v>1407</v>
      </c>
      <c r="Q462" s="250"/>
      <c r="R462" s="260" t="s">
        <v>1441</v>
      </c>
      <c r="S462" s="251"/>
      <c r="T462" s="256" t="s">
        <v>25</v>
      </c>
      <c r="U462" s="248" t="s">
        <v>17</v>
      </c>
      <c r="V462" s="256">
        <v>1311</v>
      </c>
      <c r="W462" s="263"/>
      <c r="X462" s="225" t="s">
        <v>1363</v>
      </c>
      <c r="Y462" s="266">
        <v>44678.389432870368</v>
      </c>
    </row>
    <row r="463" spans="1:25">
      <c r="A463" s="131" t="s">
        <v>80</v>
      </c>
      <c r="B463" s="109" t="s">
        <v>1320</v>
      </c>
      <c r="C463" s="245" t="s">
        <v>2365</v>
      </c>
      <c r="D463" s="162" t="s">
        <v>2366</v>
      </c>
      <c r="E463" s="65" t="s">
        <v>1419</v>
      </c>
      <c r="F463" s="162" t="s">
        <v>17</v>
      </c>
      <c r="G463" s="65" t="s">
        <v>2367</v>
      </c>
      <c r="H463" s="218">
        <v>25</v>
      </c>
      <c r="I463" s="65"/>
      <c r="J463" s="218">
        <v>2.1</v>
      </c>
      <c r="K463" s="108"/>
      <c r="L463" s="275">
        <v>52.5</v>
      </c>
      <c r="M463" s="65" t="s">
        <v>1897</v>
      </c>
      <c r="N463" s="219"/>
      <c r="O463" s="65" t="s">
        <v>55</v>
      </c>
      <c r="P463" s="162" t="s">
        <v>1407</v>
      </c>
      <c r="Q463" s="158"/>
      <c r="R463" s="157" t="s">
        <v>1441</v>
      </c>
      <c r="S463" s="114"/>
      <c r="T463" s="162" t="s">
        <v>25</v>
      </c>
      <c r="U463" s="65" t="s">
        <v>17</v>
      </c>
      <c r="V463" s="162">
        <v>1085</v>
      </c>
      <c r="W463" s="165"/>
      <c r="X463" s="225" t="s">
        <v>1363</v>
      </c>
      <c r="Y463" s="167">
        <v>44665.690775462965</v>
      </c>
    </row>
    <row r="464" spans="1:25">
      <c r="A464" s="131" t="s">
        <v>80</v>
      </c>
      <c r="B464" s="109" t="s">
        <v>1320</v>
      </c>
      <c r="C464" s="245" t="s">
        <v>435</v>
      </c>
      <c r="D464" s="162" t="s">
        <v>436</v>
      </c>
      <c r="E464" s="65" t="s">
        <v>1493</v>
      </c>
      <c r="F464" s="162" t="s">
        <v>1360</v>
      </c>
      <c r="G464" s="65" t="s">
        <v>437</v>
      </c>
      <c r="H464" s="218">
        <v>1</v>
      </c>
      <c r="I464" s="65"/>
      <c r="J464" s="218">
        <v>18</v>
      </c>
      <c r="K464" s="108"/>
      <c r="L464" s="275">
        <v>18</v>
      </c>
      <c r="M464" s="65" t="s">
        <v>2368</v>
      </c>
      <c r="N464" s="219"/>
      <c r="O464" s="65" t="s">
        <v>55</v>
      </c>
      <c r="P464" s="162" t="s">
        <v>1403</v>
      </c>
      <c r="Q464" s="158"/>
      <c r="R464" s="157" t="s">
        <v>2176</v>
      </c>
      <c r="S464" s="114"/>
      <c r="T464" s="162" t="s">
        <v>25</v>
      </c>
      <c r="U464" s="65" t="s">
        <v>14</v>
      </c>
      <c r="V464" s="162">
        <v>1086</v>
      </c>
      <c r="W464" s="165"/>
      <c r="X464" s="225" t="s">
        <v>1363</v>
      </c>
      <c r="Y464" s="167">
        <v>44746.476793981485</v>
      </c>
    </row>
    <row r="465" spans="1:25">
      <c r="A465" s="131" t="s">
        <v>80</v>
      </c>
      <c r="B465" s="109" t="s">
        <v>1320</v>
      </c>
      <c r="C465" s="245" t="s">
        <v>435</v>
      </c>
      <c r="D465" s="162" t="s">
        <v>436</v>
      </c>
      <c r="E465" s="65" t="s">
        <v>1493</v>
      </c>
      <c r="F465" s="162" t="s">
        <v>1360</v>
      </c>
      <c r="G465" s="65" t="s">
        <v>437</v>
      </c>
      <c r="H465" s="218">
        <v>1</v>
      </c>
      <c r="I465" s="65"/>
      <c r="J465" s="218">
        <v>21.76</v>
      </c>
      <c r="K465" s="108"/>
      <c r="L465" s="275">
        <v>21.76</v>
      </c>
      <c r="M465" s="65" t="s">
        <v>2369</v>
      </c>
      <c r="N465" s="219"/>
      <c r="O465" s="65" t="s">
        <v>55</v>
      </c>
      <c r="P465" s="162" t="s">
        <v>1403</v>
      </c>
      <c r="Q465" s="158"/>
      <c r="R465" s="157" t="s">
        <v>2176</v>
      </c>
      <c r="S465" s="114"/>
      <c r="T465" s="162" t="s">
        <v>25</v>
      </c>
      <c r="U465" s="65" t="s">
        <v>14</v>
      </c>
      <c r="V465" s="162">
        <v>1086</v>
      </c>
      <c r="W465" s="165"/>
      <c r="X465" s="225" t="s">
        <v>1363</v>
      </c>
      <c r="Y465" s="167">
        <v>44746.476793981485</v>
      </c>
    </row>
    <row r="466" spans="1:25">
      <c r="A466" s="131" t="s">
        <v>80</v>
      </c>
      <c r="B466" s="109" t="s">
        <v>1320</v>
      </c>
      <c r="C466" s="245" t="s">
        <v>435</v>
      </c>
      <c r="D466" s="162" t="s">
        <v>436</v>
      </c>
      <c r="E466" s="65" t="s">
        <v>1493</v>
      </c>
      <c r="F466" s="162" t="s">
        <v>1360</v>
      </c>
      <c r="G466" s="65" t="s">
        <v>437</v>
      </c>
      <c r="H466" s="218">
        <v>1</v>
      </c>
      <c r="I466" s="65"/>
      <c r="J466" s="218">
        <v>25.6</v>
      </c>
      <c r="K466" s="108"/>
      <c r="L466" s="275">
        <v>25.6</v>
      </c>
      <c r="M466" s="65" t="s">
        <v>2370</v>
      </c>
      <c r="N466" s="219"/>
      <c r="O466" s="65" t="s">
        <v>55</v>
      </c>
      <c r="P466" s="162" t="s">
        <v>1403</v>
      </c>
      <c r="Q466" s="158"/>
      <c r="R466" s="157" t="s">
        <v>2176</v>
      </c>
      <c r="S466" s="114"/>
      <c r="T466" s="162" t="s">
        <v>25</v>
      </c>
      <c r="U466" s="65" t="s">
        <v>14</v>
      </c>
      <c r="V466" s="162">
        <v>1086</v>
      </c>
      <c r="W466" s="165"/>
      <c r="X466" s="225" t="s">
        <v>1363</v>
      </c>
      <c r="Y466" s="167">
        <v>44746.476793981485</v>
      </c>
    </row>
    <row r="467" spans="1:25">
      <c r="A467" s="131" t="s">
        <v>80</v>
      </c>
      <c r="B467" s="109" t="s">
        <v>1320</v>
      </c>
      <c r="C467" s="245" t="s">
        <v>435</v>
      </c>
      <c r="D467" s="162" t="s">
        <v>436</v>
      </c>
      <c r="E467" s="65" t="s">
        <v>1493</v>
      </c>
      <c r="F467" s="162" t="s">
        <v>1360</v>
      </c>
      <c r="G467" s="65" t="s">
        <v>437</v>
      </c>
      <c r="H467" s="218">
        <v>1</v>
      </c>
      <c r="I467" s="65"/>
      <c r="J467" s="218">
        <v>27</v>
      </c>
      <c r="K467" s="108"/>
      <c r="L467" s="275">
        <v>27</v>
      </c>
      <c r="M467" s="65" t="s">
        <v>1872</v>
      </c>
      <c r="N467" s="219"/>
      <c r="O467" s="65" t="s">
        <v>55</v>
      </c>
      <c r="P467" s="162" t="s">
        <v>1403</v>
      </c>
      <c r="Q467" s="158"/>
      <c r="R467" s="157" t="s">
        <v>2176</v>
      </c>
      <c r="S467" s="114"/>
      <c r="T467" s="162" t="s">
        <v>25</v>
      </c>
      <c r="U467" s="65" t="s">
        <v>14</v>
      </c>
      <c r="V467" s="162">
        <v>1086</v>
      </c>
      <c r="W467" s="165"/>
      <c r="X467" s="225" t="s">
        <v>1363</v>
      </c>
      <c r="Y467" s="167">
        <v>44746.476793981485</v>
      </c>
    </row>
    <row r="468" spans="1:25">
      <c r="A468" s="131" t="s">
        <v>80</v>
      </c>
      <c r="B468" s="109" t="s">
        <v>1320</v>
      </c>
      <c r="C468" s="245" t="s">
        <v>435</v>
      </c>
      <c r="D468" s="162" t="s">
        <v>436</v>
      </c>
      <c r="E468" s="65" t="s">
        <v>1493</v>
      </c>
      <c r="F468" s="162" t="s">
        <v>1360</v>
      </c>
      <c r="G468" s="65" t="s">
        <v>437</v>
      </c>
      <c r="H468" s="218">
        <v>1</v>
      </c>
      <c r="I468" s="65"/>
      <c r="J468" s="218">
        <v>37.200000000000003</v>
      </c>
      <c r="K468" s="108"/>
      <c r="L468" s="275">
        <v>37.200000000000003</v>
      </c>
      <c r="M468" s="65" t="s">
        <v>2371</v>
      </c>
      <c r="N468" s="219"/>
      <c r="O468" s="65" t="s">
        <v>55</v>
      </c>
      <c r="P468" s="162" t="s">
        <v>1403</v>
      </c>
      <c r="Q468" s="158"/>
      <c r="R468" s="157" t="s">
        <v>1532</v>
      </c>
      <c r="S468" s="114"/>
      <c r="T468" s="162" t="s">
        <v>25</v>
      </c>
      <c r="U468" s="65" t="s">
        <v>14</v>
      </c>
      <c r="V468" s="162">
        <v>1086</v>
      </c>
      <c r="W468" s="165"/>
      <c r="X468" s="225" t="s">
        <v>1363</v>
      </c>
      <c r="Y468" s="167">
        <v>44746.476793981485</v>
      </c>
    </row>
    <row r="469" spans="1:25">
      <c r="A469" s="131" t="s">
        <v>80</v>
      </c>
      <c r="B469" s="109" t="s">
        <v>1320</v>
      </c>
      <c r="C469" s="245" t="s">
        <v>435</v>
      </c>
      <c r="D469" s="162" t="s">
        <v>436</v>
      </c>
      <c r="E469" s="65" t="s">
        <v>1493</v>
      </c>
      <c r="F469" s="162" t="s">
        <v>1360</v>
      </c>
      <c r="G469" s="65" t="s">
        <v>437</v>
      </c>
      <c r="H469" s="218">
        <v>2</v>
      </c>
      <c r="I469" s="65"/>
      <c r="J469" s="218">
        <v>18.899999999999999</v>
      </c>
      <c r="K469" s="108"/>
      <c r="L469" s="275">
        <v>37.799999999999997</v>
      </c>
      <c r="M469" s="65" t="s">
        <v>2372</v>
      </c>
      <c r="N469" s="219"/>
      <c r="O469" s="65" t="s">
        <v>55</v>
      </c>
      <c r="P469" s="162" t="s">
        <v>1403</v>
      </c>
      <c r="Q469" s="158"/>
      <c r="R469" s="157" t="s">
        <v>2176</v>
      </c>
      <c r="S469" s="114"/>
      <c r="T469" s="162" t="s">
        <v>25</v>
      </c>
      <c r="U469" s="65" t="s">
        <v>14</v>
      </c>
      <c r="V469" s="162">
        <v>1086</v>
      </c>
      <c r="W469" s="165"/>
      <c r="X469" s="225" t="s">
        <v>1363</v>
      </c>
      <c r="Y469" s="167">
        <v>44746.476793981485</v>
      </c>
    </row>
    <row r="470" spans="1:25">
      <c r="A470" s="131" t="s">
        <v>80</v>
      </c>
      <c r="B470" s="109" t="s">
        <v>1320</v>
      </c>
      <c r="C470" s="245" t="s">
        <v>435</v>
      </c>
      <c r="D470" s="162" t="s">
        <v>436</v>
      </c>
      <c r="E470" s="65" t="s">
        <v>1493</v>
      </c>
      <c r="F470" s="162" t="s">
        <v>1360</v>
      </c>
      <c r="G470" s="65" t="s">
        <v>437</v>
      </c>
      <c r="H470" s="218">
        <v>2</v>
      </c>
      <c r="I470" s="65"/>
      <c r="J470" s="218">
        <v>20.75</v>
      </c>
      <c r="K470" s="108"/>
      <c r="L470" s="275">
        <v>41.5</v>
      </c>
      <c r="M470" s="65" t="s">
        <v>2175</v>
      </c>
      <c r="N470" s="219"/>
      <c r="O470" s="65" t="s">
        <v>55</v>
      </c>
      <c r="P470" s="162" t="s">
        <v>1403</v>
      </c>
      <c r="Q470" s="158"/>
      <c r="R470" s="157" t="s">
        <v>2176</v>
      </c>
      <c r="S470" s="114"/>
      <c r="T470" s="162" t="s">
        <v>25</v>
      </c>
      <c r="U470" s="65" t="s">
        <v>14</v>
      </c>
      <c r="V470" s="162">
        <v>1086</v>
      </c>
      <c r="W470" s="165"/>
      <c r="X470" s="225" t="s">
        <v>1363</v>
      </c>
      <c r="Y470" s="167">
        <v>44746.476793981485</v>
      </c>
    </row>
    <row r="471" spans="1:25">
      <c r="A471" s="131" t="s">
        <v>80</v>
      </c>
      <c r="B471" s="109" t="s">
        <v>1320</v>
      </c>
      <c r="C471" s="245" t="s">
        <v>435</v>
      </c>
      <c r="D471" s="162" t="s">
        <v>436</v>
      </c>
      <c r="E471" s="65" t="s">
        <v>1493</v>
      </c>
      <c r="F471" s="162" t="s">
        <v>1360</v>
      </c>
      <c r="G471" s="65" t="s">
        <v>437</v>
      </c>
      <c r="H471" s="218">
        <v>4</v>
      </c>
      <c r="I471" s="65"/>
      <c r="J471" s="218">
        <v>17</v>
      </c>
      <c r="K471" s="108"/>
      <c r="L471" s="275">
        <v>68</v>
      </c>
      <c r="M471" s="65" t="s">
        <v>2373</v>
      </c>
      <c r="N471" s="219"/>
      <c r="O471" s="65" t="s">
        <v>55</v>
      </c>
      <c r="P471" s="162" t="s">
        <v>1403</v>
      </c>
      <c r="Q471" s="158"/>
      <c r="R471" s="157" t="s">
        <v>2176</v>
      </c>
      <c r="S471" s="114"/>
      <c r="T471" s="162" t="s">
        <v>25</v>
      </c>
      <c r="U471" s="65" t="s">
        <v>14</v>
      </c>
      <c r="V471" s="162">
        <v>1086</v>
      </c>
      <c r="W471" s="165"/>
      <c r="X471" s="225" t="s">
        <v>1363</v>
      </c>
      <c r="Y471" s="167">
        <v>44746.476793981485</v>
      </c>
    </row>
    <row r="472" spans="1:25">
      <c r="A472" s="131" t="s">
        <v>80</v>
      </c>
      <c r="B472" s="109" t="s">
        <v>1320</v>
      </c>
      <c r="C472" s="245" t="s">
        <v>1154</v>
      </c>
      <c r="D472" s="162" t="s">
        <v>2374</v>
      </c>
      <c r="E472" s="65" t="s">
        <v>1419</v>
      </c>
      <c r="F472" s="162" t="s">
        <v>17</v>
      </c>
      <c r="G472" s="65" t="s">
        <v>2375</v>
      </c>
      <c r="H472" s="218">
        <v>45</v>
      </c>
      <c r="I472" s="65"/>
      <c r="J472" s="218">
        <v>2.1</v>
      </c>
      <c r="K472" s="108"/>
      <c r="L472" s="275">
        <v>94.5</v>
      </c>
      <c r="M472" s="65" t="s">
        <v>2376</v>
      </c>
      <c r="N472" s="219"/>
      <c r="O472" s="65" t="s">
        <v>55</v>
      </c>
      <c r="P472" s="162" t="s">
        <v>1407</v>
      </c>
      <c r="Q472" s="158"/>
      <c r="R472" s="157" t="s">
        <v>1769</v>
      </c>
      <c r="S472" s="114"/>
      <c r="T472" s="162" t="s">
        <v>25</v>
      </c>
      <c r="U472" s="65" t="s">
        <v>17</v>
      </c>
      <c r="V472" s="162">
        <v>1087</v>
      </c>
      <c r="W472" s="165"/>
      <c r="X472" s="225" t="s">
        <v>1363</v>
      </c>
      <c r="Y472" s="167">
        <v>44721.50476851852</v>
      </c>
    </row>
    <row r="473" spans="1:25">
      <c r="A473" s="131" t="s">
        <v>80</v>
      </c>
      <c r="B473" s="109" t="s">
        <v>1320</v>
      </c>
      <c r="C473" s="245" t="s">
        <v>2377</v>
      </c>
      <c r="D473" s="162" t="s">
        <v>2378</v>
      </c>
      <c r="E473" s="65" t="s">
        <v>1419</v>
      </c>
      <c r="F473" s="162" t="s">
        <v>17</v>
      </c>
      <c r="G473" s="65" t="s">
        <v>2379</v>
      </c>
      <c r="H473" s="218">
        <v>34</v>
      </c>
      <c r="I473" s="65"/>
      <c r="J473" s="218">
        <v>2.1</v>
      </c>
      <c r="K473" s="108"/>
      <c r="L473" s="275">
        <v>71.400000000000006</v>
      </c>
      <c r="M473" s="65" t="s">
        <v>2380</v>
      </c>
      <c r="N473" s="219"/>
      <c r="O473" s="65" t="s">
        <v>55</v>
      </c>
      <c r="P473" s="162" t="s">
        <v>1407</v>
      </c>
      <c r="Q473" s="158"/>
      <c r="R473" s="157" t="s">
        <v>1837</v>
      </c>
      <c r="S473" s="114"/>
      <c r="T473" s="162" t="s">
        <v>25</v>
      </c>
      <c r="U473" s="65" t="s">
        <v>17</v>
      </c>
      <c r="V473" s="162">
        <v>1088</v>
      </c>
      <c r="W473" s="165"/>
      <c r="X473" s="225" t="s">
        <v>1363</v>
      </c>
      <c r="Y473" s="167">
        <v>44665.712094907409</v>
      </c>
    </row>
    <row r="474" spans="1:25" ht="22.5">
      <c r="A474" s="131" t="s">
        <v>62</v>
      </c>
      <c r="B474" s="109" t="s">
        <v>1385</v>
      </c>
      <c r="C474" s="245" t="s">
        <v>2381</v>
      </c>
      <c r="D474" s="162" t="s">
        <v>2382</v>
      </c>
      <c r="E474" s="65"/>
      <c r="F474" s="162" t="s">
        <v>21</v>
      </c>
      <c r="G474" s="65"/>
      <c r="H474" s="218"/>
      <c r="I474" s="65"/>
      <c r="J474" s="218"/>
      <c r="K474" s="108"/>
      <c r="L474" s="275">
        <v>150</v>
      </c>
      <c r="M474" s="65"/>
      <c r="N474" s="219"/>
      <c r="O474" s="65" t="s">
        <v>1285</v>
      </c>
      <c r="P474" s="162"/>
      <c r="Q474" s="158"/>
      <c r="R474" s="157"/>
      <c r="S474" s="114"/>
      <c r="T474" s="162" t="s">
        <v>29</v>
      </c>
      <c r="U474" s="65" t="s">
        <v>20</v>
      </c>
      <c r="V474" s="162" t="s">
        <v>208</v>
      </c>
      <c r="W474" s="165" t="s">
        <v>2383</v>
      </c>
      <c r="X474" s="225"/>
      <c r="Y474" s="167" t="s">
        <v>208</v>
      </c>
    </row>
    <row r="475" spans="1:25">
      <c r="A475" s="131" t="s">
        <v>62</v>
      </c>
      <c r="B475" s="109" t="s">
        <v>1320</v>
      </c>
      <c r="C475" s="245" t="s">
        <v>731</v>
      </c>
      <c r="D475" s="162" t="s">
        <v>2384</v>
      </c>
      <c r="E475" s="65" t="s">
        <v>1429</v>
      </c>
      <c r="F475" s="162" t="s">
        <v>1388</v>
      </c>
      <c r="G475" s="65" t="s">
        <v>2385</v>
      </c>
      <c r="H475" s="218">
        <v>23</v>
      </c>
      <c r="I475" s="65"/>
      <c r="J475" s="218">
        <v>2.5</v>
      </c>
      <c r="K475" s="108"/>
      <c r="L475" s="275">
        <v>57.5</v>
      </c>
      <c r="M475" s="65" t="s">
        <v>2386</v>
      </c>
      <c r="N475" s="219"/>
      <c r="O475" s="65" t="s">
        <v>55</v>
      </c>
      <c r="P475" s="162" t="s">
        <v>1407</v>
      </c>
      <c r="Q475" s="158"/>
      <c r="R475" s="157" t="s">
        <v>1452</v>
      </c>
      <c r="S475" s="114"/>
      <c r="T475" s="162" t="s">
        <v>25</v>
      </c>
      <c r="U475" s="65" t="s">
        <v>1388</v>
      </c>
      <c r="V475" s="162">
        <v>1408</v>
      </c>
      <c r="W475" s="165"/>
      <c r="X475" s="225" t="s">
        <v>1363</v>
      </c>
      <c r="Y475" s="167">
        <v>44671.444826388892</v>
      </c>
    </row>
    <row r="476" spans="1:25">
      <c r="A476" s="131" t="s">
        <v>80</v>
      </c>
      <c r="B476" s="109" t="s">
        <v>1385</v>
      </c>
      <c r="C476" s="245" t="s">
        <v>125</v>
      </c>
      <c r="D476" s="162" t="s">
        <v>82</v>
      </c>
      <c r="E476" s="65" t="s">
        <v>1391</v>
      </c>
      <c r="F476" s="162" t="s">
        <v>21</v>
      </c>
      <c r="G476" s="65" t="s">
        <v>126</v>
      </c>
      <c r="H476" s="218">
        <v>1</v>
      </c>
      <c r="I476" s="65"/>
      <c r="J476" s="218">
        <v>4.41</v>
      </c>
      <c r="K476" s="108"/>
      <c r="L476" s="275">
        <v>4.41</v>
      </c>
      <c r="M476" s="65" t="s">
        <v>2387</v>
      </c>
      <c r="N476" s="219">
        <v>8.82</v>
      </c>
      <c r="O476" s="65" t="s">
        <v>27</v>
      </c>
      <c r="P476" s="162" t="s">
        <v>1403</v>
      </c>
      <c r="Q476" s="158" t="s">
        <v>1537</v>
      </c>
      <c r="R476" s="157" t="s">
        <v>1405</v>
      </c>
      <c r="S476" s="114"/>
      <c r="T476" s="162" t="s">
        <v>27</v>
      </c>
      <c r="U476" s="65" t="s">
        <v>20</v>
      </c>
      <c r="V476" s="162">
        <v>1846</v>
      </c>
      <c r="W476" s="165"/>
      <c r="X476" s="225" t="s">
        <v>1363</v>
      </c>
      <c r="Y476" s="167">
        <v>44671.362511574072</v>
      </c>
    </row>
    <row r="477" spans="1:25">
      <c r="A477" s="131" t="s">
        <v>80</v>
      </c>
      <c r="B477" s="109" t="s">
        <v>1385</v>
      </c>
      <c r="C477" s="245" t="s">
        <v>125</v>
      </c>
      <c r="D477" s="162" t="s">
        <v>82</v>
      </c>
      <c r="E477" s="65" t="s">
        <v>1429</v>
      </c>
      <c r="F477" s="162" t="s">
        <v>1388</v>
      </c>
      <c r="G477" s="65" t="s">
        <v>127</v>
      </c>
      <c r="H477" s="218">
        <v>3</v>
      </c>
      <c r="I477" s="65"/>
      <c r="J477" s="218">
        <v>2.78</v>
      </c>
      <c r="K477" s="108"/>
      <c r="L477" s="275">
        <v>8.34</v>
      </c>
      <c r="M477" s="65" t="s">
        <v>2388</v>
      </c>
      <c r="N477" s="219"/>
      <c r="O477" s="65" t="s">
        <v>27</v>
      </c>
      <c r="P477" s="162" t="s">
        <v>1407</v>
      </c>
      <c r="Q477" s="158" t="s">
        <v>1537</v>
      </c>
      <c r="R477" s="157" t="s">
        <v>1405</v>
      </c>
      <c r="S477" s="114"/>
      <c r="T477" s="162" t="s">
        <v>27</v>
      </c>
      <c r="U477" s="65" t="s">
        <v>1388</v>
      </c>
      <c r="V477" s="162">
        <v>1846</v>
      </c>
      <c r="W477" s="165"/>
      <c r="X477" s="225" t="s">
        <v>1363</v>
      </c>
      <c r="Y477" s="167">
        <v>44671.362511574072</v>
      </c>
    </row>
    <row r="478" spans="1:25">
      <c r="A478" s="131" t="s">
        <v>62</v>
      </c>
      <c r="B478" s="109" t="s">
        <v>1385</v>
      </c>
      <c r="C478" s="245" t="s">
        <v>2389</v>
      </c>
      <c r="D478" s="162" t="s">
        <v>2390</v>
      </c>
      <c r="E478" s="65" t="s">
        <v>1429</v>
      </c>
      <c r="F478" s="162" t="s">
        <v>1388</v>
      </c>
      <c r="G478" s="65" t="s">
        <v>208</v>
      </c>
      <c r="H478" s="218">
        <v>1</v>
      </c>
      <c r="I478" s="65"/>
      <c r="J478" s="218">
        <v>800</v>
      </c>
      <c r="K478" s="108"/>
      <c r="L478" s="275">
        <v>800</v>
      </c>
      <c r="M478" s="65" t="s">
        <v>2391</v>
      </c>
      <c r="N478" s="219">
        <v>0</v>
      </c>
      <c r="O478" s="65" t="s">
        <v>1285</v>
      </c>
      <c r="P478" s="162" t="s">
        <v>1407</v>
      </c>
      <c r="Q478" s="158"/>
      <c r="R478" s="157"/>
      <c r="S478" s="114"/>
      <c r="T478" s="162" t="s">
        <v>29</v>
      </c>
      <c r="U478" s="65" t="s">
        <v>1388</v>
      </c>
      <c r="V478" s="162">
        <v>1922</v>
      </c>
      <c r="W478" s="165"/>
      <c r="X478" s="225" t="s">
        <v>1481</v>
      </c>
      <c r="Y478" s="167">
        <v>44551.440601851849</v>
      </c>
    </row>
    <row r="479" spans="1:25">
      <c r="A479" s="131" t="s">
        <v>62</v>
      </c>
      <c r="B479" s="109" t="s">
        <v>1385</v>
      </c>
      <c r="C479" s="245" t="s">
        <v>2389</v>
      </c>
      <c r="D479" s="162" t="s">
        <v>4088</v>
      </c>
      <c r="E479" s="65"/>
      <c r="F479" s="162" t="s">
        <v>21</v>
      </c>
      <c r="G479" s="65"/>
      <c r="H479" s="218"/>
      <c r="I479" s="65"/>
      <c r="J479" s="218"/>
      <c r="K479" s="108"/>
      <c r="L479" s="275">
        <v>240</v>
      </c>
      <c r="M479" s="65"/>
      <c r="N479" s="219"/>
      <c r="O479" s="65" t="s">
        <v>1285</v>
      </c>
      <c r="P479" s="162"/>
      <c r="Q479" s="158"/>
      <c r="R479" s="157" t="s">
        <v>208</v>
      </c>
      <c r="S479" s="114"/>
      <c r="T479" s="162" t="s">
        <v>29</v>
      </c>
      <c r="U479" s="65" t="s">
        <v>20</v>
      </c>
      <c r="V479" s="162">
        <v>1922</v>
      </c>
      <c r="W479" s="165" t="s">
        <v>4089</v>
      </c>
      <c r="X479" s="225" t="s">
        <v>1481</v>
      </c>
      <c r="Y479" s="167">
        <v>44551</v>
      </c>
    </row>
    <row r="480" spans="1:25">
      <c r="A480" s="131" t="s">
        <v>100</v>
      </c>
      <c r="B480" s="109" t="s">
        <v>1385</v>
      </c>
      <c r="C480" s="245" t="s">
        <v>2392</v>
      </c>
      <c r="D480" s="162" t="s">
        <v>2393</v>
      </c>
      <c r="E480" s="65" t="s">
        <v>1493</v>
      </c>
      <c r="F480" s="162" t="s">
        <v>404</v>
      </c>
      <c r="G480" s="65" t="s">
        <v>208</v>
      </c>
      <c r="H480" s="218">
        <v>3</v>
      </c>
      <c r="I480" s="65"/>
      <c r="J480" s="218">
        <v>13.95</v>
      </c>
      <c r="K480" s="108"/>
      <c r="L480" s="275">
        <v>41.849999999999994</v>
      </c>
      <c r="M480" s="65" t="s">
        <v>2394</v>
      </c>
      <c r="N480" s="219"/>
      <c r="O480" s="65" t="s">
        <v>1285</v>
      </c>
      <c r="P480" s="162" t="s">
        <v>1403</v>
      </c>
      <c r="Q480" s="158"/>
      <c r="R480" s="157"/>
      <c r="S480" s="114"/>
      <c r="T480" s="162" t="s">
        <v>29</v>
      </c>
      <c r="U480" s="65" t="s">
        <v>14</v>
      </c>
      <c r="V480" s="162">
        <v>1981</v>
      </c>
      <c r="W480" s="165"/>
      <c r="X480" s="225" t="s">
        <v>208</v>
      </c>
      <c r="Y480" s="167">
        <v>44504.383946759262</v>
      </c>
    </row>
    <row r="481" spans="1:25">
      <c r="A481" s="131" t="s">
        <v>62</v>
      </c>
      <c r="B481" s="109" t="s">
        <v>1385</v>
      </c>
      <c r="C481" s="245" t="s">
        <v>2395</v>
      </c>
      <c r="D481" s="162" t="s">
        <v>480</v>
      </c>
      <c r="E481" s="65" t="s">
        <v>1391</v>
      </c>
      <c r="F481" s="162" t="s">
        <v>21</v>
      </c>
      <c r="G481" s="65" t="s">
        <v>208</v>
      </c>
      <c r="H481" s="218">
        <v>1</v>
      </c>
      <c r="I481" s="65"/>
      <c r="J481" s="218">
        <v>45</v>
      </c>
      <c r="K481" s="108"/>
      <c r="L481" s="275">
        <v>45</v>
      </c>
      <c r="M481" s="65" t="s">
        <v>2318</v>
      </c>
      <c r="N481" s="219">
        <v>90</v>
      </c>
      <c r="O481" s="65" t="s">
        <v>1285</v>
      </c>
      <c r="P481" s="162" t="s">
        <v>1407</v>
      </c>
      <c r="Q481" s="158"/>
      <c r="R481" s="157"/>
      <c r="S481" s="114"/>
      <c r="T481" s="162" t="s">
        <v>29</v>
      </c>
      <c r="U481" s="65" t="s">
        <v>20</v>
      </c>
      <c r="V481" s="162">
        <v>1992</v>
      </c>
      <c r="W481" s="165"/>
      <c r="X481" s="225" t="s">
        <v>208</v>
      </c>
      <c r="Y481" s="167">
        <v>44539.467604166668</v>
      </c>
    </row>
    <row r="482" spans="1:25">
      <c r="A482" s="131" t="s">
        <v>62</v>
      </c>
      <c r="B482" s="252" t="s">
        <v>1385</v>
      </c>
      <c r="C482" s="245" t="s">
        <v>4085</v>
      </c>
      <c r="D482" s="218" t="s">
        <v>4086</v>
      </c>
      <c r="E482" s="257"/>
      <c r="F482" s="218" t="s">
        <v>21</v>
      </c>
      <c r="G482" s="257"/>
      <c r="H482" s="218"/>
      <c r="I482" s="257"/>
      <c r="J482" s="218"/>
      <c r="K482" s="258"/>
      <c r="L482" s="275">
        <v>250</v>
      </c>
      <c r="M482" s="257"/>
      <c r="N482" s="219"/>
      <c r="O482" s="257" t="s">
        <v>1285</v>
      </c>
      <c r="P482" s="218"/>
      <c r="Q482" s="259"/>
      <c r="R482" s="218"/>
      <c r="S482" s="261"/>
      <c r="T482" s="218" t="s">
        <v>29</v>
      </c>
      <c r="U482" s="257" t="s">
        <v>20</v>
      </c>
      <c r="V482" s="218">
        <v>1933</v>
      </c>
      <c r="W482" s="262" t="s">
        <v>4087</v>
      </c>
      <c r="X482" s="225"/>
      <c r="Y482" s="265"/>
    </row>
    <row r="483" spans="1:25">
      <c r="A483" s="131" t="s">
        <v>62</v>
      </c>
      <c r="B483" s="109" t="s">
        <v>1320</v>
      </c>
      <c r="C483" s="245" t="s">
        <v>479</v>
      </c>
      <c r="D483" s="162" t="s">
        <v>480</v>
      </c>
      <c r="E483" s="65" t="s">
        <v>1429</v>
      </c>
      <c r="F483" s="162" t="s">
        <v>1388</v>
      </c>
      <c r="G483" s="65" t="s">
        <v>481</v>
      </c>
      <c r="H483" s="218">
        <v>81</v>
      </c>
      <c r="I483" s="65"/>
      <c r="J483" s="218">
        <v>1.637</v>
      </c>
      <c r="K483" s="108"/>
      <c r="L483" s="275">
        <v>132.59700000000001</v>
      </c>
      <c r="M483" s="65" t="s">
        <v>2396</v>
      </c>
      <c r="N483" s="219"/>
      <c r="O483" s="65" t="s">
        <v>55</v>
      </c>
      <c r="P483" s="162" t="s">
        <v>1407</v>
      </c>
      <c r="Q483" s="158"/>
      <c r="R483" s="157" t="s">
        <v>1532</v>
      </c>
      <c r="S483" s="114"/>
      <c r="T483" s="162" t="s">
        <v>25</v>
      </c>
      <c r="U483" s="65" t="s">
        <v>1388</v>
      </c>
      <c r="V483" s="162">
        <v>1564</v>
      </c>
      <c r="W483" s="165"/>
      <c r="X483" s="225" t="s">
        <v>1453</v>
      </c>
      <c r="Y483" s="167">
        <v>44743.622407407405</v>
      </c>
    </row>
    <row r="484" spans="1:25">
      <c r="A484" s="131" t="s">
        <v>100</v>
      </c>
      <c r="B484" s="109" t="s">
        <v>1385</v>
      </c>
      <c r="C484" s="245" t="s">
        <v>2397</v>
      </c>
      <c r="D484" s="162" t="s">
        <v>1985</v>
      </c>
      <c r="E484" s="65"/>
      <c r="F484" s="162" t="s">
        <v>21</v>
      </c>
      <c r="G484" s="65"/>
      <c r="H484" s="218"/>
      <c r="I484" s="65"/>
      <c r="J484" s="218"/>
      <c r="K484" s="108"/>
      <c r="L484" s="275">
        <v>400</v>
      </c>
      <c r="M484" s="65"/>
      <c r="N484" s="219"/>
      <c r="O484" s="65" t="s">
        <v>1285</v>
      </c>
      <c r="P484" s="162"/>
      <c r="Q484" s="158"/>
      <c r="R484" s="157"/>
      <c r="S484" s="114"/>
      <c r="T484" s="162" t="s">
        <v>29</v>
      </c>
      <c r="U484" s="65" t="s">
        <v>20</v>
      </c>
      <c r="V484" s="162" t="s">
        <v>208</v>
      </c>
      <c r="W484" s="165" t="s">
        <v>2398</v>
      </c>
      <c r="X484" s="225"/>
      <c r="Y484" s="167" t="s">
        <v>208</v>
      </c>
    </row>
    <row r="485" spans="1:25">
      <c r="A485" s="131" t="s">
        <v>100</v>
      </c>
      <c r="B485" s="109" t="s">
        <v>1385</v>
      </c>
      <c r="C485" s="245" t="s">
        <v>2399</v>
      </c>
      <c r="D485" s="162" t="s">
        <v>2400</v>
      </c>
      <c r="E485" s="65" t="s">
        <v>1419</v>
      </c>
      <c r="F485" s="162" t="s">
        <v>17</v>
      </c>
      <c r="G485" s="65" t="s">
        <v>208</v>
      </c>
      <c r="H485" s="218">
        <v>26</v>
      </c>
      <c r="I485" s="65"/>
      <c r="J485" s="218">
        <v>4.2</v>
      </c>
      <c r="K485" s="108"/>
      <c r="L485" s="275">
        <v>109.2</v>
      </c>
      <c r="M485" s="65" t="s">
        <v>1627</v>
      </c>
      <c r="N485" s="219">
        <v>0</v>
      </c>
      <c r="O485" s="65" t="s">
        <v>1285</v>
      </c>
      <c r="P485" s="162" t="s">
        <v>1407</v>
      </c>
      <c r="Q485" s="158"/>
      <c r="R485" s="157"/>
      <c r="S485" s="114"/>
      <c r="T485" s="162" t="s">
        <v>29</v>
      </c>
      <c r="U485" s="65" t="s">
        <v>17</v>
      </c>
      <c r="V485" s="162">
        <v>1089</v>
      </c>
      <c r="W485" s="165" t="s">
        <v>3981</v>
      </c>
      <c r="X485" s="225" t="s">
        <v>1400</v>
      </c>
      <c r="Y485" s="167">
        <v>44679.716817129629</v>
      </c>
    </row>
    <row r="486" spans="1:25">
      <c r="A486" s="131" t="s">
        <v>46</v>
      </c>
      <c r="B486" s="109" t="s">
        <v>1385</v>
      </c>
      <c r="C486" s="245" t="s">
        <v>2401</v>
      </c>
      <c r="D486" s="162" t="s">
        <v>2402</v>
      </c>
      <c r="E486" s="65" t="s">
        <v>1429</v>
      </c>
      <c r="F486" s="162" t="s">
        <v>1388</v>
      </c>
      <c r="G486" s="65" t="s">
        <v>208</v>
      </c>
      <c r="H486" s="218">
        <v>1</v>
      </c>
      <c r="I486" s="65"/>
      <c r="J486" s="218">
        <v>110</v>
      </c>
      <c r="K486" s="108"/>
      <c r="L486" s="275">
        <v>110</v>
      </c>
      <c r="M486" s="65" t="s">
        <v>2341</v>
      </c>
      <c r="N486" s="219"/>
      <c r="O486" s="65" t="s">
        <v>1285</v>
      </c>
      <c r="P486" s="162" t="s">
        <v>1407</v>
      </c>
      <c r="Q486" s="158"/>
      <c r="R486" s="157"/>
      <c r="S486" s="114"/>
      <c r="T486" s="162" t="s">
        <v>29</v>
      </c>
      <c r="U486" s="65" t="s">
        <v>1388</v>
      </c>
      <c r="V486" s="162">
        <v>1451</v>
      </c>
      <c r="W486" s="165"/>
      <c r="X486" s="225" t="s">
        <v>1400</v>
      </c>
      <c r="Y486" s="167">
        <v>43769.416655092595</v>
      </c>
    </row>
    <row r="487" spans="1:25">
      <c r="A487" s="131" t="s">
        <v>62</v>
      </c>
      <c r="B487" s="109" t="s">
        <v>1320</v>
      </c>
      <c r="C487" s="245" t="s">
        <v>592</v>
      </c>
      <c r="D487" s="162" t="s">
        <v>593</v>
      </c>
      <c r="E487" s="65" t="s">
        <v>1429</v>
      </c>
      <c r="F487" s="162" t="s">
        <v>1388</v>
      </c>
      <c r="G487" s="65" t="s">
        <v>594</v>
      </c>
      <c r="H487" s="218">
        <v>21</v>
      </c>
      <c r="I487" s="65"/>
      <c r="J487" s="218">
        <v>2.75</v>
      </c>
      <c r="K487" s="108"/>
      <c r="L487" s="275">
        <v>57.75</v>
      </c>
      <c r="M487" s="65" t="s">
        <v>2403</v>
      </c>
      <c r="N487" s="219"/>
      <c r="O487" s="65" t="s">
        <v>55</v>
      </c>
      <c r="P487" s="162" t="s">
        <v>1407</v>
      </c>
      <c r="Q487" s="158"/>
      <c r="R487" s="157" t="s">
        <v>1452</v>
      </c>
      <c r="S487" s="114"/>
      <c r="T487" s="162" t="s">
        <v>25</v>
      </c>
      <c r="U487" s="65" t="s">
        <v>1388</v>
      </c>
      <c r="V487" s="162">
        <v>1517</v>
      </c>
      <c r="W487" s="165"/>
      <c r="X487" s="225" t="s">
        <v>1363</v>
      </c>
      <c r="Y487" s="167">
        <v>44671.469594907408</v>
      </c>
    </row>
    <row r="488" spans="1:25" ht="22.5">
      <c r="A488" s="131" t="s">
        <v>100</v>
      </c>
      <c r="B488" s="109" t="s">
        <v>1385</v>
      </c>
      <c r="C488" s="245" t="s">
        <v>2404</v>
      </c>
      <c r="D488" s="162" t="s">
        <v>2405</v>
      </c>
      <c r="E488" s="65"/>
      <c r="F488" s="162" t="s">
        <v>21</v>
      </c>
      <c r="G488" s="65"/>
      <c r="H488" s="218"/>
      <c r="I488" s="65"/>
      <c r="J488" s="218"/>
      <c r="K488" s="108"/>
      <c r="L488" s="275">
        <v>413</v>
      </c>
      <c r="M488" s="65"/>
      <c r="N488" s="219"/>
      <c r="O488" s="65" t="s">
        <v>1285</v>
      </c>
      <c r="P488" s="162"/>
      <c r="Q488" s="158"/>
      <c r="R488" s="157" t="s">
        <v>208</v>
      </c>
      <c r="S488" s="114"/>
      <c r="T488" s="162" t="s">
        <v>29</v>
      </c>
      <c r="U488" s="65" t="s">
        <v>20</v>
      </c>
      <c r="V488" s="162" t="s">
        <v>208</v>
      </c>
      <c r="W488" s="165" t="s">
        <v>2406</v>
      </c>
      <c r="X488" s="225"/>
      <c r="Y488" s="167" t="s">
        <v>208</v>
      </c>
    </row>
    <row r="489" spans="1:25" ht="22.5">
      <c r="A489" s="131" t="s">
        <v>80</v>
      </c>
      <c r="B489" s="109" t="s">
        <v>1385</v>
      </c>
      <c r="C489" s="245" t="s">
        <v>2407</v>
      </c>
      <c r="D489" s="162" t="s">
        <v>2408</v>
      </c>
      <c r="E489" s="65" t="s">
        <v>1391</v>
      </c>
      <c r="F489" s="162" t="s">
        <v>21</v>
      </c>
      <c r="G489" s="65" t="s">
        <v>208</v>
      </c>
      <c r="H489" s="218">
        <v>1</v>
      </c>
      <c r="I489" s="65"/>
      <c r="J489" s="218">
        <v>1</v>
      </c>
      <c r="K489" s="108"/>
      <c r="L489" s="275">
        <v>1</v>
      </c>
      <c r="M489" s="65" t="s">
        <v>1366</v>
      </c>
      <c r="N489" s="219"/>
      <c r="O489" s="65" t="s">
        <v>1285</v>
      </c>
      <c r="P489" s="162" t="s">
        <v>1393</v>
      </c>
      <c r="Q489" s="158"/>
      <c r="R489" s="157"/>
      <c r="S489" s="114"/>
      <c r="T489" s="162" t="s">
        <v>29</v>
      </c>
      <c r="U489" s="65" t="s">
        <v>20</v>
      </c>
      <c r="V489" s="162">
        <v>111</v>
      </c>
      <c r="W489" s="165"/>
      <c r="X489" s="225" t="s">
        <v>208</v>
      </c>
      <c r="Y489" s="167">
        <v>43312</v>
      </c>
    </row>
    <row r="490" spans="1:25">
      <c r="A490" s="131" t="s">
        <v>95</v>
      </c>
      <c r="B490" s="109" t="s">
        <v>1385</v>
      </c>
      <c r="C490" s="245" t="s">
        <v>2409</v>
      </c>
      <c r="D490" s="162" t="s">
        <v>1709</v>
      </c>
      <c r="E490" s="65" t="s">
        <v>1419</v>
      </c>
      <c r="F490" s="162" t="s">
        <v>17</v>
      </c>
      <c r="G490" s="65" t="s">
        <v>208</v>
      </c>
      <c r="H490" s="218">
        <v>40</v>
      </c>
      <c r="I490" s="65"/>
      <c r="J490" s="218">
        <v>5.5</v>
      </c>
      <c r="K490" s="108"/>
      <c r="L490" s="275">
        <v>220</v>
      </c>
      <c r="M490" s="65" t="s">
        <v>2410</v>
      </c>
      <c r="N490" s="219"/>
      <c r="O490" s="65" t="s">
        <v>1285</v>
      </c>
      <c r="P490" s="162" t="s">
        <v>1393</v>
      </c>
      <c r="Q490" s="158"/>
      <c r="R490" s="157"/>
      <c r="S490" s="114"/>
      <c r="T490" s="162" t="s">
        <v>29</v>
      </c>
      <c r="U490" s="65" t="s">
        <v>17</v>
      </c>
      <c r="V490" s="162">
        <v>2007</v>
      </c>
      <c r="W490" s="165" t="s">
        <v>3941</v>
      </c>
      <c r="X490" s="225" t="s">
        <v>208</v>
      </c>
      <c r="Y490" s="167">
        <v>44726.652824074074</v>
      </c>
    </row>
    <row r="491" spans="1:25">
      <c r="A491" s="131" t="s">
        <v>100</v>
      </c>
      <c r="B491" s="109" t="s">
        <v>1385</v>
      </c>
      <c r="C491" s="245" t="s">
        <v>2411</v>
      </c>
      <c r="D491" s="162" t="s">
        <v>2412</v>
      </c>
      <c r="E491" s="65" t="s">
        <v>1419</v>
      </c>
      <c r="F491" s="162" t="s">
        <v>17</v>
      </c>
      <c r="G491" s="65" t="s">
        <v>208</v>
      </c>
      <c r="H491" s="218">
        <v>100</v>
      </c>
      <c r="I491" s="65"/>
      <c r="J491" s="218">
        <v>6</v>
      </c>
      <c r="K491" s="108"/>
      <c r="L491" s="275">
        <v>600</v>
      </c>
      <c r="M491" s="65" t="s">
        <v>1470</v>
      </c>
      <c r="N491" s="219">
        <v>0</v>
      </c>
      <c r="O491" s="65" t="s">
        <v>1285</v>
      </c>
      <c r="P491" s="162" t="s">
        <v>1407</v>
      </c>
      <c r="Q491" s="158"/>
      <c r="R491" s="157"/>
      <c r="S491" s="114"/>
      <c r="T491" s="162" t="s">
        <v>29</v>
      </c>
      <c r="U491" s="65" t="s">
        <v>17</v>
      </c>
      <c r="V491" s="162">
        <v>1287</v>
      </c>
      <c r="W491" s="165"/>
      <c r="X491" s="225" t="s">
        <v>1400</v>
      </c>
      <c r="Y491" s="167">
        <v>44679.618206018517</v>
      </c>
    </row>
    <row r="492" spans="1:25">
      <c r="A492" s="131" t="s">
        <v>100</v>
      </c>
      <c r="B492" s="109" t="s">
        <v>1385</v>
      </c>
      <c r="C492" s="245" t="s">
        <v>2413</v>
      </c>
      <c r="D492" s="162" t="s">
        <v>1985</v>
      </c>
      <c r="E492" s="65"/>
      <c r="F492" s="162" t="s">
        <v>21</v>
      </c>
      <c r="G492" s="65"/>
      <c r="H492" s="218"/>
      <c r="I492" s="65"/>
      <c r="J492" s="218"/>
      <c r="K492" s="108"/>
      <c r="L492" s="275">
        <v>400</v>
      </c>
      <c r="M492" s="65"/>
      <c r="N492" s="219"/>
      <c r="O492" s="65" t="s">
        <v>1285</v>
      </c>
      <c r="P492" s="162"/>
      <c r="Q492" s="158"/>
      <c r="R492" s="157"/>
      <c r="S492" s="114"/>
      <c r="T492" s="162" t="s">
        <v>29</v>
      </c>
      <c r="U492" s="65" t="s">
        <v>20</v>
      </c>
      <c r="V492" s="162" t="s">
        <v>208</v>
      </c>
      <c r="W492" s="165" t="s">
        <v>2414</v>
      </c>
      <c r="X492" s="225"/>
      <c r="Y492" s="167" t="s">
        <v>208</v>
      </c>
    </row>
    <row r="493" spans="1:25">
      <c r="A493" s="131" t="s">
        <v>62</v>
      </c>
      <c r="B493" s="109" t="s">
        <v>1385</v>
      </c>
      <c r="C493" s="245" t="s">
        <v>2415</v>
      </c>
      <c r="D493" s="162" t="s">
        <v>102</v>
      </c>
      <c r="E493" s="65" t="s">
        <v>1419</v>
      </c>
      <c r="F493" s="162" t="s">
        <v>17</v>
      </c>
      <c r="G493" s="65" t="s">
        <v>208</v>
      </c>
      <c r="H493" s="218">
        <v>18</v>
      </c>
      <c r="I493" s="65">
        <v>3.7</v>
      </c>
      <c r="J493" s="218">
        <v>4.7</v>
      </c>
      <c r="K493" s="108">
        <v>66.600000000000009</v>
      </c>
      <c r="L493" s="275">
        <v>84.600000000000009</v>
      </c>
      <c r="M493" s="65" t="s">
        <v>2416</v>
      </c>
      <c r="N493" s="219"/>
      <c r="O493" s="65" t="s">
        <v>1285</v>
      </c>
      <c r="P493" s="162" t="s">
        <v>1407</v>
      </c>
      <c r="Q493" s="158"/>
      <c r="R493" s="157"/>
      <c r="S493" s="114"/>
      <c r="T493" s="162" t="s">
        <v>29</v>
      </c>
      <c r="U493" s="65" t="s">
        <v>17</v>
      </c>
      <c r="V493" s="162">
        <v>1090</v>
      </c>
      <c r="W493" s="165"/>
      <c r="X493" s="225" t="s">
        <v>1363</v>
      </c>
      <c r="Y493" s="167">
        <v>44665.713645833333</v>
      </c>
    </row>
    <row r="494" spans="1:25" ht="22.5">
      <c r="A494" s="131" t="s">
        <v>80</v>
      </c>
      <c r="B494" s="109" t="s">
        <v>1385</v>
      </c>
      <c r="C494" s="245" t="s">
        <v>2417</v>
      </c>
      <c r="D494" s="162" t="s">
        <v>426</v>
      </c>
      <c r="E494" s="65" t="s">
        <v>1469</v>
      </c>
      <c r="F494" s="162" t="s">
        <v>18</v>
      </c>
      <c r="G494" s="65" t="s">
        <v>208</v>
      </c>
      <c r="H494" s="218">
        <v>1</v>
      </c>
      <c r="I494" s="65"/>
      <c r="J494" s="218">
        <v>300</v>
      </c>
      <c r="K494" s="108"/>
      <c r="L494" s="275">
        <v>300</v>
      </c>
      <c r="M494" s="65" t="s">
        <v>1661</v>
      </c>
      <c r="N494" s="219"/>
      <c r="O494" s="65" t="s">
        <v>1285</v>
      </c>
      <c r="P494" s="162" t="s">
        <v>1403</v>
      </c>
      <c r="Q494" s="158"/>
      <c r="R494" s="157"/>
      <c r="S494" s="114"/>
      <c r="T494" s="162" t="s">
        <v>29</v>
      </c>
      <c r="U494" s="65" t="s">
        <v>18</v>
      </c>
      <c r="V494" s="162">
        <v>1485</v>
      </c>
      <c r="W494" s="165"/>
      <c r="X494" s="225" t="s">
        <v>1400</v>
      </c>
      <c r="Y494" s="167">
        <v>43966.492673611108</v>
      </c>
    </row>
    <row r="495" spans="1:25">
      <c r="A495" s="131" t="s">
        <v>46</v>
      </c>
      <c r="B495" s="109" t="s">
        <v>1385</v>
      </c>
      <c r="C495" s="245" t="s">
        <v>2418</v>
      </c>
      <c r="D495" s="162" t="s">
        <v>2419</v>
      </c>
      <c r="E495" s="65" t="s">
        <v>1419</v>
      </c>
      <c r="F495" s="162" t="s">
        <v>17</v>
      </c>
      <c r="G495" s="65" t="s">
        <v>208</v>
      </c>
      <c r="H495" s="218">
        <v>1</v>
      </c>
      <c r="I495" s="65"/>
      <c r="J495" s="218">
        <v>400</v>
      </c>
      <c r="K495" s="108"/>
      <c r="L495" s="275">
        <v>400</v>
      </c>
      <c r="M495" s="65" t="s">
        <v>1639</v>
      </c>
      <c r="N495" s="219"/>
      <c r="O495" s="65" t="s">
        <v>1285</v>
      </c>
      <c r="P495" s="162" t="s">
        <v>1407</v>
      </c>
      <c r="Q495" s="158"/>
      <c r="R495" s="157"/>
      <c r="S495" s="114"/>
      <c r="T495" s="162" t="s">
        <v>29</v>
      </c>
      <c r="U495" s="65" t="s">
        <v>17</v>
      </c>
      <c r="V495" s="162">
        <v>95</v>
      </c>
      <c r="W495" s="165"/>
      <c r="X495" s="225" t="s">
        <v>208</v>
      </c>
      <c r="Y495" s="167">
        <v>43312</v>
      </c>
    </row>
    <row r="496" spans="1:25">
      <c r="A496" s="131" t="s">
        <v>46</v>
      </c>
      <c r="B496" s="109" t="s">
        <v>1385</v>
      </c>
      <c r="C496" s="245" t="s">
        <v>214</v>
      </c>
      <c r="D496" s="162" t="s">
        <v>215</v>
      </c>
      <c r="E496" s="65" t="s">
        <v>1429</v>
      </c>
      <c r="F496" s="162" t="s">
        <v>1388</v>
      </c>
      <c r="G496" s="65" t="s">
        <v>208</v>
      </c>
      <c r="H496" s="218">
        <v>40</v>
      </c>
      <c r="I496" s="65"/>
      <c r="J496" s="218">
        <v>2.125</v>
      </c>
      <c r="K496" s="108"/>
      <c r="L496" s="275">
        <v>85</v>
      </c>
      <c r="M496" s="65" t="s">
        <v>1891</v>
      </c>
      <c r="N496" s="219"/>
      <c r="O496" s="65" t="s">
        <v>27</v>
      </c>
      <c r="P496" s="162" t="s">
        <v>1407</v>
      </c>
      <c r="Q496" s="158" t="s">
        <v>1409</v>
      </c>
      <c r="R496" s="157" t="s">
        <v>1474</v>
      </c>
      <c r="S496" s="114"/>
      <c r="T496" s="162" t="s">
        <v>27</v>
      </c>
      <c r="U496" s="65" t="s">
        <v>1388</v>
      </c>
      <c r="V496" s="162">
        <v>1452</v>
      </c>
      <c r="W496" s="165"/>
      <c r="X496" s="225" t="s">
        <v>1453</v>
      </c>
      <c r="Y496" s="167">
        <v>44732.471550925926</v>
      </c>
    </row>
    <row r="497" spans="1:25">
      <c r="A497" s="131" t="s">
        <v>95</v>
      </c>
      <c r="B497" s="109" t="s">
        <v>1320</v>
      </c>
      <c r="C497" s="245" t="s">
        <v>2420</v>
      </c>
      <c r="D497" s="162" t="s">
        <v>2421</v>
      </c>
      <c r="E497" s="65" t="s">
        <v>1359</v>
      </c>
      <c r="F497" s="162" t="s">
        <v>1422</v>
      </c>
      <c r="G497" s="65" t="s">
        <v>208</v>
      </c>
      <c r="H497" s="218">
        <v>1</v>
      </c>
      <c r="I497" s="65"/>
      <c r="J497" s="218">
        <v>1</v>
      </c>
      <c r="K497" s="108"/>
      <c r="L497" s="275">
        <v>1</v>
      </c>
      <c r="M497" s="65" t="s">
        <v>1366</v>
      </c>
      <c r="N497" s="219"/>
      <c r="O497" s="65" t="s">
        <v>55</v>
      </c>
      <c r="P497" s="162" t="s">
        <v>1362</v>
      </c>
      <c r="Q497" s="158"/>
      <c r="R497" s="157"/>
      <c r="S497" s="114"/>
      <c r="T497" s="162" t="s">
        <v>25</v>
      </c>
      <c r="U497" s="65" t="s">
        <v>19</v>
      </c>
      <c r="V497" s="162">
        <v>1314</v>
      </c>
      <c r="W497" s="165"/>
      <c r="X497" s="225" t="s">
        <v>1363</v>
      </c>
      <c r="Y497" s="167">
        <v>44671.380624999998</v>
      </c>
    </row>
    <row r="498" spans="1:25">
      <c r="A498" s="131" t="s">
        <v>46</v>
      </c>
      <c r="B498" s="109" t="s">
        <v>1385</v>
      </c>
      <c r="C498" s="245" t="s">
        <v>2422</v>
      </c>
      <c r="D498" s="162" t="s">
        <v>291</v>
      </c>
      <c r="E498" s="65"/>
      <c r="F498" s="162" t="s">
        <v>1388</v>
      </c>
      <c r="G498" s="65"/>
      <c r="H498" s="218"/>
      <c r="I498" s="65"/>
      <c r="J498" s="218"/>
      <c r="K498" s="108"/>
      <c r="L498" s="275">
        <v>250</v>
      </c>
      <c r="M498" s="65"/>
      <c r="N498" s="219"/>
      <c r="O498" s="65" t="s">
        <v>1285</v>
      </c>
      <c r="P498" s="162"/>
      <c r="Q498" s="158"/>
      <c r="R498" s="157"/>
      <c r="S498" s="114"/>
      <c r="T498" s="162" t="s">
        <v>29</v>
      </c>
      <c r="U498" s="65" t="s">
        <v>1388</v>
      </c>
      <c r="V498" s="162" t="s">
        <v>208</v>
      </c>
      <c r="W498" s="165" t="s">
        <v>2423</v>
      </c>
      <c r="X498" s="225"/>
      <c r="Y498" s="167" t="s">
        <v>208</v>
      </c>
    </row>
    <row r="499" spans="1:25">
      <c r="A499" s="131" t="s">
        <v>80</v>
      </c>
      <c r="B499" s="109" t="s">
        <v>1320</v>
      </c>
      <c r="C499" s="245" t="s">
        <v>406</v>
      </c>
      <c r="D499" s="162" t="s">
        <v>407</v>
      </c>
      <c r="E499" s="65" t="s">
        <v>1391</v>
      </c>
      <c r="F499" s="162" t="s">
        <v>21</v>
      </c>
      <c r="G499" s="65" t="s">
        <v>408</v>
      </c>
      <c r="H499" s="218">
        <v>1</v>
      </c>
      <c r="I499" s="65"/>
      <c r="J499" s="218">
        <v>50</v>
      </c>
      <c r="K499" s="108"/>
      <c r="L499" s="275">
        <v>50</v>
      </c>
      <c r="M499" s="65" t="s">
        <v>1489</v>
      </c>
      <c r="N499" s="219">
        <v>61.3</v>
      </c>
      <c r="O499" s="65" t="s">
        <v>55</v>
      </c>
      <c r="P499" s="162" t="s">
        <v>1403</v>
      </c>
      <c r="Q499" s="158"/>
      <c r="R499" s="157" t="s">
        <v>1542</v>
      </c>
      <c r="S499" s="114"/>
      <c r="T499" s="162" t="s">
        <v>25</v>
      </c>
      <c r="U499" s="65" t="s">
        <v>20</v>
      </c>
      <c r="V499" s="162">
        <v>1610</v>
      </c>
      <c r="W499" s="165"/>
      <c r="X499" s="225" t="s">
        <v>1363</v>
      </c>
      <c r="Y499" s="167">
        <v>44671.595173611109</v>
      </c>
    </row>
    <row r="500" spans="1:25">
      <c r="A500" s="131" t="s">
        <v>80</v>
      </c>
      <c r="B500" s="109" t="s">
        <v>1320</v>
      </c>
      <c r="C500" s="245" t="s">
        <v>406</v>
      </c>
      <c r="D500" s="162" t="s">
        <v>407</v>
      </c>
      <c r="E500" s="65" t="s">
        <v>1391</v>
      </c>
      <c r="F500" s="162" t="s">
        <v>21</v>
      </c>
      <c r="G500" s="65" t="s">
        <v>408</v>
      </c>
      <c r="H500" s="218">
        <v>1</v>
      </c>
      <c r="I500" s="65"/>
      <c r="J500" s="218">
        <v>100</v>
      </c>
      <c r="K500" s="108"/>
      <c r="L500" s="275">
        <v>100</v>
      </c>
      <c r="M500" s="65" t="s">
        <v>1546</v>
      </c>
      <c r="N500" s="219">
        <v>117</v>
      </c>
      <c r="O500" s="65" t="s">
        <v>55</v>
      </c>
      <c r="P500" s="162" t="s">
        <v>1403</v>
      </c>
      <c r="Q500" s="158"/>
      <c r="R500" s="157" t="s">
        <v>1542</v>
      </c>
      <c r="S500" s="114"/>
      <c r="T500" s="162" t="s">
        <v>25</v>
      </c>
      <c r="U500" s="65" t="s">
        <v>20</v>
      </c>
      <c r="V500" s="162">
        <v>1610</v>
      </c>
      <c r="W500" s="165"/>
      <c r="X500" s="225" t="s">
        <v>1363</v>
      </c>
      <c r="Y500" s="167">
        <v>44671.595173611109</v>
      </c>
    </row>
    <row r="501" spans="1:25">
      <c r="A501" s="131" t="s">
        <v>80</v>
      </c>
      <c r="B501" s="109" t="s">
        <v>1320</v>
      </c>
      <c r="C501" s="245" t="s">
        <v>916</v>
      </c>
      <c r="D501" s="162" t="s">
        <v>2424</v>
      </c>
      <c r="E501" s="65" t="s">
        <v>1419</v>
      </c>
      <c r="F501" s="162" t="s">
        <v>17</v>
      </c>
      <c r="G501" s="65" t="s">
        <v>2425</v>
      </c>
      <c r="H501" s="218">
        <v>32</v>
      </c>
      <c r="I501" s="65"/>
      <c r="J501" s="218">
        <v>3.2</v>
      </c>
      <c r="K501" s="108"/>
      <c r="L501" s="275">
        <v>102.4</v>
      </c>
      <c r="M501" s="65" t="s">
        <v>2426</v>
      </c>
      <c r="N501" s="219"/>
      <c r="O501" s="65" t="s">
        <v>55</v>
      </c>
      <c r="P501" s="162" t="s">
        <v>1407</v>
      </c>
      <c r="Q501" s="158"/>
      <c r="R501" s="157" t="s">
        <v>2342</v>
      </c>
      <c r="S501" s="114"/>
      <c r="T501" s="162" t="s">
        <v>25</v>
      </c>
      <c r="U501" s="65" t="s">
        <v>17</v>
      </c>
      <c r="V501" s="162">
        <v>1300</v>
      </c>
      <c r="W501" s="165"/>
      <c r="X501" s="225" t="s">
        <v>1363</v>
      </c>
      <c r="Y501" s="167">
        <v>44671.363923611112</v>
      </c>
    </row>
    <row r="502" spans="1:25">
      <c r="A502" s="131" t="s">
        <v>80</v>
      </c>
      <c r="B502" s="109" t="s">
        <v>1320</v>
      </c>
      <c r="C502" s="245" t="s">
        <v>838</v>
      </c>
      <c r="D502" s="162" t="s">
        <v>2427</v>
      </c>
      <c r="E502" s="65" t="s">
        <v>1419</v>
      </c>
      <c r="F502" s="162" t="s">
        <v>17</v>
      </c>
      <c r="G502" s="65" t="s">
        <v>2428</v>
      </c>
      <c r="H502" s="218">
        <v>32</v>
      </c>
      <c r="I502" s="65"/>
      <c r="J502" s="218">
        <v>3.2</v>
      </c>
      <c r="K502" s="108"/>
      <c r="L502" s="275">
        <v>102.4</v>
      </c>
      <c r="M502" s="65" t="s">
        <v>2426</v>
      </c>
      <c r="N502" s="219"/>
      <c r="O502" s="65" t="s">
        <v>55</v>
      </c>
      <c r="P502" s="162" t="s">
        <v>1407</v>
      </c>
      <c r="Q502" s="158"/>
      <c r="R502" s="157" t="s">
        <v>1542</v>
      </c>
      <c r="S502" s="114"/>
      <c r="T502" s="162" t="s">
        <v>25</v>
      </c>
      <c r="U502" s="65" t="s">
        <v>17</v>
      </c>
      <c r="V502" s="162">
        <v>1376</v>
      </c>
      <c r="W502" s="165"/>
      <c r="X502" s="225" t="s">
        <v>1363</v>
      </c>
      <c r="Y502" s="167">
        <v>44673.356863425928</v>
      </c>
    </row>
    <row r="503" spans="1:25">
      <c r="A503" s="131" t="s">
        <v>80</v>
      </c>
      <c r="B503" s="109" t="s">
        <v>1320</v>
      </c>
      <c r="C503" s="245" t="s">
        <v>840</v>
      </c>
      <c r="D503" s="162" t="s">
        <v>2429</v>
      </c>
      <c r="E503" s="65" t="s">
        <v>1419</v>
      </c>
      <c r="F503" s="162" t="s">
        <v>17</v>
      </c>
      <c r="G503" s="65" t="s">
        <v>2430</v>
      </c>
      <c r="H503" s="218">
        <v>35</v>
      </c>
      <c r="I503" s="65"/>
      <c r="J503" s="218">
        <v>3.2</v>
      </c>
      <c r="K503" s="108"/>
      <c r="L503" s="275">
        <v>112</v>
      </c>
      <c r="M503" s="65" t="s">
        <v>1736</v>
      </c>
      <c r="N503" s="219"/>
      <c r="O503" s="65" t="s">
        <v>55</v>
      </c>
      <c r="P503" s="162" t="s">
        <v>1407</v>
      </c>
      <c r="Q503" s="158"/>
      <c r="R503" s="157" t="s">
        <v>1542</v>
      </c>
      <c r="S503" s="114"/>
      <c r="T503" s="162" t="s">
        <v>25</v>
      </c>
      <c r="U503" s="65" t="s">
        <v>17</v>
      </c>
      <c r="V503" s="162">
        <v>1381</v>
      </c>
      <c r="W503" s="165"/>
      <c r="X503" s="225" t="s">
        <v>1363</v>
      </c>
      <c r="Y503" s="167">
        <v>44671.429155092592</v>
      </c>
    </row>
    <row r="504" spans="1:25">
      <c r="A504" s="131" t="s">
        <v>100</v>
      </c>
      <c r="B504" s="109" t="s">
        <v>1385</v>
      </c>
      <c r="C504" s="245" t="s">
        <v>2431</v>
      </c>
      <c r="D504" s="162" t="s">
        <v>2099</v>
      </c>
      <c r="E504" s="65" t="s">
        <v>1398</v>
      </c>
      <c r="F504" s="162" t="s">
        <v>1388</v>
      </c>
      <c r="G504" s="65" t="s">
        <v>208</v>
      </c>
      <c r="H504" s="218">
        <v>1</v>
      </c>
      <c r="I504" s="65"/>
      <c r="J504" s="218">
        <v>130</v>
      </c>
      <c r="K504" s="108"/>
      <c r="L504" s="275">
        <v>130</v>
      </c>
      <c r="M504" s="65" t="s">
        <v>2034</v>
      </c>
      <c r="N504" s="219"/>
      <c r="O504" s="65" t="s">
        <v>1285</v>
      </c>
      <c r="P504" s="162" t="s">
        <v>1407</v>
      </c>
      <c r="Q504" s="158"/>
      <c r="R504" s="157"/>
      <c r="S504" s="114"/>
      <c r="T504" s="162" t="s">
        <v>29</v>
      </c>
      <c r="U504" s="65" t="s">
        <v>1388</v>
      </c>
      <c r="V504" s="162">
        <v>5006</v>
      </c>
      <c r="W504" s="165" t="s">
        <v>3980</v>
      </c>
      <c r="X504" s="225" t="s">
        <v>1395</v>
      </c>
      <c r="Y504" s="167">
        <v>43769.416655092595</v>
      </c>
    </row>
    <row r="505" spans="1:25">
      <c r="A505" s="131" t="s">
        <v>62</v>
      </c>
      <c r="B505" s="109" t="s">
        <v>1320</v>
      </c>
      <c r="C505" s="245" t="s">
        <v>687</v>
      </c>
      <c r="D505" s="162" t="s">
        <v>2432</v>
      </c>
      <c r="E505" s="65" t="s">
        <v>1429</v>
      </c>
      <c r="F505" s="162" t="s">
        <v>1388</v>
      </c>
      <c r="G505" s="65" t="s">
        <v>2433</v>
      </c>
      <c r="H505" s="218">
        <v>18</v>
      </c>
      <c r="I505" s="65"/>
      <c r="J505" s="218">
        <v>1</v>
      </c>
      <c r="K505" s="108"/>
      <c r="L505" s="275">
        <v>18</v>
      </c>
      <c r="M505" s="65" t="s">
        <v>2368</v>
      </c>
      <c r="N505" s="219">
        <v>0</v>
      </c>
      <c r="O505" s="65" t="s">
        <v>27</v>
      </c>
      <c r="P505" s="162" t="s">
        <v>1362</v>
      </c>
      <c r="Q505" s="158" t="s">
        <v>2003</v>
      </c>
      <c r="R505" s="157" t="s">
        <v>1452</v>
      </c>
      <c r="S505" s="114"/>
      <c r="T505" s="162" t="s">
        <v>25</v>
      </c>
      <c r="U505" s="65" t="s">
        <v>1388</v>
      </c>
      <c r="V505" s="162">
        <v>1388</v>
      </c>
      <c r="W505" s="165"/>
      <c r="X505" s="225" t="s">
        <v>1481</v>
      </c>
      <c r="Y505" s="167">
        <v>44679.635578703703</v>
      </c>
    </row>
    <row r="506" spans="1:25">
      <c r="A506" s="131" t="s">
        <v>46</v>
      </c>
      <c r="B506" s="109" t="s">
        <v>1385</v>
      </c>
      <c r="C506" s="245" t="s">
        <v>2434</v>
      </c>
      <c r="D506" s="162" t="s">
        <v>1809</v>
      </c>
      <c r="E506" s="65" t="s">
        <v>1391</v>
      </c>
      <c r="F506" s="162" t="s">
        <v>21</v>
      </c>
      <c r="G506" s="65" t="s">
        <v>208</v>
      </c>
      <c r="H506" s="218">
        <v>2</v>
      </c>
      <c r="I506" s="65"/>
      <c r="J506" s="218">
        <v>10</v>
      </c>
      <c r="K506" s="108"/>
      <c r="L506" s="275">
        <v>20</v>
      </c>
      <c r="M506" s="65" t="s">
        <v>1433</v>
      </c>
      <c r="N506" s="219">
        <v>40</v>
      </c>
      <c r="O506" s="65" t="s">
        <v>1285</v>
      </c>
      <c r="P506" s="162" t="s">
        <v>1403</v>
      </c>
      <c r="Q506" s="158"/>
      <c r="R506" s="157" t="s">
        <v>1769</v>
      </c>
      <c r="S506" s="114"/>
      <c r="T506" s="162" t="s">
        <v>29</v>
      </c>
      <c r="U506" s="65" t="s">
        <v>20</v>
      </c>
      <c r="V506" s="162">
        <v>1878</v>
      </c>
      <c r="W506" s="165"/>
      <c r="X506" s="225" t="s">
        <v>1400</v>
      </c>
      <c r="Y506" s="167">
        <v>44679.711342592593</v>
      </c>
    </row>
    <row r="507" spans="1:25">
      <c r="A507" s="131" t="s">
        <v>46</v>
      </c>
      <c r="B507" s="109" t="s">
        <v>1320</v>
      </c>
      <c r="C507" s="245" t="s">
        <v>2435</v>
      </c>
      <c r="D507" s="162" t="s">
        <v>2436</v>
      </c>
      <c r="E507" s="65" t="s">
        <v>1539</v>
      </c>
      <c r="F507" s="162" t="s">
        <v>18</v>
      </c>
      <c r="G507" s="65" t="s">
        <v>2437</v>
      </c>
      <c r="H507" s="218">
        <v>1</v>
      </c>
      <c r="I507" s="65"/>
      <c r="J507" s="218">
        <v>29</v>
      </c>
      <c r="K507" s="108"/>
      <c r="L507" s="275">
        <v>29</v>
      </c>
      <c r="M507" s="65" t="s">
        <v>1760</v>
      </c>
      <c r="N507" s="219"/>
      <c r="O507" s="65" t="s">
        <v>55</v>
      </c>
      <c r="P507" s="162" t="s">
        <v>1403</v>
      </c>
      <c r="Q507" s="158"/>
      <c r="R507" s="157" t="s">
        <v>1542</v>
      </c>
      <c r="S507" s="114"/>
      <c r="T507" s="162" t="s">
        <v>25</v>
      </c>
      <c r="U507" s="65" t="s">
        <v>18</v>
      </c>
      <c r="V507" s="162">
        <v>1732</v>
      </c>
      <c r="W507" s="165"/>
      <c r="X507" s="225" t="s">
        <v>1363</v>
      </c>
      <c r="Y507" s="167">
        <v>44671.386874999997</v>
      </c>
    </row>
    <row r="508" spans="1:25">
      <c r="A508" s="131" t="s">
        <v>100</v>
      </c>
      <c r="B508" s="109" t="s">
        <v>1320</v>
      </c>
      <c r="C508" s="245" t="s">
        <v>2438</v>
      </c>
      <c r="D508" s="162" t="s">
        <v>1809</v>
      </c>
      <c r="E508" s="65" t="s">
        <v>1539</v>
      </c>
      <c r="F508" s="162" t="s">
        <v>18</v>
      </c>
      <c r="G508" s="65" t="s">
        <v>2439</v>
      </c>
      <c r="H508" s="218">
        <v>1</v>
      </c>
      <c r="I508" s="65"/>
      <c r="J508" s="218">
        <v>29</v>
      </c>
      <c r="K508" s="108"/>
      <c r="L508" s="275">
        <v>29</v>
      </c>
      <c r="M508" s="65" t="s">
        <v>1760</v>
      </c>
      <c r="N508" s="219"/>
      <c r="O508" s="65" t="s">
        <v>55</v>
      </c>
      <c r="P508" s="162" t="s">
        <v>1403</v>
      </c>
      <c r="Q508" s="158"/>
      <c r="R508" s="157" t="s">
        <v>1542</v>
      </c>
      <c r="S508" s="114"/>
      <c r="T508" s="162" t="s">
        <v>25</v>
      </c>
      <c r="U508" s="65" t="s">
        <v>18</v>
      </c>
      <c r="V508" s="162">
        <v>1736</v>
      </c>
      <c r="W508" s="165"/>
      <c r="X508" s="225" t="s">
        <v>1363</v>
      </c>
      <c r="Y508" s="167">
        <v>44671.370798611111</v>
      </c>
    </row>
    <row r="509" spans="1:25">
      <c r="A509" s="131" t="s">
        <v>46</v>
      </c>
      <c r="B509" s="109" t="s">
        <v>1385</v>
      </c>
      <c r="C509" s="245" t="s">
        <v>2440</v>
      </c>
      <c r="D509" s="162" t="s">
        <v>2441</v>
      </c>
      <c r="E509" s="65" t="s">
        <v>1581</v>
      </c>
      <c r="F509" s="162" t="s">
        <v>17</v>
      </c>
      <c r="G509" s="65" t="s">
        <v>208</v>
      </c>
      <c r="H509" s="218">
        <v>1</v>
      </c>
      <c r="I509" s="65"/>
      <c r="J509" s="218">
        <v>1400</v>
      </c>
      <c r="K509" s="108"/>
      <c r="L509" s="275">
        <v>1400</v>
      </c>
      <c r="M509" s="65" t="s">
        <v>2442</v>
      </c>
      <c r="N509" s="219"/>
      <c r="O509" s="65" t="s">
        <v>1285</v>
      </c>
      <c r="P509" s="162" t="s">
        <v>1407</v>
      </c>
      <c r="Q509" s="158"/>
      <c r="R509" s="157"/>
      <c r="S509" s="114"/>
      <c r="T509" s="162" t="s">
        <v>29</v>
      </c>
      <c r="U509" s="65" t="s">
        <v>17</v>
      </c>
      <c r="V509" s="162">
        <v>2029</v>
      </c>
      <c r="W509" s="165" t="s">
        <v>3938</v>
      </c>
      <c r="X509" s="225"/>
      <c r="Y509" s="167">
        <v>44722.464837962965</v>
      </c>
    </row>
    <row r="510" spans="1:25">
      <c r="A510" s="131" t="s">
        <v>46</v>
      </c>
      <c r="B510" s="109" t="s">
        <v>1385</v>
      </c>
      <c r="C510" s="245" t="s">
        <v>2443</v>
      </c>
      <c r="D510" s="162" t="s">
        <v>558</v>
      </c>
      <c r="E510" s="65" t="s">
        <v>1365</v>
      </c>
      <c r="F510" s="162" t="s">
        <v>1431</v>
      </c>
      <c r="G510" s="65" t="s">
        <v>208</v>
      </c>
      <c r="H510" s="218">
        <v>1</v>
      </c>
      <c r="I510" s="65"/>
      <c r="J510" s="218">
        <v>28.8</v>
      </c>
      <c r="K510" s="108"/>
      <c r="L510" s="275">
        <v>28.8</v>
      </c>
      <c r="M510" s="65" t="s">
        <v>2444</v>
      </c>
      <c r="N510" s="219"/>
      <c r="O510" s="65" t="s">
        <v>1285</v>
      </c>
      <c r="P510" s="162" t="s">
        <v>1362</v>
      </c>
      <c r="Q510" s="158" t="s">
        <v>1409</v>
      </c>
      <c r="R510" s="157" t="s">
        <v>1441</v>
      </c>
      <c r="S510" s="114"/>
      <c r="T510" s="162" t="s">
        <v>29</v>
      </c>
      <c r="U510" s="65" t="s">
        <v>21</v>
      </c>
      <c r="V510" s="162">
        <v>1601</v>
      </c>
      <c r="W510" s="165"/>
      <c r="X510" s="225" t="s">
        <v>1363</v>
      </c>
      <c r="Y510" s="167">
        <v>44746.629201388889</v>
      </c>
    </row>
    <row r="511" spans="1:25">
      <c r="A511" s="131" t="s">
        <v>46</v>
      </c>
      <c r="B511" s="109" t="s">
        <v>1320</v>
      </c>
      <c r="C511" s="245" t="s">
        <v>174</v>
      </c>
      <c r="D511" s="162" t="s">
        <v>175</v>
      </c>
      <c r="E511" s="65" t="s">
        <v>1493</v>
      </c>
      <c r="F511" s="162" t="s">
        <v>1431</v>
      </c>
      <c r="G511" s="65" t="s">
        <v>176</v>
      </c>
      <c r="H511" s="218">
        <v>2</v>
      </c>
      <c r="I511" s="65"/>
      <c r="J511" s="218">
        <v>25</v>
      </c>
      <c r="K511" s="108"/>
      <c r="L511" s="275">
        <v>50</v>
      </c>
      <c r="M511" s="65" t="s">
        <v>1489</v>
      </c>
      <c r="N511" s="219"/>
      <c r="O511" s="65" t="s">
        <v>303</v>
      </c>
      <c r="P511" s="162" t="s">
        <v>1403</v>
      </c>
      <c r="Q511" s="158"/>
      <c r="R511" s="157"/>
      <c r="S511" s="114">
        <v>44562</v>
      </c>
      <c r="T511" s="162" t="s">
        <v>30</v>
      </c>
      <c r="U511" s="65" t="s">
        <v>14</v>
      </c>
      <c r="V511" s="162">
        <v>1093</v>
      </c>
      <c r="W511" s="165"/>
      <c r="X511" s="225" t="s">
        <v>1363</v>
      </c>
      <c r="Y511" s="167">
        <v>44551.423090277778</v>
      </c>
    </row>
    <row r="512" spans="1:25" ht="22.5">
      <c r="A512" s="131" t="s">
        <v>100</v>
      </c>
      <c r="B512" s="109" t="s">
        <v>1320</v>
      </c>
      <c r="C512" s="245" t="s">
        <v>2445</v>
      </c>
      <c r="D512" s="162" t="s">
        <v>2446</v>
      </c>
      <c r="E512" s="65" t="s">
        <v>1539</v>
      </c>
      <c r="F512" s="162" t="s">
        <v>18</v>
      </c>
      <c r="G512" s="65" t="s">
        <v>2447</v>
      </c>
      <c r="H512" s="218">
        <v>1</v>
      </c>
      <c r="I512" s="65"/>
      <c r="J512" s="218">
        <v>0.25</v>
      </c>
      <c r="K512" s="108"/>
      <c r="L512" s="275">
        <v>0.25</v>
      </c>
      <c r="M512" s="65" t="s">
        <v>2448</v>
      </c>
      <c r="N512" s="219"/>
      <c r="O512" s="65" t="s">
        <v>55</v>
      </c>
      <c r="P512" s="162" t="s">
        <v>1362</v>
      </c>
      <c r="Q512" s="158"/>
      <c r="R512" s="157"/>
      <c r="S512" s="114"/>
      <c r="T512" s="162" t="s">
        <v>25</v>
      </c>
      <c r="U512" s="65" t="s">
        <v>18</v>
      </c>
      <c r="V512" s="162">
        <v>1565</v>
      </c>
      <c r="W512" s="165"/>
      <c r="X512" s="225" t="s">
        <v>1400</v>
      </c>
      <c r="Y512" s="167">
        <v>44340.644305555557</v>
      </c>
    </row>
    <row r="513" spans="1:25">
      <c r="A513" s="131" t="s">
        <v>46</v>
      </c>
      <c r="B513" s="109" t="s">
        <v>1385</v>
      </c>
      <c r="C513" s="245" t="s">
        <v>2449</v>
      </c>
      <c r="D513" s="162" t="s">
        <v>2138</v>
      </c>
      <c r="E513" s="65" t="s">
        <v>1581</v>
      </c>
      <c r="F513" s="162" t="s">
        <v>17</v>
      </c>
      <c r="G513" s="65" t="s">
        <v>208</v>
      </c>
      <c r="H513" s="218">
        <v>1</v>
      </c>
      <c r="I513" s="65"/>
      <c r="J513" s="218">
        <v>2000</v>
      </c>
      <c r="K513" s="108"/>
      <c r="L513" s="275">
        <v>2000</v>
      </c>
      <c r="M513" s="65" t="s">
        <v>2139</v>
      </c>
      <c r="N513" s="219"/>
      <c r="O513" s="65" t="s">
        <v>1285</v>
      </c>
      <c r="P513" s="162" t="s">
        <v>1407</v>
      </c>
      <c r="Q513" s="158" t="s">
        <v>2450</v>
      </c>
      <c r="R513" s="157"/>
      <c r="S513" s="114"/>
      <c r="T513" s="162" t="s">
        <v>29</v>
      </c>
      <c r="U513" s="65" t="s">
        <v>17</v>
      </c>
      <c r="V513" s="162">
        <v>2024</v>
      </c>
      <c r="W513" s="165"/>
      <c r="X513" s="225"/>
      <c r="Y513" s="167">
        <v>44721.360856481479</v>
      </c>
    </row>
    <row r="514" spans="1:25" customFormat="1">
      <c r="A514" s="244" t="s">
        <v>62</v>
      </c>
      <c r="B514" s="253" t="s">
        <v>1320</v>
      </c>
      <c r="C514" s="245" t="s">
        <v>2451</v>
      </c>
      <c r="D514" s="256" t="s">
        <v>2452</v>
      </c>
      <c r="E514" s="248" t="s">
        <v>1596</v>
      </c>
      <c r="F514" s="256" t="s">
        <v>1856</v>
      </c>
      <c r="G514" s="248" t="s">
        <v>208</v>
      </c>
      <c r="H514" s="246">
        <v>1</v>
      </c>
      <c r="I514" s="248"/>
      <c r="J514" s="246">
        <v>2.5</v>
      </c>
      <c r="K514" s="249"/>
      <c r="L514" s="281">
        <v>2.5</v>
      </c>
      <c r="M514" s="248" t="s">
        <v>2453</v>
      </c>
      <c r="N514" s="247"/>
      <c r="O514" s="248" t="s">
        <v>55</v>
      </c>
      <c r="P514" s="256" t="s">
        <v>1362</v>
      </c>
      <c r="Q514" s="250"/>
      <c r="R514" s="260"/>
      <c r="S514" s="251"/>
      <c r="T514" s="256" t="s">
        <v>25</v>
      </c>
      <c r="U514" s="248" t="s">
        <v>19</v>
      </c>
      <c r="V514" s="256">
        <v>1094</v>
      </c>
      <c r="W514" s="263"/>
      <c r="X514" s="225" t="s">
        <v>1363</v>
      </c>
      <c r="Y514" s="266">
        <v>44665.719305555554</v>
      </c>
    </row>
    <row r="515" spans="1:25">
      <c r="A515" s="131" t="s">
        <v>62</v>
      </c>
      <c r="B515" s="109" t="s">
        <v>1320</v>
      </c>
      <c r="C515" s="245" t="s">
        <v>2451</v>
      </c>
      <c r="D515" s="162" t="s">
        <v>2452</v>
      </c>
      <c r="E515" s="65" t="s">
        <v>1596</v>
      </c>
      <c r="F515" s="162" t="s">
        <v>1856</v>
      </c>
      <c r="G515" s="65" t="s">
        <v>208</v>
      </c>
      <c r="H515" s="218">
        <v>1</v>
      </c>
      <c r="I515" s="65"/>
      <c r="J515" s="218">
        <v>10</v>
      </c>
      <c r="K515" s="108"/>
      <c r="L515" s="275">
        <v>10</v>
      </c>
      <c r="M515" s="65" t="s">
        <v>1543</v>
      </c>
      <c r="N515" s="219"/>
      <c r="O515" s="65" t="s">
        <v>55</v>
      </c>
      <c r="P515" s="162" t="s">
        <v>1362</v>
      </c>
      <c r="Q515" s="158"/>
      <c r="R515" s="157"/>
      <c r="S515" s="114"/>
      <c r="T515" s="162" t="s">
        <v>25</v>
      </c>
      <c r="U515" s="65" t="s">
        <v>19</v>
      </c>
      <c r="V515" s="162">
        <v>1094</v>
      </c>
      <c r="W515" s="165"/>
      <c r="X515" s="225" t="s">
        <v>1363</v>
      </c>
      <c r="Y515" s="167">
        <v>44665.719305555554</v>
      </c>
    </row>
    <row r="516" spans="1:25">
      <c r="A516" s="131" t="s">
        <v>62</v>
      </c>
      <c r="B516" s="109" t="s">
        <v>1385</v>
      </c>
      <c r="C516" s="245" t="s">
        <v>2454</v>
      </c>
      <c r="D516" s="162" t="s">
        <v>1852</v>
      </c>
      <c r="E516" s="65" t="s">
        <v>1429</v>
      </c>
      <c r="F516" s="162" t="s">
        <v>1388</v>
      </c>
      <c r="G516" s="65" t="s">
        <v>208</v>
      </c>
      <c r="H516" s="218">
        <v>6</v>
      </c>
      <c r="I516" s="65"/>
      <c r="J516" s="218">
        <v>4</v>
      </c>
      <c r="K516" s="108"/>
      <c r="L516" s="275">
        <v>24</v>
      </c>
      <c r="M516" s="65" t="s">
        <v>1871</v>
      </c>
      <c r="N516" s="219"/>
      <c r="O516" s="65" t="s">
        <v>1285</v>
      </c>
      <c r="P516" s="162" t="s">
        <v>1362</v>
      </c>
      <c r="Q516" s="158"/>
      <c r="R516" s="157" t="s">
        <v>1832</v>
      </c>
      <c r="S516" s="114"/>
      <c r="T516" s="162" t="s">
        <v>29</v>
      </c>
      <c r="U516" s="65" t="s">
        <v>1388</v>
      </c>
      <c r="V516" s="162">
        <v>1710</v>
      </c>
      <c r="W516" s="165"/>
      <c r="X516" s="225" t="s">
        <v>1453</v>
      </c>
      <c r="Y516" s="167">
        <v>44746.651122685187</v>
      </c>
    </row>
    <row r="517" spans="1:25">
      <c r="A517" s="131" t="s">
        <v>100</v>
      </c>
      <c r="B517" s="109" t="s">
        <v>1385</v>
      </c>
      <c r="C517" s="245" t="s">
        <v>2455</v>
      </c>
      <c r="D517" s="162" t="s">
        <v>1393</v>
      </c>
      <c r="E517" s="65" t="s">
        <v>1398</v>
      </c>
      <c r="F517" s="162" t="s">
        <v>1388</v>
      </c>
      <c r="G517" s="65" t="s">
        <v>208</v>
      </c>
      <c r="H517" s="218">
        <v>1</v>
      </c>
      <c r="I517" s="65"/>
      <c r="J517" s="218">
        <v>22</v>
      </c>
      <c r="K517" s="108"/>
      <c r="L517" s="275">
        <v>22</v>
      </c>
      <c r="M517" s="65" t="s">
        <v>2456</v>
      </c>
      <c r="N517" s="219"/>
      <c r="O517" s="65" t="s">
        <v>1285</v>
      </c>
      <c r="P517" s="162" t="s">
        <v>1407</v>
      </c>
      <c r="Q517" s="158"/>
      <c r="R517" s="157"/>
      <c r="S517" s="114"/>
      <c r="T517" s="162" t="s">
        <v>29</v>
      </c>
      <c r="U517" s="65" t="s">
        <v>1388</v>
      </c>
      <c r="V517" s="162">
        <v>124</v>
      </c>
      <c r="W517" s="165"/>
      <c r="X517" s="225" t="s">
        <v>208</v>
      </c>
      <c r="Y517" s="167">
        <v>43312</v>
      </c>
    </row>
    <row r="518" spans="1:25">
      <c r="A518" s="131" t="s">
        <v>100</v>
      </c>
      <c r="B518" s="109" t="s">
        <v>1385</v>
      </c>
      <c r="C518" s="245" t="s">
        <v>2457</v>
      </c>
      <c r="D518" s="162" t="s">
        <v>2458</v>
      </c>
      <c r="E518" s="65" t="s">
        <v>1419</v>
      </c>
      <c r="F518" s="162" t="s">
        <v>17</v>
      </c>
      <c r="G518" s="65" t="s">
        <v>208</v>
      </c>
      <c r="H518" s="218">
        <v>16</v>
      </c>
      <c r="I518" s="65">
        <v>5.5</v>
      </c>
      <c r="J518" s="218">
        <v>6</v>
      </c>
      <c r="K518" s="108">
        <v>88</v>
      </c>
      <c r="L518" s="275">
        <v>96</v>
      </c>
      <c r="M518" s="65" t="s">
        <v>2459</v>
      </c>
      <c r="N518" s="219">
        <v>0</v>
      </c>
      <c r="O518" s="65" t="s">
        <v>1285</v>
      </c>
      <c r="P518" s="162" t="s">
        <v>1407</v>
      </c>
      <c r="Q518" s="158"/>
      <c r="R518" s="157"/>
      <c r="S518" s="114"/>
      <c r="T518" s="162" t="s">
        <v>29</v>
      </c>
      <c r="U518" s="65" t="s">
        <v>17</v>
      </c>
      <c r="V518" s="162">
        <v>1631</v>
      </c>
      <c r="W518" s="165"/>
      <c r="X518" s="225" t="s">
        <v>1400</v>
      </c>
      <c r="Y518" s="167">
        <v>44679.619942129626</v>
      </c>
    </row>
    <row r="519" spans="1:25">
      <c r="A519" s="131" t="s">
        <v>100</v>
      </c>
      <c r="B519" s="109" t="s">
        <v>1385</v>
      </c>
      <c r="C519" s="245" t="s">
        <v>2460</v>
      </c>
      <c r="D519" s="162" t="s">
        <v>2458</v>
      </c>
      <c r="E519" s="65" t="s">
        <v>1391</v>
      </c>
      <c r="F519" s="162" t="s">
        <v>21</v>
      </c>
      <c r="G519" s="65" t="s">
        <v>208</v>
      </c>
      <c r="H519" s="218">
        <v>1</v>
      </c>
      <c r="I519" s="65">
        <v>1</v>
      </c>
      <c r="J519" s="218">
        <v>12</v>
      </c>
      <c r="K519" s="108">
        <v>1</v>
      </c>
      <c r="L519" s="275">
        <v>12</v>
      </c>
      <c r="M519" s="65" t="s">
        <v>2461</v>
      </c>
      <c r="N519" s="219">
        <v>0</v>
      </c>
      <c r="O519" s="65" t="s">
        <v>1285</v>
      </c>
      <c r="P519" s="162" t="s">
        <v>1407</v>
      </c>
      <c r="Q519" s="158"/>
      <c r="R519" s="157"/>
      <c r="S519" s="114"/>
      <c r="T519" s="162" t="s">
        <v>29</v>
      </c>
      <c r="U519" s="65" t="s">
        <v>20</v>
      </c>
      <c r="V519" s="162">
        <v>1673</v>
      </c>
      <c r="W519" s="165"/>
      <c r="X519" s="225" t="s">
        <v>1400</v>
      </c>
      <c r="Y519" s="167">
        <v>44679.620138888888</v>
      </c>
    </row>
    <row r="520" spans="1:25">
      <c r="A520" s="131" t="s">
        <v>62</v>
      </c>
      <c r="B520" s="109" t="s">
        <v>1320</v>
      </c>
      <c r="C520" s="245" t="s">
        <v>2462</v>
      </c>
      <c r="D520" s="162" t="s">
        <v>2463</v>
      </c>
      <c r="E520" s="65" t="s">
        <v>1596</v>
      </c>
      <c r="F520" s="162" t="s">
        <v>1856</v>
      </c>
      <c r="G520" s="65" t="s">
        <v>2464</v>
      </c>
      <c r="H520" s="218">
        <v>1</v>
      </c>
      <c r="I520" s="65"/>
      <c r="J520" s="218">
        <v>2.5</v>
      </c>
      <c r="K520" s="108"/>
      <c r="L520" s="275">
        <v>2.5</v>
      </c>
      <c r="M520" s="65" t="s">
        <v>2453</v>
      </c>
      <c r="N520" s="219"/>
      <c r="O520" s="65" t="s">
        <v>55</v>
      </c>
      <c r="P520" s="162" t="s">
        <v>1362</v>
      </c>
      <c r="Q520" s="158"/>
      <c r="R520" s="157" t="s">
        <v>2465</v>
      </c>
      <c r="S520" s="114"/>
      <c r="T520" s="162" t="s">
        <v>25</v>
      </c>
      <c r="U520" s="65" t="s">
        <v>19</v>
      </c>
      <c r="V520" s="162">
        <v>1095</v>
      </c>
      <c r="W520" s="165"/>
      <c r="X520" s="225" t="s">
        <v>1363</v>
      </c>
      <c r="Y520" s="167">
        <v>44670.601319444446</v>
      </c>
    </row>
    <row r="521" spans="1:25">
      <c r="A521" s="131" t="s">
        <v>62</v>
      </c>
      <c r="B521" s="109" t="s">
        <v>1320</v>
      </c>
      <c r="C521" s="245" t="s">
        <v>2462</v>
      </c>
      <c r="D521" s="162" t="s">
        <v>2463</v>
      </c>
      <c r="E521" s="65" t="s">
        <v>1596</v>
      </c>
      <c r="F521" s="162" t="s">
        <v>1856</v>
      </c>
      <c r="G521" s="65" t="s">
        <v>2464</v>
      </c>
      <c r="H521" s="218">
        <v>1</v>
      </c>
      <c r="I521" s="65"/>
      <c r="J521" s="218">
        <v>9</v>
      </c>
      <c r="K521" s="108"/>
      <c r="L521" s="275">
        <v>9</v>
      </c>
      <c r="M521" s="65" t="s">
        <v>2466</v>
      </c>
      <c r="N521" s="219"/>
      <c r="O521" s="65" t="s">
        <v>55</v>
      </c>
      <c r="P521" s="162" t="s">
        <v>1362</v>
      </c>
      <c r="Q521" s="158"/>
      <c r="R521" s="157" t="s">
        <v>2465</v>
      </c>
      <c r="S521" s="114"/>
      <c r="T521" s="162" t="s">
        <v>25</v>
      </c>
      <c r="U521" s="65" t="s">
        <v>19</v>
      </c>
      <c r="V521" s="162">
        <v>1095</v>
      </c>
      <c r="W521" s="165"/>
      <c r="X521" s="225" t="s">
        <v>1363</v>
      </c>
      <c r="Y521" s="167">
        <v>44670.601319444446</v>
      </c>
    </row>
    <row r="522" spans="1:25">
      <c r="A522" s="131" t="s">
        <v>62</v>
      </c>
      <c r="B522" s="109" t="s">
        <v>1320</v>
      </c>
      <c r="C522" s="245" t="s">
        <v>2462</v>
      </c>
      <c r="D522" s="162" t="s">
        <v>2463</v>
      </c>
      <c r="E522" s="65" t="s">
        <v>1596</v>
      </c>
      <c r="F522" s="162" t="s">
        <v>1856</v>
      </c>
      <c r="G522" s="65" t="s">
        <v>2464</v>
      </c>
      <c r="H522" s="218">
        <v>1</v>
      </c>
      <c r="I522" s="65"/>
      <c r="J522" s="218">
        <v>38.799999999999997</v>
      </c>
      <c r="K522" s="108"/>
      <c r="L522" s="275">
        <v>38.799999999999997</v>
      </c>
      <c r="M522" s="65" t="s">
        <v>2467</v>
      </c>
      <c r="N522" s="219"/>
      <c r="O522" s="65" t="s">
        <v>55</v>
      </c>
      <c r="P522" s="162" t="s">
        <v>1362</v>
      </c>
      <c r="Q522" s="158"/>
      <c r="R522" s="157" t="s">
        <v>2465</v>
      </c>
      <c r="S522" s="114"/>
      <c r="T522" s="162" t="s">
        <v>25</v>
      </c>
      <c r="U522" s="65" t="s">
        <v>19</v>
      </c>
      <c r="V522" s="162">
        <v>1095</v>
      </c>
      <c r="W522" s="165"/>
      <c r="X522" s="225" t="s">
        <v>1363</v>
      </c>
      <c r="Y522" s="167">
        <v>44670.601319444446</v>
      </c>
    </row>
    <row r="523" spans="1:25">
      <c r="A523" s="131" t="s">
        <v>62</v>
      </c>
      <c r="B523" s="109" t="s">
        <v>1385</v>
      </c>
      <c r="C523" s="245" t="s">
        <v>2468</v>
      </c>
      <c r="D523" s="162" t="s">
        <v>73</v>
      </c>
      <c r="E523" s="65" t="s">
        <v>1398</v>
      </c>
      <c r="F523" s="162" t="s">
        <v>1388</v>
      </c>
      <c r="G523" s="65" t="s">
        <v>208</v>
      </c>
      <c r="H523" s="218">
        <v>1</v>
      </c>
      <c r="I523" s="65"/>
      <c r="J523" s="218">
        <v>1000</v>
      </c>
      <c r="K523" s="108"/>
      <c r="L523" s="275">
        <v>1000</v>
      </c>
      <c r="M523" s="65" t="s">
        <v>2356</v>
      </c>
      <c r="N523" s="219"/>
      <c r="O523" s="65" t="s">
        <v>1285</v>
      </c>
      <c r="P523" s="162" t="s">
        <v>1407</v>
      </c>
      <c r="Q523" s="158"/>
      <c r="R523" s="157"/>
      <c r="S523" s="114"/>
      <c r="T523" s="162" t="s">
        <v>29</v>
      </c>
      <c r="U523" s="65" t="s">
        <v>1388</v>
      </c>
      <c r="V523" s="162">
        <v>103</v>
      </c>
      <c r="W523" s="165"/>
      <c r="X523" s="225" t="s">
        <v>208</v>
      </c>
      <c r="Y523" s="167">
        <v>43312</v>
      </c>
    </row>
    <row r="524" spans="1:25">
      <c r="A524" s="131" t="s">
        <v>62</v>
      </c>
      <c r="B524" s="109" t="s">
        <v>1385</v>
      </c>
      <c r="C524" s="245" t="s">
        <v>2469</v>
      </c>
      <c r="D524" s="162" t="s">
        <v>2047</v>
      </c>
      <c r="E524" s="65"/>
      <c r="F524" s="162" t="s">
        <v>17</v>
      </c>
      <c r="G524" s="65"/>
      <c r="H524" s="218"/>
      <c r="I524" s="65"/>
      <c r="J524" s="218"/>
      <c r="K524" s="108"/>
      <c r="L524" s="275">
        <v>900</v>
      </c>
      <c r="M524" s="65"/>
      <c r="N524" s="219"/>
      <c r="O524" s="65" t="s">
        <v>1285</v>
      </c>
      <c r="P524" s="162"/>
      <c r="Q524" s="158"/>
      <c r="R524" s="157" t="s">
        <v>208</v>
      </c>
      <c r="S524" s="114"/>
      <c r="T524" s="162" t="s">
        <v>29</v>
      </c>
      <c r="U524" s="65" t="s">
        <v>17</v>
      </c>
      <c r="V524" s="162" t="s">
        <v>208</v>
      </c>
      <c r="W524" s="165" t="s">
        <v>2470</v>
      </c>
      <c r="X524" s="225"/>
      <c r="Y524" s="167" t="s">
        <v>208</v>
      </c>
    </row>
    <row r="525" spans="1:25">
      <c r="A525" s="131" t="s">
        <v>62</v>
      </c>
      <c r="B525" s="109" t="s">
        <v>1385</v>
      </c>
      <c r="C525" s="245" t="s">
        <v>4005</v>
      </c>
      <c r="D525" s="162" t="s">
        <v>4006</v>
      </c>
      <c r="E525" s="65"/>
      <c r="F525" s="162" t="s">
        <v>3990</v>
      </c>
      <c r="G525" s="65"/>
      <c r="H525" s="218"/>
      <c r="I525" s="65"/>
      <c r="J525" s="242"/>
      <c r="K525" s="108"/>
      <c r="L525" s="282">
        <v>1064</v>
      </c>
      <c r="M525" s="243"/>
      <c r="N525" s="219"/>
      <c r="O525" s="65" t="s">
        <v>1285</v>
      </c>
      <c r="P525" s="162"/>
      <c r="Q525" s="158"/>
      <c r="R525" s="157"/>
      <c r="S525" s="114"/>
      <c r="T525" s="162" t="s">
        <v>29</v>
      </c>
      <c r="U525" s="65" t="s">
        <v>17</v>
      </c>
      <c r="V525" s="162"/>
      <c r="W525" s="165" t="s">
        <v>4038</v>
      </c>
      <c r="X525" s="225"/>
      <c r="Y525" s="167"/>
    </row>
    <row r="526" spans="1:25" ht="22.5">
      <c r="A526" s="131" t="s">
        <v>62</v>
      </c>
      <c r="B526" s="109" t="s">
        <v>1320</v>
      </c>
      <c r="C526" s="245" t="s">
        <v>2471</v>
      </c>
      <c r="D526" s="162" t="s">
        <v>2421</v>
      </c>
      <c r="E526" s="65" t="s">
        <v>1596</v>
      </c>
      <c r="F526" s="162" t="s">
        <v>1856</v>
      </c>
      <c r="G526" s="65" t="s">
        <v>2472</v>
      </c>
      <c r="H526" s="218">
        <v>1</v>
      </c>
      <c r="I526" s="65"/>
      <c r="J526" s="218">
        <v>25</v>
      </c>
      <c r="K526" s="108"/>
      <c r="L526" s="275">
        <v>25</v>
      </c>
      <c r="M526" s="65" t="s">
        <v>1604</v>
      </c>
      <c r="N526" s="219"/>
      <c r="O526" s="65" t="s">
        <v>55</v>
      </c>
      <c r="P526" s="162" t="s">
        <v>1362</v>
      </c>
      <c r="Q526" s="158"/>
      <c r="R526" s="157"/>
      <c r="S526" s="114"/>
      <c r="T526" s="162" t="s">
        <v>25</v>
      </c>
      <c r="U526" s="65" t="s">
        <v>19</v>
      </c>
      <c r="V526" s="162">
        <v>1249</v>
      </c>
      <c r="W526" s="165"/>
      <c r="X526" s="225" t="s">
        <v>1363</v>
      </c>
      <c r="Y526" s="167">
        <v>44671.349386574075</v>
      </c>
    </row>
    <row r="527" spans="1:25">
      <c r="A527" s="131" t="s">
        <v>46</v>
      </c>
      <c r="B527" s="109" t="s">
        <v>1320</v>
      </c>
      <c r="C527" s="245" t="s">
        <v>2473</v>
      </c>
      <c r="D527" s="162" t="s">
        <v>324</v>
      </c>
      <c r="E527" s="65" t="s">
        <v>1359</v>
      </c>
      <c r="F527" s="162" t="s">
        <v>1422</v>
      </c>
      <c r="G527" s="65" t="s">
        <v>2474</v>
      </c>
      <c r="H527" s="218">
        <v>2</v>
      </c>
      <c r="I527" s="65"/>
      <c r="J527" s="218">
        <v>1.1499999999999999</v>
      </c>
      <c r="K527" s="108"/>
      <c r="L527" s="275">
        <v>2.2999999999999998</v>
      </c>
      <c r="M527" s="65" t="s">
        <v>2475</v>
      </c>
      <c r="N527" s="219"/>
      <c r="O527" s="65" t="s">
        <v>55</v>
      </c>
      <c r="P527" s="162" t="s">
        <v>1362</v>
      </c>
      <c r="Q527" s="158"/>
      <c r="R527" s="157" t="s">
        <v>1766</v>
      </c>
      <c r="S527" s="114"/>
      <c r="T527" s="162" t="s">
        <v>25</v>
      </c>
      <c r="U527" s="65" t="s">
        <v>19</v>
      </c>
      <c r="V527" s="162">
        <v>1330</v>
      </c>
      <c r="W527" s="165"/>
      <c r="X527" s="225" t="s">
        <v>1363</v>
      </c>
      <c r="Y527" s="167">
        <v>44671.389328703706</v>
      </c>
    </row>
    <row r="528" spans="1:25">
      <c r="A528" s="131" t="s">
        <v>100</v>
      </c>
      <c r="B528" s="109" t="s">
        <v>1320</v>
      </c>
      <c r="C528" s="245" t="s">
        <v>2476</v>
      </c>
      <c r="D528" s="162" t="s">
        <v>2477</v>
      </c>
      <c r="E528" s="65" t="s">
        <v>1493</v>
      </c>
      <c r="F528" s="162" t="s">
        <v>1360</v>
      </c>
      <c r="G528" s="65" t="s">
        <v>2478</v>
      </c>
      <c r="H528" s="218">
        <v>1</v>
      </c>
      <c r="I528" s="65"/>
      <c r="J528" s="218">
        <v>53</v>
      </c>
      <c r="K528" s="108"/>
      <c r="L528" s="275">
        <v>53</v>
      </c>
      <c r="M528" s="65" t="s">
        <v>1768</v>
      </c>
      <c r="N528" s="219"/>
      <c r="O528" s="65" t="s">
        <v>55</v>
      </c>
      <c r="P528" s="162" t="s">
        <v>1403</v>
      </c>
      <c r="Q528" s="158"/>
      <c r="R528" s="157" t="s">
        <v>1943</v>
      </c>
      <c r="S528" s="114"/>
      <c r="T528" s="162" t="s">
        <v>25</v>
      </c>
      <c r="U528" s="65" t="s">
        <v>14</v>
      </c>
      <c r="V528" s="162">
        <v>1373</v>
      </c>
      <c r="W528" s="165"/>
      <c r="X528" s="225" t="s">
        <v>1363</v>
      </c>
      <c r="Y528" s="167">
        <v>44746.641539351855</v>
      </c>
    </row>
    <row r="529" spans="1:25">
      <c r="A529" s="131" t="s">
        <v>100</v>
      </c>
      <c r="B529" s="109" t="s">
        <v>1320</v>
      </c>
      <c r="C529" s="245" t="s">
        <v>2476</v>
      </c>
      <c r="D529" s="162" t="s">
        <v>2477</v>
      </c>
      <c r="E529" s="65" t="s">
        <v>1493</v>
      </c>
      <c r="F529" s="162" t="s">
        <v>1360</v>
      </c>
      <c r="G529" s="65" t="s">
        <v>2479</v>
      </c>
      <c r="H529" s="218">
        <v>1</v>
      </c>
      <c r="I529" s="65"/>
      <c r="J529" s="218">
        <v>53</v>
      </c>
      <c r="K529" s="108"/>
      <c r="L529" s="275">
        <v>53</v>
      </c>
      <c r="M529" s="65" t="s">
        <v>1768</v>
      </c>
      <c r="N529" s="219"/>
      <c r="O529" s="65" t="s">
        <v>55</v>
      </c>
      <c r="P529" s="162" t="s">
        <v>1403</v>
      </c>
      <c r="Q529" s="158"/>
      <c r="R529" s="157" t="s">
        <v>1943</v>
      </c>
      <c r="S529" s="114"/>
      <c r="T529" s="162" t="s">
        <v>25</v>
      </c>
      <c r="U529" s="65" t="s">
        <v>14</v>
      </c>
      <c r="V529" s="162">
        <v>1373</v>
      </c>
      <c r="W529" s="165"/>
      <c r="X529" s="225" t="s">
        <v>1363</v>
      </c>
      <c r="Y529" s="167">
        <v>44746.641539351855</v>
      </c>
    </row>
    <row r="530" spans="1:25">
      <c r="A530" s="131" t="s">
        <v>100</v>
      </c>
      <c r="B530" s="109" t="s">
        <v>1320</v>
      </c>
      <c r="C530" s="245" t="s">
        <v>2476</v>
      </c>
      <c r="D530" s="162" t="s">
        <v>2477</v>
      </c>
      <c r="E530" s="65" t="s">
        <v>1493</v>
      </c>
      <c r="F530" s="162" t="s">
        <v>1360</v>
      </c>
      <c r="G530" s="65" t="s">
        <v>2480</v>
      </c>
      <c r="H530" s="218">
        <v>1</v>
      </c>
      <c r="I530" s="65"/>
      <c r="J530" s="218">
        <v>53</v>
      </c>
      <c r="K530" s="108"/>
      <c r="L530" s="275">
        <v>53</v>
      </c>
      <c r="M530" s="65" t="s">
        <v>1768</v>
      </c>
      <c r="N530" s="219"/>
      <c r="O530" s="65" t="s">
        <v>55</v>
      </c>
      <c r="P530" s="162" t="s">
        <v>1403</v>
      </c>
      <c r="Q530" s="158"/>
      <c r="R530" s="157" t="s">
        <v>1943</v>
      </c>
      <c r="S530" s="114"/>
      <c r="T530" s="162" t="s">
        <v>25</v>
      </c>
      <c r="U530" s="65" t="s">
        <v>14</v>
      </c>
      <c r="V530" s="162">
        <v>1373</v>
      </c>
      <c r="W530" s="165"/>
      <c r="X530" s="225" t="s">
        <v>1363</v>
      </c>
      <c r="Y530" s="167">
        <v>44746.641539351855</v>
      </c>
    </row>
    <row r="531" spans="1:25">
      <c r="A531" s="131" t="s">
        <v>100</v>
      </c>
      <c r="B531" s="109" t="s">
        <v>1320</v>
      </c>
      <c r="C531" s="245" t="s">
        <v>2476</v>
      </c>
      <c r="D531" s="162" t="s">
        <v>2477</v>
      </c>
      <c r="E531" s="65" t="s">
        <v>1493</v>
      </c>
      <c r="F531" s="162" t="s">
        <v>1360</v>
      </c>
      <c r="G531" s="65" t="s">
        <v>2481</v>
      </c>
      <c r="H531" s="218">
        <v>1</v>
      </c>
      <c r="I531" s="65"/>
      <c r="J531" s="218">
        <v>53</v>
      </c>
      <c r="K531" s="108"/>
      <c r="L531" s="275">
        <v>53</v>
      </c>
      <c r="M531" s="65" t="s">
        <v>1768</v>
      </c>
      <c r="N531" s="219"/>
      <c r="O531" s="65" t="s">
        <v>55</v>
      </c>
      <c r="P531" s="162" t="s">
        <v>1403</v>
      </c>
      <c r="Q531" s="158"/>
      <c r="R531" s="157" t="s">
        <v>1943</v>
      </c>
      <c r="S531" s="114"/>
      <c r="T531" s="162" t="s">
        <v>25</v>
      </c>
      <c r="U531" s="65" t="s">
        <v>14</v>
      </c>
      <c r="V531" s="162">
        <v>1373</v>
      </c>
      <c r="W531" s="165"/>
      <c r="X531" s="225" t="s">
        <v>1363</v>
      </c>
      <c r="Y531" s="167">
        <v>44746.641539351855</v>
      </c>
    </row>
    <row r="532" spans="1:25">
      <c r="A532" s="131" t="s">
        <v>100</v>
      </c>
      <c r="B532" s="109" t="s">
        <v>1320</v>
      </c>
      <c r="C532" s="245" t="s">
        <v>2482</v>
      </c>
      <c r="D532" s="162" t="s">
        <v>641</v>
      </c>
      <c r="E532" s="65" t="s">
        <v>1493</v>
      </c>
      <c r="F532" s="162" t="s">
        <v>1360</v>
      </c>
      <c r="G532" s="65" t="s">
        <v>2483</v>
      </c>
      <c r="H532" s="218">
        <v>1</v>
      </c>
      <c r="I532" s="65"/>
      <c r="J532" s="218">
        <v>76</v>
      </c>
      <c r="K532" s="108"/>
      <c r="L532" s="275">
        <v>76</v>
      </c>
      <c r="M532" s="65" t="s">
        <v>2484</v>
      </c>
      <c r="N532" s="219"/>
      <c r="O532" s="65" t="s">
        <v>55</v>
      </c>
      <c r="P532" s="162" t="s">
        <v>1403</v>
      </c>
      <c r="Q532" s="158"/>
      <c r="R532" s="157" t="s">
        <v>1943</v>
      </c>
      <c r="S532" s="114"/>
      <c r="T532" s="162" t="s">
        <v>25</v>
      </c>
      <c r="U532" s="65" t="s">
        <v>14</v>
      </c>
      <c r="V532" s="162">
        <v>1374</v>
      </c>
      <c r="W532" s="165"/>
      <c r="X532" s="225" t="s">
        <v>1363</v>
      </c>
      <c r="Y532" s="167">
        <v>44746.559247685182</v>
      </c>
    </row>
    <row r="533" spans="1:25">
      <c r="A533" s="131" t="s">
        <v>100</v>
      </c>
      <c r="B533" s="109" t="s">
        <v>1320</v>
      </c>
      <c r="C533" s="245" t="s">
        <v>2482</v>
      </c>
      <c r="D533" s="162" t="s">
        <v>641</v>
      </c>
      <c r="E533" s="65" t="s">
        <v>1493</v>
      </c>
      <c r="F533" s="162" t="s">
        <v>1360</v>
      </c>
      <c r="G533" s="65" t="s">
        <v>2485</v>
      </c>
      <c r="H533" s="218">
        <v>1</v>
      </c>
      <c r="I533" s="65"/>
      <c r="J533" s="218">
        <v>76</v>
      </c>
      <c r="K533" s="108"/>
      <c r="L533" s="275">
        <v>76</v>
      </c>
      <c r="M533" s="65" t="s">
        <v>2484</v>
      </c>
      <c r="N533" s="219"/>
      <c r="O533" s="65" t="s">
        <v>55</v>
      </c>
      <c r="P533" s="162" t="s">
        <v>1403</v>
      </c>
      <c r="Q533" s="158"/>
      <c r="R533" s="157" t="s">
        <v>1943</v>
      </c>
      <c r="S533" s="114"/>
      <c r="T533" s="162" t="s">
        <v>25</v>
      </c>
      <c r="U533" s="65" t="s">
        <v>14</v>
      </c>
      <c r="V533" s="162">
        <v>1374</v>
      </c>
      <c r="W533" s="165"/>
      <c r="X533" s="225" t="s">
        <v>1363</v>
      </c>
      <c r="Y533" s="167">
        <v>44746.559247685182</v>
      </c>
    </row>
    <row r="534" spans="1:25">
      <c r="A534" s="131" t="s">
        <v>100</v>
      </c>
      <c r="B534" s="109" t="s">
        <v>1320</v>
      </c>
      <c r="C534" s="245" t="s">
        <v>2482</v>
      </c>
      <c r="D534" s="162" t="s">
        <v>641</v>
      </c>
      <c r="E534" s="65" t="s">
        <v>1493</v>
      </c>
      <c r="F534" s="162" t="s">
        <v>1360</v>
      </c>
      <c r="G534" s="65" t="s">
        <v>2486</v>
      </c>
      <c r="H534" s="218">
        <v>1</v>
      </c>
      <c r="I534" s="65"/>
      <c r="J534" s="218">
        <v>76</v>
      </c>
      <c r="K534" s="108"/>
      <c r="L534" s="275">
        <v>76</v>
      </c>
      <c r="M534" s="65" t="s">
        <v>2484</v>
      </c>
      <c r="N534" s="219"/>
      <c r="O534" s="65" t="s">
        <v>55</v>
      </c>
      <c r="P534" s="162" t="s">
        <v>1403</v>
      </c>
      <c r="Q534" s="158"/>
      <c r="R534" s="157" t="s">
        <v>1943</v>
      </c>
      <c r="S534" s="114"/>
      <c r="T534" s="162" t="s">
        <v>25</v>
      </c>
      <c r="U534" s="65" t="s">
        <v>14</v>
      </c>
      <c r="V534" s="162">
        <v>1374</v>
      </c>
      <c r="W534" s="165"/>
      <c r="X534" s="225" t="s">
        <v>1363</v>
      </c>
      <c r="Y534" s="167">
        <v>44746.559247685182</v>
      </c>
    </row>
    <row r="535" spans="1:25">
      <c r="A535" s="131" t="s">
        <v>100</v>
      </c>
      <c r="B535" s="252" t="s">
        <v>1385</v>
      </c>
      <c r="C535" s="245" t="s">
        <v>4090</v>
      </c>
      <c r="D535" s="218" t="s">
        <v>431</v>
      </c>
      <c r="E535" s="257"/>
      <c r="F535" s="218" t="s">
        <v>21</v>
      </c>
      <c r="G535" s="257"/>
      <c r="H535" s="218"/>
      <c r="I535" s="257"/>
      <c r="J535" s="218"/>
      <c r="K535" s="258"/>
      <c r="L535" s="275">
        <v>400</v>
      </c>
      <c r="M535" s="257"/>
      <c r="N535" s="219"/>
      <c r="O535" s="257" t="s">
        <v>1285</v>
      </c>
      <c r="P535" s="218"/>
      <c r="Q535" s="259"/>
      <c r="R535" s="218" t="s">
        <v>208</v>
      </c>
      <c r="S535" s="261"/>
      <c r="T535" s="218" t="s">
        <v>29</v>
      </c>
      <c r="U535" s="257" t="s">
        <v>20</v>
      </c>
      <c r="V535" s="218">
        <v>1944</v>
      </c>
      <c r="W535" s="262" t="s">
        <v>4091</v>
      </c>
      <c r="X535" s="225"/>
      <c r="Y535" s="265"/>
    </row>
    <row r="536" spans="1:25">
      <c r="A536" s="131" t="s">
        <v>46</v>
      </c>
      <c r="B536" s="109" t="s">
        <v>1320</v>
      </c>
      <c r="C536" s="245" t="s">
        <v>52</v>
      </c>
      <c r="D536" s="162" t="s">
        <v>53</v>
      </c>
      <c r="E536" s="65" t="s">
        <v>1429</v>
      </c>
      <c r="F536" s="162" t="s">
        <v>1388</v>
      </c>
      <c r="G536" s="65" t="s">
        <v>54</v>
      </c>
      <c r="H536" s="218">
        <v>20</v>
      </c>
      <c r="I536" s="65"/>
      <c r="J536" s="218">
        <v>2.75</v>
      </c>
      <c r="K536" s="108"/>
      <c r="L536" s="275">
        <v>55</v>
      </c>
      <c r="M536" s="65" t="s">
        <v>2125</v>
      </c>
      <c r="N536" s="219">
        <v>0</v>
      </c>
      <c r="O536" s="65" t="s">
        <v>55</v>
      </c>
      <c r="P536" s="162" t="s">
        <v>1407</v>
      </c>
      <c r="Q536" s="158"/>
      <c r="R536" s="157" t="s">
        <v>1532</v>
      </c>
      <c r="S536" s="114"/>
      <c r="T536" s="162" t="s">
        <v>25</v>
      </c>
      <c r="U536" s="65" t="s">
        <v>1388</v>
      </c>
      <c r="V536" s="162">
        <v>1521</v>
      </c>
      <c r="W536" s="165"/>
      <c r="X536" s="225" t="s">
        <v>1404</v>
      </c>
      <c r="Y536" s="167">
        <v>44700.293923611112</v>
      </c>
    </row>
    <row r="537" spans="1:25">
      <c r="A537" s="131" t="s">
        <v>46</v>
      </c>
      <c r="B537" s="109" t="s">
        <v>1385</v>
      </c>
      <c r="C537" s="245" t="s">
        <v>2487</v>
      </c>
      <c r="D537" s="162" t="s">
        <v>2488</v>
      </c>
      <c r="E537" s="65"/>
      <c r="F537" s="162" t="s">
        <v>17</v>
      </c>
      <c r="G537" s="65"/>
      <c r="H537" s="218"/>
      <c r="I537" s="65"/>
      <c r="J537" s="218"/>
      <c r="K537" s="108"/>
      <c r="L537" s="275">
        <v>400</v>
      </c>
      <c r="M537" s="65"/>
      <c r="N537" s="219"/>
      <c r="O537" s="65" t="s">
        <v>1285</v>
      </c>
      <c r="P537" s="162"/>
      <c r="Q537" s="158"/>
      <c r="R537" s="157"/>
      <c r="S537" s="114"/>
      <c r="T537" s="162" t="s">
        <v>29</v>
      </c>
      <c r="U537" s="65" t="s">
        <v>17</v>
      </c>
      <c r="V537" s="162" t="s">
        <v>208</v>
      </c>
      <c r="W537" s="165" t="s">
        <v>2489</v>
      </c>
      <c r="X537" s="225"/>
      <c r="Y537" s="167" t="s">
        <v>208</v>
      </c>
    </row>
    <row r="538" spans="1:25">
      <c r="A538" s="131" t="s">
        <v>100</v>
      </c>
      <c r="B538" s="109" t="s">
        <v>1320</v>
      </c>
      <c r="C538" s="245" t="s">
        <v>2490</v>
      </c>
      <c r="D538" s="162" t="s">
        <v>1393</v>
      </c>
      <c r="E538" s="65" t="s">
        <v>1398</v>
      </c>
      <c r="F538" s="162" t="s">
        <v>1388</v>
      </c>
      <c r="G538" s="65" t="s">
        <v>208</v>
      </c>
      <c r="H538" s="218">
        <v>1</v>
      </c>
      <c r="I538" s="65"/>
      <c r="J538" s="218">
        <v>0.36499999999999999</v>
      </c>
      <c r="K538" s="108"/>
      <c r="L538" s="275">
        <v>0.36499999999999999</v>
      </c>
      <c r="M538" s="65" t="s">
        <v>2491</v>
      </c>
      <c r="N538" s="219"/>
      <c r="O538" s="65" t="s">
        <v>55</v>
      </c>
      <c r="P538" s="162" t="s">
        <v>1362</v>
      </c>
      <c r="Q538" s="158"/>
      <c r="R538" s="157"/>
      <c r="S538" s="114"/>
      <c r="T538" s="162" t="s">
        <v>25</v>
      </c>
      <c r="U538" s="65" t="s">
        <v>1388</v>
      </c>
      <c r="V538" s="162">
        <v>53</v>
      </c>
      <c r="W538" s="165"/>
      <c r="X538" s="225" t="s">
        <v>208</v>
      </c>
      <c r="Y538" s="167">
        <v>43312</v>
      </c>
    </row>
    <row r="539" spans="1:25">
      <c r="A539" s="131" t="s">
        <v>46</v>
      </c>
      <c r="B539" s="109" t="s">
        <v>1320</v>
      </c>
      <c r="C539" s="245" t="s">
        <v>2492</v>
      </c>
      <c r="D539" s="162" t="s">
        <v>558</v>
      </c>
      <c r="E539" s="65" t="s">
        <v>1539</v>
      </c>
      <c r="F539" s="162" t="s">
        <v>18</v>
      </c>
      <c r="G539" s="65" t="s">
        <v>2493</v>
      </c>
      <c r="H539" s="218">
        <v>1</v>
      </c>
      <c r="I539" s="65"/>
      <c r="J539" s="218">
        <v>1.1000000000000001</v>
      </c>
      <c r="K539" s="108"/>
      <c r="L539" s="275">
        <v>1.1000000000000001</v>
      </c>
      <c r="M539" s="65" t="s">
        <v>2494</v>
      </c>
      <c r="N539" s="219"/>
      <c r="O539" s="65" t="s">
        <v>55</v>
      </c>
      <c r="P539" s="162" t="s">
        <v>1362</v>
      </c>
      <c r="Q539" s="158"/>
      <c r="R539" s="157" t="s">
        <v>1434</v>
      </c>
      <c r="S539" s="114"/>
      <c r="T539" s="162" t="s">
        <v>25</v>
      </c>
      <c r="U539" s="65" t="s">
        <v>18</v>
      </c>
      <c r="V539" s="162">
        <v>1096</v>
      </c>
      <c r="W539" s="165"/>
      <c r="X539" s="225" t="s">
        <v>1363</v>
      </c>
      <c r="Y539" s="167">
        <v>44665.720011574071</v>
      </c>
    </row>
    <row r="540" spans="1:25">
      <c r="A540" s="131" t="s">
        <v>100</v>
      </c>
      <c r="B540" s="109" t="s">
        <v>1320</v>
      </c>
      <c r="C540" s="245" t="s">
        <v>2495</v>
      </c>
      <c r="D540" s="162" t="s">
        <v>1393</v>
      </c>
      <c r="E540" s="65" t="s">
        <v>1398</v>
      </c>
      <c r="F540" s="162" t="s">
        <v>1388</v>
      </c>
      <c r="G540" s="65" t="s">
        <v>208</v>
      </c>
      <c r="H540" s="218">
        <v>1</v>
      </c>
      <c r="I540" s="65"/>
      <c r="J540" s="218">
        <v>0.15</v>
      </c>
      <c r="K540" s="108"/>
      <c r="L540" s="275">
        <v>0.15</v>
      </c>
      <c r="M540" s="65" t="s">
        <v>2496</v>
      </c>
      <c r="N540" s="219"/>
      <c r="O540" s="65" t="s">
        <v>55</v>
      </c>
      <c r="P540" s="162" t="s">
        <v>1362</v>
      </c>
      <c r="Q540" s="158"/>
      <c r="R540" s="157"/>
      <c r="S540" s="114"/>
      <c r="T540" s="162" t="s">
        <v>25</v>
      </c>
      <c r="U540" s="65" t="s">
        <v>1388</v>
      </c>
      <c r="V540" s="162">
        <v>54</v>
      </c>
      <c r="W540" s="165"/>
      <c r="X540" s="225" t="s">
        <v>208</v>
      </c>
      <c r="Y540" s="167">
        <v>43312</v>
      </c>
    </row>
    <row r="541" spans="1:25">
      <c r="A541" s="131" t="s">
        <v>100</v>
      </c>
      <c r="B541" s="109" t="s">
        <v>1385</v>
      </c>
      <c r="C541" s="245" t="s">
        <v>4019</v>
      </c>
      <c r="D541" s="162" t="s">
        <v>2268</v>
      </c>
      <c r="E541" s="65"/>
      <c r="F541" s="162" t="s">
        <v>1529</v>
      </c>
      <c r="G541" s="65"/>
      <c r="H541" s="218">
        <v>86</v>
      </c>
      <c r="I541" s="65"/>
      <c r="J541" s="242"/>
      <c r="K541" s="108"/>
      <c r="L541" s="282">
        <v>296.7</v>
      </c>
      <c r="M541" s="243">
        <v>296.7</v>
      </c>
      <c r="N541" s="219"/>
      <c r="O541" s="65" t="s">
        <v>1285</v>
      </c>
      <c r="P541" s="162"/>
      <c r="Q541" s="158"/>
      <c r="R541" s="157"/>
      <c r="S541" s="114"/>
      <c r="T541" s="162" t="s">
        <v>29</v>
      </c>
      <c r="U541" s="65" t="s">
        <v>20</v>
      </c>
      <c r="V541" s="162"/>
      <c r="W541" s="165" t="s">
        <v>4047</v>
      </c>
      <c r="X541" s="225"/>
      <c r="Y541" s="167"/>
    </row>
    <row r="542" spans="1:25">
      <c r="A542" s="131" t="s">
        <v>95</v>
      </c>
      <c r="B542" s="109" t="s">
        <v>1320</v>
      </c>
      <c r="C542" s="245" t="s">
        <v>2497</v>
      </c>
      <c r="D542" s="162" t="s">
        <v>1585</v>
      </c>
      <c r="E542" s="65" t="s">
        <v>1539</v>
      </c>
      <c r="F542" s="162" t="s">
        <v>18</v>
      </c>
      <c r="G542" s="65" t="s">
        <v>2498</v>
      </c>
      <c r="H542" s="218">
        <v>1</v>
      </c>
      <c r="I542" s="65"/>
      <c r="J542" s="218">
        <v>144</v>
      </c>
      <c r="K542" s="108"/>
      <c r="L542" s="275">
        <v>144</v>
      </c>
      <c r="M542" s="65" t="s">
        <v>1865</v>
      </c>
      <c r="N542" s="219"/>
      <c r="O542" s="65" t="s">
        <v>55</v>
      </c>
      <c r="P542" s="162" t="s">
        <v>1403</v>
      </c>
      <c r="Q542" s="158"/>
      <c r="R542" s="157" t="s">
        <v>1588</v>
      </c>
      <c r="S542" s="114"/>
      <c r="T542" s="162" t="s">
        <v>25</v>
      </c>
      <c r="U542" s="65" t="s">
        <v>18</v>
      </c>
      <c r="V542" s="162">
        <v>1097</v>
      </c>
      <c r="W542" s="165"/>
      <c r="X542" s="225" t="s">
        <v>1363</v>
      </c>
      <c r="Y542" s="167">
        <v>44670.602511574078</v>
      </c>
    </row>
    <row r="543" spans="1:25">
      <c r="A543" s="131" t="s">
        <v>46</v>
      </c>
      <c r="B543" s="109" t="s">
        <v>1320</v>
      </c>
      <c r="C543" s="245" t="s">
        <v>2499</v>
      </c>
      <c r="D543" s="162" t="s">
        <v>558</v>
      </c>
      <c r="E543" s="65" t="s">
        <v>1539</v>
      </c>
      <c r="F543" s="162" t="s">
        <v>18</v>
      </c>
      <c r="G543" s="65" t="s">
        <v>2500</v>
      </c>
      <c r="H543" s="218">
        <v>1</v>
      </c>
      <c r="I543" s="65"/>
      <c r="J543" s="218">
        <v>14.4</v>
      </c>
      <c r="K543" s="108"/>
      <c r="L543" s="275">
        <v>14.4</v>
      </c>
      <c r="M543" s="65" t="s">
        <v>1683</v>
      </c>
      <c r="N543" s="219"/>
      <c r="O543" s="65" t="s">
        <v>55</v>
      </c>
      <c r="P543" s="162" t="s">
        <v>1362</v>
      </c>
      <c r="Q543" s="158"/>
      <c r="R543" s="157" t="s">
        <v>1434</v>
      </c>
      <c r="S543" s="114"/>
      <c r="T543" s="162" t="s">
        <v>25</v>
      </c>
      <c r="U543" s="65" t="s">
        <v>18</v>
      </c>
      <c r="V543" s="162">
        <v>1098</v>
      </c>
      <c r="W543" s="165"/>
      <c r="X543" s="225" t="s">
        <v>1363</v>
      </c>
      <c r="Y543" s="167">
        <v>44665.721863425926</v>
      </c>
    </row>
    <row r="544" spans="1:25">
      <c r="A544" s="131" t="s">
        <v>46</v>
      </c>
      <c r="B544" s="109" t="s">
        <v>1320</v>
      </c>
      <c r="C544" s="245" t="s">
        <v>369</v>
      </c>
      <c r="D544" s="162" t="s">
        <v>370</v>
      </c>
      <c r="E544" s="65" t="s">
        <v>1429</v>
      </c>
      <c r="F544" s="162" t="s">
        <v>1388</v>
      </c>
      <c r="G544" s="65" t="s">
        <v>2501</v>
      </c>
      <c r="H544" s="218">
        <v>22</v>
      </c>
      <c r="I544" s="65"/>
      <c r="J544" s="218">
        <v>1.637</v>
      </c>
      <c r="K544" s="108"/>
      <c r="L544" s="275">
        <v>36.014000000000003</v>
      </c>
      <c r="M544" s="65" t="s">
        <v>2502</v>
      </c>
      <c r="N544" s="219"/>
      <c r="O544" s="65" t="s">
        <v>27</v>
      </c>
      <c r="P544" s="162" t="s">
        <v>1407</v>
      </c>
      <c r="Q544" s="158" t="s">
        <v>2503</v>
      </c>
      <c r="R544" s="157" t="s">
        <v>1532</v>
      </c>
      <c r="S544" s="114"/>
      <c r="T544" s="162" t="s">
        <v>25</v>
      </c>
      <c r="U544" s="65" t="s">
        <v>1388</v>
      </c>
      <c r="V544" s="162">
        <v>1526</v>
      </c>
      <c r="W544" s="165"/>
      <c r="X544" s="225" t="s">
        <v>1481</v>
      </c>
      <c r="Y544" s="167">
        <v>44671.471736111111</v>
      </c>
    </row>
    <row r="545" spans="1:25">
      <c r="A545" s="131" t="s">
        <v>62</v>
      </c>
      <c r="B545" s="109" t="s">
        <v>1385</v>
      </c>
      <c r="C545" s="245" t="s">
        <v>232</v>
      </c>
      <c r="D545" s="162" t="s">
        <v>233</v>
      </c>
      <c r="E545" s="65" t="s">
        <v>1419</v>
      </c>
      <c r="F545" s="162" t="s">
        <v>17</v>
      </c>
      <c r="G545" s="65" t="s">
        <v>208</v>
      </c>
      <c r="H545" s="218">
        <v>28</v>
      </c>
      <c r="I545" s="65"/>
      <c r="J545" s="218">
        <v>5.6</v>
      </c>
      <c r="K545" s="108"/>
      <c r="L545" s="275">
        <v>156.79999999999998</v>
      </c>
      <c r="M545" s="65" t="s">
        <v>2504</v>
      </c>
      <c r="N545" s="219"/>
      <c r="O545" s="65" t="s">
        <v>27</v>
      </c>
      <c r="P545" s="162" t="s">
        <v>1407</v>
      </c>
      <c r="Q545" s="158" t="s">
        <v>2505</v>
      </c>
      <c r="R545" s="157" t="s">
        <v>1452</v>
      </c>
      <c r="S545" s="114"/>
      <c r="T545" s="162" t="s">
        <v>27</v>
      </c>
      <c r="U545" s="65" t="s">
        <v>17</v>
      </c>
      <c r="V545" s="162">
        <v>1524</v>
      </c>
      <c r="W545" s="165"/>
      <c r="X545" s="225" t="s">
        <v>1453</v>
      </c>
      <c r="Y545" s="167">
        <v>44742.599895833337</v>
      </c>
    </row>
    <row r="546" spans="1:25">
      <c r="A546" s="131" t="s">
        <v>62</v>
      </c>
      <c r="B546" s="109" t="s">
        <v>1320</v>
      </c>
      <c r="C546" s="245" t="s">
        <v>2506</v>
      </c>
      <c r="D546" s="162" t="s">
        <v>2452</v>
      </c>
      <c r="E546" s="65" t="s">
        <v>1596</v>
      </c>
      <c r="F546" s="162" t="s">
        <v>1856</v>
      </c>
      <c r="G546" s="65" t="s">
        <v>208</v>
      </c>
      <c r="H546" s="218">
        <v>1</v>
      </c>
      <c r="I546" s="65"/>
      <c r="J546" s="218">
        <v>9</v>
      </c>
      <c r="K546" s="108"/>
      <c r="L546" s="275">
        <v>9</v>
      </c>
      <c r="M546" s="65" t="s">
        <v>2466</v>
      </c>
      <c r="N546" s="219"/>
      <c r="O546" s="65" t="s">
        <v>55</v>
      </c>
      <c r="P546" s="162" t="s">
        <v>1362</v>
      </c>
      <c r="Q546" s="158"/>
      <c r="R546" s="157"/>
      <c r="S546" s="114"/>
      <c r="T546" s="162" t="s">
        <v>25</v>
      </c>
      <c r="U546" s="65" t="s">
        <v>19</v>
      </c>
      <c r="V546" s="162">
        <v>1099</v>
      </c>
      <c r="W546" s="165"/>
      <c r="X546" s="225" t="s">
        <v>1363</v>
      </c>
      <c r="Y546" s="167">
        <v>44671.619513888887</v>
      </c>
    </row>
    <row r="547" spans="1:25">
      <c r="A547" s="131" t="s">
        <v>46</v>
      </c>
      <c r="B547" s="109" t="s">
        <v>1320</v>
      </c>
      <c r="C547" s="245" t="s">
        <v>2507</v>
      </c>
      <c r="D547" s="162" t="s">
        <v>2508</v>
      </c>
      <c r="E547" s="65" t="s">
        <v>1398</v>
      </c>
      <c r="F547" s="162" t="s">
        <v>1388</v>
      </c>
      <c r="G547" s="65" t="s">
        <v>208</v>
      </c>
      <c r="H547" s="218">
        <v>2</v>
      </c>
      <c r="I547" s="65"/>
      <c r="J547" s="218">
        <v>2.4990000000000001</v>
      </c>
      <c r="K547" s="108"/>
      <c r="L547" s="275">
        <v>4.9980000000000002</v>
      </c>
      <c r="M547" s="65" t="s">
        <v>2509</v>
      </c>
      <c r="N547" s="219">
        <v>0</v>
      </c>
      <c r="O547" s="65" t="s">
        <v>55</v>
      </c>
      <c r="P547" s="162" t="s">
        <v>1362</v>
      </c>
      <c r="Q547" s="158"/>
      <c r="R547" s="157"/>
      <c r="S547" s="114"/>
      <c r="T547" s="162" t="s">
        <v>25</v>
      </c>
      <c r="U547" s="65" t="s">
        <v>1388</v>
      </c>
      <c r="V547" s="162">
        <v>1723</v>
      </c>
      <c r="W547" s="165"/>
      <c r="X547" s="225" t="s">
        <v>1400</v>
      </c>
      <c r="Y547" s="167">
        <v>44679.712233796294</v>
      </c>
    </row>
    <row r="548" spans="1:25">
      <c r="A548" s="131" t="s">
        <v>100</v>
      </c>
      <c r="B548" s="109" t="s">
        <v>1320</v>
      </c>
      <c r="C548" s="245" t="s">
        <v>671</v>
      </c>
      <c r="D548" s="162" t="s">
        <v>2510</v>
      </c>
      <c r="E548" s="65" t="s">
        <v>1429</v>
      </c>
      <c r="F548" s="162" t="s">
        <v>1388</v>
      </c>
      <c r="G548" s="65" t="s">
        <v>2511</v>
      </c>
      <c r="H548" s="218">
        <v>38</v>
      </c>
      <c r="I548" s="65"/>
      <c r="J548" s="218">
        <v>2.75</v>
      </c>
      <c r="K548" s="108"/>
      <c r="L548" s="275">
        <v>104.5</v>
      </c>
      <c r="M548" s="65" t="s">
        <v>2512</v>
      </c>
      <c r="N548" s="219"/>
      <c r="O548" s="65" t="s">
        <v>55</v>
      </c>
      <c r="P548" s="162" t="s">
        <v>1407</v>
      </c>
      <c r="Q548" s="158"/>
      <c r="R548" s="157" t="s">
        <v>1452</v>
      </c>
      <c r="S548" s="114"/>
      <c r="T548" s="162" t="s">
        <v>25</v>
      </c>
      <c r="U548" s="65" t="s">
        <v>1388</v>
      </c>
      <c r="V548" s="162">
        <v>1424</v>
      </c>
      <c r="W548" s="165"/>
      <c r="X548" s="225" t="s">
        <v>1404</v>
      </c>
      <c r="Y548" s="167">
        <v>44706.473229166666</v>
      </c>
    </row>
    <row r="549" spans="1:25">
      <c r="A549" s="131" t="s">
        <v>62</v>
      </c>
      <c r="B549" s="109" t="s">
        <v>1385</v>
      </c>
      <c r="C549" s="245" t="s">
        <v>2513</v>
      </c>
      <c r="D549" s="162" t="s">
        <v>2514</v>
      </c>
      <c r="E549" s="65" t="s">
        <v>1419</v>
      </c>
      <c r="F549" s="162" t="s">
        <v>17</v>
      </c>
      <c r="G549" s="65" t="s">
        <v>208</v>
      </c>
      <c r="H549" s="218">
        <v>18</v>
      </c>
      <c r="I549" s="65"/>
      <c r="J549" s="218">
        <v>5.7</v>
      </c>
      <c r="K549" s="108"/>
      <c r="L549" s="275">
        <v>102.60000000000001</v>
      </c>
      <c r="M549" s="65" t="s">
        <v>2515</v>
      </c>
      <c r="N549" s="219"/>
      <c r="O549" s="65" t="s">
        <v>28</v>
      </c>
      <c r="P549" s="162" t="s">
        <v>1407</v>
      </c>
      <c r="Q549" s="158" t="s">
        <v>2516</v>
      </c>
      <c r="R549" s="157" t="s">
        <v>2065</v>
      </c>
      <c r="S549" s="114"/>
      <c r="T549" s="162" t="s">
        <v>28</v>
      </c>
      <c r="U549" s="65" t="s">
        <v>17</v>
      </c>
      <c r="V549" s="162">
        <v>1887</v>
      </c>
      <c r="W549" s="165"/>
      <c r="X549" s="225" t="s">
        <v>1453</v>
      </c>
      <c r="Y549" s="167">
        <v>44742.574293981481</v>
      </c>
    </row>
    <row r="550" spans="1:25">
      <c r="A550" s="131" t="s">
        <v>62</v>
      </c>
      <c r="B550" s="109" t="s">
        <v>1320</v>
      </c>
      <c r="C550" s="245" t="s">
        <v>2517</v>
      </c>
      <c r="D550" s="162" t="s">
        <v>1568</v>
      </c>
      <c r="E550" s="65" t="s">
        <v>1569</v>
      </c>
      <c r="F550" s="162" t="s">
        <v>18</v>
      </c>
      <c r="G550" s="65" t="s">
        <v>2518</v>
      </c>
      <c r="H550" s="218">
        <v>1</v>
      </c>
      <c r="I550" s="65"/>
      <c r="J550" s="218">
        <v>21.6</v>
      </c>
      <c r="K550" s="108"/>
      <c r="L550" s="275">
        <v>21.6</v>
      </c>
      <c r="M550" s="65" t="s">
        <v>2519</v>
      </c>
      <c r="N550" s="219"/>
      <c r="O550" s="65" t="s">
        <v>55</v>
      </c>
      <c r="P550" s="162" t="s">
        <v>1403</v>
      </c>
      <c r="Q550" s="158"/>
      <c r="R550" s="157" t="s">
        <v>1424</v>
      </c>
      <c r="S550" s="114"/>
      <c r="T550" s="162" t="s">
        <v>25</v>
      </c>
      <c r="U550" s="65" t="s">
        <v>18</v>
      </c>
      <c r="V550" s="162">
        <v>1100</v>
      </c>
      <c r="W550" s="165"/>
      <c r="X550" s="225" t="s">
        <v>1363</v>
      </c>
      <c r="Y550" s="167">
        <v>44746.655393518522</v>
      </c>
    </row>
    <row r="551" spans="1:25">
      <c r="A551" s="131" t="s">
        <v>62</v>
      </c>
      <c r="B551" s="109" t="s">
        <v>1320</v>
      </c>
      <c r="C551" s="245" t="s">
        <v>2517</v>
      </c>
      <c r="D551" s="162" t="s">
        <v>1568</v>
      </c>
      <c r="E551" s="65" t="s">
        <v>1569</v>
      </c>
      <c r="F551" s="162" t="s">
        <v>18</v>
      </c>
      <c r="G551" s="65" t="s">
        <v>2520</v>
      </c>
      <c r="H551" s="218">
        <v>1</v>
      </c>
      <c r="I551" s="65"/>
      <c r="J551" s="218">
        <v>21.6</v>
      </c>
      <c r="K551" s="108"/>
      <c r="L551" s="275">
        <v>21.6</v>
      </c>
      <c r="M551" s="65" t="s">
        <v>2519</v>
      </c>
      <c r="N551" s="219"/>
      <c r="O551" s="65" t="s">
        <v>55</v>
      </c>
      <c r="P551" s="162" t="s">
        <v>1403</v>
      </c>
      <c r="Q551" s="158"/>
      <c r="R551" s="157" t="s">
        <v>1424</v>
      </c>
      <c r="S551" s="114"/>
      <c r="T551" s="162" t="s">
        <v>25</v>
      </c>
      <c r="U551" s="65" t="s">
        <v>18</v>
      </c>
      <c r="V551" s="162">
        <v>1100</v>
      </c>
      <c r="W551" s="165"/>
      <c r="X551" s="225" t="s">
        <v>1363</v>
      </c>
      <c r="Y551" s="167">
        <v>44746.655393518522</v>
      </c>
    </row>
    <row r="552" spans="1:25">
      <c r="A552" s="131" t="s">
        <v>62</v>
      </c>
      <c r="B552" s="109" t="s">
        <v>1320</v>
      </c>
      <c r="C552" s="245" t="s">
        <v>2517</v>
      </c>
      <c r="D552" s="162" t="s">
        <v>1568</v>
      </c>
      <c r="E552" s="65" t="s">
        <v>1569</v>
      </c>
      <c r="F552" s="162" t="s">
        <v>18</v>
      </c>
      <c r="G552" s="65" t="s">
        <v>2521</v>
      </c>
      <c r="H552" s="218">
        <v>1</v>
      </c>
      <c r="I552" s="65"/>
      <c r="J552" s="218">
        <v>21.6</v>
      </c>
      <c r="K552" s="108"/>
      <c r="L552" s="275">
        <v>21.6</v>
      </c>
      <c r="M552" s="65" t="s">
        <v>2519</v>
      </c>
      <c r="N552" s="219"/>
      <c r="O552" s="65" t="s">
        <v>55</v>
      </c>
      <c r="P552" s="162" t="s">
        <v>1403</v>
      </c>
      <c r="Q552" s="158"/>
      <c r="R552" s="157" t="s">
        <v>1424</v>
      </c>
      <c r="S552" s="114"/>
      <c r="T552" s="162" t="s">
        <v>25</v>
      </c>
      <c r="U552" s="65" t="s">
        <v>18</v>
      </c>
      <c r="V552" s="162">
        <v>1100</v>
      </c>
      <c r="W552" s="165"/>
      <c r="X552" s="225" t="s">
        <v>1363</v>
      </c>
      <c r="Y552" s="167">
        <v>44746.655393518522</v>
      </c>
    </row>
    <row r="553" spans="1:25">
      <c r="A553" s="131" t="s">
        <v>62</v>
      </c>
      <c r="B553" s="109" t="s">
        <v>1320</v>
      </c>
      <c r="C553" s="245" t="s">
        <v>2517</v>
      </c>
      <c r="D553" s="162" t="s">
        <v>1568</v>
      </c>
      <c r="E553" s="65" t="s">
        <v>1569</v>
      </c>
      <c r="F553" s="162" t="s">
        <v>18</v>
      </c>
      <c r="G553" s="65" t="s">
        <v>2522</v>
      </c>
      <c r="H553" s="218">
        <v>1</v>
      </c>
      <c r="I553" s="65"/>
      <c r="J553" s="218">
        <v>21.6</v>
      </c>
      <c r="K553" s="108"/>
      <c r="L553" s="275">
        <v>21.6</v>
      </c>
      <c r="M553" s="65" t="s">
        <v>2519</v>
      </c>
      <c r="N553" s="219"/>
      <c r="O553" s="65" t="s">
        <v>55</v>
      </c>
      <c r="P553" s="162" t="s">
        <v>1403</v>
      </c>
      <c r="Q553" s="158"/>
      <c r="R553" s="157" t="s">
        <v>1424</v>
      </c>
      <c r="S553" s="114"/>
      <c r="T553" s="162" t="s">
        <v>25</v>
      </c>
      <c r="U553" s="65" t="s">
        <v>18</v>
      </c>
      <c r="V553" s="162">
        <v>1100</v>
      </c>
      <c r="W553" s="165"/>
      <c r="X553" s="225" t="s">
        <v>1363</v>
      </c>
      <c r="Y553" s="167">
        <v>44746.655393518522</v>
      </c>
    </row>
    <row r="554" spans="1:25">
      <c r="A554" s="131" t="s">
        <v>62</v>
      </c>
      <c r="B554" s="109" t="s">
        <v>1320</v>
      </c>
      <c r="C554" s="245" t="s">
        <v>2523</v>
      </c>
      <c r="D554" s="162" t="s">
        <v>1568</v>
      </c>
      <c r="E554" s="65" t="s">
        <v>1539</v>
      </c>
      <c r="F554" s="162" t="s">
        <v>18</v>
      </c>
      <c r="G554" s="65" t="s">
        <v>2524</v>
      </c>
      <c r="H554" s="218">
        <v>1</v>
      </c>
      <c r="I554" s="65"/>
      <c r="J554" s="218">
        <v>7</v>
      </c>
      <c r="K554" s="108"/>
      <c r="L554" s="275">
        <v>7</v>
      </c>
      <c r="M554" s="65" t="s">
        <v>2525</v>
      </c>
      <c r="N554" s="219"/>
      <c r="O554" s="65" t="s">
        <v>55</v>
      </c>
      <c r="P554" s="162" t="s">
        <v>1362</v>
      </c>
      <c r="Q554" s="158"/>
      <c r="R554" s="157" t="s">
        <v>1424</v>
      </c>
      <c r="S554" s="114"/>
      <c r="T554" s="162" t="s">
        <v>25</v>
      </c>
      <c r="U554" s="65" t="s">
        <v>18</v>
      </c>
      <c r="V554" s="162">
        <v>1101</v>
      </c>
      <c r="W554" s="165"/>
      <c r="X554" s="225" t="s">
        <v>1363</v>
      </c>
      <c r="Y554" s="167">
        <v>44747.469178240739</v>
      </c>
    </row>
    <row r="555" spans="1:25">
      <c r="A555" s="131" t="s">
        <v>62</v>
      </c>
      <c r="B555" s="109" t="s">
        <v>1385</v>
      </c>
      <c r="C555" s="245" t="s">
        <v>4054</v>
      </c>
      <c r="D555" s="162" t="s">
        <v>4055</v>
      </c>
      <c r="E555" s="65"/>
      <c r="F555" s="162" t="s">
        <v>3990</v>
      </c>
      <c r="G555" s="65"/>
      <c r="H555" s="218"/>
      <c r="I555" s="65"/>
      <c r="J555" s="218">
        <v>1000</v>
      </c>
      <c r="K555" s="108"/>
      <c r="L555" s="275">
        <v>1000</v>
      </c>
      <c r="M555" s="65"/>
      <c r="N555" s="219"/>
      <c r="O555" s="65" t="s">
        <v>1285</v>
      </c>
      <c r="P555" s="162"/>
      <c r="Q555" s="158"/>
      <c r="R555" s="157"/>
      <c r="S555" s="114"/>
      <c r="T555" s="162" t="s">
        <v>29</v>
      </c>
      <c r="U555" s="65" t="s">
        <v>17</v>
      </c>
      <c r="V555" s="162"/>
      <c r="W555" s="165" t="s">
        <v>4064</v>
      </c>
      <c r="X555" s="225"/>
      <c r="Y555" s="167"/>
    </row>
    <row r="556" spans="1:25">
      <c r="A556" s="131" t="s">
        <v>46</v>
      </c>
      <c r="B556" s="109" t="s">
        <v>1320</v>
      </c>
      <c r="C556" s="245" t="s">
        <v>2526</v>
      </c>
      <c r="D556" s="162" t="s">
        <v>1809</v>
      </c>
      <c r="E556" s="65" t="s">
        <v>1539</v>
      </c>
      <c r="F556" s="162" t="s">
        <v>18</v>
      </c>
      <c r="G556" s="65" t="s">
        <v>2527</v>
      </c>
      <c r="H556" s="218">
        <v>1</v>
      </c>
      <c r="I556" s="65"/>
      <c r="J556" s="218">
        <v>7.2</v>
      </c>
      <c r="K556" s="108"/>
      <c r="L556" s="275">
        <v>7.2</v>
      </c>
      <c r="M556" s="65" t="s">
        <v>2117</v>
      </c>
      <c r="N556" s="219">
        <v>0</v>
      </c>
      <c r="O556" s="65" t="s">
        <v>55</v>
      </c>
      <c r="P556" s="162" t="s">
        <v>1362</v>
      </c>
      <c r="Q556" s="158"/>
      <c r="R556" s="157"/>
      <c r="S556" s="114"/>
      <c r="T556" s="162" t="s">
        <v>25</v>
      </c>
      <c r="U556" s="65" t="s">
        <v>18</v>
      </c>
      <c r="V556" s="162">
        <v>1102</v>
      </c>
      <c r="W556" s="165"/>
      <c r="X556" s="225" t="s">
        <v>1400</v>
      </c>
      <c r="Y556" s="167">
        <v>44679.64570601852</v>
      </c>
    </row>
    <row r="557" spans="1:25">
      <c r="A557" s="131" t="s">
        <v>62</v>
      </c>
      <c r="B557" s="109" t="s">
        <v>1385</v>
      </c>
      <c r="C557" s="245" t="s">
        <v>2528</v>
      </c>
      <c r="D557" s="162" t="s">
        <v>2529</v>
      </c>
      <c r="E557" s="65" t="s">
        <v>1398</v>
      </c>
      <c r="F557" s="162" t="s">
        <v>1388</v>
      </c>
      <c r="G557" s="65" t="s">
        <v>208</v>
      </c>
      <c r="H557" s="218">
        <v>1</v>
      </c>
      <c r="I557" s="65"/>
      <c r="J557" s="218">
        <v>50</v>
      </c>
      <c r="K557" s="108"/>
      <c r="L557" s="275">
        <v>50</v>
      </c>
      <c r="M557" s="65" t="s">
        <v>1489</v>
      </c>
      <c r="N557" s="219"/>
      <c r="O557" s="65" t="s">
        <v>1285</v>
      </c>
      <c r="P557" s="162" t="s">
        <v>1407</v>
      </c>
      <c r="Q557" s="158"/>
      <c r="R557" s="157"/>
      <c r="S557" s="114"/>
      <c r="T557" s="162" t="s">
        <v>29</v>
      </c>
      <c r="U557" s="65" t="s">
        <v>1388</v>
      </c>
      <c r="V557" s="162">
        <v>1635</v>
      </c>
      <c r="W557" s="165"/>
      <c r="X557" s="225" t="s">
        <v>208</v>
      </c>
      <c r="Y557" s="167">
        <v>43769.416655092595</v>
      </c>
    </row>
    <row r="558" spans="1:25">
      <c r="A558" s="131" t="s">
        <v>62</v>
      </c>
      <c r="B558" s="109" t="s">
        <v>1385</v>
      </c>
      <c r="C558" s="245" t="s">
        <v>234</v>
      </c>
      <c r="D558" s="162" t="s">
        <v>235</v>
      </c>
      <c r="E558" s="65" t="s">
        <v>1429</v>
      </c>
      <c r="F558" s="162" t="s">
        <v>1388</v>
      </c>
      <c r="G558" s="65" t="s">
        <v>236</v>
      </c>
      <c r="H558" s="218">
        <v>6</v>
      </c>
      <c r="I558" s="65"/>
      <c r="J558" s="218">
        <v>2.5</v>
      </c>
      <c r="K558" s="108"/>
      <c r="L558" s="275">
        <v>15</v>
      </c>
      <c r="M558" s="65" t="s">
        <v>1696</v>
      </c>
      <c r="N558" s="219">
        <v>0</v>
      </c>
      <c r="O558" s="65" t="s">
        <v>27</v>
      </c>
      <c r="P558" s="162" t="s">
        <v>1407</v>
      </c>
      <c r="Q558" s="158" t="s">
        <v>1537</v>
      </c>
      <c r="R558" s="157" t="s">
        <v>1681</v>
      </c>
      <c r="S558" s="114"/>
      <c r="T558" s="162" t="s">
        <v>27</v>
      </c>
      <c r="U558" s="65" t="s">
        <v>1388</v>
      </c>
      <c r="V558" s="162">
        <v>1465</v>
      </c>
      <c r="W558" s="165"/>
      <c r="X558" s="225" t="s">
        <v>1453</v>
      </c>
      <c r="Y558" s="167">
        <v>44742.566284722219</v>
      </c>
    </row>
    <row r="559" spans="1:25" ht="22.5">
      <c r="A559" s="131" t="s">
        <v>62</v>
      </c>
      <c r="B559" s="109" t="s">
        <v>1385</v>
      </c>
      <c r="C559" s="245" t="s">
        <v>237</v>
      </c>
      <c r="D559" s="162" t="s">
        <v>238</v>
      </c>
      <c r="E559" s="65" t="s">
        <v>1391</v>
      </c>
      <c r="F559" s="162" t="s">
        <v>21</v>
      </c>
      <c r="G559" s="65" t="s">
        <v>239</v>
      </c>
      <c r="H559" s="218">
        <v>4</v>
      </c>
      <c r="I559" s="65"/>
      <c r="J559" s="218">
        <v>0.5</v>
      </c>
      <c r="K559" s="108"/>
      <c r="L559" s="275">
        <v>2</v>
      </c>
      <c r="M559" s="65" t="s">
        <v>1846</v>
      </c>
      <c r="N559" s="219">
        <v>4</v>
      </c>
      <c r="O559" s="65" t="s">
        <v>27</v>
      </c>
      <c r="P559" s="162" t="s">
        <v>1362</v>
      </c>
      <c r="Q559" s="158" t="s">
        <v>1537</v>
      </c>
      <c r="R559" s="157" t="s">
        <v>1681</v>
      </c>
      <c r="S559" s="114"/>
      <c r="T559" s="162" t="s">
        <v>27</v>
      </c>
      <c r="U559" s="65" t="s">
        <v>20</v>
      </c>
      <c r="V559" s="162">
        <v>1604</v>
      </c>
      <c r="W559" s="165"/>
      <c r="X559" s="225" t="s">
        <v>1453</v>
      </c>
      <c r="Y559" s="167">
        <v>44742.602893518517</v>
      </c>
    </row>
    <row r="560" spans="1:25">
      <c r="A560" s="131" t="s">
        <v>62</v>
      </c>
      <c r="B560" s="109" t="s">
        <v>1385</v>
      </c>
      <c r="C560" s="245" t="s">
        <v>240</v>
      </c>
      <c r="D560" s="162" t="s">
        <v>235</v>
      </c>
      <c r="E560" s="65" t="s">
        <v>1419</v>
      </c>
      <c r="F560" s="162" t="s">
        <v>17</v>
      </c>
      <c r="G560" s="65" t="s">
        <v>241</v>
      </c>
      <c r="H560" s="218">
        <v>12</v>
      </c>
      <c r="I560" s="65"/>
      <c r="J560" s="218">
        <v>3.6</v>
      </c>
      <c r="K560" s="108"/>
      <c r="L560" s="275">
        <v>43.2</v>
      </c>
      <c r="M560" s="65" t="s">
        <v>2188</v>
      </c>
      <c r="N560" s="219"/>
      <c r="O560" s="65" t="s">
        <v>27</v>
      </c>
      <c r="P560" s="162" t="s">
        <v>1407</v>
      </c>
      <c r="Q560" s="158" t="s">
        <v>1537</v>
      </c>
      <c r="R560" s="157" t="s">
        <v>1681</v>
      </c>
      <c r="S560" s="114"/>
      <c r="T560" s="162" t="s">
        <v>27</v>
      </c>
      <c r="U560" s="65" t="s">
        <v>17</v>
      </c>
      <c r="V560" s="162">
        <v>1464</v>
      </c>
      <c r="W560" s="165"/>
      <c r="X560" s="225" t="s">
        <v>1453</v>
      </c>
      <c r="Y560" s="167">
        <v>44742.565150462964</v>
      </c>
    </row>
    <row r="561" spans="1:25">
      <c r="A561" s="131" t="s">
        <v>62</v>
      </c>
      <c r="B561" s="109" t="s">
        <v>1385</v>
      </c>
      <c r="C561" s="245" t="s">
        <v>2530</v>
      </c>
      <c r="D561" s="162" t="s">
        <v>2531</v>
      </c>
      <c r="E561" s="65" t="s">
        <v>1419</v>
      </c>
      <c r="F561" s="162" t="s">
        <v>17</v>
      </c>
      <c r="G561" s="65" t="s">
        <v>208</v>
      </c>
      <c r="H561" s="218">
        <v>1</v>
      </c>
      <c r="I561" s="65"/>
      <c r="J561" s="218">
        <v>650</v>
      </c>
      <c r="K561" s="108"/>
      <c r="L561" s="275">
        <v>650</v>
      </c>
      <c r="M561" s="65" t="s">
        <v>2358</v>
      </c>
      <c r="N561" s="219">
        <v>0</v>
      </c>
      <c r="O561" s="65" t="s">
        <v>1285</v>
      </c>
      <c r="P561" s="162" t="s">
        <v>1407</v>
      </c>
      <c r="Q561" s="158"/>
      <c r="R561" s="157"/>
      <c r="S561" s="114"/>
      <c r="T561" s="162" t="s">
        <v>29</v>
      </c>
      <c r="U561" s="65" t="s">
        <v>17</v>
      </c>
      <c r="V561" s="162">
        <v>1606</v>
      </c>
      <c r="W561" s="165"/>
      <c r="X561" s="225" t="s">
        <v>1453</v>
      </c>
      <c r="Y561" s="167">
        <v>44746.583993055552</v>
      </c>
    </row>
    <row r="562" spans="1:25">
      <c r="A562" s="131" t="s">
        <v>100</v>
      </c>
      <c r="B562" s="109" t="s">
        <v>1385</v>
      </c>
      <c r="C562" s="245" t="s">
        <v>2532</v>
      </c>
      <c r="D562" s="162" t="s">
        <v>1676</v>
      </c>
      <c r="E562" s="65" t="s">
        <v>1391</v>
      </c>
      <c r="F562" s="162" t="s">
        <v>21</v>
      </c>
      <c r="G562" s="65" t="s">
        <v>208</v>
      </c>
      <c r="H562" s="218">
        <v>1</v>
      </c>
      <c r="I562" s="65"/>
      <c r="J562" s="218">
        <v>900</v>
      </c>
      <c r="K562" s="108"/>
      <c r="L562" s="275">
        <v>900</v>
      </c>
      <c r="M562" s="65" t="s">
        <v>2299</v>
      </c>
      <c r="N562" s="219"/>
      <c r="O562" s="65" t="s">
        <v>1285</v>
      </c>
      <c r="P562" s="162" t="s">
        <v>1403</v>
      </c>
      <c r="Q562" s="158"/>
      <c r="R562" s="157"/>
      <c r="S562" s="114"/>
      <c r="T562" s="162" t="s">
        <v>29</v>
      </c>
      <c r="U562" s="65" t="s">
        <v>20</v>
      </c>
      <c r="V562" s="162">
        <v>137</v>
      </c>
      <c r="W562" s="165"/>
      <c r="X562" s="225" t="s">
        <v>1400</v>
      </c>
      <c r="Y562" s="167">
        <v>43769.416655092595</v>
      </c>
    </row>
    <row r="563" spans="1:25">
      <c r="A563" s="131" t="s">
        <v>100</v>
      </c>
      <c r="B563" s="109" t="s">
        <v>1385</v>
      </c>
      <c r="C563" s="245" t="s">
        <v>2532</v>
      </c>
      <c r="D563" s="162" t="s">
        <v>1676</v>
      </c>
      <c r="E563" s="65" t="s">
        <v>1419</v>
      </c>
      <c r="F563" s="162" t="s">
        <v>17</v>
      </c>
      <c r="G563" s="65" t="s">
        <v>208</v>
      </c>
      <c r="H563" s="218">
        <v>1</v>
      </c>
      <c r="I563" s="65"/>
      <c r="J563" s="218">
        <v>942</v>
      </c>
      <c r="K563" s="108"/>
      <c r="L563" s="275">
        <v>942</v>
      </c>
      <c r="M563" s="65" t="s">
        <v>2533</v>
      </c>
      <c r="N563" s="219">
        <v>900</v>
      </c>
      <c r="O563" s="65" t="s">
        <v>1285</v>
      </c>
      <c r="P563" s="162" t="s">
        <v>1407</v>
      </c>
      <c r="Q563" s="158"/>
      <c r="R563" s="157"/>
      <c r="S563" s="114"/>
      <c r="T563" s="162" t="s">
        <v>29</v>
      </c>
      <c r="U563" s="65" t="s">
        <v>17</v>
      </c>
      <c r="V563" s="162">
        <v>1888</v>
      </c>
      <c r="W563" s="165"/>
      <c r="X563" s="225" t="s">
        <v>1400</v>
      </c>
      <c r="Y563" s="167">
        <v>44679.641539351855</v>
      </c>
    </row>
    <row r="564" spans="1:25">
      <c r="A564" s="131" t="s">
        <v>100</v>
      </c>
      <c r="B564" s="109" t="s">
        <v>1385</v>
      </c>
      <c r="C564" s="245" t="s">
        <v>2534</v>
      </c>
      <c r="D564" s="162" t="s">
        <v>2535</v>
      </c>
      <c r="E564" s="65" t="s">
        <v>1529</v>
      </c>
      <c r="F564" s="162" t="s">
        <v>21</v>
      </c>
      <c r="G564" s="65"/>
      <c r="H564" s="218">
        <v>56</v>
      </c>
      <c r="I564" s="65"/>
      <c r="J564" s="218"/>
      <c r="K564" s="108"/>
      <c r="L564" s="275">
        <v>100</v>
      </c>
      <c r="M564" s="65"/>
      <c r="N564" s="219"/>
      <c r="O564" s="65" t="s">
        <v>1285</v>
      </c>
      <c r="P564" s="162"/>
      <c r="Q564" s="158"/>
      <c r="R564" s="157"/>
      <c r="S564" s="114"/>
      <c r="T564" s="162" t="s">
        <v>29</v>
      </c>
      <c r="U564" s="65" t="s">
        <v>20</v>
      </c>
      <c r="V564" s="162" t="s">
        <v>208</v>
      </c>
      <c r="W564" s="165" t="s">
        <v>2536</v>
      </c>
      <c r="X564" s="225"/>
      <c r="Y564" s="167" t="s">
        <v>208</v>
      </c>
    </row>
    <row r="565" spans="1:25">
      <c r="A565" s="131" t="s">
        <v>100</v>
      </c>
      <c r="B565" s="109" t="s">
        <v>1385</v>
      </c>
      <c r="C565" s="245" t="s">
        <v>2537</v>
      </c>
      <c r="D565" s="162" t="s">
        <v>1625</v>
      </c>
      <c r="E565" s="65" t="s">
        <v>1429</v>
      </c>
      <c r="F565" s="162" t="s">
        <v>1388</v>
      </c>
      <c r="G565" s="65" t="s">
        <v>208</v>
      </c>
      <c r="H565" s="218">
        <v>38</v>
      </c>
      <c r="I565" s="65"/>
      <c r="J565" s="218">
        <v>1.403</v>
      </c>
      <c r="K565" s="108"/>
      <c r="L565" s="275">
        <v>53.314</v>
      </c>
      <c r="M565" s="65" t="s">
        <v>2538</v>
      </c>
      <c r="N565" s="219">
        <v>0</v>
      </c>
      <c r="O565" s="65" t="s">
        <v>1285</v>
      </c>
      <c r="P565" s="162" t="s">
        <v>1407</v>
      </c>
      <c r="Q565" s="158"/>
      <c r="R565" s="157"/>
      <c r="S565" s="114"/>
      <c r="T565" s="162" t="s">
        <v>29</v>
      </c>
      <c r="U565" s="65" t="s">
        <v>1388</v>
      </c>
      <c r="V565" s="162">
        <v>1507</v>
      </c>
      <c r="W565" s="165" t="s">
        <v>4110</v>
      </c>
      <c r="X565" s="225" t="s">
        <v>1453</v>
      </c>
      <c r="Y565" s="167">
        <v>44747.3746875</v>
      </c>
    </row>
    <row r="566" spans="1:25">
      <c r="A566" s="131" t="s">
        <v>100</v>
      </c>
      <c r="B566" s="109" t="s">
        <v>1385</v>
      </c>
      <c r="C566" s="245" t="s">
        <v>2539</v>
      </c>
      <c r="D566" s="162" t="s">
        <v>2540</v>
      </c>
      <c r="E566" s="65" t="s">
        <v>1429</v>
      </c>
      <c r="F566" s="162" t="s">
        <v>1388</v>
      </c>
      <c r="G566" s="65" t="s">
        <v>208</v>
      </c>
      <c r="H566" s="218">
        <v>1</v>
      </c>
      <c r="I566" s="65"/>
      <c r="J566" s="218">
        <v>29.9</v>
      </c>
      <c r="K566" s="108"/>
      <c r="L566" s="275">
        <v>29.9</v>
      </c>
      <c r="M566" s="65" t="s">
        <v>2541</v>
      </c>
      <c r="N566" s="219">
        <v>0</v>
      </c>
      <c r="O566" s="65" t="s">
        <v>1285</v>
      </c>
      <c r="P566" s="162" t="s">
        <v>1362</v>
      </c>
      <c r="Q566" s="158"/>
      <c r="R566" s="157"/>
      <c r="S566" s="114"/>
      <c r="T566" s="162" t="s">
        <v>29</v>
      </c>
      <c r="U566" s="65" t="s">
        <v>1388</v>
      </c>
      <c r="V566" s="162">
        <v>1916</v>
      </c>
      <c r="W566" s="165"/>
      <c r="X566" s="225" t="s">
        <v>1395</v>
      </c>
      <c r="Y566" s="167">
        <v>44679.714062500003</v>
      </c>
    </row>
    <row r="567" spans="1:25">
      <c r="A567" s="131" t="s">
        <v>46</v>
      </c>
      <c r="B567" s="109" t="s">
        <v>1385</v>
      </c>
      <c r="C567" s="245" t="s">
        <v>2542</v>
      </c>
      <c r="D567" s="162" t="s">
        <v>209</v>
      </c>
      <c r="E567" s="65"/>
      <c r="F567" s="162" t="s">
        <v>17</v>
      </c>
      <c r="G567" s="65"/>
      <c r="H567" s="218"/>
      <c r="I567" s="65"/>
      <c r="J567" s="218"/>
      <c r="K567" s="108"/>
      <c r="L567" s="275">
        <v>385</v>
      </c>
      <c r="M567" s="65"/>
      <c r="N567" s="219"/>
      <c r="O567" s="65" t="s">
        <v>1285</v>
      </c>
      <c r="P567" s="162"/>
      <c r="Q567" s="158"/>
      <c r="R567" s="157"/>
      <c r="S567" s="114"/>
      <c r="T567" s="162" t="s">
        <v>29</v>
      </c>
      <c r="U567" s="65" t="s">
        <v>17</v>
      </c>
      <c r="V567" s="162" t="s">
        <v>208</v>
      </c>
      <c r="W567" s="165" t="s">
        <v>2543</v>
      </c>
      <c r="X567" s="225"/>
      <c r="Y567" s="167" t="s">
        <v>208</v>
      </c>
    </row>
    <row r="568" spans="1:25">
      <c r="A568" s="131" t="s">
        <v>80</v>
      </c>
      <c r="B568" s="109" t="s">
        <v>1385</v>
      </c>
      <c r="C568" s="245" t="s">
        <v>2544</v>
      </c>
      <c r="D568" s="162" t="s">
        <v>2545</v>
      </c>
      <c r="E568" s="65" t="s">
        <v>1419</v>
      </c>
      <c r="F568" s="162" t="s">
        <v>17</v>
      </c>
      <c r="G568" s="65" t="s">
        <v>208</v>
      </c>
      <c r="H568" s="218">
        <v>42</v>
      </c>
      <c r="I568" s="65">
        <v>2.5</v>
      </c>
      <c r="J568" s="218">
        <v>4.1900000000000004</v>
      </c>
      <c r="K568" s="108">
        <v>105</v>
      </c>
      <c r="L568" s="275">
        <v>175.98000000000002</v>
      </c>
      <c r="M568" s="65" t="s">
        <v>2546</v>
      </c>
      <c r="N568" s="219">
        <v>0</v>
      </c>
      <c r="O568" s="65" t="s">
        <v>1285</v>
      </c>
      <c r="P568" s="162" t="s">
        <v>1407</v>
      </c>
      <c r="Q568" s="158"/>
      <c r="R568" s="157"/>
      <c r="S568" s="114"/>
      <c r="T568" s="162" t="s">
        <v>29</v>
      </c>
      <c r="U568" s="65" t="s">
        <v>17</v>
      </c>
      <c r="V568" s="162">
        <v>1103</v>
      </c>
      <c r="W568" s="165"/>
      <c r="X568" s="225" t="s">
        <v>1400</v>
      </c>
      <c r="Y568" s="167">
        <v>44679.637824074074</v>
      </c>
    </row>
    <row r="569" spans="1:25">
      <c r="A569" s="131" t="s">
        <v>100</v>
      </c>
      <c r="B569" s="109" t="s">
        <v>1320</v>
      </c>
      <c r="C569" s="245" t="s">
        <v>103</v>
      </c>
      <c r="D569" s="162" t="s">
        <v>104</v>
      </c>
      <c r="E569" s="65" t="s">
        <v>1429</v>
      </c>
      <c r="F569" s="162" t="s">
        <v>1388</v>
      </c>
      <c r="G569" s="65" t="s">
        <v>105</v>
      </c>
      <c r="H569" s="218">
        <v>150</v>
      </c>
      <c r="I569" s="65"/>
      <c r="J569" s="218">
        <v>1.333</v>
      </c>
      <c r="K569" s="108"/>
      <c r="L569" s="275">
        <v>199.95</v>
      </c>
      <c r="M569" s="65" t="s">
        <v>2547</v>
      </c>
      <c r="N569" s="219">
        <v>0</v>
      </c>
      <c r="O569" s="65" t="s">
        <v>55</v>
      </c>
      <c r="P569" s="162" t="s">
        <v>1407</v>
      </c>
      <c r="Q569" s="158"/>
      <c r="R569" s="157" t="s">
        <v>1547</v>
      </c>
      <c r="S569" s="114"/>
      <c r="T569" s="162" t="s">
        <v>25</v>
      </c>
      <c r="U569" s="65" t="s">
        <v>1388</v>
      </c>
      <c r="V569" s="162">
        <v>1602</v>
      </c>
      <c r="W569" s="165"/>
      <c r="X569" s="225" t="s">
        <v>1453</v>
      </c>
      <c r="Y569" s="167">
        <v>44746.594490740739</v>
      </c>
    </row>
    <row r="570" spans="1:25">
      <c r="A570" s="131" t="s">
        <v>100</v>
      </c>
      <c r="B570" s="109" t="s">
        <v>1385</v>
      </c>
      <c r="C570" s="245" t="s">
        <v>2548</v>
      </c>
      <c r="D570" s="162" t="s">
        <v>2549</v>
      </c>
      <c r="E570" s="65" t="s">
        <v>1429</v>
      </c>
      <c r="F570" s="162" t="s">
        <v>1388</v>
      </c>
      <c r="G570" s="65" t="s">
        <v>208</v>
      </c>
      <c r="H570" s="218">
        <v>110</v>
      </c>
      <c r="I570" s="65"/>
      <c r="J570" s="218">
        <v>1.3640000000000001</v>
      </c>
      <c r="K570" s="108"/>
      <c r="L570" s="275">
        <v>150.04000000000002</v>
      </c>
      <c r="M570" s="65" t="s">
        <v>2550</v>
      </c>
      <c r="N570" s="219"/>
      <c r="O570" s="65" t="s">
        <v>1285</v>
      </c>
      <c r="P570" s="162" t="s">
        <v>1407</v>
      </c>
      <c r="Q570" s="158"/>
      <c r="R570" s="157" t="s">
        <v>1547</v>
      </c>
      <c r="S570" s="114"/>
      <c r="T570" s="162" t="s">
        <v>29</v>
      </c>
      <c r="U570" s="65" t="s">
        <v>1388</v>
      </c>
      <c r="V570" s="162">
        <v>1670</v>
      </c>
      <c r="W570" s="165"/>
      <c r="X570" s="225" t="s">
        <v>1453</v>
      </c>
      <c r="Y570" s="167">
        <v>44747.37871527778</v>
      </c>
    </row>
    <row r="571" spans="1:25">
      <c r="A571" s="131" t="s">
        <v>100</v>
      </c>
      <c r="B571" s="109" t="s">
        <v>1320</v>
      </c>
      <c r="C571" s="245" t="s">
        <v>849</v>
      </c>
      <c r="D571" s="162" t="s">
        <v>2551</v>
      </c>
      <c r="E571" s="65" t="s">
        <v>1419</v>
      </c>
      <c r="F571" s="162" t="s">
        <v>17</v>
      </c>
      <c r="G571" s="65" t="s">
        <v>2552</v>
      </c>
      <c r="H571" s="218">
        <v>9</v>
      </c>
      <c r="I571" s="65"/>
      <c r="J571" s="218">
        <v>3.45</v>
      </c>
      <c r="K571" s="108"/>
      <c r="L571" s="275">
        <v>31.05</v>
      </c>
      <c r="M571" s="65" t="s">
        <v>2553</v>
      </c>
      <c r="N571" s="219"/>
      <c r="O571" s="65" t="s">
        <v>55</v>
      </c>
      <c r="P571" s="162" t="s">
        <v>1407</v>
      </c>
      <c r="Q571" s="158"/>
      <c r="R571" s="157" t="s">
        <v>1496</v>
      </c>
      <c r="S571" s="114"/>
      <c r="T571" s="162" t="s">
        <v>25</v>
      </c>
      <c r="U571" s="65" t="s">
        <v>17</v>
      </c>
      <c r="V571" s="162">
        <v>1382</v>
      </c>
      <c r="W571" s="165"/>
      <c r="X571" s="225" t="s">
        <v>1363</v>
      </c>
      <c r="Y571" s="167">
        <v>44746.675185185188</v>
      </c>
    </row>
    <row r="572" spans="1:25" ht="22.5">
      <c r="A572" s="131" t="s">
        <v>62</v>
      </c>
      <c r="B572" s="109" t="s">
        <v>1385</v>
      </c>
      <c r="C572" s="245" t="s">
        <v>346</v>
      </c>
      <c r="D572" s="162" t="s">
        <v>347</v>
      </c>
      <c r="E572" s="65" t="s">
        <v>1469</v>
      </c>
      <c r="F572" s="162" t="s">
        <v>18</v>
      </c>
      <c r="G572" s="65" t="s">
        <v>208</v>
      </c>
      <c r="H572" s="218">
        <v>2</v>
      </c>
      <c r="I572" s="65"/>
      <c r="J572" s="218">
        <v>125</v>
      </c>
      <c r="K572" s="108"/>
      <c r="L572" s="275">
        <v>250</v>
      </c>
      <c r="M572" s="65" t="s">
        <v>1564</v>
      </c>
      <c r="N572" s="219">
        <v>2000</v>
      </c>
      <c r="O572" s="65" t="s">
        <v>27</v>
      </c>
      <c r="P572" s="162" t="s">
        <v>1403</v>
      </c>
      <c r="Q572" s="158" t="s">
        <v>2554</v>
      </c>
      <c r="R572" s="157" t="s">
        <v>2555</v>
      </c>
      <c r="S572" s="114"/>
      <c r="T572" s="162" t="s">
        <v>27</v>
      </c>
      <c r="U572" s="65" t="s">
        <v>18</v>
      </c>
      <c r="V572" s="162">
        <v>1352</v>
      </c>
      <c r="W572" s="165"/>
      <c r="X572" s="225" t="s">
        <v>1453</v>
      </c>
      <c r="Y572" s="167">
        <v>44743.432905092595</v>
      </c>
    </row>
    <row r="573" spans="1:25">
      <c r="A573" s="131" t="s">
        <v>62</v>
      </c>
      <c r="B573" s="109" t="s">
        <v>1320</v>
      </c>
      <c r="C573" s="245" t="s">
        <v>2556</v>
      </c>
      <c r="D573" s="162" t="s">
        <v>1712</v>
      </c>
      <c r="E573" s="65" t="s">
        <v>1398</v>
      </c>
      <c r="F573" s="162" t="s">
        <v>1388</v>
      </c>
      <c r="G573" s="65" t="s">
        <v>2557</v>
      </c>
      <c r="H573" s="218">
        <v>20</v>
      </c>
      <c r="I573" s="65"/>
      <c r="J573" s="218">
        <v>2.5</v>
      </c>
      <c r="K573" s="108"/>
      <c r="L573" s="275">
        <v>50</v>
      </c>
      <c r="M573" s="65" t="s">
        <v>1489</v>
      </c>
      <c r="N573" s="219">
        <v>0</v>
      </c>
      <c r="O573" s="65" t="s">
        <v>55</v>
      </c>
      <c r="P573" s="162" t="s">
        <v>1407</v>
      </c>
      <c r="Q573" s="158"/>
      <c r="R573" s="157" t="s">
        <v>1424</v>
      </c>
      <c r="S573" s="114"/>
      <c r="T573" s="162" t="s">
        <v>25</v>
      </c>
      <c r="U573" s="65" t="s">
        <v>1388</v>
      </c>
      <c r="V573" s="162">
        <v>1378</v>
      </c>
      <c r="W573" s="165"/>
      <c r="X573" s="225" t="s">
        <v>1404</v>
      </c>
      <c r="Y573" s="167">
        <v>44746.661249999997</v>
      </c>
    </row>
    <row r="574" spans="1:25" ht="22.5">
      <c r="A574" s="131" t="s">
        <v>62</v>
      </c>
      <c r="B574" s="109" t="s">
        <v>1385</v>
      </c>
      <c r="C574" s="245" t="s">
        <v>2558</v>
      </c>
      <c r="D574" s="162" t="s">
        <v>1712</v>
      </c>
      <c r="E574" s="65" t="s">
        <v>1398</v>
      </c>
      <c r="F574" s="162" t="s">
        <v>1388</v>
      </c>
      <c r="G574" s="65" t="s">
        <v>208</v>
      </c>
      <c r="H574" s="218">
        <v>1</v>
      </c>
      <c r="I574" s="65"/>
      <c r="J574" s="218">
        <v>270</v>
      </c>
      <c r="K574" s="108"/>
      <c r="L574" s="275">
        <v>270</v>
      </c>
      <c r="M574" s="65" t="s">
        <v>2559</v>
      </c>
      <c r="N574" s="219">
        <v>0</v>
      </c>
      <c r="O574" s="65" t="s">
        <v>1285</v>
      </c>
      <c r="P574" s="162" t="s">
        <v>1407</v>
      </c>
      <c r="Q574" s="158"/>
      <c r="R574" s="157" t="s">
        <v>1534</v>
      </c>
      <c r="S574" s="114"/>
      <c r="T574" s="162" t="s">
        <v>29</v>
      </c>
      <c r="U574" s="65" t="s">
        <v>1388</v>
      </c>
      <c r="V574" s="162">
        <v>1406</v>
      </c>
      <c r="W574" s="165"/>
      <c r="X574" s="225" t="s">
        <v>1453</v>
      </c>
      <c r="Y574" s="167">
        <v>44741.449502314812</v>
      </c>
    </row>
    <row r="575" spans="1:25">
      <c r="A575" s="131" t="s">
        <v>62</v>
      </c>
      <c r="B575" s="109" t="s">
        <v>1385</v>
      </c>
      <c r="C575" s="245" t="s">
        <v>2560</v>
      </c>
      <c r="D575" s="162" t="s">
        <v>1712</v>
      </c>
      <c r="E575" s="65" t="s">
        <v>1419</v>
      </c>
      <c r="F575" s="162" t="s">
        <v>17</v>
      </c>
      <c r="G575" s="65" t="s">
        <v>208</v>
      </c>
      <c r="H575" s="218">
        <v>1</v>
      </c>
      <c r="I575" s="65"/>
      <c r="J575" s="218">
        <v>150</v>
      </c>
      <c r="K575" s="108"/>
      <c r="L575" s="275">
        <v>150</v>
      </c>
      <c r="M575" s="65" t="s">
        <v>1480</v>
      </c>
      <c r="N575" s="219">
        <v>0</v>
      </c>
      <c r="O575" s="65" t="s">
        <v>1285</v>
      </c>
      <c r="P575" s="162" t="s">
        <v>1407</v>
      </c>
      <c r="Q575" s="158"/>
      <c r="R575" s="157" t="s">
        <v>1534</v>
      </c>
      <c r="S575" s="114"/>
      <c r="T575" s="162" t="s">
        <v>29</v>
      </c>
      <c r="U575" s="65" t="s">
        <v>17</v>
      </c>
      <c r="V575" s="162">
        <v>1513</v>
      </c>
      <c r="W575" s="165"/>
      <c r="X575" s="225" t="s">
        <v>1453</v>
      </c>
      <c r="Y575" s="167">
        <v>44743.458298611113</v>
      </c>
    </row>
    <row r="576" spans="1:25">
      <c r="A576" s="131" t="s">
        <v>62</v>
      </c>
      <c r="B576" s="109" t="s">
        <v>1385</v>
      </c>
      <c r="C576" s="245" t="s">
        <v>4052</v>
      </c>
      <c r="D576" s="162" t="s">
        <v>4053</v>
      </c>
      <c r="E576" s="65"/>
      <c r="F576" s="162" t="s">
        <v>3990</v>
      </c>
      <c r="G576" s="65"/>
      <c r="H576" s="218"/>
      <c r="I576" s="65"/>
      <c r="J576" s="218"/>
      <c r="K576" s="108"/>
      <c r="L576" s="275">
        <v>204</v>
      </c>
      <c r="M576" s="65">
        <v>204</v>
      </c>
      <c r="N576" s="219"/>
      <c r="O576" s="65" t="s">
        <v>1285</v>
      </c>
      <c r="P576" s="162"/>
      <c r="Q576" s="158"/>
      <c r="R576" s="157"/>
      <c r="S576" s="114"/>
      <c r="T576" s="162" t="s">
        <v>29</v>
      </c>
      <c r="U576" s="65" t="s">
        <v>17</v>
      </c>
      <c r="V576" s="162"/>
      <c r="W576" s="165" t="s">
        <v>3974</v>
      </c>
      <c r="X576" s="225"/>
      <c r="Y576" s="167"/>
    </row>
    <row r="577" spans="1:25">
      <c r="A577" s="131" t="s">
        <v>62</v>
      </c>
      <c r="B577" s="109" t="s">
        <v>1385</v>
      </c>
      <c r="C577" s="245" t="s">
        <v>2561</v>
      </c>
      <c r="D577" s="162" t="s">
        <v>2562</v>
      </c>
      <c r="E577" s="65" t="s">
        <v>1429</v>
      </c>
      <c r="F577" s="162" t="s">
        <v>1388</v>
      </c>
      <c r="G577" s="65" t="s">
        <v>208</v>
      </c>
      <c r="H577" s="218">
        <v>9</v>
      </c>
      <c r="I577" s="65"/>
      <c r="J577" s="218">
        <v>4.444</v>
      </c>
      <c r="K577" s="108"/>
      <c r="L577" s="275">
        <v>39.996000000000002</v>
      </c>
      <c r="M577" s="65" t="s">
        <v>2563</v>
      </c>
      <c r="N577" s="219">
        <v>0</v>
      </c>
      <c r="O577" s="65" t="s">
        <v>1285</v>
      </c>
      <c r="P577" s="162" t="s">
        <v>1407</v>
      </c>
      <c r="Q577" s="158"/>
      <c r="R577" s="157"/>
      <c r="S577" s="114"/>
      <c r="T577" s="162" t="s">
        <v>29</v>
      </c>
      <c r="U577" s="65" t="s">
        <v>1388</v>
      </c>
      <c r="V577" s="162">
        <v>1528</v>
      </c>
      <c r="W577" s="165"/>
      <c r="X577" s="225" t="s">
        <v>1453</v>
      </c>
      <c r="Y577" s="167">
        <v>44679.645428240743</v>
      </c>
    </row>
    <row r="578" spans="1:25">
      <c r="A578" s="131" t="s">
        <v>80</v>
      </c>
      <c r="B578" s="109" t="s">
        <v>1385</v>
      </c>
      <c r="C578" s="245" t="s">
        <v>2564</v>
      </c>
      <c r="D578" s="162" t="s">
        <v>377</v>
      </c>
      <c r="E578" s="65" t="s">
        <v>1429</v>
      </c>
      <c r="F578" s="162" t="s">
        <v>1388</v>
      </c>
      <c r="G578" s="65" t="s">
        <v>208</v>
      </c>
      <c r="H578" s="218">
        <v>1</v>
      </c>
      <c r="I578" s="65"/>
      <c r="J578" s="218">
        <v>120</v>
      </c>
      <c r="K578" s="108"/>
      <c r="L578" s="275">
        <v>120</v>
      </c>
      <c r="M578" s="65" t="s">
        <v>1460</v>
      </c>
      <c r="N578" s="219"/>
      <c r="O578" s="65" t="s">
        <v>1285</v>
      </c>
      <c r="P578" s="162" t="s">
        <v>1407</v>
      </c>
      <c r="Q578" s="158"/>
      <c r="R578" s="157"/>
      <c r="S578" s="114"/>
      <c r="T578" s="162" t="s">
        <v>29</v>
      </c>
      <c r="U578" s="65" t="s">
        <v>1388</v>
      </c>
      <c r="V578" s="162">
        <v>1395</v>
      </c>
      <c r="W578" s="165"/>
      <c r="X578" s="225" t="s">
        <v>208</v>
      </c>
      <c r="Y578" s="167">
        <v>43769.416655092595</v>
      </c>
    </row>
    <row r="579" spans="1:25">
      <c r="A579" s="131" t="s">
        <v>80</v>
      </c>
      <c r="B579" s="109" t="s">
        <v>1385</v>
      </c>
      <c r="C579" s="245" t="s">
        <v>2565</v>
      </c>
      <c r="D579" s="162" t="s">
        <v>377</v>
      </c>
      <c r="E579" s="65" t="s">
        <v>1391</v>
      </c>
      <c r="F579" s="162" t="s">
        <v>21</v>
      </c>
      <c r="G579" s="65" t="s">
        <v>208</v>
      </c>
      <c r="H579" s="218">
        <v>1</v>
      </c>
      <c r="I579" s="65"/>
      <c r="J579" s="218">
        <v>100</v>
      </c>
      <c r="K579" s="108"/>
      <c r="L579" s="275">
        <v>100</v>
      </c>
      <c r="M579" s="65" t="s">
        <v>1546</v>
      </c>
      <c r="N579" s="219"/>
      <c r="O579" s="65" t="s">
        <v>1285</v>
      </c>
      <c r="P579" s="162" t="s">
        <v>1403</v>
      </c>
      <c r="Q579" s="158"/>
      <c r="R579" s="157"/>
      <c r="S579" s="114"/>
      <c r="T579" s="162" t="s">
        <v>29</v>
      </c>
      <c r="U579" s="65" t="s">
        <v>20</v>
      </c>
      <c r="V579" s="162">
        <v>112</v>
      </c>
      <c r="W579" s="165"/>
      <c r="X579" s="225" t="s">
        <v>208</v>
      </c>
      <c r="Y579" s="167">
        <v>43312</v>
      </c>
    </row>
    <row r="580" spans="1:25">
      <c r="A580" s="131" t="s">
        <v>80</v>
      </c>
      <c r="B580" s="109" t="s">
        <v>1320</v>
      </c>
      <c r="C580" s="245" t="s">
        <v>2566</v>
      </c>
      <c r="D580" s="162" t="s">
        <v>2567</v>
      </c>
      <c r="E580" s="65" t="s">
        <v>1365</v>
      </c>
      <c r="F580" s="162" t="s">
        <v>1431</v>
      </c>
      <c r="G580" s="65" t="s">
        <v>208</v>
      </c>
      <c r="H580" s="218">
        <v>4</v>
      </c>
      <c r="I580" s="65"/>
      <c r="J580" s="218">
        <v>2</v>
      </c>
      <c r="K580" s="108"/>
      <c r="L580" s="275">
        <v>8</v>
      </c>
      <c r="M580" s="65" t="s">
        <v>1917</v>
      </c>
      <c r="N580" s="219">
        <v>0</v>
      </c>
      <c r="O580" s="65" t="s">
        <v>55</v>
      </c>
      <c r="P580" s="162" t="s">
        <v>1362</v>
      </c>
      <c r="Q580" s="158"/>
      <c r="R580" s="157"/>
      <c r="S580" s="114"/>
      <c r="T580" s="162" t="s">
        <v>25</v>
      </c>
      <c r="U580" s="65" t="s">
        <v>21</v>
      </c>
      <c r="V580" s="162">
        <v>1519</v>
      </c>
      <c r="W580" s="165"/>
      <c r="X580" s="225" t="s">
        <v>1400</v>
      </c>
      <c r="Y580" s="167">
        <v>44679.627789351849</v>
      </c>
    </row>
    <row r="581" spans="1:25">
      <c r="A581" s="131" t="s">
        <v>62</v>
      </c>
      <c r="B581" s="109" t="s">
        <v>1385</v>
      </c>
      <c r="C581" s="245" t="s">
        <v>2568</v>
      </c>
      <c r="D581" s="162" t="s">
        <v>2099</v>
      </c>
      <c r="E581" s="65" t="s">
        <v>1398</v>
      </c>
      <c r="F581" s="162" t="s">
        <v>1388</v>
      </c>
      <c r="G581" s="65" t="s">
        <v>208</v>
      </c>
      <c r="H581" s="218">
        <v>1</v>
      </c>
      <c r="I581" s="65"/>
      <c r="J581" s="218"/>
      <c r="K581" s="108"/>
      <c r="L581" s="275"/>
      <c r="M581" s="65"/>
      <c r="N581" s="219"/>
      <c r="O581" s="65" t="s">
        <v>1285</v>
      </c>
      <c r="P581" s="162" t="s">
        <v>1407</v>
      </c>
      <c r="Q581" s="158"/>
      <c r="R581" s="157"/>
      <c r="S581" s="114"/>
      <c r="T581" s="162" t="s">
        <v>29</v>
      </c>
      <c r="U581" s="65" t="s">
        <v>1388</v>
      </c>
      <c r="V581" s="162">
        <v>1446</v>
      </c>
      <c r="W581" s="165"/>
      <c r="X581" s="225" t="s">
        <v>1400</v>
      </c>
      <c r="Y581" s="167">
        <v>43769.416655092595</v>
      </c>
    </row>
    <row r="582" spans="1:25" ht="22.5">
      <c r="A582" s="131" t="s">
        <v>62</v>
      </c>
      <c r="B582" s="109" t="s">
        <v>1385</v>
      </c>
      <c r="C582" s="245" t="s">
        <v>2569</v>
      </c>
      <c r="D582" s="162" t="s">
        <v>2570</v>
      </c>
      <c r="E582" s="65"/>
      <c r="F582" s="162" t="s">
        <v>21</v>
      </c>
      <c r="G582" s="65"/>
      <c r="H582" s="218"/>
      <c r="I582" s="65"/>
      <c r="J582" s="218"/>
      <c r="K582" s="108"/>
      <c r="L582" s="275">
        <v>200</v>
      </c>
      <c r="M582" s="65"/>
      <c r="N582" s="219"/>
      <c r="O582" s="65" t="s">
        <v>1285</v>
      </c>
      <c r="P582" s="162"/>
      <c r="Q582" s="158"/>
      <c r="R582" s="157"/>
      <c r="S582" s="114"/>
      <c r="T582" s="162" t="s">
        <v>29</v>
      </c>
      <c r="U582" s="65" t="s">
        <v>20</v>
      </c>
      <c r="V582" s="162" t="s">
        <v>208</v>
      </c>
      <c r="W582" s="165" t="s">
        <v>2571</v>
      </c>
      <c r="X582" s="225"/>
      <c r="Y582" s="167" t="s">
        <v>208</v>
      </c>
    </row>
    <row r="583" spans="1:25">
      <c r="A583" s="131" t="s">
        <v>62</v>
      </c>
      <c r="B583" s="109" t="s">
        <v>1320</v>
      </c>
      <c r="C583" s="245" t="s">
        <v>2572</v>
      </c>
      <c r="D583" s="162" t="s">
        <v>1817</v>
      </c>
      <c r="E583" s="65" t="s">
        <v>1822</v>
      </c>
      <c r="F583" s="162" t="s">
        <v>1597</v>
      </c>
      <c r="G583" s="65" t="s">
        <v>2573</v>
      </c>
      <c r="H583" s="218">
        <v>1</v>
      </c>
      <c r="I583" s="65"/>
      <c r="J583" s="218">
        <v>744</v>
      </c>
      <c r="K583" s="108"/>
      <c r="L583" s="275">
        <v>744</v>
      </c>
      <c r="M583" s="65" t="s">
        <v>2574</v>
      </c>
      <c r="N583" s="219"/>
      <c r="O583" s="65" t="s">
        <v>55</v>
      </c>
      <c r="P583" s="162" t="s">
        <v>1403</v>
      </c>
      <c r="Q583" s="158"/>
      <c r="R583" s="157" t="s">
        <v>1496</v>
      </c>
      <c r="S583" s="114"/>
      <c r="T583" s="162" t="s">
        <v>25</v>
      </c>
      <c r="U583" s="65" t="s">
        <v>12</v>
      </c>
      <c r="V583" s="162">
        <v>1104</v>
      </c>
      <c r="W583" s="165"/>
      <c r="X583" s="225" t="s">
        <v>1363</v>
      </c>
      <c r="Y583" s="167">
        <v>44732.4690162037</v>
      </c>
    </row>
    <row r="584" spans="1:25">
      <c r="A584" s="131" t="s">
        <v>100</v>
      </c>
      <c r="B584" s="109" t="s">
        <v>1385</v>
      </c>
      <c r="C584" s="245" t="s">
        <v>4022</v>
      </c>
      <c r="D584" s="162" t="s">
        <v>1741</v>
      </c>
      <c r="E584" s="65"/>
      <c r="F584" s="162" t="s">
        <v>1529</v>
      </c>
      <c r="G584" s="65"/>
      <c r="H584" s="218">
        <v>68</v>
      </c>
      <c r="I584" s="65"/>
      <c r="J584" s="242"/>
      <c r="K584" s="108"/>
      <c r="L584" s="282">
        <v>163.19999999999999</v>
      </c>
      <c r="M584" s="243">
        <v>163.19999999999999</v>
      </c>
      <c r="N584" s="219"/>
      <c r="O584" s="65" t="s">
        <v>1285</v>
      </c>
      <c r="P584" s="162"/>
      <c r="Q584" s="158"/>
      <c r="R584" s="157"/>
      <c r="S584" s="114"/>
      <c r="T584" s="162" t="s">
        <v>29</v>
      </c>
      <c r="U584" s="65" t="s">
        <v>20</v>
      </c>
      <c r="V584" s="162"/>
      <c r="W584" s="165" t="s">
        <v>4049</v>
      </c>
      <c r="X584" s="225"/>
      <c r="Y584" s="167"/>
    </row>
    <row r="585" spans="1:25" ht="22.5">
      <c r="A585" s="131" t="s">
        <v>62</v>
      </c>
      <c r="B585" s="109" t="s">
        <v>1385</v>
      </c>
      <c r="C585" s="245" t="s">
        <v>2575</v>
      </c>
      <c r="D585" s="162" t="s">
        <v>2576</v>
      </c>
      <c r="E585" s="65" t="s">
        <v>1429</v>
      </c>
      <c r="F585" s="162" t="s">
        <v>1388</v>
      </c>
      <c r="G585" s="65" t="s">
        <v>208</v>
      </c>
      <c r="H585" s="218">
        <v>1</v>
      </c>
      <c r="I585" s="65"/>
      <c r="J585" s="218">
        <v>80</v>
      </c>
      <c r="K585" s="108"/>
      <c r="L585" s="275">
        <v>80</v>
      </c>
      <c r="M585" s="65" t="s">
        <v>1665</v>
      </c>
      <c r="N585" s="219">
        <v>0</v>
      </c>
      <c r="O585" s="65" t="s">
        <v>1285</v>
      </c>
      <c r="P585" s="162" t="s">
        <v>1407</v>
      </c>
      <c r="Q585" s="158"/>
      <c r="R585" s="157"/>
      <c r="S585" s="114"/>
      <c r="T585" s="162" t="s">
        <v>29</v>
      </c>
      <c r="U585" s="65" t="s">
        <v>1388</v>
      </c>
      <c r="V585" s="162">
        <v>1908</v>
      </c>
      <c r="W585" s="165" t="s">
        <v>3955</v>
      </c>
      <c r="X585" s="225" t="s">
        <v>1583</v>
      </c>
      <c r="Y585" s="167">
        <v>44679.649062500001</v>
      </c>
    </row>
    <row r="586" spans="1:25">
      <c r="A586" s="131" t="s">
        <v>46</v>
      </c>
      <c r="B586" s="109" t="s">
        <v>1385</v>
      </c>
      <c r="C586" s="245" t="s">
        <v>152</v>
      </c>
      <c r="D586" s="162" t="s">
        <v>283</v>
      </c>
      <c r="E586" s="65" t="s">
        <v>1493</v>
      </c>
      <c r="F586" s="162" t="s">
        <v>1360</v>
      </c>
      <c r="G586" s="65" t="s">
        <v>208</v>
      </c>
      <c r="H586" s="218">
        <v>2</v>
      </c>
      <c r="I586" s="65"/>
      <c r="J586" s="218">
        <v>375</v>
      </c>
      <c r="K586" s="108"/>
      <c r="L586" s="275">
        <v>750</v>
      </c>
      <c r="M586" s="65" t="s">
        <v>1591</v>
      </c>
      <c r="N586" s="219"/>
      <c r="O586" s="65" t="s">
        <v>2577</v>
      </c>
      <c r="P586" s="162" t="s">
        <v>1403</v>
      </c>
      <c r="Q586" s="158" t="s">
        <v>2578</v>
      </c>
      <c r="R586" s="157"/>
      <c r="S586" s="114"/>
      <c r="T586" s="162" t="s">
        <v>27</v>
      </c>
      <c r="U586" s="65" t="s">
        <v>14</v>
      </c>
      <c r="V586" s="162">
        <v>1871</v>
      </c>
      <c r="W586" s="165"/>
      <c r="X586" s="225" t="s">
        <v>1453</v>
      </c>
      <c r="Y586" s="167">
        <v>44747.480069444442</v>
      </c>
    </row>
    <row r="587" spans="1:25">
      <c r="A587" s="131" t="s">
        <v>80</v>
      </c>
      <c r="B587" s="109" t="s">
        <v>1320</v>
      </c>
      <c r="C587" s="245" t="s">
        <v>490</v>
      </c>
      <c r="D587" s="162" t="s">
        <v>465</v>
      </c>
      <c r="E587" s="65" t="s">
        <v>1493</v>
      </c>
      <c r="F587" s="162" t="s">
        <v>1360</v>
      </c>
      <c r="G587" s="65" t="s">
        <v>2579</v>
      </c>
      <c r="H587" s="218">
        <v>1</v>
      </c>
      <c r="I587" s="65"/>
      <c r="J587" s="218">
        <v>40</v>
      </c>
      <c r="K587" s="108"/>
      <c r="L587" s="275">
        <v>40</v>
      </c>
      <c r="M587" s="65" t="s">
        <v>1618</v>
      </c>
      <c r="N587" s="219"/>
      <c r="O587" s="65" t="s">
        <v>55</v>
      </c>
      <c r="P587" s="162" t="s">
        <v>1403</v>
      </c>
      <c r="Q587" s="158"/>
      <c r="R587" s="157" t="s">
        <v>1837</v>
      </c>
      <c r="S587" s="114"/>
      <c r="T587" s="162" t="s">
        <v>25</v>
      </c>
      <c r="U587" s="65" t="s">
        <v>14</v>
      </c>
      <c r="V587" s="162">
        <v>1107</v>
      </c>
      <c r="W587" s="165"/>
      <c r="X587" s="225" t="s">
        <v>1363</v>
      </c>
      <c r="Y587" s="167">
        <v>44670.382928240739</v>
      </c>
    </row>
    <row r="588" spans="1:25">
      <c r="A588" s="131" t="s">
        <v>80</v>
      </c>
      <c r="B588" s="109" t="s">
        <v>1320</v>
      </c>
      <c r="C588" s="245" t="s">
        <v>490</v>
      </c>
      <c r="D588" s="162" t="s">
        <v>465</v>
      </c>
      <c r="E588" s="65" t="s">
        <v>1493</v>
      </c>
      <c r="F588" s="162" t="s">
        <v>1360</v>
      </c>
      <c r="G588" s="65" t="s">
        <v>2580</v>
      </c>
      <c r="H588" s="218">
        <v>1</v>
      </c>
      <c r="I588" s="65"/>
      <c r="J588" s="218">
        <v>40</v>
      </c>
      <c r="K588" s="108"/>
      <c r="L588" s="275">
        <v>40</v>
      </c>
      <c r="M588" s="65" t="s">
        <v>1618</v>
      </c>
      <c r="N588" s="219"/>
      <c r="O588" s="65" t="s">
        <v>55</v>
      </c>
      <c r="P588" s="162" t="s">
        <v>1403</v>
      </c>
      <c r="Q588" s="158"/>
      <c r="R588" s="157" t="s">
        <v>1837</v>
      </c>
      <c r="S588" s="114"/>
      <c r="T588" s="162" t="s">
        <v>25</v>
      </c>
      <c r="U588" s="65" t="s">
        <v>14</v>
      </c>
      <c r="V588" s="162">
        <v>1107</v>
      </c>
      <c r="W588" s="165"/>
      <c r="X588" s="225" t="s">
        <v>1363</v>
      </c>
      <c r="Y588" s="167">
        <v>44670.382928240739</v>
      </c>
    </row>
    <row r="589" spans="1:25">
      <c r="A589" s="131" t="s">
        <v>80</v>
      </c>
      <c r="B589" s="109" t="s">
        <v>1320</v>
      </c>
      <c r="C589" s="245" t="s">
        <v>2581</v>
      </c>
      <c r="D589" s="162" t="s">
        <v>2582</v>
      </c>
      <c r="E589" s="65" t="s">
        <v>1419</v>
      </c>
      <c r="F589" s="162" t="s">
        <v>17</v>
      </c>
      <c r="G589" s="65" t="s">
        <v>2583</v>
      </c>
      <c r="H589" s="218">
        <v>46</v>
      </c>
      <c r="I589" s="65"/>
      <c r="J589" s="218">
        <v>1.75</v>
      </c>
      <c r="K589" s="108"/>
      <c r="L589" s="275">
        <v>80.5</v>
      </c>
      <c r="M589" s="65" t="s">
        <v>2584</v>
      </c>
      <c r="N589" s="219"/>
      <c r="O589" s="65" t="s">
        <v>55</v>
      </c>
      <c r="P589" s="162" t="s">
        <v>1362</v>
      </c>
      <c r="Q589" s="158"/>
      <c r="R589" s="157" t="s">
        <v>1837</v>
      </c>
      <c r="S589" s="114"/>
      <c r="T589" s="162" t="s">
        <v>25</v>
      </c>
      <c r="U589" s="65" t="s">
        <v>17</v>
      </c>
      <c r="V589" s="162">
        <v>1108</v>
      </c>
      <c r="W589" s="165"/>
      <c r="X589" s="225" t="s">
        <v>1363</v>
      </c>
      <c r="Y589" s="167">
        <v>44670.386261574073</v>
      </c>
    </row>
    <row r="590" spans="1:25">
      <c r="A590" s="131" t="s">
        <v>80</v>
      </c>
      <c r="B590" s="109" t="s">
        <v>1320</v>
      </c>
      <c r="C590" s="245" t="s">
        <v>2585</v>
      </c>
      <c r="D590" s="162" t="s">
        <v>2582</v>
      </c>
      <c r="E590" s="65" t="s">
        <v>1419</v>
      </c>
      <c r="F590" s="162" t="s">
        <v>17</v>
      </c>
      <c r="G590" s="65" t="s">
        <v>2586</v>
      </c>
      <c r="H590" s="218">
        <v>53</v>
      </c>
      <c r="I590" s="65"/>
      <c r="J590" s="218">
        <v>3</v>
      </c>
      <c r="K590" s="108"/>
      <c r="L590" s="275">
        <v>159</v>
      </c>
      <c r="M590" s="65" t="s">
        <v>1533</v>
      </c>
      <c r="N590" s="219"/>
      <c r="O590" s="65" t="s">
        <v>55</v>
      </c>
      <c r="P590" s="162" t="s">
        <v>1407</v>
      </c>
      <c r="Q590" s="158"/>
      <c r="R590" s="157" t="s">
        <v>1959</v>
      </c>
      <c r="S590" s="114"/>
      <c r="T590" s="162" t="s">
        <v>25</v>
      </c>
      <c r="U590" s="65" t="s">
        <v>17</v>
      </c>
      <c r="V590" s="162">
        <v>1109</v>
      </c>
      <c r="W590" s="165"/>
      <c r="X590" s="225" t="s">
        <v>1363</v>
      </c>
      <c r="Y590" s="167">
        <v>44670.387418981481</v>
      </c>
    </row>
    <row r="591" spans="1:25">
      <c r="A591" s="131" t="s">
        <v>80</v>
      </c>
      <c r="B591" s="109" t="s">
        <v>1320</v>
      </c>
      <c r="C591" s="245" t="s">
        <v>2587</v>
      </c>
      <c r="D591" s="162" t="s">
        <v>2582</v>
      </c>
      <c r="E591" s="65" t="s">
        <v>1419</v>
      </c>
      <c r="F591" s="162" t="s">
        <v>17</v>
      </c>
      <c r="G591" s="65" t="s">
        <v>2588</v>
      </c>
      <c r="H591" s="218">
        <v>13</v>
      </c>
      <c r="I591" s="65"/>
      <c r="J591" s="218">
        <v>3</v>
      </c>
      <c r="K591" s="108"/>
      <c r="L591" s="275">
        <v>39</v>
      </c>
      <c r="M591" s="65" t="s">
        <v>2589</v>
      </c>
      <c r="N591" s="219"/>
      <c r="O591" s="65" t="s">
        <v>55</v>
      </c>
      <c r="P591" s="162" t="s">
        <v>1407</v>
      </c>
      <c r="Q591" s="158"/>
      <c r="R591" s="157" t="s">
        <v>1511</v>
      </c>
      <c r="S591" s="114"/>
      <c r="T591" s="162" t="s">
        <v>25</v>
      </c>
      <c r="U591" s="65" t="s">
        <v>17</v>
      </c>
      <c r="V591" s="162">
        <v>1110</v>
      </c>
      <c r="W591" s="165"/>
      <c r="X591" s="225" t="s">
        <v>1363</v>
      </c>
      <c r="Y591" s="167">
        <v>44670.388483796298</v>
      </c>
    </row>
    <row r="592" spans="1:25">
      <c r="A592" s="131" t="s">
        <v>80</v>
      </c>
      <c r="B592" s="109" t="s">
        <v>1320</v>
      </c>
      <c r="C592" s="245" t="s">
        <v>492</v>
      </c>
      <c r="D592" s="162" t="s">
        <v>2590</v>
      </c>
      <c r="E592" s="65" t="s">
        <v>1391</v>
      </c>
      <c r="F592" s="162" t="s">
        <v>21</v>
      </c>
      <c r="G592" s="65" t="s">
        <v>494</v>
      </c>
      <c r="H592" s="218">
        <v>1</v>
      </c>
      <c r="I592" s="65"/>
      <c r="J592" s="218">
        <v>25</v>
      </c>
      <c r="K592" s="108"/>
      <c r="L592" s="275">
        <v>25</v>
      </c>
      <c r="M592" s="65" t="s">
        <v>1604</v>
      </c>
      <c r="N592" s="219">
        <v>52</v>
      </c>
      <c r="O592" s="65" t="s">
        <v>55</v>
      </c>
      <c r="P592" s="162" t="s">
        <v>1403</v>
      </c>
      <c r="Q592" s="158"/>
      <c r="R592" s="157" t="s">
        <v>1554</v>
      </c>
      <c r="S592" s="114"/>
      <c r="T592" s="162" t="s">
        <v>25</v>
      </c>
      <c r="U592" s="65" t="s">
        <v>20</v>
      </c>
      <c r="V592" s="162">
        <v>1568</v>
      </c>
      <c r="W592" s="165"/>
      <c r="X592" s="225" t="s">
        <v>1363</v>
      </c>
      <c r="Y592" s="167">
        <v>44671.476643518516</v>
      </c>
    </row>
    <row r="593" spans="1:25">
      <c r="A593" s="131" t="s">
        <v>95</v>
      </c>
      <c r="B593" s="109" t="s">
        <v>1320</v>
      </c>
      <c r="C593" s="245" t="s">
        <v>2591</v>
      </c>
      <c r="D593" s="162" t="s">
        <v>1585</v>
      </c>
      <c r="E593" s="65" t="s">
        <v>1539</v>
      </c>
      <c r="F593" s="162" t="s">
        <v>18</v>
      </c>
      <c r="G593" s="65" t="s">
        <v>2592</v>
      </c>
      <c r="H593" s="218">
        <v>1</v>
      </c>
      <c r="I593" s="65"/>
      <c r="J593" s="218">
        <v>32.4</v>
      </c>
      <c r="K593" s="108"/>
      <c r="L593" s="275">
        <v>32.4</v>
      </c>
      <c r="M593" s="65" t="s">
        <v>2593</v>
      </c>
      <c r="N593" s="219"/>
      <c r="O593" s="65" t="s">
        <v>55</v>
      </c>
      <c r="P593" s="162" t="s">
        <v>1403</v>
      </c>
      <c r="Q593" s="158"/>
      <c r="R593" s="157" t="s">
        <v>1588</v>
      </c>
      <c r="S593" s="114"/>
      <c r="T593" s="162" t="s">
        <v>25</v>
      </c>
      <c r="U593" s="65" t="s">
        <v>18</v>
      </c>
      <c r="V593" s="162">
        <v>1111</v>
      </c>
      <c r="W593" s="165"/>
      <c r="X593" s="225" t="s">
        <v>1363</v>
      </c>
      <c r="Y593" s="167">
        <v>44670.60460648148</v>
      </c>
    </row>
    <row r="594" spans="1:25">
      <c r="A594" s="131" t="s">
        <v>95</v>
      </c>
      <c r="B594" s="109" t="s">
        <v>1320</v>
      </c>
      <c r="C594" s="245" t="s">
        <v>2594</v>
      </c>
      <c r="D594" s="162" t="s">
        <v>1585</v>
      </c>
      <c r="E594" s="65" t="s">
        <v>1539</v>
      </c>
      <c r="F594" s="162" t="s">
        <v>18</v>
      </c>
      <c r="G594" s="65" t="s">
        <v>208</v>
      </c>
      <c r="H594" s="218">
        <v>7</v>
      </c>
      <c r="I594" s="65"/>
      <c r="J594" s="218">
        <v>1.2</v>
      </c>
      <c r="K594" s="108"/>
      <c r="L594" s="275">
        <v>8.4</v>
      </c>
      <c r="M594" s="65" t="s">
        <v>2595</v>
      </c>
      <c r="N594" s="219"/>
      <c r="O594" s="65" t="s">
        <v>55</v>
      </c>
      <c r="P594" s="162" t="s">
        <v>1362</v>
      </c>
      <c r="Q594" s="158"/>
      <c r="R594" s="157" t="s">
        <v>1588</v>
      </c>
      <c r="S594" s="114"/>
      <c r="T594" s="162" t="s">
        <v>25</v>
      </c>
      <c r="U594" s="65" t="s">
        <v>18</v>
      </c>
      <c r="V594" s="162">
        <v>1112</v>
      </c>
      <c r="W594" s="165"/>
      <c r="X594" s="225" t="s">
        <v>1363</v>
      </c>
      <c r="Y594" s="167">
        <v>44670.60564814815</v>
      </c>
    </row>
    <row r="595" spans="1:25">
      <c r="A595" s="131" t="s">
        <v>62</v>
      </c>
      <c r="B595" s="109" t="s">
        <v>1320</v>
      </c>
      <c r="C595" s="245" t="s">
        <v>812</v>
      </c>
      <c r="D595" s="162" t="s">
        <v>2596</v>
      </c>
      <c r="E595" s="65" t="s">
        <v>1539</v>
      </c>
      <c r="F595" s="162" t="s">
        <v>18</v>
      </c>
      <c r="G595" s="65" t="s">
        <v>208</v>
      </c>
      <c r="H595" s="218">
        <v>1</v>
      </c>
      <c r="I595" s="65"/>
      <c r="J595" s="218">
        <v>4.3</v>
      </c>
      <c r="K595" s="108"/>
      <c r="L595" s="275">
        <v>4.3</v>
      </c>
      <c r="M595" s="65" t="s">
        <v>2597</v>
      </c>
      <c r="N595" s="219"/>
      <c r="O595" s="65" t="s">
        <v>55</v>
      </c>
      <c r="P595" s="162" t="s">
        <v>1362</v>
      </c>
      <c r="Q595" s="158"/>
      <c r="R595" s="157"/>
      <c r="S595" s="114"/>
      <c r="T595" s="162" t="s">
        <v>25</v>
      </c>
      <c r="U595" s="65" t="s">
        <v>18</v>
      </c>
      <c r="V595" s="162">
        <v>1669</v>
      </c>
      <c r="W595" s="165"/>
      <c r="X595" s="225" t="s">
        <v>1400</v>
      </c>
      <c r="Y595" s="167">
        <v>43769.416655092595</v>
      </c>
    </row>
    <row r="596" spans="1:25">
      <c r="A596" s="131" t="s">
        <v>62</v>
      </c>
      <c r="B596" s="109" t="s">
        <v>1385</v>
      </c>
      <c r="C596" s="245" t="s">
        <v>2598</v>
      </c>
      <c r="D596" s="162" t="s">
        <v>2599</v>
      </c>
      <c r="E596" s="65" t="s">
        <v>1398</v>
      </c>
      <c r="F596" s="162" t="s">
        <v>1388</v>
      </c>
      <c r="G596" s="65" t="s">
        <v>208</v>
      </c>
      <c r="H596" s="218">
        <v>1</v>
      </c>
      <c r="I596" s="65"/>
      <c r="J596" s="218">
        <v>20</v>
      </c>
      <c r="K596" s="108"/>
      <c r="L596" s="275">
        <v>20</v>
      </c>
      <c r="M596" s="65" t="s">
        <v>1433</v>
      </c>
      <c r="N596" s="219"/>
      <c r="O596" s="65" t="s">
        <v>1285</v>
      </c>
      <c r="P596" s="162" t="s">
        <v>1362</v>
      </c>
      <c r="Q596" s="158"/>
      <c r="R596" s="157"/>
      <c r="S596" s="114"/>
      <c r="T596" s="162" t="s">
        <v>29</v>
      </c>
      <c r="U596" s="65" t="s">
        <v>1388</v>
      </c>
      <c r="V596" s="162">
        <v>1657</v>
      </c>
      <c r="W596" s="165"/>
      <c r="X596" s="225" t="s">
        <v>1400</v>
      </c>
      <c r="Y596" s="167">
        <v>44340.693414351852</v>
      </c>
    </row>
    <row r="597" spans="1:25">
      <c r="A597" s="131" t="s">
        <v>62</v>
      </c>
      <c r="B597" s="109" t="s">
        <v>1320</v>
      </c>
      <c r="C597" s="245" t="s">
        <v>2600</v>
      </c>
      <c r="D597" s="162" t="s">
        <v>2601</v>
      </c>
      <c r="E597" s="65" t="s">
        <v>1398</v>
      </c>
      <c r="F597" s="162" t="s">
        <v>1388</v>
      </c>
      <c r="G597" s="65" t="s">
        <v>208</v>
      </c>
      <c r="H597" s="218">
        <v>12</v>
      </c>
      <c r="I597" s="65"/>
      <c r="J597" s="218">
        <v>1.042</v>
      </c>
      <c r="K597" s="108"/>
      <c r="L597" s="275">
        <v>12.504000000000001</v>
      </c>
      <c r="M597" s="65" t="s">
        <v>2602</v>
      </c>
      <c r="N597" s="219">
        <v>0</v>
      </c>
      <c r="O597" s="65" t="s">
        <v>55</v>
      </c>
      <c r="P597" s="162" t="s">
        <v>1362</v>
      </c>
      <c r="Q597" s="158"/>
      <c r="R597" s="157" t="s">
        <v>1655</v>
      </c>
      <c r="S597" s="114"/>
      <c r="T597" s="162" t="s">
        <v>25</v>
      </c>
      <c r="U597" s="65" t="s">
        <v>1388</v>
      </c>
      <c r="V597" s="162">
        <v>1668</v>
      </c>
      <c r="W597" s="165"/>
      <c r="X597" s="225" t="s">
        <v>1400</v>
      </c>
      <c r="Y597" s="167">
        <v>44340.699131944442</v>
      </c>
    </row>
    <row r="598" spans="1:25">
      <c r="A598" s="131" t="s">
        <v>62</v>
      </c>
      <c r="B598" s="109" t="s">
        <v>1385</v>
      </c>
      <c r="C598" s="245" t="s">
        <v>2603</v>
      </c>
      <c r="D598" s="162" t="s">
        <v>2604</v>
      </c>
      <c r="E598" s="65" t="s">
        <v>1419</v>
      </c>
      <c r="F598" s="162" t="s">
        <v>17</v>
      </c>
      <c r="G598" s="65" t="s">
        <v>208</v>
      </c>
      <c r="H598" s="218">
        <v>17</v>
      </c>
      <c r="I598" s="65"/>
      <c r="J598" s="218">
        <v>4.3</v>
      </c>
      <c r="K598" s="108"/>
      <c r="L598" s="275">
        <v>73.099999999999994</v>
      </c>
      <c r="M598" s="65" t="s">
        <v>2605</v>
      </c>
      <c r="N598" s="219"/>
      <c r="O598" s="65" t="s">
        <v>1285</v>
      </c>
      <c r="P598" s="162" t="s">
        <v>1407</v>
      </c>
      <c r="Q598" s="158"/>
      <c r="R598" s="157"/>
      <c r="S598" s="114"/>
      <c r="T598" s="162" t="s">
        <v>29</v>
      </c>
      <c r="U598" s="65" t="s">
        <v>17</v>
      </c>
      <c r="V598" s="162">
        <v>1626</v>
      </c>
      <c r="W598" s="165"/>
      <c r="X598" s="225" t="s">
        <v>1404</v>
      </c>
      <c r="Y598" s="167">
        <v>44696.336782407408</v>
      </c>
    </row>
    <row r="599" spans="1:25">
      <c r="A599" s="131" t="s">
        <v>62</v>
      </c>
      <c r="B599" s="109" t="s">
        <v>1385</v>
      </c>
      <c r="C599" s="245" t="s">
        <v>2606</v>
      </c>
      <c r="D599" s="162" t="s">
        <v>2607</v>
      </c>
      <c r="E599" s="65" t="s">
        <v>1398</v>
      </c>
      <c r="F599" s="162" t="s">
        <v>1388</v>
      </c>
      <c r="G599" s="65" t="s">
        <v>208</v>
      </c>
      <c r="H599" s="218">
        <v>2</v>
      </c>
      <c r="I599" s="65"/>
      <c r="J599" s="218">
        <v>2.4990000000000001</v>
      </c>
      <c r="K599" s="108"/>
      <c r="L599" s="275">
        <v>4.9980000000000002</v>
      </c>
      <c r="M599" s="65" t="s">
        <v>2509</v>
      </c>
      <c r="N599" s="219"/>
      <c r="O599" s="65" t="s">
        <v>1285</v>
      </c>
      <c r="P599" s="162" t="s">
        <v>1362</v>
      </c>
      <c r="Q599" s="158"/>
      <c r="R599" s="157"/>
      <c r="S599" s="114"/>
      <c r="T599" s="162" t="s">
        <v>29</v>
      </c>
      <c r="U599" s="65" t="s">
        <v>1388</v>
      </c>
      <c r="V599" s="162">
        <v>1559</v>
      </c>
      <c r="W599" s="165"/>
      <c r="X599" s="225" t="s">
        <v>1453</v>
      </c>
      <c r="Y599" s="167">
        <v>44678.654467592591</v>
      </c>
    </row>
    <row r="600" spans="1:25">
      <c r="A600" s="131" t="s">
        <v>100</v>
      </c>
      <c r="B600" s="109" t="s">
        <v>1385</v>
      </c>
      <c r="C600" s="245" t="s">
        <v>2608</v>
      </c>
      <c r="D600" s="162" t="s">
        <v>1867</v>
      </c>
      <c r="E600" s="65"/>
      <c r="F600" s="162" t="s">
        <v>1388</v>
      </c>
      <c r="G600" s="65"/>
      <c r="H600" s="218"/>
      <c r="I600" s="65"/>
      <c r="J600" s="218"/>
      <c r="K600" s="108"/>
      <c r="L600" s="275">
        <v>400</v>
      </c>
      <c r="M600" s="65"/>
      <c r="N600" s="219"/>
      <c r="O600" s="65" t="s">
        <v>1285</v>
      </c>
      <c r="P600" s="162"/>
      <c r="Q600" s="158"/>
      <c r="R600" s="157" t="s">
        <v>208</v>
      </c>
      <c r="S600" s="114"/>
      <c r="T600" s="162" t="s">
        <v>29</v>
      </c>
      <c r="U600" s="65" t="s">
        <v>1388</v>
      </c>
      <c r="V600" s="162" t="s">
        <v>208</v>
      </c>
      <c r="W600" s="165" t="s">
        <v>2609</v>
      </c>
      <c r="X600" s="225"/>
      <c r="Y600" s="167" t="s">
        <v>208</v>
      </c>
    </row>
    <row r="601" spans="1:25">
      <c r="A601" s="131" t="s">
        <v>100</v>
      </c>
      <c r="B601" s="109" t="s">
        <v>1385</v>
      </c>
      <c r="C601" s="245" t="s">
        <v>2610</v>
      </c>
      <c r="D601" s="162" t="s">
        <v>221</v>
      </c>
      <c r="E601" s="65" t="s">
        <v>1391</v>
      </c>
      <c r="F601" s="162" t="s">
        <v>21</v>
      </c>
      <c r="G601" s="65" t="s">
        <v>208</v>
      </c>
      <c r="H601" s="218">
        <v>1</v>
      </c>
      <c r="I601" s="65"/>
      <c r="J601" s="218">
        <v>100</v>
      </c>
      <c r="K601" s="108"/>
      <c r="L601" s="275">
        <v>100</v>
      </c>
      <c r="M601" s="65" t="s">
        <v>1546</v>
      </c>
      <c r="N601" s="219">
        <v>200</v>
      </c>
      <c r="O601" s="65" t="s">
        <v>1285</v>
      </c>
      <c r="P601" s="162" t="s">
        <v>1403</v>
      </c>
      <c r="Q601" s="158"/>
      <c r="R601" s="157"/>
      <c r="S601" s="114"/>
      <c r="T601" s="162" t="s">
        <v>29</v>
      </c>
      <c r="U601" s="65" t="s">
        <v>20</v>
      </c>
      <c r="V601" s="162">
        <v>1932</v>
      </c>
      <c r="W601" s="165" t="s">
        <v>3984</v>
      </c>
      <c r="X601" s="225" t="s">
        <v>1363</v>
      </c>
      <c r="Y601" s="167">
        <v>44670.603391203702</v>
      </c>
    </row>
    <row r="602" spans="1:25">
      <c r="A602" s="131" t="s">
        <v>100</v>
      </c>
      <c r="B602" s="109" t="s">
        <v>1320</v>
      </c>
      <c r="C602" s="245" t="s">
        <v>2611</v>
      </c>
      <c r="D602" s="162" t="s">
        <v>558</v>
      </c>
      <c r="E602" s="65" t="s">
        <v>1493</v>
      </c>
      <c r="F602" s="162" t="s">
        <v>1360</v>
      </c>
      <c r="G602" s="65" t="s">
        <v>2612</v>
      </c>
      <c r="H602" s="218">
        <v>1</v>
      </c>
      <c r="I602" s="65"/>
      <c r="J602" s="218">
        <v>156</v>
      </c>
      <c r="K602" s="108"/>
      <c r="L602" s="275">
        <v>156</v>
      </c>
      <c r="M602" s="65" t="s">
        <v>2613</v>
      </c>
      <c r="N602" s="219"/>
      <c r="O602" s="65" t="s">
        <v>55</v>
      </c>
      <c r="P602" s="162" t="s">
        <v>1403</v>
      </c>
      <c r="Q602" s="158"/>
      <c r="R602" s="157" t="s">
        <v>1434</v>
      </c>
      <c r="S602" s="114"/>
      <c r="T602" s="162" t="s">
        <v>25</v>
      </c>
      <c r="U602" s="65" t="s">
        <v>14</v>
      </c>
      <c r="V602" s="162">
        <v>1115</v>
      </c>
      <c r="W602" s="165"/>
      <c r="X602" s="225" t="s">
        <v>1363</v>
      </c>
      <c r="Y602" s="167">
        <v>44670.391435185185</v>
      </c>
    </row>
    <row r="603" spans="1:25">
      <c r="A603" s="131" t="s">
        <v>100</v>
      </c>
      <c r="B603" s="109" t="s">
        <v>1320</v>
      </c>
      <c r="C603" s="245" t="s">
        <v>2611</v>
      </c>
      <c r="D603" s="162" t="s">
        <v>558</v>
      </c>
      <c r="E603" s="65" t="s">
        <v>1493</v>
      </c>
      <c r="F603" s="162" t="s">
        <v>1360</v>
      </c>
      <c r="G603" s="65" t="s">
        <v>2614</v>
      </c>
      <c r="H603" s="218">
        <v>1</v>
      </c>
      <c r="I603" s="65"/>
      <c r="J603" s="218">
        <v>156</v>
      </c>
      <c r="K603" s="108"/>
      <c r="L603" s="275">
        <v>156</v>
      </c>
      <c r="M603" s="65" t="s">
        <v>2613</v>
      </c>
      <c r="N603" s="219"/>
      <c r="O603" s="65" t="s">
        <v>55</v>
      </c>
      <c r="P603" s="162" t="s">
        <v>1403</v>
      </c>
      <c r="Q603" s="158"/>
      <c r="R603" s="157" t="s">
        <v>1434</v>
      </c>
      <c r="S603" s="114"/>
      <c r="T603" s="162" t="s">
        <v>25</v>
      </c>
      <c r="U603" s="65" t="s">
        <v>14</v>
      </c>
      <c r="V603" s="162">
        <v>1115</v>
      </c>
      <c r="W603" s="165"/>
      <c r="X603" s="225" t="s">
        <v>1363</v>
      </c>
      <c r="Y603" s="167">
        <v>44670.391435185185</v>
      </c>
    </row>
    <row r="604" spans="1:25">
      <c r="A604" s="131" t="s">
        <v>80</v>
      </c>
      <c r="B604" s="109" t="s">
        <v>1385</v>
      </c>
      <c r="C604" s="245" t="s">
        <v>2615</v>
      </c>
      <c r="D604" s="162" t="s">
        <v>2616</v>
      </c>
      <c r="E604" s="65" t="s">
        <v>1596</v>
      </c>
      <c r="F604" s="162" t="s">
        <v>2617</v>
      </c>
      <c r="G604" s="65" t="s">
        <v>208</v>
      </c>
      <c r="H604" s="218">
        <v>1</v>
      </c>
      <c r="I604" s="65"/>
      <c r="J604" s="218">
        <v>45</v>
      </c>
      <c r="K604" s="108"/>
      <c r="L604" s="275">
        <v>45</v>
      </c>
      <c r="M604" s="65" t="s">
        <v>2318</v>
      </c>
      <c r="N604" s="219"/>
      <c r="O604" s="65" t="s">
        <v>1285</v>
      </c>
      <c r="P604" s="162" t="s">
        <v>1362</v>
      </c>
      <c r="Q604" s="158"/>
      <c r="R604" s="157"/>
      <c r="S604" s="114"/>
      <c r="T604" s="162" t="s">
        <v>29</v>
      </c>
      <c r="U604" s="65" t="s">
        <v>15</v>
      </c>
      <c r="V604" s="162">
        <v>1534</v>
      </c>
      <c r="W604" s="165"/>
      <c r="X604" s="225" t="s">
        <v>208</v>
      </c>
      <c r="Y604" s="167">
        <v>43769.416655092595</v>
      </c>
    </row>
    <row r="605" spans="1:25">
      <c r="A605" s="131" t="s">
        <v>95</v>
      </c>
      <c r="B605" s="109" t="s">
        <v>1320</v>
      </c>
      <c r="C605" s="245" t="s">
        <v>2618</v>
      </c>
      <c r="D605" s="162" t="s">
        <v>1585</v>
      </c>
      <c r="E605" s="65" t="s">
        <v>1539</v>
      </c>
      <c r="F605" s="162" t="s">
        <v>18</v>
      </c>
      <c r="G605" s="65" t="s">
        <v>2619</v>
      </c>
      <c r="H605" s="218">
        <v>1</v>
      </c>
      <c r="I605" s="65"/>
      <c r="J605" s="218">
        <v>30.6</v>
      </c>
      <c r="K605" s="108"/>
      <c r="L605" s="275">
        <v>30.6</v>
      </c>
      <c r="M605" s="65" t="s">
        <v>2620</v>
      </c>
      <c r="N605" s="219"/>
      <c r="O605" s="65" t="s">
        <v>55</v>
      </c>
      <c r="P605" s="162" t="s">
        <v>1403</v>
      </c>
      <c r="Q605" s="158"/>
      <c r="R605" s="157" t="s">
        <v>1588</v>
      </c>
      <c r="S605" s="114"/>
      <c r="T605" s="162" t="s">
        <v>25</v>
      </c>
      <c r="U605" s="65" t="s">
        <v>18</v>
      </c>
      <c r="V605" s="162">
        <v>1116</v>
      </c>
      <c r="W605" s="165"/>
      <c r="X605" s="225" t="s">
        <v>1363</v>
      </c>
      <c r="Y605" s="167">
        <v>44670.606793981482</v>
      </c>
    </row>
    <row r="606" spans="1:25">
      <c r="A606" s="131" t="s">
        <v>95</v>
      </c>
      <c r="B606" s="109" t="s">
        <v>1320</v>
      </c>
      <c r="C606" s="245" t="s">
        <v>2618</v>
      </c>
      <c r="D606" s="162" t="s">
        <v>1585</v>
      </c>
      <c r="E606" s="65" t="s">
        <v>1539</v>
      </c>
      <c r="F606" s="162" t="s">
        <v>18</v>
      </c>
      <c r="G606" s="65" t="s">
        <v>2619</v>
      </c>
      <c r="H606" s="218">
        <v>1</v>
      </c>
      <c r="I606" s="65"/>
      <c r="J606" s="218">
        <v>51</v>
      </c>
      <c r="K606" s="108"/>
      <c r="L606" s="275">
        <v>51</v>
      </c>
      <c r="M606" s="65" t="s">
        <v>2621</v>
      </c>
      <c r="N606" s="219"/>
      <c r="O606" s="65" t="s">
        <v>55</v>
      </c>
      <c r="P606" s="162" t="s">
        <v>1403</v>
      </c>
      <c r="Q606" s="158"/>
      <c r="R606" s="157" t="s">
        <v>1588</v>
      </c>
      <c r="S606" s="114"/>
      <c r="T606" s="162" t="s">
        <v>25</v>
      </c>
      <c r="U606" s="65" t="s">
        <v>18</v>
      </c>
      <c r="V606" s="162">
        <v>1116</v>
      </c>
      <c r="W606" s="165"/>
      <c r="X606" s="225" t="s">
        <v>1363</v>
      </c>
      <c r="Y606" s="167">
        <v>44670.606793981482</v>
      </c>
    </row>
    <row r="607" spans="1:25">
      <c r="A607" s="131" t="s">
        <v>100</v>
      </c>
      <c r="B607" s="109" t="s">
        <v>1320</v>
      </c>
      <c r="C607" s="245" t="s">
        <v>2622</v>
      </c>
      <c r="D607" s="162" t="s">
        <v>2623</v>
      </c>
      <c r="E607" s="65" t="s">
        <v>1419</v>
      </c>
      <c r="F607" s="162" t="s">
        <v>17</v>
      </c>
      <c r="G607" s="65" t="s">
        <v>2624</v>
      </c>
      <c r="H607" s="218">
        <v>2</v>
      </c>
      <c r="I607" s="65"/>
      <c r="J607" s="218">
        <v>2.0499999999999998</v>
      </c>
      <c r="K607" s="108"/>
      <c r="L607" s="275">
        <v>4.0999999999999996</v>
      </c>
      <c r="M607" s="65" t="s">
        <v>2625</v>
      </c>
      <c r="N607" s="219"/>
      <c r="O607" s="65" t="s">
        <v>55</v>
      </c>
      <c r="P607" s="162" t="s">
        <v>1362</v>
      </c>
      <c r="Q607" s="158"/>
      <c r="R607" s="157"/>
      <c r="S607" s="114"/>
      <c r="T607" s="162" t="s">
        <v>25</v>
      </c>
      <c r="U607" s="65" t="s">
        <v>17</v>
      </c>
      <c r="V607" s="162">
        <v>1117</v>
      </c>
      <c r="W607" s="165"/>
      <c r="X607" s="225" t="s">
        <v>208</v>
      </c>
      <c r="Y607" s="167">
        <v>43769.416655092595</v>
      </c>
    </row>
    <row r="608" spans="1:25">
      <c r="A608" s="131" t="s">
        <v>46</v>
      </c>
      <c r="B608" s="109" t="s">
        <v>1320</v>
      </c>
      <c r="C608" s="245" t="s">
        <v>216</v>
      </c>
      <c r="D608" s="162" t="s">
        <v>217</v>
      </c>
      <c r="E608" s="65" t="s">
        <v>1596</v>
      </c>
      <c r="F608" s="162" t="s">
        <v>1597</v>
      </c>
      <c r="G608" s="65" t="s">
        <v>2626</v>
      </c>
      <c r="H608" s="218">
        <v>1</v>
      </c>
      <c r="I608" s="65"/>
      <c r="J608" s="218">
        <v>500</v>
      </c>
      <c r="K608" s="108"/>
      <c r="L608" s="275">
        <v>500</v>
      </c>
      <c r="M608" s="65" t="s">
        <v>1447</v>
      </c>
      <c r="N608" s="219"/>
      <c r="O608" s="65" t="s">
        <v>2166</v>
      </c>
      <c r="P608" s="162" t="s">
        <v>1403</v>
      </c>
      <c r="Q608" s="158"/>
      <c r="R608" s="157" t="s">
        <v>1377</v>
      </c>
      <c r="S608" s="114">
        <v>45017</v>
      </c>
      <c r="T608" s="162" t="s">
        <v>24</v>
      </c>
      <c r="U608" s="65" t="s">
        <v>12</v>
      </c>
      <c r="V608" s="162">
        <v>1118</v>
      </c>
      <c r="W608" s="165"/>
      <c r="X608" s="225" t="s">
        <v>1363</v>
      </c>
      <c r="Y608" s="167">
        <v>44670.607581018521</v>
      </c>
    </row>
    <row r="609" spans="1:25">
      <c r="A609" s="131" t="s">
        <v>46</v>
      </c>
      <c r="B609" s="109" t="s">
        <v>1320</v>
      </c>
      <c r="C609" s="245" t="s">
        <v>216</v>
      </c>
      <c r="D609" s="162" t="s">
        <v>217</v>
      </c>
      <c r="E609" s="65" t="s">
        <v>1596</v>
      </c>
      <c r="F609" s="162" t="s">
        <v>1597</v>
      </c>
      <c r="G609" s="65" t="s">
        <v>2627</v>
      </c>
      <c r="H609" s="218">
        <v>1</v>
      </c>
      <c r="I609" s="65"/>
      <c r="J609" s="218">
        <v>500</v>
      </c>
      <c r="K609" s="108"/>
      <c r="L609" s="275">
        <v>500</v>
      </c>
      <c r="M609" s="65" t="s">
        <v>1447</v>
      </c>
      <c r="N609" s="219"/>
      <c r="O609" s="65" t="s">
        <v>2166</v>
      </c>
      <c r="P609" s="162" t="s">
        <v>1403</v>
      </c>
      <c r="Q609" s="158"/>
      <c r="R609" s="157" t="s">
        <v>1377</v>
      </c>
      <c r="S609" s="114">
        <v>45017</v>
      </c>
      <c r="T609" s="162" t="s">
        <v>24</v>
      </c>
      <c r="U609" s="65" t="s">
        <v>12</v>
      </c>
      <c r="V609" s="162">
        <v>1118</v>
      </c>
      <c r="W609" s="165"/>
      <c r="X609" s="225" t="s">
        <v>1363</v>
      </c>
      <c r="Y609" s="167">
        <v>44670.607581018521</v>
      </c>
    </row>
    <row r="610" spans="1:25">
      <c r="A610" s="131" t="s">
        <v>46</v>
      </c>
      <c r="B610" s="109" t="s">
        <v>1320</v>
      </c>
      <c r="C610" s="245" t="s">
        <v>216</v>
      </c>
      <c r="D610" s="162" t="s">
        <v>217</v>
      </c>
      <c r="E610" s="65" t="s">
        <v>1596</v>
      </c>
      <c r="F610" s="162" t="s">
        <v>1597</v>
      </c>
      <c r="G610" s="65" t="s">
        <v>2628</v>
      </c>
      <c r="H610" s="218">
        <v>1</v>
      </c>
      <c r="I610" s="65"/>
      <c r="J610" s="218">
        <v>500</v>
      </c>
      <c r="K610" s="108"/>
      <c r="L610" s="275">
        <v>500</v>
      </c>
      <c r="M610" s="65" t="s">
        <v>1447</v>
      </c>
      <c r="N610" s="219"/>
      <c r="O610" s="65" t="s">
        <v>303</v>
      </c>
      <c r="P610" s="162" t="s">
        <v>1403</v>
      </c>
      <c r="Q610" s="158"/>
      <c r="R610" s="157">
        <v>2022</v>
      </c>
      <c r="S610" s="114">
        <v>44652</v>
      </c>
      <c r="T610" s="162" t="s">
        <v>30</v>
      </c>
      <c r="U610" s="65" t="s">
        <v>12</v>
      </c>
      <c r="V610" s="162">
        <v>1118</v>
      </c>
      <c r="W610" s="165"/>
      <c r="X610" s="225" t="s">
        <v>1363</v>
      </c>
      <c r="Y610" s="167">
        <v>44670.607581018521</v>
      </c>
    </row>
    <row r="611" spans="1:25">
      <c r="A611" s="131" t="s">
        <v>46</v>
      </c>
      <c r="B611" s="109" t="s">
        <v>1320</v>
      </c>
      <c r="C611" s="245" t="s">
        <v>216</v>
      </c>
      <c r="D611" s="162" t="s">
        <v>217</v>
      </c>
      <c r="E611" s="65" t="s">
        <v>1596</v>
      </c>
      <c r="F611" s="162" t="s">
        <v>1597</v>
      </c>
      <c r="G611" s="65" t="s">
        <v>2629</v>
      </c>
      <c r="H611" s="218">
        <v>1</v>
      </c>
      <c r="I611" s="65"/>
      <c r="J611" s="218">
        <v>500</v>
      </c>
      <c r="K611" s="108"/>
      <c r="L611" s="275">
        <v>500</v>
      </c>
      <c r="M611" s="65" t="s">
        <v>1447</v>
      </c>
      <c r="N611" s="219"/>
      <c r="O611" s="65" t="s">
        <v>2166</v>
      </c>
      <c r="P611" s="162" t="s">
        <v>1403</v>
      </c>
      <c r="Q611" s="158"/>
      <c r="R611" s="157" t="s">
        <v>1377</v>
      </c>
      <c r="S611" s="114">
        <v>45017</v>
      </c>
      <c r="T611" s="162" t="s">
        <v>24</v>
      </c>
      <c r="U611" s="65" t="s">
        <v>12</v>
      </c>
      <c r="V611" s="162">
        <v>1118</v>
      </c>
      <c r="W611" s="165"/>
      <c r="X611" s="225" t="s">
        <v>1363</v>
      </c>
      <c r="Y611" s="167">
        <v>44670.607581018521</v>
      </c>
    </row>
    <row r="612" spans="1:25">
      <c r="A612" s="131" t="s">
        <v>62</v>
      </c>
      <c r="B612" s="109" t="s">
        <v>1320</v>
      </c>
      <c r="C612" s="245" t="s">
        <v>816</v>
      </c>
      <c r="D612" s="162" t="s">
        <v>2630</v>
      </c>
      <c r="E612" s="65" t="s">
        <v>1429</v>
      </c>
      <c r="F612" s="162" t="s">
        <v>1388</v>
      </c>
      <c r="G612" s="65" t="s">
        <v>2631</v>
      </c>
      <c r="H612" s="218">
        <v>74</v>
      </c>
      <c r="I612" s="65"/>
      <c r="J612" s="218">
        <v>1.6</v>
      </c>
      <c r="K612" s="108"/>
      <c r="L612" s="275">
        <v>118.4</v>
      </c>
      <c r="M612" s="65" t="s">
        <v>2632</v>
      </c>
      <c r="N612" s="219"/>
      <c r="O612" s="65" t="s">
        <v>131</v>
      </c>
      <c r="P612" s="162" t="s">
        <v>1407</v>
      </c>
      <c r="Q612" s="158" t="s">
        <v>2633</v>
      </c>
      <c r="R612" s="157" t="s">
        <v>1452</v>
      </c>
      <c r="S612" s="114"/>
      <c r="T612" s="162" t="s">
        <v>25</v>
      </c>
      <c r="U612" s="65" t="s">
        <v>1388</v>
      </c>
      <c r="V612" s="162">
        <v>1384</v>
      </c>
      <c r="W612" s="165"/>
      <c r="X612" s="225" t="s">
        <v>1363</v>
      </c>
      <c r="Y612" s="167">
        <v>44671.43173611111</v>
      </c>
    </row>
    <row r="613" spans="1:25">
      <c r="A613" s="131" t="s">
        <v>46</v>
      </c>
      <c r="B613" s="109" t="s">
        <v>1320</v>
      </c>
      <c r="C613" s="245" t="s">
        <v>331</v>
      </c>
      <c r="D613" s="162" t="s">
        <v>332</v>
      </c>
      <c r="E613" s="65" t="s">
        <v>1429</v>
      </c>
      <c r="F613" s="162" t="s">
        <v>1388</v>
      </c>
      <c r="G613" s="65" t="s">
        <v>2634</v>
      </c>
      <c r="H613" s="218">
        <v>100</v>
      </c>
      <c r="I613" s="65"/>
      <c r="J613" s="218">
        <v>2.2000000000000002</v>
      </c>
      <c r="K613" s="108"/>
      <c r="L613" s="275">
        <v>220.00000000000003</v>
      </c>
      <c r="M613" s="65" t="s">
        <v>2410</v>
      </c>
      <c r="N613" s="219">
        <v>0</v>
      </c>
      <c r="O613" s="65" t="s">
        <v>131</v>
      </c>
      <c r="P613" s="162" t="s">
        <v>1407</v>
      </c>
      <c r="Q613" s="158" t="s">
        <v>1537</v>
      </c>
      <c r="R613" s="157" t="s">
        <v>1532</v>
      </c>
      <c r="S613" s="114"/>
      <c r="T613" s="162" t="s">
        <v>25</v>
      </c>
      <c r="U613" s="65" t="s">
        <v>1388</v>
      </c>
      <c r="V613" s="162">
        <v>1453</v>
      </c>
      <c r="W613" s="165"/>
      <c r="X613" s="225" t="s">
        <v>1404</v>
      </c>
      <c r="Y613" s="167">
        <v>44693.609525462962</v>
      </c>
    </row>
    <row r="614" spans="1:25">
      <c r="A614" s="131" t="s">
        <v>46</v>
      </c>
      <c r="B614" s="109" t="s">
        <v>1320</v>
      </c>
      <c r="C614" s="245" t="s">
        <v>474</v>
      </c>
      <c r="D614" s="162" t="s">
        <v>332</v>
      </c>
      <c r="E614" s="65" t="s">
        <v>1429</v>
      </c>
      <c r="F614" s="162" t="s">
        <v>1388</v>
      </c>
      <c r="G614" s="65" t="s">
        <v>475</v>
      </c>
      <c r="H614" s="218">
        <v>14</v>
      </c>
      <c r="I614" s="65"/>
      <c r="J614" s="218">
        <v>2.0699999999999998</v>
      </c>
      <c r="K614" s="108"/>
      <c r="L614" s="275">
        <v>28.979999999999997</v>
      </c>
      <c r="M614" s="65" t="s">
        <v>2635</v>
      </c>
      <c r="N614" s="219">
        <v>0</v>
      </c>
      <c r="O614" s="65" t="s">
        <v>55</v>
      </c>
      <c r="P614" s="162" t="s">
        <v>1407</v>
      </c>
      <c r="Q614" s="158"/>
      <c r="R614" s="157" t="s">
        <v>1532</v>
      </c>
      <c r="S614" s="114"/>
      <c r="T614" s="162" t="s">
        <v>25</v>
      </c>
      <c r="U614" s="65" t="s">
        <v>1388</v>
      </c>
      <c r="V614" s="162">
        <v>1675</v>
      </c>
      <c r="W614" s="165"/>
      <c r="X614" s="225" t="s">
        <v>1404</v>
      </c>
      <c r="Y614" s="167">
        <v>44696.343611111108</v>
      </c>
    </row>
    <row r="615" spans="1:25">
      <c r="A615" s="131" t="s">
        <v>80</v>
      </c>
      <c r="B615" s="109" t="s">
        <v>1385</v>
      </c>
      <c r="C615" s="245" t="s">
        <v>449</v>
      </c>
      <c r="D615" s="162" t="s">
        <v>129</v>
      </c>
      <c r="E615" s="65" t="s">
        <v>1391</v>
      </c>
      <c r="F615" s="162" t="s">
        <v>21</v>
      </c>
      <c r="G615" s="65" t="s">
        <v>410</v>
      </c>
      <c r="H615" s="218">
        <v>1</v>
      </c>
      <c r="I615" s="65"/>
      <c r="J615" s="218">
        <v>10</v>
      </c>
      <c r="K615" s="108"/>
      <c r="L615" s="275">
        <v>10</v>
      </c>
      <c r="M615" s="65" t="s">
        <v>1543</v>
      </c>
      <c r="N615" s="219">
        <v>10</v>
      </c>
      <c r="O615" s="65" t="s">
        <v>28</v>
      </c>
      <c r="P615" s="162" t="s">
        <v>1403</v>
      </c>
      <c r="Q615" s="158" t="s">
        <v>1975</v>
      </c>
      <c r="R615" s="157" t="s">
        <v>1534</v>
      </c>
      <c r="S615" s="114"/>
      <c r="T615" s="162" t="s">
        <v>28</v>
      </c>
      <c r="U615" s="65" t="s">
        <v>20</v>
      </c>
      <c r="V615" s="162">
        <v>1603</v>
      </c>
      <c r="W615" s="165"/>
      <c r="X615" s="225" t="s">
        <v>1453</v>
      </c>
      <c r="Y615" s="167">
        <v>44746.586261574077</v>
      </c>
    </row>
    <row r="616" spans="1:25">
      <c r="A616" s="131" t="s">
        <v>80</v>
      </c>
      <c r="B616" s="109" t="s">
        <v>1320</v>
      </c>
      <c r="C616" s="245" t="s">
        <v>409</v>
      </c>
      <c r="D616" s="162" t="s">
        <v>129</v>
      </c>
      <c r="E616" s="65" t="s">
        <v>1419</v>
      </c>
      <c r="F616" s="162" t="s">
        <v>17</v>
      </c>
      <c r="G616" s="65" t="s">
        <v>410</v>
      </c>
      <c r="H616" s="218">
        <v>35</v>
      </c>
      <c r="I616" s="65"/>
      <c r="J616" s="218">
        <v>3.6</v>
      </c>
      <c r="K616" s="108"/>
      <c r="L616" s="275">
        <v>126</v>
      </c>
      <c r="M616" s="65" t="s">
        <v>1550</v>
      </c>
      <c r="N616" s="219">
        <v>0</v>
      </c>
      <c r="O616" s="65" t="s">
        <v>55</v>
      </c>
      <c r="P616" s="162" t="s">
        <v>1407</v>
      </c>
      <c r="Q616" s="158"/>
      <c r="R616" s="157" t="s">
        <v>1534</v>
      </c>
      <c r="S616" s="114"/>
      <c r="T616" s="162" t="s">
        <v>25</v>
      </c>
      <c r="U616" s="65" t="s">
        <v>17</v>
      </c>
      <c r="V616" s="162">
        <v>1119</v>
      </c>
      <c r="W616" s="165"/>
      <c r="X616" s="225" t="s">
        <v>1404</v>
      </c>
      <c r="Y616" s="167">
        <v>44698.451631944445</v>
      </c>
    </row>
    <row r="617" spans="1:25">
      <c r="A617" s="131" t="s">
        <v>80</v>
      </c>
      <c r="B617" s="109" t="s">
        <v>1320</v>
      </c>
      <c r="C617" s="245" t="s">
        <v>128</v>
      </c>
      <c r="D617" s="162" t="s">
        <v>129</v>
      </c>
      <c r="E617" s="65" t="s">
        <v>1419</v>
      </c>
      <c r="F617" s="162" t="s">
        <v>17</v>
      </c>
      <c r="G617" s="65" t="s">
        <v>130</v>
      </c>
      <c r="H617" s="218">
        <v>24</v>
      </c>
      <c r="I617" s="65"/>
      <c r="J617" s="218">
        <v>3.6</v>
      </c>
      <c r="K617" s="108"/>
      <c r="L617" s="275">
        <v>86.4</v>
      </c>
      <c r="M617" s="65" t="s">
        <v>2636</v>
      </c>
      <c r="N617" s="219"/>
      <c r="O617" s="65" t="s">
        <v>131</v>
      </c>
      <c r="P617" s="162" t="s">
        <v>1407</v>
      </c>
      <c r="Q617" s="158" t="s">
        <v>2637</v>
      </c>
      <c r="R617" s="157" t="s">
        <v>1534</v>
      </c>
      <c r="S617" s="114"/>
      <c r="T617" s="162" t="s">
        <v>25</v>
      </c>
      <c r="U617" s="65" t="s">
        <v>17</v>
      </c>
      <c r="V617" s="162">
        <v>1574</v>
      </c>
      <c r="W617" s="165"/>
      <c r="X617" s="225" t="s">
        <v>1404</v>
      </c>
      <c r="Y617" s="167">
        <v>44698.405243055553</v>
      </c>
    </row>
    <row r="618" spans="1:25">
      <c r="A618" s="131" t="s">
        <v>80</v>
      </c>
      <c r="B618" s="109" t="s">
        <v>1385</v>
      </c>
      <c r="C618" s="245" t="s">
        <v>2638</v>
      </c>
      <c r="D618" s="162" t="s">
        <v>2639</v>
      </c>
      <c r="E618" s="65" t="s">
        <v>1419</v>
      </c>
      <c r="F618" s="162" t="s">
        <v>17</v>
      </c>
      <c r="G618" s="65" t="s">
        <v>208</v>
      </c>
      <c r="H618" s="218">
        <v>40</v>
      </c>
      <c r="I618" s="65"/>
      <c r="J618" s="218">
        <v>7.8</v>
      </c>
      <c r="K618" s="108"/>
      <c r="L618" s="275">
        <v>312</v>
      </c>
      <c r="M618" s="65" t="s">
        <v>2640</v>
      </c>
      <c r="N618" s="219"/>
      <c r="O618" s="65" t="s">
        <v>1285</v>
      </c>
      <c r="P618" s="162" t="s">
        <v>1407</v>
      </c>
      <c r="Q618" s="158"/>
      <c r="R618" s="157" t="s">
        <v>2065</v>
      </c>
      <c r="S618" s="114"/>
      <c r="T618" s="162" t="s">
        <v>29</v>
      </c>
      <c r="U618" s="65" t="s">
        <v>17</v>
      </c>
      <c r="V618" s="162">
        <v>1885</v>
      </c>
      <c r="W618" s="165" t="s">
        <v>3948</v>
      </c>
      <c r="X618" s="225" t="s">
        <v>1453</v>
      </c>
      <c r="Y618" s="167">
        <v>44747.492106481484</v>
      </c>
    </row>
    <row r="619" spans="1:25">
      <c r="A619" s="131" t="s">
        <v>46</v>
      </c>
      <c r="B619" s="109" t="s">
        <v>1385</v>
      </c>
      <c r="C619" s="245" t="s">
        <v>2641</v>
      </c>
      <c r="D619" s="162" t="s">
        <v>431</v>
      </c>
      <c r="E619" s="65"/>
      <c r="F619" s="162" t="s">
        <v>21</v>
      </c>
      <c r="G619" s="65"/>
      <c r="H619" s="218"/>
      <c r="I619" s="65"/>
      <c r="J619" s="218"/>
      <c r="K619" s="108"/>
      <c r="L619" s="275">
        <v>100</v>
      </c>
      <c r="M619" s="65"/>
      <c r="N619" s="219"/>
      <c r="O619" s="65" t="s">
        <v>1285</v>
      </c>
      <c r="P619" s="162"/>
      <c r="Q619" s="158"/>
      <c r="R619" s="157" t="s">
        <v>208</v>
      </c>
      <c r="S619" s="114"/>
      <c r="T619" s="162" t="s">
        <v>29</v>
      </c>
      <c r="U619" s="65" t="s">
        <v>20</v>
      </c>
      <c r="V619" s="162" t="s">
        <v>208</v>
      </c>
      <c r="W619" s="165" t="s">
        <v>2642</v>
      </c>
      <c r="X619" s="225"/>
      <c r="Y619" s="167" t="s">
        <v>208</v>
      </c>
    </row>
    <row r="620" spans="1:25">
      <c r="A620" s="131" t="s">
        <v>100</v>
      </c>
      <c r="B620" s="109" t="s">
        <v>1385</v>
      </c>
      <c r="C620" s="245" t="s">
        <v>2643</v>
      </c>
      <c r="D620" s="162" t="s">
        <v>2268</v>
      </c>
      <c r="E620" s="65" t="s">
        <v>1529</v>
      </c>
      <c r="F620" s="162" t="s">
        <v>21</v>
      </c>
      <c r="G620" s="65"/>
      <c r="H620" s="218"/>
      <c r="I620" s="65"/>
      <c r="J620" s="218"/>
      <c r="K620" s="108"/>
      <c r="L620" s="275">
        <v>350</v>
      </c>
      <c r="M620" s="65"/>
      <c r="N620" s="219"/>
      <c r="O620" s="65" t="s">
        <v>1285</v>
      </c>
      <c r="P620" s="162"/>
      <c r="Q620" s="158"/>
      <c r="R620" s="157"/>
      <c r="S620" s="114"/>
      <c r="T620" s="162" t="s">
        <v>29</v>
      </c>
      <c r="U620" s="65" t="s">
        <v>20</v>
      </c>
      <c r="V620" s="162" t="s">
        <v>208</v>
      </c>
      <c r="W620" s="165" t="s">
        <v>2644</v>
      </c>
      <c r="X620" s="225"/>
      <c r="Y620" s="167" t="s">
        <v>208</v>
      </c>
    </row>
    <row r="621" spans="1:25">
      <c r="A621" s="131" t="s">
        <v>100</v>
      </c>
      <c r="B621" s="109" t="s">
        <v>1385</v>
      </c>
      <c r="C621" s="245" t="s">
        <v>2645</v>
      </c>
      <c r="D621" s="162" t="s">
        <v>2646</v>
      </c>
      <c r="E621" s="65"/>
      <c r="F621" s="162" t="s">
        <v>1388</v>
      </c>
      <c r="G621" s="65"/>
      <c r="H621" s="218"/>
      <c r="I621" s="65"/>
      <c r="J621" s="218"/>
      <c r="K621" s="108"/>
      <c r="L621" s="275">
        <v>279</v>
      </c>
      <c r="M621" s="65"/>
      <c r="N621" s="219"/>
      <c r="O621" s="65" t="s">
        <v>1285</v>
      </c>
      <c r="P621" s="162"/>
      <c r="Q621" s="158"/>
      <c r="R621" s="157" t="s">
        <v>208</v>
      </c>
      <c r="S621" s="114"/>
      <c r="T621" s="162" t="s">
        <v>29</v>
      </c>
      <c r="U621" s="65" t="s">
        <v>1388</v>
      </c>
      <c r="V621" s="162" t="s">
        <v>208</v>
      </c>
      <c r="W621" s="165" t="s">
        <v>2647</v>
      </c>
      <c r="X621" s="225"/>
      <c r="Y621" s="167" t="s">
        <v>208</v>
      </c>
    </row>
    <row r="622" spans="1:25">
      <c r="A622" s="131" t="s">
        <v>46</v>
      </c>
      <c r="B622" s="109" t="s">
        <v>1385</v>
      </c>
      <c r="C622" s="245" t="s">
        <v>2648</v>
      </c>
      <c r="D622" s="162" t="s">
        <v>2649</v>
      </c>
      <c r="E622" s="65" t="s">
        <v>1419</v>
      </c>
      <c r="F622" s="162" t="s">
        <v>17</v>
      </c>
      <c r="G622" s="65" t="s">
        <v>208</v>
      </c>
      <c r="H622" s="218">
        <v>223</v>
      </c>
      <c r="I622" s="65"/>
      <c r="J622" s="218">
        <v>6</v>
      </c>
      <c r="K622" s="108"/>
      <c r="L622" s="275">
        <v>1338</v>
      </c>
      <c r="M622" s="65" t="s">
        <v>2650</v>
      </c>
      <c r="N622" s="219"/>
      <c r="O622" s="65" t="s">
        <v>1285</v>
      </c>
      <c r="P622" s="162" t="s">
        <v>1407</v>
      </c>
      <c r="Q622" s="158" t="s">
        <v>2651</v>
      </c>
      <c r="R622" s="157"/>
      <c r="S622" s="114"/>
      <c r="T622" s="162" t="s">
        <v>29</v>
      </c>
      <c r="U622" s="65" t="s">
        <v>17</v>
      </c>
      <c r="V622" s="162">
        <v>1120</v>
      </c>
      <c r="W622" s="165"/>
      <c r="X622" s="225" t="s">
        <v>1363</v>
      </c>
      <c r="Y622" s="167">
        <v>44673.354907407411</v>
      </c>
    </row>
    <row r="623" spans="1:25">
      <c r="A623" s="131" t="s">
        <v>62</v>
      </c>
      <c r="B623" s="109" t="s">
        <v>1320</v>
      </c>
      <c r="C623" s="245" t="s">
        <v>2652</v>
      </c>
      <c r="D623" s="162" t="s">
        <v>2653</v>
      </c>
      <c r="E623" s="65" t="s">
        <v>1398</v>
      </c>
      <c r="F623" s="162" t="s">
        <v>1388</v>
      </c>
      <c r="G623" s="65" t="s">
        <v>208</v>
      </c>
      <c r="H623" s="218">
        <v>12</v>
      </c>
      <c r="I623" s="65"/>
      <c r="J623" s="218">
        <v>2.8000000000000001E-2</v>
      </c>
      <c r="K623" s="108"/>
      <c r="L623" s="275">
        <v>0.33600000000000002</v>
      </c>
      <c r="M623" s="65" t="s">
        <v>2654</v>
      </c>
      <c r="N623" s="219">
        <v>0</v>
      </c>
      <c r="O623" s="65" t="s">
        <v>55</v>
      </c>
      <c r="P623" s="162" t="s">
        <v>1362</v>
      </c>
      <c r="Q623" s="158"/>
      <c r="R623" s="157"/>
      <c r="S623" s="114"/>
      <c r="T623" s="162" t="s">
        <v>25</v>
      </c>
      <c r="U623" s="65" t="s">
        <v>1388</v>
      </c>
      <c r="V623" s="162">
        <v>1549</v>
      </c>
      <c r="W623" s="165"/>
      <c r="X623" s="225" t="s">
        <v>1400</v>
      </c>
      <c r="Y623" s="167">
        <v>44679.631504629629</v>
      </c>
    </row>
    <row r="624" spans="1:25">
      <c r="A624" s="131" t="s">
        <v>46</v>
      </c>
      <c r="B624" s="109" t="s">
        <v>1320</v>
      </c>
      <c r="C624" s="245" t="s">
        <v>2655</v>
      </c>
      <c r="D624" s="162" t="s">
        <v>1393</v>
      </c>
      <c r="E624" s="65" t="s">
        <v>1398</v>
      </c>
      <c r="F624" s="162" t="s">
        <v>1388</v>
      </c>
      <c r="G624" s="65" t="s">
        <v>208</v>
      </c>
      <c r="H624" s="218">
        <v>1</v>
      </c>
      <c r="I624" s="65"/>
      <c r="J624" s="218">
        <v>7.9000000000000001E-2</v>
      </c>
      <c r="K624" s="108"/>
      <c r="L624" s="275">
        <v>7.8799999999999995E-2</v>
      </c>
      <c r="M624" s="65" t="s">
        <v>2656</v>
      </c>
      <c r="N624" s="219"/>
      <c r="O624" s="65" t="s">
        <v>55</v>
      </c>
      <c r="P624" s="162" t="s">
        <v>1362</v>
      </c>
      <c r="Q624" s="158"/>
      <c r="R624" s="157"/>
      <c r="S624" s="114"/>
      <c r="T624" s="162" t="s">
        <v>25</v>
      </c>
      <c r="U624" s="65" t="s">
        <v>1388</v>
      </c>
      <c r="V624" s="162">
        <v>15</v>
      </c>
      <c r="W624" s="165"/>
      <c r="X624" s="225" t="s">
        <v>208</v>
      </c>
      <c r="Y624" s="167">
        <v>43312</v>
      </c>
    </row>
    <row r="625" spans="1:25" ht="22.5">
      <c r="A625" s="131" t="s">
        <v>62</v>
      </c>
      <c r="B625" s="109" t="s">
        <v>1385</v>
      </c>
      <c r="C625" s="245" t="s">
        <v>2657</v>
      </c>
      <c r="D625" s="162" t="s">
        <v>2658</v>
      </c>
      <c r="E625" s="65" t="s">
        <v>1391</v>
      </c>
      <c r="F625" s="162" t="s">
        <v>21</v>
      </c>
      <c r="G625" s="65"/>
      <c r="H625" s="218"/>
      <c r="I625" s="65"/>
      <c r="J625" s="218"/>
      <c r="K625" s="108"/>
      <c r="L625" s="275">
        <v>750</v>
      </c>
      <c r="M625" s="65"/>
      <c r="N625" s="219"/>
      <c r="O625" s="65" t="s">
        <v>1285</v>
      </c>
      <c r="P625" s="162"/>
      <c r="Q625" s="158"/>
      <c r="R625" s="157"/>
      <c r="S625" s="114"/>
      <c r="T625" s="162" t="s">
        <v>29</v>
      </c>
      <c r="U625" s="65" t="s">
        <v>20</v>
      </c>
      <c r="V625" s="162" t="s">
        <v>208</v>
      </c>
      <c r="W625" s="165" t="s">
        <v>2659</v>
      </c>
      <c r="X625" s="225"/>
      <c r="Y625" s="167" t="s">
        <v>208</v>
      </c>
    </row>
    <row r="626" spans="1:25" ht="22.5">
      <c r="A626" s="131" t="s">
        <v>62</v>
      </c>
      <c r="B626" s="109" t="s">
        <v>1385</v>
      </c>
      <c r="C626" s="245" t="s">
        <v>2660</v>
      </c>
      <c r="D626" s="162" t="s">
        <v>2661</v>
      </c>
      <c r="E626" s="65" t="s">
        <v>1493</v>
      </c>
      <c r="F626" s="162" t="s">
        <v>2284</v>
      </c>
      <c r="G626" s="65" t="s">
        <v>208</v>
      </c>
      <c r="H626" s="218">
        <v>2</v>
      </c>
      <c r="I626" s="65">
        <v>58.6</v>
      </c>
      <c r="J626" s="218">
        <v>60</v>
      </c>
      <c r="K626" s="108">
        <v>117.2</v>
      </c>
      <c r="L626" s="275">
        <v>120</v>
      </c>
      <c r="M626" s="65" t="s">
        <v>2662</v>
      </c>
      <c r="N626" s="219"/>
      <c r="O626" s="65" t="s">
        <v>1285</v>
      </c>
      <c r="P626" s="162" t="s">
        <v>1403</v>
      </c>
      <c r="Q626" s="158"/>
      <c r="R626" s="157"/>
      <c r="S626" s="114"/>
      <c r="T626" s="162" t="s">
        <v>29</v>
      </c>
      <c r="U626" s="65" t="s">
        <v>14</v>
      </c>
      <c r="V626" s="162">
        <v>1614</v>
      </c>
      <c r="W626" s="165"/>
      <c r="X626" s="225" t="s">
        <v>1453</v>
      </c>
      <c r="Y626" s="167">
        <v>44747.483356481483</v>
      </c>
    </row>
    <row r="627" spans="1:25">
      <c r="A627" s="131" t="s">
        <v>62</v>
      </c>
      <c r="B627" s="109" t="s">
        <v>1385</v>
      </c>
      <c r="C627" s="245" t="s">
        <v>2660</v>
      </c>
      <c r="D627" s="162" t="s">
        <v>2661</v>
      </c>
      <c r="E627" s="65" t="s">
        <v>1391</v>
      </c>
      <c r="F627" s="162" t="s">
        <v>1388</v>
      </c>
      <c r="G627" s="65" t="s">
        <v>208</v>
      </c>
      <c r="H627" s="218">
        <v>430</v>
      </c>
      <c r="I627" s="65"/>
      <c r="J627" s="218">
        <v>1.8640000000000001</v>
      </c>
      <c r="K627" s="108"/>
      <c r="L627" s="275">
        <v>801.5200000000001</v>
      </c>
      <c r="M627" s="65" t="s">
        <v>2663</v>
      </c>
      <c r="N627" s="219">
        <v>1700</v>
      </c>
      <c r="O627" s="65" t="s">
        <v>1285</v>
      </c>
      <c r="P627" s="162" t="s">
        <v>1403</v>
      </c>
      <c r="Q627" s="158"/>
      <c r="R627" s="157"/>
      <c r="S627" s="114"/>
      <c r="T627" s="162" t="s">
        <v>29</v>
      </c>
      <c r="U627" s="65" t="s">
        <v>20</v>
      </c>
      <c r="V627" s="162">
        <v>1614</v>
      </c>
      <c r="W627" s="165"/>
      <c r="X627" s="225" t="s">
        <v>1453</v>
      </c>
      <c r="Y627" s="167">
        <v>44747.483356481483</v>
      </c>
    </row>
    <row r="628" spans="1:25">
      <c r="A628" s="131" t="s">
        <v>100</v>
      </c>
      <c r="B628" s="109" t="s">
        <v>1320</v>
      </c>
      <c r="C628" s="245" t="s">
        <v>893</v>
      </c>
      <c r="D628" s="162" t="s">
        <v>2664</v>
      </c>
      <c r="E628" s="65" t="s">
        <v>1493</v>
      </c>
      <c r="F628" s="162" t="s">
        <v>1360</v>
      </c>
      <c r="G628" s="65" t="s">
        <v>208</v>
      </c>
      <c r="H628" s="218">
        <v>8</v>
      </c>
      <c r="I628" s="65"/>
      <c r="J628" s="218">
        <v>5.8</v>
      </c>
      <c r="K628" s="108"/>
      <c r="L628" s="275">
        <v>46.4</v>
      </c>
      <c r="M628" s="65" t="s">
        <v>2665</v>
      </c>
      <c r="N628" s="219"/>
      <c r="O628" s="65" t="s">
        <v>55</v>
      </c>
      <c r="P628" s="162" t="s">
        <v>1362</v>
      </c>
      <c r="Q628" s="158"/>
      <c r="R628" s="157"/>
      <c r="S628" s="114"/>
      <c r="T628" s="162" t="s">
        <v>25</v>
      </c>
      <c r="U628" s="65" t="s">
        <v>14</v>
      </c>
      <c r="V628" s="162">
        <v>1121</v>
      </c>
      <c r="W628" s="165"/>
      <c r="X628" s="225" t="s">
        <v>1400</v>
      </c>
      <c r="Y628" s="167">
        <v>43769.416655092595</v>
      </c>
    </row>
    <row r="629" spans="1:25">
      <c r="A629" s="131" t="s">
        <v>62</v>
      </c>
      <c r="B629" s="109" t="s">
        <v>1320</v>
      </c>
      <c r="C629" s="245" t="s">
        <v>818</v>
      </c>
      <c r="D629" s="162" t="s">
        <v>2666</v>
      </c>
      <c r="E629" s="65" t="s">
        <v>1398</v>
      </c>
      <c r="F629" s="162" t="s">
        <v>1388</v>
      </c>
      <c r="G629" s="65" t="s">
        <v>2667</v>
      </c>
      <c r="H629" s="218">
        <v>7</v>
      </c>
      <c r="I629" s="65"/>
      <c r="J629" s="218">
        <v>2</v>
      </c>
      <c r="K629" s="108"/>
      <c r="L629" s="275">
        <v>14</v>
      </c>
      <c r="M629" s="65" t="s">
        <v>1812</v>
      </c>
      <c r="N629" s="219">
        <v>0</v>
      </c>
      <c r="O629" s="65" t="s">
        <v>55</v>
      </c>
      <c r="P629" s="162" t="s">
        <v>1362</v>
      </c>
      <c r="Q629" s="158"/>
      <c r="R629" s="157" t="s">
        <v>1769</v>
      </c>
      <c r="S629" s="114"/>
      <c r="T629" s="162" t="s">
        <v>25</v>
      </c>
      <c r="U629" s="65" t="s">
        <v>1388</v>
      </c>
      <c r="V629" s="162">
        <v>1667</v>
      </c>
      <c r="W629" s="165"/>
      <c r="X629" s="225" t="s">
        <v>1400</v>
      </c>
      <c r="Y629" s="167">
        <v>44679.665868055556</v>
      </c>
    </row>
    <row r="630" spans="1:25">
      <c r="A630" s="131" t="s">
        <v>80</v>
      </c>
      <c r="B630" s="109" t="s">
        <v>1320</v>
      </c>
      <c r="C630" s="245" t="s">
        <v>2668</v>
      </c>
      <c r="D630" s="162" t="s">
        <v>2669</v>
      </c>
      <c r="E630" s="65" t="s">
        <v>1365</v>
      </c>
      <c r="F630" s="162" t="s">
        <v>1431</v>
      </c>
      <c r="G630" s="65" t="s">
        <v>2670</v>
      </c>
      <c r="H630" s="218">
        <v>18</v>
      </c>
      <c r="I630" s="65"/>
      <c r="J630" s="218">
        <v>1.1499999999999999</v>
      </c>
      <c r="K630" s="108"/>
      <c r="L630" s="275">
        <v>20.7</v>
      </c>
      <c r="M630" s="65" t="s">
        <v>2671</v>
      </c>
      <c r="N630" s="219"/>
      <c r="O630" s="65" t="s">
        <v>55</v>
      </c>
      <c r="P630" s="162" t="s">
        <v>1403</v>
      </c>
      <c r="Q630" s="158"/>
      <c r="R630" s="157" t="s">
        <v>1434</v>
      </c>
      <c r="S630" s="114"/>
      <c r="T630" s="162" t="s">
        <v>25</v>
      </c>
      <c r="U630" s="65" t="s">
        <v>21</v>
      </c>
      <c r="V630" s="162">
        <v>1122</v>
      </c>
      <c r="W630" s="165"/>
      <c r="X630" s="225" t="s">
        <v>1363</v>
      </c>
      <c r="Y630" s="167">
        <v>44670.396840277775</v>
      </c>
    </row>
    <row r="631" spans="1:25">
      <c r="A631" s="131" t="s">
        <v>62</v>
      </c>
      <c r="B631" s="109" t="s">
        <v>1385</v>
      </c>
      <c r="C631" s="245" t="s">
        <v>2672</v>
      </c>
      <c r="D631" s="162" t="s">
        <v>1709</v>
      </c>
      <c r="E631" s="65" t="s">
        <v>1419</v>
      </c>
      <c r="F631" s="162" t="s">
        <v>17</v>
      </c>
      <c r="G631" s="65" t="s">
        <v>208</v>
      </c>
      <c r="H631" s="218">
        <v>55</v>
      </c>
      <c r="I631" s="65"/>
      <c r="J631" s="218">
        <v>6.2</v>
      </c>
      <c r="K631" s="108"/>
      <c r="L631" s="275">
        <v>341</v>
      </c>
      <c r="M631" s="65" t="s">
        <v>2673</v>
      </c>
      <c r="N631" s="219"/>
      <c r="O631" s="65" t="s">
        <v>1285</v>
      </c>
      <c r="P631" s="162" t="s">
        <v>1393</v>
      </c>
      <c r="Q631" s="158"/>
      <c r="R631" s="157"/>
      <c r="S631" s="114"/>
      <c r="T631" s="162" t="s">
        <v>29</v>
      </c>
      <c r="U631" s="65" t="s">
        <v>17</v>
      </c>
      <c r="V631" s="162">
        <v>2002</v>
      </c>
      <c r="W631" s="165"/>
      <c r="X631" s="225"/>
      <c r="Y631" s="167">
        <v>44726.651724537034</v>
      </c>
    </row>
    <row r="632" spans="1:25">
      <c r="A632" s="131" t="s">
        <v>100</v>
      </c>
      <c r="B632" s="109" t="s">
        <v>1385</v>
      </c>
      <c r="C632" s="245" t="s">
        <v>2674</v>
      </c>
      <c r="D632" s="162" t="s">
        <v>2675</v>
      </c>
      <c r="E632" s="65"/>
      <c r="F632" s="162" t="s">
        <v>21</v>
      </c>
      <c r="G632" s="65"/>
      <c r="H632" s="218"/>
      <c r="I632" s="65"/>
      <c r="J632" s="218"/>
      <c r="K632" s="108"/>
      <c r="L632" s="275">
        <v>400</v>
      </c>
      <c r="M632" s="65"/>
      <c r="N632" s="219"/>
      <c r="O632" s="65" t="s">
        <v>1285</v>
      </c>
      <c r="P632" s="162"/>
      <c r="Q632" s="158"/>
      <c r="R632" s="157" t="s">
        <v>208</v>
      </c>
      <c r="S632" s="114"/>
      <c r="T632" s="162" t="s">
        <v>29</v>
      </c>
      <c r="U632" s="65" t="s">
        <v>20</v>
      </c>
      <c r="V632" s="162" t="s">
        <v>208</v>
      </c>
      <c r="W632" s="165" t="s">
        <v>2676</v>
      </c>
      <c r="X632" s="225"/>
      <c r="Y632" s="167" t="s">
        <v>208</v>
      </c>
    </row>
    <row r="633" spans="1:25">
      <c r="A633" s="131" t="s">
        <v>95</v>
      </c>
      <c r="B633" s="109" t="s">
        <v>1385</v>
      </c>
      <c r="C633" s="245" t="s">
        <v>2677</v>
      </c>
      <c r="D633" s="162" t="s">
        <v>2678</v>
      </c>
      <c r="E633" s="65" t="s">
        <v>1419</v>
      </c>
      <c r="F633" s="162" t="s">
        <v>17</v>
      </c>
      <c r="G633" s="65" t="s">
        <v>208</v>
      </c>
      <c r="H633" s="218">
        <v>10</v>
      </c>
      <c r="I633" s="65"/>
      <c r="J633" s="218">
        <v>4.2</v>
      </c>
      <c r="K633" s="108"/>
      <c r="L633" s="275">
        <v>42</v>
      </c>
      <c r="M633" s="65" t="s">
        <v>2679</v>
      </c>
      <c r="N633" s="219"/>
      <c r="O633" s="65" t="s">
        <v>1285</v>
      </c>
      <c r="P633" s="162" t="s">
        <v>1362</v>
      </c>
      <c r="Q633" s="158"/>
      <c r="R633" s="157"/>
      <c r="S633" s="114"/>
      <c r="T633" s="162" t="s">
        <v>29</v>
      </c>
      <c r="U633" s="65" t="s">
        <v>17</v>
      </c>
      <c r="V633" s="162">
        <v>1350</v>
      </c>
      <c r="W633" s="165"/>
      <c r="X633" s="225" t="s">
        <v>1400</v>
      </c>
      <c r="Y633" s="167">
        <v>43769.416655092595</v>
      </c>
    </row>
    <row r="634" spans="1:25">
      <c r="A634" s="131" t="s">
        <v>95</v>
      </c>
      <c r="B634" s="109" t="s">
        <v>1320</v>
      </c>
      <c r="C634" s="245" t="s">
        <v>2680</v>
      </c>
      <c r="D634" s="162" t="s">
        <v>1585</v>
      </c>
      <c r="E634" s="65" t="s">
        <v>1539</v>
      </c>
      <c r="F634" s="162" t="s">
        <v>18</v>
      </c>
      <c r="G634" s="65" t="s">
        <v>208</v>
      </c>
      <c r="H634" s="218">
        <v>1</v>
      </c>
      <c r="I634" s="65"/>
      <c r="J634" s="218">
        <v>3.2</v>
      </c>
      <c r="K634" s="108"/>
      <c r="L634" s="275">
        <v>3.2</v>
      </c>
      <c r="M634" s="65" t="s">
        <v>2681</v>
      </c>
      <c r="N634" s="219"/>
      <c r="O634" s="65" t="s">
        <v>55</v>
      </c>
      <c r="P634" s="162" t="s">
        <v>1362</v>
      </c>
      <c r="Q634" s="158"/>
      <c r="R634" s="157" t="s">
        <v>1588</v>
      </c>
      <c r="S634" s="114"/>
      <c r="T634" s="162" t="s">
        <v>25</v>
      </c>
      <c r="U634" s="65" t="s">
        <v>18</v>
      </c>
      <c r="V634" s="162">
        <v>1123</v>
      </c>
      <c r="W634" s="165"/>
      <c r="X634" s="225" t="s">
        <v>1363</v>
      </c>
      <c r="Y634" s="167">
        <v>44670.608344907407</v>
      </c>
    </row>
    <row r="635" spans="1:25">
      <c r="A635" s="131" t="s">
        <v>100</v>
      </c>
      <c r="B635" s="109" t="s">
        <v>1320</v>
      </c>
      <c r="C635" s="245" t="s">
        <v>155</v>
      </c>
      <c r="D635" s="162" t="s">
        <v>2682</v>
      </c>
      <c r="E635" s="65" t="s">
        <v>1596</v>
      </c>
      <c r="F635" s="162" t="s">
        <v>2683</v>
      </c>
      <c r="G635" s="65" t="s">
        <v>2684</v>
      </c>
      <c r="H635" s="218">
        <v>1</v>
      </c>
      <c r="I635" s="65"/>
      <c r="J635" s="218">
        <v>560</v>
      </c>
      <c r="K635" s="108"/>
      <c r="L635" s="275">
        <v>560</v>
      </c>
      <c r="M635" s="65" t="s">
        <v>2685</v>
      </c>
      <c r="N635" s="219"/>
      <c r="O635" s="65" t="s">
        <v>55</v>
      </c>
      <c r="P635" s="162" t="s">
        <v>1403</v>
      </c>
      <c r="Q635" s="158"/>
      <c r="R635" s="157" t="s">
        <v>1534</v>
      </c>
      <c r="S635" s="114"/>
      <c r="T635" s="162" t="s">
        <v>25</v>
      </c>
      <c r="U635" s="65" t="s">
        <v>12</v>
      </c>
      <c r="V635" s="162">
        <v>1124</v>
      </c>
      <c r="W635" s="165"/>
      <c r="X635" s="225" t="s">
        <v>1453</v>
      </c>
      <c r="Y635" s="167">
        <v>44743.438680555555</v>
      </c>
    </row>
    <row r="636" spans="1:25">
      <c r="A636" s="131" t="s">
        <v>100</v>
      </c>
      <c r="B636" s="109" t="s">
        <v>1320</v>
      </c>
      <c r="C636" s="245" t="s">
        <v>155</v>
      </c>
      <c r="D636" s="162" t="s">
        <v>2682</v>
      </c>
      <c r="E636" s="65" t="s">
        <v>1596</v>
      </c>
      <c r="F636" s="162" t="s">
        <v>2683</v>
      </c>
      <c r="G636" s="65" t="s">
        <v>2686</v>
      </c>
      <c r="H636" s="218">
        <v>1</v>
      </c>
      <c r="I636" s="65"/>
      <c r="J636" s="218">
        <v>530</v>
      </c>
      <c r="K636" s="108"/>
      <c r="L636" s="275">
        <v>530</v>
      </c>
      <c r="M636" s="65" t="s">
        <v>2687</v>
      </c>
      <c r="N636" s="219"/>
      <c r="O636" s="65" t="s">
        <v>55</v>
      </c>
      <c r="P636" s="162" t="s">
        <v>1403</v>
      </c>
      <c r="Q636" s="158"/>
      <c r="R636" s="157" t="s">
        <v>1534</v>
      </c>
      <c r="S636" s="114"/>
      <c r="T636" s="162" t="s">
        <v>25</v>
      </c>
      <c r="U636" s="65" t="s">
        <v>12</v>
      </c>
      <c r="V636" s="162">
        <v>1124</v>
      </c>
      <c r="W636" s="165"/>
      <c r="X636" s="225" t="s">
        <v>1453</v>
      </c>
      <c r="Y636" s="167">
        <v>44743.438680555555</v>
      </c>
    </row>
    <row r="637" spans="1:25">
      <c r="A637" s="131" t="s">
        <v>100</v>
      </c>
      <c r="B637" s="109" t="s">
        <v>1385</v>
      </c>
      <c r="C637" s="245" t="s">
        <v>155</v>
      </c>
      <c r="D637" s="162" t="s">
        <v>2682</v>
      </c>
      <c r="E637" s="65" t="s">
        <v>1596</v>
      </c>
      <c r="F637" s="162" t="s">
        <v>2683</v>
      </c>
      <c r="G637" s="65" t="s">
        <v>2686</v>
      </c>
      <c r="H637" s="218">
        <v>1</v>
      </c>
      <c r="I637" s="65"/>
      <c r="J637" s="218">
        <v>15</v>
      </c>
      <c r="K637" s="108"/>
      <c r="L637" s="275">
        <v>15</v>
      </c>
      <c r="M637" s="65" t="s">
        <v>1696</v>
      </c>
      <c r="N637" s="219"/>
      <c r="O637" s="65" t="s">
        <v>2688</v>
      </c>
      <c r="P637" s="162" t="s">
        <v>1403</v>
      </c>
      <c r="Q637" s="158" t="s">
        <v>2689</v>
      </c>
      <c r="R637" s="157" t="s">
        <v>1534</v>
      </c>
      <c r="S637" s="114"/>
      <c r="T637" s="162" t="s">
        <v>26</v>
      </c>
      <c r="U637" s="65" t="s">
        <v>12</v>
      </c>
      <c r="V637" s="162">
        <v>1124</v>
      </c>
      <c r="W637" s="165"/>
      <c r="X637" s="225" t="s">
        <v>1453</v>
      </c>
      <c r="Y637" s="167">
        <v>44743.438680555555</v>
      </c>
    </row>
    <row r="638" spans="1:25">
      <c r="A638" s="131" t="s">
        <v>100</v>
      </c>
      <c r="B638" s="109" t="s">
        <v>1320</v>
      </c>
      <c r="C638" s="245" t="s">
        <v>155</v>
      </c>
      <c r="D638" s="162" t="s">
        <v>2682</v>
      </c>
      <c r="E638" s="65" t="s">
        <v>1596</v>
      </c>
      <c r="F638" s="162" t="s">
        <v>2683</v>
      </c>
      <c r="G638" s="65" t="s">
        <v>2690</v>
      </c>
      <c r="H638" s="218">
        <v>1</v>
      </c>
      <c r="I638" s="65"/>
      <c r="J638" s="218">
        <v>560</v>
      </c>
      <c r="K638" s="108"/>
      <c r="L638" s="275">
        <v>560</v>
      </c>
      <c r="M638" s="65" t="s">
        <v>2685</v>
      </c>
      <c r="N638" s="219"/>
      <c r="O638" s="65" t="s">
        <v>55</v>
      </c>
      <c r="P638" s="162" t="s">
        <v>1403</v>
      </c>
      <c r="Q638" s="158"/>
      <c r="R638" s="157" t="s">
        <v>1534</v>
      </c>
      <c r="S638" s="114"/>
      <c r="T638" s="162" t="s">
        <v>25</v>
      </c>
      <c r="U638" s="65" t="s">
        <v>12</v>
      </c>
      <c r="V638" s="162">
        <v>1124</v>
      </c>
      <c r="W638" s="165"/>
      <c r="X638" s="225" t="s">
        <v>1453</v>
      </c>
      <c r="Y638" s="167">
        <v>44743.438680555555</v>
      </c>
    </row>
    <row r="639" spans="1:25">
      <c r="A639" s="131" t="s">
        <v>100</v>
      </c>
      <c r="B639" s="109" t="s">
        <v>1320</v>
      </c>
      <c r="C639" s="245" t="s">
        <v>155</v>
      </c>
      <c r="D639" s="162" t="s">
        <v>2682</v>
      </c>
      <c r="E639" s="65" t="s">
        <v>1596</v>
      </c>
      <c r="F639" s="162" t="s">
        <v>2683</v>
      </c>
      <c r="G639" s="65" t="s">
        <v>2691</v>
      </c>
      <c r="H639" s="218">
        <v>1</v>
      </c>
      <c r="I639" s="65"/>
      <c r="J639" s="218">
        <v>560</v>
      </c>
      <c r="K639" s="108"/>
      <c r="L639" s="275">
        <v>560</v>
      </c>
      <c r="M639" s="65" t="s">
        <v>2685</v>
      </c>
      <c r="N639" s="219"/>
      <c r="O639" s="65" t="s">
        <v>55</v>
      </c>
      <c r="P639" s="162" t="s">
        <v>1403</v>
      </c>
      <c r="Q639" s="158"/>
      <c r="R639" s="157" t="s">
        <v>1534</v>
      </c>
      <c r="S639" s="114"/>
      <c r="T639" s="162" t="s">
        <v>25</v>
      </c>
      <c r="U639" s="65" t="s">
        <v>12</v>
      </c>
      <c r="V639" s="162">
        <v>1124</v>
      </c>
      <c r="W639" s="165"/>
      <c r="X639" s="225" t="s">
        <v>1453</v>
      </c>
      <c r="Y639" s="167">
        <v>44743.438680555555</v>
      </c>
    </row>
    <row r="640" spans="1:25">
      <c r="A640" s="131" t="s">
        <v>100</v>
      </c>
      <c r="B640" s="109" t="s">
        <v>1320</v>
      </c>
      <c r="C640" s="245" t="s">
        <v>381</v>
      </c>
      <c r="D640" s="162" t="s">
        <v>501</v>
      </c>
      <c r="E640" s="65" t="s">
        <v>1596</v>
      </c>
      <c r="F640" s="162" t="s">
        <v>2683</v>
      </c>
      <c r="G640" s="65" t="s">
        <v>383</v>
      </c>
      <c r="H640" s="218">
        <v>1</v>
      </c>
      <c r="I640" s="65"/>
      <c r="J640" s="218">
        <v>580</v>
      </c>
      <c r="K640" s="108"/>
      <c r="L640" s="275">
        <v>580</v>
      </c>
      <c r="M640" s="65" t="s">
        <v>2692</v>
      </c>
      <c r="N640" s="219"/>
      <c r="O640" s="65" t="s">
        <v>55</v>
      </c>
      <c r="P640" s="162" t="s">
        <v>1403</v>
      </c>
      <c r="Q640" s="158"/>
      <c r="R640" s="157" t="s">
        <v>1457</v>
      </c>
      <c r="S640" s="114"/>
      <c r="T640" s="162" t="s">
        <v>25</v>
      </c>
      <c r="U640" s="65" t="s">
        <v>12</v>
      </c>
      <c r="V640" s="162">
        <v>1125</v>
      </c>
      <c r="W640" s="165"/>
      <c r="X640" s="225" t="s">
        <v>1363</v>
      </c>
      <c r="Y640" s="167">
        <v>44658.634247685186</v>
      </c>
    </row>
    <row r="641" spans="1:25">
      <c r="A641" s="131" t="s">
        <v>100</v>
      </c>
      <c r="B641" s="109" t="s">
        <v>1320</v>
      </c>
      <c r="C641" s="245" t="s">
        <v>381</v>
      </c>
      <c r="D641" s="162" t="s">
        <v>501</v>
      </c>
      <c r="E641" s="65" t="s">
        <v>1596</v>
      </c>
      <c r="F641" s="162" t="s">
        <v>2683</v>
      </c>
      <c r="G641" s="65" t="s">
        <v>2693</v>
      </c>
      <c r="H641" s="218">
        <v>1</v>
      </c>
      <c r="I641" s="65"/>
      <c r="J641" s="218">
        <v>580</v>
      </c>
      <c r="K641" s="108"/>
      <c r="L641" s="275">
        <v>580</v>
      </c>
      <c r="M641" s="65" t="s">
        <v>2692</v>
      </c>
      <c r="N641" s="219"/>
      <c r="O641" s="65" t="s">
        <v>55</v>
      </c>
      <c r="P641" s="162" t="s">
        <v>1403</v>
      </c>
      <c r="Q641" s="158"/>
      <c r="R641" s="157" t="s">
        <v>1457</v>
      </c>
      <c r="S641" s="114"/>
      <c r="T641" s="162" t="s">
        <v>25</v>
      </c>
      <c r="U641" s="65" t="s">
        <v>12</v>
      </c>
      <c r="V641" s="162">
        <v>1125</v>
      </c>
      <c r="W641" s="165"/>
      <c r="X641" s="225" t="s">
        <v>1363</v>
      </c>
      <c r="Y641" s="167">
        <v>44658.634247685186</v>
      </c>
    </row>
    <row r="642" spans="1:25">
      <c r="A642" s="131" t="s">
        <v>100</v>
      </c>
      <c r="B642" s="109" t="s">
        <v>1385</v>
      </c>
      <c r="C642" s="245" t="s">
        <v>2694</v>
      </c>
      <c r="D642" s="162" t="s">
        <v>2695</v>
      </c>
      <c r="E642" s="65" t="s">
        <v>1391</v>
      </c>
      <c r="F642" s="162" t="s">
        <v>21</v>
      </c>
      <c r="G642" s="65" t="s">
        <v>208</v>
      </c>
      <c r="H642" s="218">
        <v>1</v>
      </c>
      <c r="I642" s="65"/>
      <c r="J642" s="218">
        <v>200</v>
      </c>
      <c r="K642" s="108"/>
      <c r="L642" s="275">
        <v>200</v>
      </c>
      <c r="M642" s="65" t="s">
        <v>1615</v>
      </c>
      <c r="N642" s="219">
        <v>0</v>
      </c>
      <c r="O642" s="65" t="s">
        <v>1285</v>
      </c>
      <c r="P642" s="162" t="s">
        <v>1393</v>
      </c>
      <c r="Q642" s="158"/>
      <c r="R642" s="157"/>
      <c r="S642" s="114"/>
      <c r="T642" s="162" t="s">
        <v>29</v>
      </c>
      <c r="U642" s="65" t="s">
        <v>20</v>
      </c>
      <c r="V642" s="162">
        <v>1955</v>
      </c>
      <c r="W642" s="165" t="s">
        <v>2696</v>
      </c>
      <c r="X642" s="225" t="s">
        <v>208</v>
      </c>
      <c r="Y642" s="167">
        <v>44473.570879629631</v>
      </c>
    </row>
    <row r="643" spans="1:25">
      <c r="A643" s="131" t="s">
        <v>100</v>
      </c>
      <c r="B643" s="109" t="s">
        <v>1385</v>
      </c>
      <c r="C643" s="245" t="s">
        <v>2697</v>
      </c>
      <c r="D643" s="162" t="s">
        <v>2698</v>
      </c>
      <c r="E643" s="65"/>
      <c r="F643" s="162" t="s">
        <v>17</v>
      </c>
      <c r="G643" s="65"/>
      <c r="H643" s="218"/>
      <c r="I643" s="65"/>
      <c r="J643" s="218"/>
      <c r="K643" s="108"/>
      <c r="L643" s="275">
        <v>108</v>
      </c>
      <c r="M643" s="65"/>
      <c r="N643" s="219"/>
      <c r="O643" s="65" t="s">
        <v>1285</v>
      </c>
      <c r="P643" s="162"/>
      <c r="Q643" s="158"/>
      <c r="R643" s="157" t="s">
        <v>208</v>
      </c>
      <c r="S643" s="114"/>
      <c r="T643" s="162" t="s">
        <v>29</v>
      </c>
      <c r="U643" s="65" t="s">
        <v>17</v>
      </c>
      <c r="V643" s="162" t="s">
        <v>208</v>
      </c>
      <c r="W643" s="165" t="s">
        <v>2699</v>
      </c>
      <c r="X643" s="225"/>
      <c r="Y643" s="167" t="s">
        <v>208</v>
      </c>
    </row>
    <row r="644" spans="1:25">
      <c r="A644" s="131" t="s">
        <v>46</v>
      </c>
      <c r="B644" s="109" t="s">
        <v>1320</v>
      </c>
      <c r="C644" s="245" t="s">
        <v>2700</v>
      </c>
      <c r="D644" s="162" t="s">
        <v>324</v>
      </c>
      <c r="E644" s="65" t="s">
        <v>1359</v>
      </c>
      <c r="F644" s="162" t="s">
        <v>1422</v>
      </c>
      <c r="G644" s="65" t="s">
        <v>2701</v>
      </c>
      <c r="H644" s="218">
        <v>15</v>
      </c>
      <c r="I644" s="65"/>
      <c r="J644" s="218">
        <v>1.1499999999999999</v>
      </c>
      <c r="K644" s="108"/>
      <c r="L644" s="275">
        <v>17.25</v>
      </c>
      <c r="M644" s="65" t="s">
        <v>2702</v>
      </c>
      <c r="N644" s="219"/>
      <c r="O644" s="65" t="s">
        <v>55</v>
      </c>
      <c r="P644" s="162" t="s">
        <v>1362</v>
      </c>
      <c r="Q644" s="158"/>
      <c r="R644" s="157" t="s">
        <v>1382</v>
      </c>
      <c r="S644" s="114"/>
      <c r="T644" s="162" t="s">
        <v>25</v>
      </c>
      <c r="U644" s="65" t="s">
        <v>19</v>
      </c>
      <c r="V644" s="162">
        <v>1127</v>
      </c>
      <c r="W644" s="165"/>
      <c r="X644" s="225" t="s">
        <v>1363</v>
      </c>
      <c r="Y644" s="167">
        <v>44670.404236111113</v>
      </c>
    </row>
    <row r="645" spans="1:25">
      <c r="A645" s="131" t="s">
        <v>46</v>
      </c>
      <c r="B645" s="109" t="s">
        <v>1320</v>
      </c>
      <c r="C645" s="245" t="s">
        <v>2703</v>
      </c>
      <c r="D645" s="162" t="s">
        <v>324</v>
      </c>
      <c r="E645" s="65" t="s">
        <v>1359</v>
      </c>
      <c r="F645" s="162" t="s">
        <v>1422</v>
      </c>
      <c r="G645" s="65" t="s">
        <v>208</v>
      </c>
      <c r="H645" s="218">
        <v>2</v>
      </c>
      <c r="I645" s="65"/>
      <c r="J645" s="218">
        <v>1.1499999999999999</v>
      </c>
      <c r="K645" s="108"/>
      <c r="L645" s="275">
        <v>2.2999999999999998</v>
      </c>
      <c r="M645" s="65" t="s">
        <v>2475</v>
      </c>
      <c r="N645" s="219"/>
      <c r="O645" s="65" t="s">
        <v>55</v>
      </c>
      <c r="P645" s="162" t="s">
        <v>1362</v>
      </c>
      <c r="Q645" s="158"/>
      <c r="R645" s="157" t="s">
        <v>1837</v>
      </c>
      <c r="S645" s="114"/>
      <c r="T645" s="162" t="s">
        <v>25</v>
      </c>
      <c r="U645" s="65" t="s">
        <v>19</v>
      </c>
      <c r="V645" s="162">
        <v>1126</v>
      </c>
      <c r="W645" s="165"/>
      <c r="X645" s="225" t="s">
        <v>1363</v>
      </c>
      <c r="Y645" s="167">
        <v>44670.401828703703</v>
      </c>
    </row>
    <row r="646" spans="1:25">
      <c r="A646" s="131" t="s">
        <v>46</v>
      </c>
      <c r="B646" s="109" t="s">
        <v>1320</v>
      </c>
      <c r="C646" s="245" t="s">
        <v>2703</v>
      </c>
      <c r="D646" s="162" t="s">
        <v>324</v>
      </c>
      <c r="E646" s="65" t="s">
        <v>1359</v>
      </c>
      <c r="F646" s="162" t="s">
        <v>1422</v>
      </c>
      <c r="G646" s="65" t="s">
        <v>208</v>
      </c>
      <c r="H646" s="218">
        <v>3</v>
      </c>
      <c r="I646" s="65"/>
      <c r="J646" s="218">
        <v>1.03</v>
      </c>
      <c r="K646" s="108"/>
      <c r="L646" s="275">
        <v>3.09</v>
      </c>
      <c r="M646" s="65" t="s">
        <v>2704</v>
      </c>
      <c r="N646" s="219"/>
      <c r="O646" s="65" t="s">
        <v>55</v>
      </c>
      <c r="P646" s="162" t="s">
        <v>1362</v>
      </c>
      <c r="Q646" s="158"/>
      <c r="R646" s="157" t="s">
        <v>1837</v>
      </c>
      <c r="S646" s="114"/>
      <c r="T646" s="162" t="s">
        <v>25</v>
      </c>
      <c r="U646" s="65" t="s">
        <v>19</v>
      </c>
      <c r="V646" s="162">
        <v>1126</v>
      </c>
      <c r="W646" s="165"/>
      <c r="X646" s="225" t="s">
        <v>1363</v>
      </c>
      <c r="Y646" s="167">
        <v>44670.401828703703</v>
      </c>
    </row>
    <row r="647" spans="1:25">
      <c r="A647" s="131" t="s">
        <v>100</v>
      </c>
      <c r="B647" s="109" t="s">
        <v>1385</v>
      </c>
      <c r="C647" s="245" t="s">
        <v>2705</v>
      </c>
      <c r="D647" s="162" t="s">
        <v>2706</v>
      </c>
      <c r="E647" s="65" t="s">
        <v>1391</v>
      </c>
      <c r="F647" s="162" t="s">
        <v>21</v>
      </c>
      <c r="G647" s="65" t="s">
        <v>208</v>
      </c>
      <c r="H647" s="218">
        <v>1</v>
      </c>
      <c r="I647" s="65"/>
      <c r="J647" s="218">
        <v>0</v>
      </c>
      <c r="K647" s="108"/>
      <c r="L647" s="275">
        <v>0</v>
      </c>
      <c r="M647" s="65" t="s">
        <v>1600</v>
      </c>
      <c r="N647" s="219">
        <v>0</v>
      </c>
      <c r="O647" s="65" t="s">
        <v>1285</v>
      </c>
      <c r="P647" s="162" t="s">
        <v>1403</v>
      </c>
      <c r="Q647" s="158"/>
      <c r="R647" s="157"/>
      <c r="S647" s="114"/>
      <c r="T647" s="162" t="s">
        <v>29</v>
      </c>
      <c r="U647" s="65" t="s">
        <v>20</v>
      </c>
      <c r="V647" s="162">
        <v>1867</v>
      </c>
      <c r="W647" s="165"/>
      <c r="X647" s="225"/>
      <c r="Y647" s="167">
        <v>44678.372789351852</v>
      </c>
    </row>
    <row r="648" spans="1:25">
      <c r="A648" s="131" t="s">
        <v>100</v>
      </c>
      <c r="B648" s="109" t="s">
        <v>1320</v>
      </c>
      <c r="C648" s="245" t="s">
        <v>1162</v>
      </c>
      <c r="D648" s="162" t="s">
        <v>2707</v>
      </c>
      <c r="E648" s="65" t="s">
        <v>1419</v>
      </c>
      <c r="F648" s="162" t="s">
        <v>17</v>
      </c>
      <c r="G648" s="65" t="s">
        <v>2708</v>
      </c>
      <c r="H648" s="218">
        <v>140</v>
      </c>
      <c r="I648" s="65"/>
      <c r="J648" s="218">
        <v>3</v>
      </c>
      <c r="K648" s="108"/>
      <c r="L648" s="275">
        <v>420</v>
      </c>
      <c r="M648" s="65" t="s">
        <v>1824</v>
      </c>
      <c r="N648" s="219"/>
      <c r="O648" s="65" t="s">
        <v>55</v>
      </c>
      <c r="P648" s="162" t="s">
        <v>1407</v>
      </c>
      <c r="Q648" s="158"/>
      <c r="R648" s="157" t="s">
        <v>1959</v>
      </c>
      <c r="S648" s="114"/>
      <c r="T648" s="162" t="s">
        <v>25</v>
      </c>
      <c r="U648" s="65" t="s">
        <v>17</v>
      </c>
      <c r="V648" s="162">
        <v>1128</v>
      </c>
      <c r="W648" s="165"/>
      <c r="X648" s="225" t="s">
        <v>1363</v>
      </c>
      <c r="Y648" s="167">
        <v>44670.405509259261</v>
      </c>
    </row>
    <row r="649" spans="1:25">
      <c r="A649" s="131" t="s">
        <v>62</v>
      </c>
      <c r="B649" s="109" t="s">
        <v>1385</v>
      </c>
      <c r="C649" s="245" t="s">
        <v>192</v>
      </c>
      <c r="D649" s="162" t="s">
        <v>193</v>
      </c>
      <c r="E649" s="65" t="s">
        <v>1419</v>
      </c>
      <c r="F649" s="162" t="s">
        <v>17</v>
      </c>
      <c r="G649" s="65" t="s">
        <v>208</v>
      </c>
      <c r="H649" s="218">
        <v>162</v>
      </c>
      <c r="I649" s="65">
        <v>3</v>
      </c>
      <c r="J649" s="218">
        <v>5.7</v>
      </c>
      <c r="K649" s="108">
        <v>486</v>
      </c>
      <c r="L649" s="275">
        <v>923.4</v>
      </c>
      <c r="M649" s="65" t="s">
        <v>2709</v>
      </c>
      <c r="N649" s="219">
        <v>0</v>
      </c>
      <c r="O649" s="65" t="s">
        <v>28</v>
      </c>
      <c r="P649" s="162" t="s">
        <v>1407</v>
      </c>
      <c r="Q649" s="158" t="s">
        <v>1885</v>
      </c>
      <c r="R649" s="157"/>
      <c r="S649" s="114"/>
      <c r="T649" s="162" t="s">
        <v>28</v>
      </c>
      <c r="U649" s="65" t="s">
        <v>17</v>
      </c>
      <c r="V649" s="162">
        <v>1332</v>
      </c>
      <c r="W649" s="165" t="s">
        <v>3958</v>
      </c>
      <c r="X649" s="225" t="s">
        <v>1453</v>
      </c>
      <c r="Y649" s="167">
        <v>44747.365069444444</v>
      </c>
    </row>
    <row r="650" spans="1:25">
      <c r="A650" s="131" t="s">
        <v>62</v>
      </c>
      <c r="B650" s="109" t="s">
        <v>1320</v>
      </c>
      <c r="C650" s="245" t="s">
        <v>300</v>
      </c>
      <c r="D650" s="162" t="s">
        <v>301</v>
      </c>
      <c r="E650" s="65" t="s">
        <v>1493</v>
      </c>
      <c r="F650" s="162" t="s">
        <v>1431</v>
      </c>
      <c r="G650" s="65" t="s">
        <v>302</v>
      </c>
      <c r="H650" s="218">
        <v>1</v>
      </c>
      <c r="I650" s="65"/>
      <c r="J650" s="218">
        <v>34</v>
      </c>
      <c r="K650" s="108"/>
      <c r="L650" s="275">
        <v>34</v>
      </c>
      <c r="M650" s="65" t="s">
        <v>2710</v>
      </c>
      <c r="N650" s="219"/>
      <c r="O650" s="65" t="s">
        <v>303</v>
      </c>
      <c r="P650" s="162" t="s">
        <v>1403</v>
      </c>
      <c r="Q650" s="158"/>
      <c r="R650" s="157"/>
      <c r="S650" s="114">
        <v>44287</v>
      </c>
      <c r="T650" s="162" t="s">
        <v>30</v>
      </c>
      <c r="U650" s="65" t="s">
        <v>14</v>
      </c>
      <c r="V650" s="162">
        <v>1129</v>
      </c>
      <c r="W650" s="165"/>
      <c r="X650" s="225" t="s">
        <v>1363</v>
      </c>
      <c r="Y650" s="167">
        <v>44340.778668981482</v>
      </c>
    </row>
    <row r="651" spans="1:25">
      <c r="A651" s="131" t="s">
        <v>95</v>
      </c>
      <c r="B651" s="109" t="s">
        <v>1320</v>
      </c>
      <c r="C651" s="245" t="s">
        <v>2711</v>
      </c>
      <c r="D651" s="162" t="s">
        <v>1585</v>
      </c>
      <c r="E651" s="65" t="s">
        <v>1539</v>
      </c>
      <c r="F651" s="162" t="s">
        <v>18</v>
      </c>
      <c r="G651" s="65" t="s">
        <v>2712</v>
      </c>
      <c r="H651" s="218">
        <v>1</v>
      </c>
      <c r="I651" s="65"/>
      <c r="J651" s="218">
        <v>79.900000000000006</v>
      </c>
      <c r="K651" s="108"/>
      <c r="L651" s="275">
        <v>79.900000000000006</v>
      </c>
      <c r="M651" s="65" t="s">
        <v>1587</v>
      </c>
      <c r="N651" s="219"/>
      <c r="O651" s="65" t="s">
        <v>55</v>
      </c>
      <c r="P651" s="162" t="s">
        <v>1403</v>
      </c>
      <c r="Q651" s="158"/>
      <c r="R651" s="157" t="s">
        <v>1588</v>
      </c>
      <c r="S651" s="114"/>
      <c r="T651" s="162" t="s">
        <v>25</v>
      </c>
      <c r="U651" s="65" t="s">
        <v>18</v>
      </c>
      <c r="V651" s="162">
        <v>1130</v>
      </c>
      <c r="W651" s="165"/>
      <c r="X651" s="225" t="s">
        <v>1363</v>
      </c>
      <c r="Y651" s="167">
        <v>44672.421631944446</v>
      </c>
    </row>
    <row r="652" spans="1:25">
      <c r="A652" s="131" t="s">
        <v>62</v>
      </c>
      <c r="B652" s="109" t="s">
        <v>1320</v>
      </c>
      <c r="C652" s="245" t="s">
        <v>2713</v>
      </c>
      <c r="D652" s="162" t="s">
        <v>2714</v>
      </c>
      <c r="E652" s="65" t="s">
        <v>1596</v>
      </c>
      <c r="F652" s="162" t="s">
        <v>1856</v>
      </c>
      <c r="G652" s="65" t="s">
        <v>208</v>
      </c>
      <c r="H652" s="218">
        <v>1</v>
      </c>
      <c r="I652" s="65"/>
      <c r="J652" s="218">
        <v>3</v>
      </c>
      <c r="K652" s="108"/>
      <c r="L652" s="275">
        <v>3</v>
      </c>
      <c r="M652" s="65" t="s">
        <v>2163</v>
      </c>
      <c r="N652" s="219"/>
      <c r="O652" s="65" t="s">
        <v>55</v>
      </c>
      <c r="P652" s="162" t="s">
        <v>1362</v>
      </c>
      <c r="Q652" s="158"/>
      <c r="R652" s="157"/>
      <c r="S652" s="114"/>
      <c r="T652" s="162" t="s">
        <v>25</v>
      </c>
      <c r="U652" s="65" t="s">
        <v>19</v>
      </c>
      <c r="V652" s="162">
        <v>1131</v>
      </c>
      <c r="W652" s="165"/>
      <c r="X652" s="225" t="s">
        <v>1363</v>
      </c>
      <c r="Y652" s="167">
        <v>44665.693645833337</v>
      </c>
    </row>
    <row r="653" spans="1:25">
      <c r="A653" s="131" t="s">
        <v>62</v>
      </c>
      <c r="B653" s="109" t="s">
        <v>1320</v>
      </c>
      <c r="C653" s="245" t="s">
        <v>2713</v>
      </c>
      <c r="D653" s="162" t="s">
        <v>2714</v>
      </c>
      <c r="E653" s="65" t="s">
        <v>1596</v>
      </c>
      <c r="F653" s="162" t="s">
        <v>1856</v>
      </c>
      <c r="G653" s="65" t="s">
        <v>208</v>
      </c>
      <c r="H653" s="218">
        <v>1</v>
      </c>
      <c r="I653" s="65"/>
      <c r="J653" s="218">
        <v>5</v>
      </c>
      <c r="K653" s="108"/>
      <c r="L653" s="275">
        <v>5</v>
      </c>
      <c r="M653" s="65" t="s">
        <v>1416</v>
      </c>
      <c r="N653" s="219"/>
      <c r="O653" s="65" t="s">
        <v>55</v>
      </c>
      <c r="P653" s="162" t="s">
        <v>1362</v>
      </c>
      <c r="Q653" s="158"/>
      <c r="R653" s="157"/>
      <c r="S653" s="114"/>
      <c r="T653" s="162" t="s">
        <v>25</v>
      </c>
      <c r="U653" s="65" t="s">
        <v>19</v>
      </c>
      <c r="V653" s="162">
        <v>1131</v>
      </c>
      <c r="W653" s="165"/>
      <c r="X653" s="225" t="s">
        <v>1363</v>
      </c>
      <c r="Y653" s="167">
        <v>44665.693645833337</v>
      </c>
    </row>
    <row r="654" spans="1:25">
      <c r="A654" s="131" t="s">
        <v>100</v>
      </c>
      <c r="B654" s="109" t="s">
        <v>1385</v>
      </c>
      <c r="C654" s="245" t="s">
        <v>106</v>
      </c>
      <c r="D654" s="162" t="s">
        <v>107</v>
      </c>
      <c r="E654" s="65"/>
      <c r="F654" s="162" t="s">
        <v>1527</v>
      </c>
      <c r="G654" s="65"/>
      <c r="H654" s="218">
        <v>34</v>
      </c>
      <c r="I654" s="65"/>
      <c r="J654" s="242">
        <v>6.47</v>
      </c>
      <c r="K654" s="108"/>
      <c r="L654" s="281">
        <v>220</v>
      </c>
      <c r="M654" s="243">
        <v>220</v>
      </c>
      <c r="N654" s="219"/>
      <c r="O654" s="65" t="s">
        <v>1285</v>
      </c>
      <c r="P654" s="162"/>
      <c r="Q654" s="158"/>
      <c r="R654" s="157"/>
      <c r="S654" s="114"/>
      <c r="T654" s="162" t="s">
        <v>29</v>
      </c>
      <c r="U654" s="65" t="s">
        <v>1388</v>
      </c>
      <c r="V654" s="162"/>
      <c r="W654" s="165" t="s">
        <v>4046</v>
      </c>
      <c r="X654" s="225"/>
      <c r="Y654" s="167"/>
    </row>
    <row r="655" spans="1:25">
      <c r="A655" s="131" t="s">
        <v>46</v>
      </c>
      <c r="B655" s="109" t="s">
        <v>1320</v>
      </c>
      <c r="C655" s="245" t="s">
        <v>2715</v>
      </c>
      <c r="D655" s="162" t="s">
        <v>2716</v>
      </c>
      <c r="E655" s="65" t="s">
        <v>1429</v>
      </c>
      <c r="F655" s="162" t="s">
        <v>1388</v>
      </c>
      <c r="G655" s="65" t="s">
        <v>2717</v>
      </c>
      <c r="H655" s="218">
        <v>20</v>
      </c>
      <c r="I655" s="65"/>
      <c r="J655" s="218">
        <v>2.5</v>
      </c>
      <c r="K655" s="108"/>
      <c r="L655" s="275">
        <v>50</v>
      </c>
      <c r="M655" s="65" t="s">
        <v>1489</v>
      </c>
      <c r="N655" s="219"/>
      <c r="O655" s="65" t="s">
        <v>55</v>
      </c>
      <c r="P655" s="162" t="s">
        <v>1407</v>
      </c>
      <c r="Q655" s="158"/>
      <c r="R655" s="157" t="s">
        <v>1452</v>
      </c>
      <c r="S655" s="114"/>
      <c r="T655" s="162" t="s">
        <v>25</v>
      </c>
      <c r="U655" s="65" t="s">
        <v>1388</v>
      </c>
      <c r="V655" s="162">
        <v>1280</v>
      </c>
      <c r="W655" s="165"/>
      <c r="X655" s="225" t="s">
        <v>1400</v>
      </c>
      <c r="Y655" s="167">
        <v>44693.431585648148</v>
      </c>
    </row>
    <row r="656" spans="1:25" ht="22.5">
      <c r="A656" s="131" t="s">
        <v>80</v>
      </c>
      <c r="B656" s="109" t="s">
        <v>1320</v>
      </c>
      <c r="C656" s="245" t="s">
        <v>90</v>
      </c>
      <c r="D656" s="162" t="s">
        <v>82</v>
      </c>
      <c r="E656" s="65" t="s">
        <v>1429</v>
      </c>
      <c r="F656" s="162" t="s">
        <v>1388</v>
      </c>
      <c r="G656" s="65" t="s">
        <v>91</v>
      </c>
      <c r="H656" s="218">
        <v>6</v>
      </c>
      <c r="I656" s="65"/>
      <c r="J656" s="218">
        <v>2.8</v>
      </c>
      <c r="K656" s="108"/>
      <c r="L656" s="275">
        <v>16.799999999999997</v>
      </c>
      <c r="M656" s="65" t="s">
        <v>2718</v>
      </c>
      <c r="N656" s="219"/>
      <c r="O656" s="65" t="s">
        <v>27</v>
      </c>
      <c r="P656" s="162" t="s">
        <v>1407</v>
      </c>
      <c r="Q656" s="158" t="s">
        <v>1404</v>
      </c>
      <c r="R656" s="157" t="s">
        <v>1405</v>
      </c>
      <c r="S656" s="114"/>
      <c r="T656" s="162" t="s">
        <v>25</v>
      </c>
      <c r="U656" s="65" t="s">
        <v>1388</v>
      </c>
      <c r="V656" s="162">
        <v>1847</v>
      </c>
      <c r="W656" s="165" t="s">
        <v>3949</v>
      </c>
      <c r="X656" s="225" t="s">
        <v>1363</v>
      </c>
      <c r="Y656" s="167">
        <v>44671.360821759263</v>
      </c>
    </row>
    <row r="657" spans="1:25" ht="22.5">
      <c r="A657" s="131" t="s">
        <v>80</v>
      </c>
      <c r="B657" s="109" t="s">
        <v>1385</v>
      </c>
      <c r="C657" s="245" t="s">
        <v>92</v>
      </c>
      <c r="D657" s="162" t="s">
        <v>82</v>
      </c>
      <c r="E657" s="65" t="s">
        <v>1429</v>
      </c>
      <c r="F657" s="162" t="s">
        <v>1388</v>
      </c>
      <c r="G657" s="65" t="s">
        <v>93</v>
      </c>
      <c r="H657" s="218">
        <v>6</v>
      </c>
      <c r="I657" s="65"/>
      <c r="J657" s="218">
        <v>2.06</v>
      </c>
      <c r="K657" s="108"/>
      <c r="L657" s="275">
        <v>12.36</v>
      </c>
      <c r="M657" s="65" t="s">
        <v>2719</v>
      </c>
      <c r="N657" s="219"/>
      <c r="O657" s="65" t="s">
        <v>94</v>
      </c>
      <c r="P657" s="162" t="s">
        <v>1407</v>
      </c>
      <c r="Q657" s="158" t="s">
        <v>1975</v>
      </c>
      <c r="R657" s="157" t="s">
        <v>1405</v>
      </c>
      <c r="S657" s="114"/>
      <c r="T657" s="162" t="s">
        <v>27</v>
      </c>
      <c r="U657" s="65" t="s">
        <v>1388</v>
      </c>
      <c r="V657" s="162">
        <v>2010</v>
      </c>
      <c r="W657" s="165" t="s">
        <v>3950</v>
      </c>
      <c r="X657" s="225" t="s">
        <v>1453</v>
      </c>
      <c r="Y657" s="167">
        <v>44747.50849537037</v>
      </c>
    </row>
    <row r="658" spans="1:25">
      <c r="A658" s="131" t="s">
        <v>80</v>
      </c>
      <c r="B658" s="109" t="s">
        <v>1385</v>
      </c>
      <c r="C658" s="245" t="s">
        <v>2720</v>
      </c>
      <c r="D658" s="162" t="s">
        <v>1867</v>
      </c>
      <c r="E658" s="65"/>
      <c r="F658" s="162" t="s">
        <v>21</v>
      </c>
      <c r="G658" s="65"/>
      <c r="H658" s="218"/>
      <c r="I658" s="65"/>
      <c r="J658" s="218"/>
      <c r="K658" s="108"/>
      <c r="L658" s="275">
        <v>100</v>
      </c>
      <c r="M658" s="65"/>
      <c r="N658" s="219"/>
      <c r="O658" s="65" t="s">
        <v>1285</v>
      </c>
      <c r="P658" s="162"/>
      <c r="Q658" s="158"/>
      <c r="R658" s="157"/>
      <c r="S658" s="114"/>
      <c r="T658" s="162" t="s">
        <v>29</v>
      </c>
      <c r="U658" s="65" t="s">
        <v>20</v>
      </c>
      <c r="V658" s="162" t="s">
        <v>208</v>
      </c>
      <c r="W658" s="165" t="s">
        <v>2721</v>
      </c>
      <c r="X658" s="225"/>
      <c r="Y658" s="167" t="s">
        <v>208</v>
      </c>
    </row>
    <row r="659" spans="1:25">
      <c r="A659" s="131" t="s">
        <v>80</v>
      </c>
      <c r="B659" s="109" t="s">
        <v>1385</v>
      </c>
      <c r="C659" s="245" t="s">
        <v>2722</v>
      </c>
      <c r="D659" s="162" t="s">
        <v>2723</v>
      </c>
      <c r="E659" s="65" t="s">
        <v>1429</v>
      </c>
      <c r="F659" s="162" t="s">
        <v>1388</v>
      </c>
      <c r="G659" s="65" t="s">
        <v>208</v>
      </c>
      <c r="H659" s="218">
        <v>1</v>
      </c>
      <c r="I659" s="65"/>
      <c r="J659" s="218">
        <v>4.95</v>
      </c>
      <c r="K659" s="108"/>
      <c r="L659" s="275">
        <v>4.95</v>
      </c>
      <c r="M659" s="65" t="s">
        <v>2724</v>
      </c>
      <c r="N659" s="219">
        <v>0</v>
      </c>
      <c r="O659" s="65" t="s">
        <v>1285</v>
      </c>
      <c r="P659" s="162" t="s">
        <v>1362</v>
      </c>
      <c r="Q659" s="158"/>
      <c r="R659" s="157"/>
      <c r="S659" s="114"/>
      <c r="T659" s="162" t="s">
        <v>29</v>
      </c>
      <c r="U659" s="65" t="s">
        <v>1388</v>
      </c>
      <c r="V659" s="162">
        <v>1722</v>
      </c>
      <c r="W659" s="165"/>
      <c r="X659" s="225" t="s">
        <v>1400</v>
      </c>
      <c r="Y659" s="167">
        <v>44679.720752314817</v>
      </c>
    </row>
    <row r="660" spans="1:25">
      <c r="A660" s="131" t="s">
        <v>100</v>
      </c>
      <c r="B660" s="109" t="s">
        <v>1385</v>
      </c>
      <c r="C660" s="245" t="s">
        <v>2725</v>
      </c>
      <c r="D660" s="162" t="s">
        <v>2726</v>
      </c>
      <c r="E660" s="65"/>
      <c r="F660" s="162" t="s">
        <v>21</v>
      </c>
      <c r="G660" s="65"/>
      <c r="H660" s="218"/>
      <c r="I660" s="65"/>
      <c r="J660" s="218"/>
      <c r="K660" s="108"/>
      <c r="L660" s="275">
        <v>0</v>
      </c>
      <c r="M660" s="65"/>
      <c r="N660" s="219"/>
      <c r="O660" s="65" t="s">
        <v>1285</v>
      </c>
      <c r="P660" s="162"/>
      <c r="Q660" s="158"/>
      <c r="R660" s="157" t="s">
        <v>208</v>
      </c>
      <c r="S660" s="114"/>
      <c r="T660" s="162" t="s">
        <v>29</v>
      </c>
      <c r="U660" s="65" t="s">
        <v>20</v>
      </c>
      <c r="V660" s="162" t="s">
        <v>208</v>
      </c>
      <c r="W660" s="165" t="s">
        <v>2727</v>
      </c>
      <c r="X660" s="225"/>
      <c r="Y660" s="167" t="s">
        <v>208</v>
      </c>
    </row>
    <row r="661" spans="1:25">
      <c r="A661" s="131" t="s">
        <v>100</v>
      </c>
      <c r="B661" s="109" t="s">
        <v>1385</v>
      </c>
      <c r="C661" s="245" t="s">
        <v>2725</v>
      </c>
      <c r="D661" s="162" t="s">
        <v>2726</v>
      </c>
      <c r="E661" s="65"/>
      <c r="F661" s="162" t="s">
        <v>1388</v>
      </c>
      <c r="G661" s="65"/>
      <c r="H661" s="218"/>
      <c r="I661" s="65"/>
      <c r="J661" s="218"/>
      <c r="K661" s="108"/>
      <c r="L661" s="275">
        <v>350</v>
      </c>
      <c r="M661" s="65"/>
      <c r="N661" s="219"/>
      <c r="O661" s="65" t="s">
        <v>1285</v>
      </c>
      <c r="P661" s="162"/>
      <c r="Q661" s="158"/>
      <c r="R661" s="157" t="s">
        <v>208</v>
      </c>
      <c r="S661" s="114"/>
      <c r="T661" s="162" t="s">
        <v>29</v>
      </c>
      <c r="U661" s="65" t="s">
        <v>1388</v>
      </c>
      <c r="V661" s="162" t="s">
        <v>208</v>
      </c>
      <c r="W661" s="165" t="s">
        <v>2727</v>
      </c>
      <c r="X661" s="225"/>
      <c r="Y661" s="167" t="s">
        <v>208</v>
      </c>
    </row>
    <row r="662" spans="1:25">
      <c r="A662" s="131" t="s">
        <v>46</v>
      </c>
      <c r="B662" s="109" t="s">
        <v>1385</v>
      </c>
      <c r="C662" s="245" t="s">
        <v>430</v>
      </c>
      <c r="D662" s="162" t="s">
        <v>431</v>
      </c>
      <c r="E662" s="65" t="s">
        <v>1391</v>
      </c>
      <c r="F662" s="162" t="s">
        <v>21</v>
      </c>
      <c r="G662" s="65" t="s">
        <v>208</v>
      </c>
      <c r="H662" s="218">
        <v>4</v>
      </c>
      <c r="I662" s="65"/>
      <c r="J662" s="218">
        <v>50</v>
      </c>
      <c r="K662" s="108"/>
      <c r="L662" s="275">
        <v>200</v>
      </c>
      <c r="M662" s="65" t="s">
        <v>1615</v>
      </c>
      <c r="N662" s="219">
        <v>400</v>
      </c>
      <c r="O662" s="65" t="s">
        <v>1285</v>
      </c>
      <c r="P662" s="162" t="s">
        <v>1403</v>
      </c>
      <c r="Q662" s="158"/>
      <c r="R662" s="157"/>
      <c r="S662" s="114"/>
      <c r="T662" s="162" t="s">
        <v>29</v>
      </c>
      <c r="U662" s="65" t="s">
        <v>20</v>
      </c>
      <c r="V662" s="162">
        <v>143</v>
      </c>
      <c r="W662" s="165"/>
      <c r="X662" s="225" t="s">
        <v>1400</v>
      </c>
      <c r="Y662" s="167">
        <v>43769.416655092595</v>
      </c>
    </row>
    <row r="663" spans="1:25">
      <c r="A663" s="131" t="s">
        <v>100</v>
      </c>
      <c r="B663" s="109" t="s">
        <v>1320</v>
      </c>
      <c r="C663" s="245" t="s">
        <v>2728</v>
      </c>
      <c r="D663" s="162" t="s">
        <v>2729</v>
      </c>
      <c r="E663" s="65" t="s">
        <v>1419</v>
      </c>
      <c r="F663" s="162" t="s">
        <v>17</v>
      </c>
      <c r="G663" s="65" t="s">
        <v>2730</v>
      </c>
      <c r="H663" s="218">
        <v>2</v>
      </c>
      <c r="I663" s="65"/>
      <c r="J663" s="218">
        <v>3.6</v>
      </c>
      <c r="K663" s="108"/>
      <c r="L663" s="275">
        <v>7.2</v>
      </c>
      <c r="M663" s="65" t="s">
        <v>2117</v>
      </c>
      <c r="N663" s="219"/>
      <c r="O663" s="65" t="s">
        <v>55</v>
      </c>
      <c r="P663" s="162" t="s">
        <v>1362</v>
      </c>
      <c r="Q663" s="158"/>
      <c r="R663" s="157"/>
      <c r="S663" s="114"/>
      <c r="T663" s="162" t="s">
        <v>25</v>
      </c>
      <c r="U663" s="65" t="s">
        <v>17</v>
      </c>
      <c r="V663" s="162">
        <v>1468</v>
      </c>
      <c r="W663" s="165"/>
      <c r="X663" s="225" t="s">
        <v>1363</v>
      </c>
      <c r="Y663" s="167">
        <v>44671.451770833337</v>
      </c>
    </row>
    <row r="664" spans="1:25">
      <c r="A664" s="131" t="s">
        <v>46</v>
      </c>
      <c r="B664" s="109" t="s">
        <v>1385</v>
      </c>
      <c r="C664" s="245" t="s">
        <v>2731</v>
      </c>
      <c r="D664" s="162" t="s">
        <v>2732</v>
      </c>
      <c r="E664" s="65" t="s">
        <v>2733</v>
      </c>
      <c r="F664" s="162" t="s">
        <v>1360</v>
      </c>
      <c r="G664" s="65" t="s">
        <v>208</v>
      </c>
      <c r="H664" s="218">
        <v>1</v>
      </c>
      <c r="I664" s="65">
        <v>250</v>
      </c>
      <c r="J664" s="218">
        <v>350</v>
      </c>
      <c r="K664" s="108">
        <v>250</v>
      </c>
      <c r="L664" s="275">
        <v>350</v>
      </c>
      <c r="M664" s="65" t="s">
        <v>2734</v>
      </c>
      <c r="N664" s="219"/>
      <c r="O664" s="65" t="s">
        <v>1285</v>
      </c>
      <c r="P664" s="162" t="s">
        <v>1403</v>
      </c>
      <c r="Q664" s="158"/>
      <c r="R664" s="157"/>
      <c r="S664" s="114"/>
      <c r="T664" s="162" t="s">
        <v>29</v>
      </c>
      <c r="U664" s="65" t="s">
        <v>15</v>
      </c>
      <c r="V664" s="162">
        <v>1132</v>
      </c>
      <c r="W664" s="165"/>
      <c r="X664" s="225" t="s">
        <v>1453</v>
      </c>
      <c r="Y664" s="167">
        <v>44742.561365740738</v>
      </c>
    </row>
    <row r="665" spans="1:25">
      <c r="A665" s="131" t="s">
        <v>46</v>
      </c>
      <c r="B665" s="109" t="s">
        <v>1385</v>
      </c>
      <c r="C665" s="245" t="s">
        <v>2731</v>
      </c>
      <c r="D665" s="162" t="s">
        <v>2732</v>
      </c>
      <c r="E665" s="65" t="s">
        <v>2733</v>
      </c>
      <c r="F665" s="162" t="s">
        <v>1360</v>
      </c>
      <c r="G665" s="65" t="s">
        <v>208</v>
      </c>
      <c r="H665" s="218">
        <v>1</v>
      </c>
      <c r="I665" s="65">
        <v>250</v>
      </c>
      <c r="J665" s="218">
        <v>450</v>
      </c>
      <c r="K665" s="108">
        <v>250</v>
      </c>
      <c r="L665" s="275">
        <v>450</v>
      </c>
      <c r="M665" s="65" t="s">
        <v>2735</v>
      </c>
      <c r="N665" s="219"/>
      <c r="O665" s="65" t="s">
        <v>1285</v>
      </c>
      <c r="P665" s="162" t="s">
        <v>1403</v>
      </c>
      <c r="Q665" s="158"/>
      <c r="R665" s="157"/>
      <c r="S665" s="114"/>
      <c r="T665" s="162" t="s">
        <v>29</v>
      </c>
      <c r="U665" s="65" t="s">
        <v>15</v>
      </c>
      <c r="V665" s="162">
        <v>1132</v>
      </c>
      <c r="W665" s="165"/>
      <c r="X665" s="225" t="s">
        <v>1453</v>
      </c>
      <c r="Y665" s="167">
        <v>44742.561365740738</v>
      </c>
    </row>
    <row r="666" spans="1:25">
      <c r="A666" s="131" t="s">
        <v>62</v>
      </c>
      <c r="B666" s="109" t="s">
        <v>1320</v>
      </c>
      <c r="C666" s="245" t="s">
        <v>2736</v>
      </c>
      <c r="D666" s="162" t="s">
        <v>516</v>
      </c>
      <c r="E666" s="65" t="s">
        <v>1822</v>
      </c>
      <c r="F666" s="162" t="s">
        <v>1856</v>
      </c>
      <c r="G666" s="65" t="s">
        <v>208</v>
      </c>
      <c r="H666" s="218">
        <v>1</v>
      </c>
      <c r="I666" s="65"/>
      <c r="J666" s="218">
        <v>3.5</v>
      </c>
      <c r="K666" s="108"/>
      <c r="L666" s="275">
        <v>3.5</v>
      </c>
      <c r="M666" s="65" t="s">
        <v>2737</v>
      </c>
      <c r="N666" s="219"/>
      <c r="O666" s="65" t="s">
        <v>55</v>
      </c>
      <c r="P666" s="162" t="s">
        <v>1362</v>
      </c>
      <c r="Q666" s="158"/>
      <c r="R666" s="157"/>
      <c r="S666" s="114"/>
      <c r="T666" s="162" t="s">
        <v>25</v>
      </c>
      <c r="U666" s="65" t="s">
        <v>19</v>
      </c>
      <c r="V666" s="162">
        <v>1308</v>
      </c>
      <c r="W666" s="165"/>
      <c r="X666" s="225" t="s">
        <v>1400</v>
      </c>
      <c r="Y666" s="167">
        <v>43769.416655092595</v>
      </c>
    </row>
    <row r="667" spans="1:25">
      <c r="A667" s="131" t="s">
        <v>62</v>
      </c>
      <c r="B667" s="109" t="s">
        <v>1320</v>
      </c>
      <c r="C667" s="245" t="s">
        <v>2736</v>
      </c>
      <c r="D667" s="162" t="s">
        <v>516</v>
      </c>
      <c r="E667" s="65" t="s">
        <v>1822</v>
      </c>
      <c r="F667" s="162" t="s">
        <v>1856</v>
      </c>
      <c r="G667" s="65" t="s">
        <v>208</v>
      </c>
      <c r="H667" s="218">
        <v>2</v>
      </c>
      <c r="I667" s="65"/>
      <c r="J667" s="218">
        <v>2</v>
      </c>
      <c r="K667" s="108"/>
      <c r="L667" s="275">
        <v>4</v>
      </c>
      <c r="M667" s="65" t="s">
        <v>2738</v>
      </c>
      <c r="N667" s="219"/>
      <c r="O667" s="65" t="s">
        <v>55</v>
      </c>
      <c r="P667" s="162" t="s">
        <v>1362</v>
      </c>
      <c r="Q667" s="158"/>
      <c r="R667" s="157"/>
      <c r="S667" s="114"/>
      <c r="T667" s="162" t="s">
        <v>25</v>
      </c>
      <c r="U667" s="65" t="s">
        <v>19</v>
      </c>
      <c r="V667" s="162">
        <v>1308</v>
      </c>
      <c r="W667" s="165"/>
      <c r="X667" s="225" t="s">
        <v>1400</v>
      </c>
      <c r="Y667" s="167">
        <v>43769.416655092595</v>
      </c>
    </row>
    <row r="668" spans="1:25">
      <c r="A668" s="131" t="s">
        <v>62</v>
      </c>
      <c r="B668" s="109" t="s">
        <v>1320</v>
      </c>
      <c r="C668" s="245" t="s">
        <v>242</v>
      </c>
      <c r="D668" s="162" t="s">
        <v>243</v>
      </c>
      <c r="E668" s="65" t="s">
        <v>1429</v>
      </c>
      <c r="F668" s="162" t="s">
        <v>1388</v>
      </c>
      <c r="G668" s="65" t="s">
        <v>244</v>
      </c>
      <c r="H668" s="218">
        <v>1</v>
      </c>
      <c r="I668" s="65"/>
      <c r="J668" s="218">
        <v>34.5</v>
      </c>
      <c r="K668" s="108"/>
      <c r="L668" s="275">
        <v>34.5</v>
      </c>
      <c r="M668" s="65" t="s">
        <v>2739</v>
      </c>
      <c r="N668" s="219">
        <v>0</v>
      </c>
      <c r="O668" s="65" t="s">
        <v>55</v>
      </c>
      <c r="P668" s="162" t="s">
        <v>1407</v>
      </c>
      <c r="Q668" s="158"/>
      <c r="R668" s="157" t="s">
        <v>1452</v>
      </c>
      <c r="S668" s="114"/>
      <c r="T668" s="162" t="s">
        <v>25</v>
      </c>
      <c r="U668" s="65" t="s">
        <v>1388</v>
      </c>
      <c r="V668" s="162">
        <v>1689</v>
      </c>
      <c r="W668" s="165"/>
      <c r="X668" s="225" t="s">
        <v>1404</v>
      </c>
      <c r="Y668" s="167">
        <v>44696.337905092594</v>
      </c>
    </row>
    <row r="669" spans="1:25">
      <c r="A669" s="131" t="s">
        <v>46</v>
      </c>
      <c r="B669" s="109" t="s">
        <v>1385</v>
      </c>
      <c r="C669" s="245" t="s">
        <v>2740</v>
      </c>
      <c r="D669" s="162" t="s">
        <v>1734</v>
      </c>
      <c r="E669" s="65" t="s">
        <v>1429</v>
      </c>
      <c r="F669" s="162" t="s">
        <v>1388</v>
      </c>
      <c r="G669" s="65" t="s">
        <v>208</v>
      </c>
      <c r="H669" s="218">
        <v>1</v>
      </c>
      <c r="I669" s="65"/>
      <c r="J669" s="218">
        <v>125</v>
      </c>
      <c r="K669" s="108"/>
      <c r="L669" s="275">
        <v>125</v>
      </c>
      <c r="M669" s="65" t="s">
        <v>2741</v>
      </c>
      <c r="N669" s="219"/>
      <c r="O669" s="65" t="s">
        <v>1285</v>
      </c>
      <c r="P669" s="162" t="s">
        <v>1407</v>
      </c>
      <c r="Q669" s="158"/>
      <c r="R669" s="157"/>
      <c r="S669" s="114"/>
      <c r="T669" s="162" t="s">
        <v>29</v>
      </c>
      <c r="U669" s="65" t="s">
        <v>1388</v>
      </c>
      <c r="V669" s="162">
        <v>1595</v>
      </c>
      <c r="W669" s="165"/>
      <c r="X669" s="225" t="s">
        <v>1395</v>
      </c>
      <c r="Y669" s="167">
        <v>44362</v>
      </c>
    </row>
    <row r="670" spans="1:25">
      <c r="A670" s="131" t="s">
        <v>62</v>
      </c>
      <c r="B670" s="109" t="s">
        <v>1385</v>
      </c>
      <c r="C670" s="245" t="s">
        <v>2742</v>
      </c>
      <c r="D670" s="162" t="s">
        <v>2743</v>
      </c>
      <c r="E670" s="65" t="s">
        <v>1398</v>
      </c>
      <c r="F670" s="162" t="s">
        <v>1388</v>
      </c>
      <c r="G670" s="65" t="s">
        <v>208</v>
      </c>
      <c r="H670" s="218">
        <v>6</v>
      </c>
      <c r="I670" s="65"/>
      <c r="J670" s="218">
        <v>3.3000000000000002E-2</v>
      </c>
      <c r="K670" s="108"/>
      <c r="L670" s="275">
        <v>0.19800000000000001</v>
      </c>
      <c r="M670" s="65" t="s">
        <v>2744</v>
      </c>
      <c r="N670" s="219">
        <v>0</v>
      </c>
      <c r="O670" s="65" t="s">
        <v>94</v>
      </c>
      <c r="P670" s="162" t="s">
        <v>1362</v>
      </c>
      <c r="Q670" s="158"/>
      <c r="R670" s="157"/>
      <c r="S670" s="114"/>
      <c r="T670" s="162" t="s">
        <v>27</v>
      </c>
      <c r="U670" s="65" t="s">
        <v>1388</v>
      </c>
      <c r="V670" s="162">
        <v>1551</v>
      </c>
      <c r="W670" s="165"/>
      <c r="X670" s="225" t="s">
        <v>1453</v>
      </c>
      <c r="Y670" s="167">
        <v>44747.568854166668</v>
      </c>
    </row>
    <row r="671" spans="1:25">
      <c r="A671" s="131" t="s">
        <v>46</v>
      </c>
      <c r="B671" s="109" t="s">
        <v>1385</v>
      </c>
      <c r="C671" s="245" t="s">
        <v>2745</v>
      </c>
      <c r="D671" s="162" t="s">
        <v>2746</v>
      </c>
      <c r="E671" s="65" t="s">
        <v>1429</v>
      </c>
      <c r="F671" s="162" t="s">
        <v>1388</v>
      </c>
      <c r="G671" s="65" t="s">
        <v>208</v>
      </c>
      <c r="H671" s="218">
        <v>1</v>
      </c>
      <c r="I671" s="65"/>
      <c r="J671" s="218">
        <v>25</v>
      </c>
      <c r="K671" s="108"/>
      <c r="L671" s="275">
        <v>25</v>
      </c>
      <c r="M671" s="65" t="s">
        <v>1604</v>
      </c>
      <c r="N671" s="219"/>
      <c r="O671" s="65" t="s">
        <v>1285</v>
      </c>
      <c r="P671" s="162" t="s">
        <v>1393</v>
      </c>
      <c r="Q671" s="158"/>
      <c r="R671" s="157"/>
      <c r="S671" s="114"/>
      <c r="T671" s="162" t="s">
        <v>29</v>
      </c>
      <c r="U671" s="65" t="s">
        <v>1388</v>
      </c>
      <c r="V671" s="162">
        <v>1707</v>
      </c>
      <c r="W671" s="165"/>
      <c r="X671" s="225" t="s">
        <v>1400</v>
      </c>
      <c r="Y671" s="167">
        <v>43769.416655092595</v>
      </c>
    </row>
    <row r="672" spans="1:25">
      <c r="A672" s="131" t="s">
        <v>62</v>
      </c>
      <c r="B672" s="109" t="s">
        <v>1320</v>
      </c>
      <c r="C672" s="245" t="s">
        <v>2747</v>
      </c>
      <c r="D672" s="162" t="s">
        <v>2748</v>
      </c>
      <c r="E672" s="65" t="s">
        <v>1398</v>
      </c>
      <c r="F672" s="162" t="s">
        <v>1388</v>
      </c>
      <c r="G672" s="65" t="s">
        <v>208</v>
      </c>
      <c r="H672" s="218">
        <v>8</v>
      </c>
      <c r="I672" s="65"/>
      <c r="J672" s="218">
        <v>3.2000000000000001E-2</v>
      </c>
      <c r="K672" s="108"/>
      <c r="L672" s="275">
        <v>0.25600000000000001</v>
      </c>
      <c r="M672" s="65" t="s">
        <v>2749</v>
      </c>
      <c r="N672" s="219">
        <v>0</v>
      </c>
      <c r="O672" s="65" t="s">
        <v>55</v>
      </c>
      <c r="P672" s="162" t="s">
        <v>1362</v>
      </c>
      <c r="Q672" s="158"/>
      <c r="R672" s="157"/>
      <c r="S672" s="114"/>
      <c r="T672" s="162" t="s">
        <v>25</v>
      </c>
      <c r="U672" s="65" t="s">
        <v>1388</v>
      </c>
      <c r="V672" s="162">
        <v>1510</v>
      </c>
      <c r="W672" s="165"/>
      <c r="X672" s="225" t="s">
        <v>1400</v>
      </c>
      <c r="Y672" s="167">
        <v>44679.631076388891</v>
      </c>
    </row>
    <row r="673" spans="1:25">
      <c r="A673" s="131" t="s">
        <v>100</v>
      </c>
      <c r="B673" s="109" t="s">
        <v>1385</v>
      </c>
      <c r="C673" s="245" t="s">
        <v>2750</v>
      </c>
      <c r="D673" s="162" t="s">
        <v>2646</v>
      </c>
      <c r="E673" s="65"/>
      <c r="F673" s="162" t="s">
        <v>1388</v>
      </c>
      <c r="G673" s="65"/>
      <c r="H673" s="218"/>
      <c r="I673" s="65"/>
      <c r="J673" s="218"/>
      <c r="K673" s="108"/>
      <c r="L673" s="275">
        <v>180</v>
      </c>
      <c r="M673" s="65"/>
      <c r="N673" s="219"/>
      <c r="O673" s="65" t="s">
        <v>1285</v>
      </c>
      <c r="P673" s="162"/>
      <c r="Q673" s="158"/>
      <c r="R673" s="157"/>
      <c r="S673" s="114"/>
      <c r="T673" s="162" t="s">
        <v>29</v>
      </c>
      <c r="U673" s="65" t="s">
        <v>1388</v>
      </c>
      <c r="V673" s="162" t="s">
        <v>208</v>
      </c>
      <c r="W673" s="165" t="s">
        <v>2751</v>
      </c>
      <c r="X673" s="225"/>
      <c r="Y673" s="167" t="s">
        <v>208</v>
      </c>
    </row>
    <row r="674" spans="1:25">
      <c r="A674" s="131" t="s">
        <v>95</v>
      </c>
      <c r="B674" s="109" t="s">
        <v>1320</v>
      </c>
      <c r="C674" s="245" t="s">
        <v>2752</v>
      </c>
      <c r="D674" s="162" t="s">
        <v>1585</v>
      </c>
      <c r="E674" s="65" t="s">
        <v>1539</v>
      </c>
      <c r="F674" s="162" t="s">
        <v>18</v>
      </c>
      <c r="G674" s="65" t="s">
        <v>2753</v>
      </c>
      <c r="H674" s="218">
        <v>1</v>
      </c>
      <c r="I674" s="65"/>
      <c r="J674" s="218">
        <v>40</v>
      </c>
      <c r="K674" s="108"/>
      <c r="L674" s="275">
        <v>40</v>
      </c>
      <c r="M674" s="65" t="s">
        <v>1618</v>
      </c>
      <c r="N674" s="219"/>
      <c r="O674" s="65" t="s">
        <v>55</v>
      </c>
      <c r="P674" s="162" t="s">
        <v>1403</v>
      </c>
      <c r="Q674" s="158"/>
      <c r="R674" s="157" t="s">
        <v>1588</v>
      </c>
      <c r="S674" s="114"/>
      <c r="T674" s="162" t="s">
        <v>25</v>
      </c>
      <c r="U674" s="65" t="s">
        <v>18</v>
      </c>
      <c r="V674" s="162">
        <v>1133</v>
      </c>
      <c r="W674" s="165"/>
      <c r="X674" s="225" t="s">
        <v>1363</v>
      </c>
      <c r="Y674" s="167">
        <v>44672.422314814816</v>
      </c>
    </row>
    <row r="675" spans="1:25" ht="22.5">
      <c r="A675" s="131" t="s">
        <v>100</v>
      </c>
      <c r="B675" s="109" t="s">
        <v>1385</v>
      </c>
      <c r="C675" s="245" t="s">
        <v>2754</v>
      </c>
      <c r="D675" s="162" t="s">
        <v>2157</v>
      </c>
      <c r="E675" s="65" t="s">
        <v>1391</v>
      </c>
      <c r="F675" s="162" t="s">
        <v>21</v>
      </c>
      <c r="G675" s="65"/>
      <c r="H675" s="218"/>
      <c r="I675" s="65"/>
      <c r="J675" s="218"/>
      <c r="K675" s="108"/>
      <c r="L675" s="275">
        <v>0</v>
      </c>
      <c r="M675" s="65"/>
      <c r="N675" s="219"/>
      <c r="O675" s="65" t="s">
        <v>1285</v>
      </c>
      <c r="P675" s="162"/>
      <c r="Q675" s="158"/>
      <c r="R675" s="157"/>
      <c r="S675" s="114"/>
      <c r="T675" s="162" t="s">
        <v>29</v>
      </c>
      <c r="U675" s="65" t="s">
        <v>1388</v>
      </c>
      <c r="V675" s="162" t="s">
        <v>208</v>
      </c>
      <c r="W675" s="165" t="s">
        <v>2755</v>
      </c>
      <c r="X675" s="225"/>
      <c r="Y675" s="167" t="s">
        <v>208</v>
      </c>
    </row>
    <row r="676" spans="1:25">
      <c r="A676" s="131" t="s">
        <v>100</v>
      </c>
      <c r="B676" s="109" t="s">
        <v>1385</v>
      </c>
      <c r="C676" s="245" t="s">
        <v>2756</v>
      </c>
      <c r="D676" s="162" t="s">
        <v>2757</v>
      </c>
      <c r="E676" s="65"/>
      <c r="F676" s="162" t="s">
        <v>1388</v>
      </c>
      <c r="G676" s="65"/>
      <c r="H676" s="218"/>
      <c r="I676" s="65"/>
      <c r="J676" s="218"/>
      <c r="K676" s="108"/>
      <c r="L676" s="275">
        <v>350</v>
      </c>
      <c r="M676" s="65"/>
      <c r="N676" s="219"/>
      <c r="O676" s="65" t="s">
        <v>1285</v>
      </c>
      <c r="P676" s="162"/>
      <c r="Q676" s="158"/>
      <c r="R676" s="157" t="s">
        <v>208</v>
      </c>
      <c r="S676" s="114"/>
      <c r="T676" s="162" t="s">
        <v>29</v>
      </c>
      <c r="U676" s="65" t="s">
        <v>1388</v>
      </c>
      <c r="V676" s="162" t="s">
        <v>208</v>
      </c>
      <c r="W676" s="165" t="s">
        <v>2758</v>
      </c>
      <c r="X676" s="225"/>
      <c r="Y676" s="167" t="s">
        <v>208</v>
      </c>
    </row>
    <row r="677" spans="1:25">
      <c r="A677" s="131" t="s">
        <v>100</v>
      </c>
      <c r="B677" s="109" t="s">
        <v>1385</v>
      </c>
      <c r="C677" s="245" t="s">
        <v>2759</v>
      </c>
      <c r="D677" s="162" t="s">
        <v>2760</v>
      </c>
      <c r="E677" s="65" t="s">
        <v>1391</v>
      </c>
      <c r="F677" s="162" t="s">
        <v>21</v>
      </c>
      <c r="G677" s="65" t="s">
        <v>208</v>
      </c>
      <c r="H677" s="218">
        <v>1</v>
      </c>
      <c r="I677" s="65"/>
      <c r="J677" s="218">
        <v>1200</v>
      </c>
      <c r="K677" s="108"/>
      <c r="L677" s="275">
        <v>1200</v>
      </c>
      <c r="M677" s="65" t="s">
        <v>2761</v>
      </c>
      <c r="N677" s="219">
        <v>1600</v>
      </c>
      <c r="O677" s="65" t="s">
        <v>1285</v>
      </c>
      <c r="P677" s="162" t="s">
        <v>1403</v>
      </c>
      <c r="Q677" s="158" t="s">
        <v>1451</v>
      </c>
      <c r="R677" s="157" t="s">
        <v>2762</v>
      </c>
      <c r="S677" s="114"/>
      <c r="T677" s="162" t="s">
        <v>29</v>
      </c>
      <c r="U677" s="65" t="s">
        <v>20</v>
      </c>
      <c r="V677" s="162">
        <v>1859</v>
      </c>
      <c r="W677" s="165" t="s">
        <v>3975</v>
      </c>
      <c r="X677" s="225" t="s">
        <v>1453</v>
      </c>
      <c r="Y677" s="167">
        <v>44747.396736111114</v>
      </c>
    </row>
    <row r="678" spans="1:25">
      <c r="A678" s="131" t="s">
        <v>100</v>
      </c>
      <c r="B678" s="109" t="s">
        <v>1385</v>
      </c>
      <c r="C678" s="245" t="s">
        <v>2763</v>
      </c>
      <c r="D678" s="162" t="s">
        <v>2764</v>
      </c>
      <c r="E678" s="65"/>
      <c r="F678" s="162" t="s">
        <v>17</v>
      </c>
      <c r="G678" s="65"/>
      <c r="H678" s="218"/>
      <c r="I678" s="65"/>
      <c r="J678" s="218"/>
      <c r="K678" s="108"/>
      <c r="L678" s="275"/>
      <c r="M678" s="65"/>
      <c r="N678" s="219"/>
      <c r="O678" s="65" t="s">
        <v>1285</v>
      </c>
      <c r="P678" s="162"/>
      <c r="Q678" s="158"/>
      <c r="R678" s="157" t="s">
        <v>208</v>
      </c>
      <c r="S678" s="114"/>
      <c r="T678" s="162" t="s">
        <v>29</v>
      </c>
      <c r="U678" s="65" t="s">
        <v>17</v>
      </c>
      <c r="V678" s="162" t="s">
        <v>208</v>
      </c>
      <c r="W678" s="165" t="s">
        <v>2765</v>
      </c>
      <c r="X678" s="225"/>
      <c r="Y678" s="167" t="s">
        <v>208</v>
      </c>
    </row>
    <row r="679" spans="1:25">
      <c r="A679" s="131" t="s">
        <v>46</v>
      </c>
      <c r="B679" s="109" t="s">
        <v>1385</v>
      </c>
      <c r="C679" s="245" t="s">
        <v>4001</v>
      </c>
      <c r="D679" s="162" t="s">
        <v>4002</v>
      </c>
      <c r="E679" s="65"/>
      <c r="F679" s="162" t="s">
        <v>1529</v>
      </c>
      <c r="G679" s="65"/>
      <c r="H679" s="218">
        <v>96</v>
      </c>
      <c r="I679" s="65"/>
      <c r="J679" s="242">
        <v>3.2216666666666662</v>
      </c>
      <c r="K679" s="108"/>
      <c r="L679" s="282">
        <v>309.27999999999997</v>
      </c>
      <c r="M679" s="243">
        <v>309.27999999999997</v>
      </c>
      <c r="N679" s="219"/>
      <c r="O679" s="65" t="s">
        <v>1285</v>
      </c>
      <c r="P679" s="162"/>
      <c r="Q679" s="158"/>
      <c r="R679" s="157"/>
      <c r="S679" s="114"/>
      <c r="T679" s="162" t="s">
        <v>29</v>
      </c>
      <c r="U679" s="65" t="s">
        <v>20</v>
      </c>
      <c r="V679" s="162"/>
      <c r="W679" s="165" t="s">
        <v>4035</v>
      </c>
      <c r="X679" s="225"/>
      <c r="Y679" s="167"/>
    </row>
    <row r="680" spans="1:25">
      <c r="A680" s="131" t="s">
        <v>46</v>
      </c>
      <c r="B680" s="109" t="s">
        <v>1385</v>
      </c>
      <c r="C680" s="245" t="s">
        <v>4001</v>
      </c>
      <c r="D680" s="162" t="s">
        <v>4002</v>
      </c>
      <c r="E680" s="65"/>
      <c r="F680" s="162" t="s">
        <v>1527</v>
      </c>
      <c r="G680" s="65"/>
      <c r="H680" s="218">
        <v>100</v>
      </c>
      <c r="I680" s="65"/>
      <c r="J680" s="242">
        <v>3.3826999999999998</v>
      </c>
      <c r="K680" s="108"/>
      <c r="L680" s="281">
        <v>338.27</v>
      </c>
      <c r="M680" s="243">
        <v>338.27</v>
      </c>
      <c r="N680" s="219"/>
      <c r="O680" s="65" t="s">
        <v>1285</v>
      </c>
      <c r="P680" s="162"/>
      <c r="Q680" s="158"/>
      <c r="R680" s="157"/>
      <c r="S680" s="114"/>
      <c r="T680" s="162" t="s">
        <v>29</v>
      </c>
      <c r="U680" s="65" t="s">
        <v>1388</v>
      </c>
      <c r="V680" s="162"/>
      <c r="W680" s="165" t="s">
        <v>4035</v>
      </c>
      <c r="X680" s="225"/>
      <c r="Y680" s="167"/>
    </row>
    <row r="681" spans="1:25">
      <c r="A681" s="131" t="s">
        <v>46</v>
      </c>
      <c r="B681" s="109" t="s">
        <v>1385</v>
      </c>
      <c r="C681" s="245" t="s">
        <v>2766</v>
      </c>
      <c r="D681" s="162" t="s">
        <v>2767</v>
      </c>
      <c r="E681" s="65" t="s">
        <v>1391</v>
      </c>
      <c r="F681" s="162" t="s">
        <v>21</v>
      </c>
      <c r="G681" s="65"/>
      <c r="H681" s="218"/>
      <c r="I681" s="65"/>
      <c r="J681" s="218"/>
      <c r="K681" s="108"/>
      <c r="L681" s="275">
        <v>400</v>
      </c>
      <c r="M681" s="65"/>
      <c r="N681" s="219"/>
      <c r="O681" s="65" t="s">
        <v>1285</v>
      </c>
      <c r="P681" s="162"/>
      <c r="Q681" s="158"/>
      <c r="R681" s="157"/>
      <c r="S681" s="114"/>
      <c r="T681" s="162" t="s">
        <v>29</v>
      </c>
      <c r="U681" s="65" t="s">
        <v>20</v>
      </c>
      <c r="V681" s="162" t="s">
        <v>208</v>
      </c>
      <c r="W681" s="165" t="s">
        <v>2768</v>
      </c>
      <c r="X681" s="225"/>
      <c r="Y681" s="167" t="s">
        <v>208</v>
      </c>
    </row>
    <row r="682" spans="1:25">
      <c r="A682" s="131" t="s">
        <v>46</v>
      </c>
      <c r="B682" s="109" t="s">
        <v>1385</v>
      </c>
      <c r="C682" s="245" t="s">
        <v>2766</v>
      </c>
      <c r="D682" s="162" t="s">
        <v>2767</v>
      </c>
      <c r="E682" s="65"/>
      <c r="F682" s="162" t="s">
        <v>1388</v>
      </c>
      <c r="G682" s="65"/>
      <c r="H682" s="218"/>
      <c r="I682" s="65"/>
      <c r="J682" s="218"/>
      <c r="K682" s="108"/>
      <c r="L682" s="275">
        <v>550</v>
      </c>
      <c r="M682" s="65"/>
      <c r="N682" s="219"/>
      <c r="O682" s="65" t="s">
        <v>1285</v>
      </c>
      <c r="P682" s="162"/>
      <c r="Q682" s="158"/>
      <c r="R682" s="157"/>
      <c r="S682" s="114"/>
      <c r="T682" s="162" t="s">
        <v>29</v>
      </c>
      <c r="U682" s="65" t="s">
        <v>1388</v>
      </c>
      <c r="V682" s="162" t="s">
        <v>208</v>
      </c>
      <c r="W682" s="165" t="s">
        <v>2768</v>
      </c>
      <c r="X682" s="225"/>
      <c r="Y682" s="167" t="s">
        <v>208</v>
      </c>
    </row>
    <row r="683" spans="1:25">
      <c r="A683" s="131" t="s">
        <v>46</v>
      </c>
      <c r="B683" s="109" t="s">
        <v>1385</v>
      </c>
      <c r="C683" s="245" t="s">
        <v>333</v>
      </c>
      <c r="D683" s="162" t="s">
        <v>334</v>
      </c>
      <c r="E683" s="65" t="s">
        <v>1429</v>
      </c>
      <c r="F683" s="162" t="s">
        <v>1388</v>
      </c>
      <c r="G683" s="65" t="s">
        <v>2769</v>
      </c>
      <c r="H683" s="218">
        <v>54</v>
      </c>
      <c r="I683" s="65"/>
      <c r="J683" s="218">
        <v>2.5</v>
      </c>
      <c r="K683" s="108"/>
      <c r="L683" s="275">
        <v>135</v>
      </c>
      <c r="M683" s="65" t="s">
        <v>1791</v>
      </c>
      <c r="N683" s="219"/>
      <c r="O683" s="65" t="s">
        <v>27</v>
      </c>
      <c r="P683" s="162" t="s">
        <v>1407</v>
      </c>
      <c r="Q683" s="158" t="s">
        <v>1537</v>
      </c>
      <c r="R683" s="157" t="s">
        <v>1474</v>
      </c>
      <c r="S683" s="114"/>
      <c r="T683" s="162" t="s">
        <v>27</v>
      </c>
      <c r="U683" s="65" t="s">
        <v>1388</v>
      </c>
      <c r="V683" s="162">
        <v>1628</v>
      </c>
      <c r="W683" s="165"/>
      <c r="X683" s="225" t="s">
        <v>1453</v>
      </c>
      <c r="Y683" s="167">
        <v>44746.530034722222</v>
      </c>
    </row>
    <row r="684" spans="1:25">
      <c r="A684" s="131" t="s">
        <v>80</v>
      </c>
      <c r="B684" s="109" t="s">
        <v>1385</v>
      </c>
      <c r="C684" s="245" t="s">
        <v>2770</v>
      </c>
      <c r="D684" s="162" t="s">
        <v>2771</v>
      </c>
      <c r="E684" s="65" t="s">
        <v>1469</v>
      </c>
      <c r="F684" s="162" t="s">
        <v>18</v>
      </c>
      <c r="G684" s="65" t="s">
        <v>208</v>
      </c>
      <c r="H684" s="218">
        <v>1</v>
      </c>
      <c r="I684" s="65"/>
      <c r="J684" s="218">
        <v>90</v>
      </c>
      <c r="K684" s="108"/>
      <c r="L684" s="275">
        <v>90</v>
      </c>
      <c r="M684" s="65" t="s">
        <v>1747</v>
      </c>
      <c r="N684" s="219">
        <v>390</v>
      </c>
      <c r="O684" s="65" t="s">
        <v>1285</v>
      </c>
      <c r="P684" s="162" t="s">
        <v>1403</v>
      </c>
      <c r="Q684" s="158"/>
      <c r="R684" s="157"/>
      <c r="S684" s="114"/>
      <c r="T684" s="162" t="s">
        <v>29</v>
      </c>
      <c r="U684" s="65" t="s">
        <v>18</v>
      </c>
      <c r="V684" s="162">
        <v>132</v>
      </c>
      <c r="W684" s="165"/>
      <c r="X684" s="225" t="s">
        <v>208</v>
      </c>
      <c r="Y684" s="167">
        <v>43769.416655092595</v>
      </c>
    </row>
    <row r="685" spans="1:25">
      <c r="A685" s="280" t="s">
        <v>46</v>
      </c>
      <c r="B685" s="279" t="s">
        <v>1385</v>
      </c>
      <c r="C685" s="278" t="s">
        <v>2772</v>
      </c>
      <c r="D685" s="277" t="s">
        <v>2773</v>
      </c>
      <c r="E685" s="276" t="s">
        <v>1391</v>
      </c>
      <c r="F685" s="277" t="s">
        <v>21</v>
      </c>
      <c r="G685" s="276"/>
      <c r="H685" s="275"/>
      <c r="I685" s="276"/>
      <c r="J685" s="275"/>
      <c r="K685" s="274"/>
      <c r="L685" s="275">
        <v>100</v>
      </c>
      <c r="M685" s="276"/>
      <c r="N685" s="273"/>
      <c r="O685" s="276" t="s">
        <v>1285</v>
      </c>
      <c r="P685" s="277"/>
      <c r="Q685" s="272"/>
      <c r="R685" s="271"/>
      <c r="S685" s="270"/>
      <c r="T685" s="277" t="s">
        <v>29</v>
      </c>
      <c r="U685" s="276" t="s">
        <v>20</v>
      </c>
      <c r="V685" s="277" t="s">
        <v>208</v>
      </c>
      <c r="W685" s="269" t="s">
        <v>2774</v>
      </c>
      <c r="X685" s="268"/>
      <c r="Y685" s="267" t="s">
        <v>208</v>
      </c>
    </row>
    <row r="686" spans="1:25">
      <c r="A686" s="280" t="s">
        <v>46</v>
      </c>
      <c r="B686" s="279" t="s">
        <v>1385</v>
      </c>
      <c r="C686" s="278" t="s">
        <v>2772</v>
      </c>
      <c r="D686" s="277" t="s">
        <v>2773</v>
      </c>
      <c r="E686" s="276"/>
      <c r="F686" s="277" t="s">
        <v>1388</v>
      </c>
      <c r="G686" s="276"/>
      <c r="H686" s="275"/>
      <c r="I686" s="276"/>
      <c r="J686" s="275"/>
      <c r="K686" s="274"/>
      <c r="L686" s="275">
        <v>350</v>
      </c>
      <c r="M686" s="276"/>
      <c r="N686" s="273"/>
      <c r="O686" s="276" t="s">
        <v>1285</v>
      </c>
      <c r="P686" s="277"/>
      <c r="Q686" s="272"/>
      <c r="R686" s="271"/>
      <c r="S686" s="270"/>
      <c r="T686" s="277" t="s">
        <v>29</v>
      </c>
      <c r="U686" s="276" t="s">
        <v>1388</v>
      </c>
      <c r="V686" s="277" t="s">
        <v>208</v>
      </c>
      <c r="W686" s="269" t="s">
        <v>2774</v>
      </c>
      <c r="X686" s="268"/>
      <c r="Y686" s="267" t="s">
        <v>208</v>
      </c>
    </row>
    <row r="687" spans="1:25">
      <c r="A687" s="280" t="s">
        <v>62</v>
      </c>
      <c r="B687" s="279" t="s">
        <v>1320</v>
      </c>
      <c r="C687" s="278" t="s">
        <v>2775</v>
      </c>
      <c r="D687" s="277" t="s">
        <v>349</v>
      </c>
      <c r="E687" s="276" t="s">
        <v>1429</v>
      </c>
      <c r="F687" s="277" t="s">
        <v>1388</v>
      </c>
      <c r="G687" s="276" t="s">
        <v>2776</v>
      </c>
      <c r="H687" s="275">
        <v>1</v>
      </c>
      <c r="I687" s="276"/>
      <c r="J687" s="275">
        <v>26</v>
      </c>
      <c r="K687" s="274"/>
      <c r="L687" s="275">
        <v>26</v>
      </c>
      <c r="M687" s="276" t="s">
        <v>2777</v>
      </c>
      <c r="N687" s="273"/>
      <c r="O687" s="276" t="s">
        <v>55</v>
      </c>
      <c r="P687" s="277" t="s">
        <v>1407</v>
      </c>
      <c r="Q687" s="272"/>
      <c r="R687" s="271" t="s">
        <v>1532</v>
      </c>
      <c r="S687" s="270"/>
      <c r="T687" s="277" t="s">
        <v>25</v>
      </c>
      <c r="U687" s="276" t="s">
        <v>1388</v>
      </c>
      <c r="V687" s="277">
        <v>1537</v>
      </c>
      <c r="W687" s="269"/>
      <c r="X687" s="268" t="s">
        <v>1404</v>
      </c>
      <c r="Y687" s="267">
        <v>44699.439375000002</v>
      </c>
    </row>
    <row r="688" spans="1:25">
      <c r="A688" s="280" t="s">
        <v>100</v>
      </c>
      <c r="B688" s="279" t="s">
        <v>1320</v>
      </c>
      <c r="C688" s="278" t="s">
        <v>2778</v>
      </c>
      <c r="D688" s="277" t="s">
        <v>1393</v>
      </c>
      <c r="E688" s="276" t="s">
        <v>1398</v>
      </c>
      <c r="F688" s="277" t="s">
        <v>1388</v>
      </c>
      <c r="G688" s="276" t="s">
        <v>208</v>
      </c>
      <c r="H688" s="275">
        <v>1</v>
      </c>
      <c r="I688" s="276"/>
      <c r="J688" s="275">
        <v>0.50900000000000001</v>
      </c>
      <c r="K688" s="274"/>
      <c r="L688" s="275">
        <v>0.50900000000000001</v>
      </c>
      <c r="M688" s="276" t="s">
        <v>2779</v>
      </c>
      <c r="N688" s="273"/>
      <c r="O688" s="276" t="s">
        <v>55</v>
      </c>
      <c r="P688" s="277" t="s">
        <v>1362</v>
      </c>
      <c r="Q688" s="272"/>
      <c r="R688" s="271"/>
      <c r="S688" s="270"/>
      <c r="T688" s="277" t="s">
        <v>25</v>
      </c>
      <c r="U688" s="276" t="s">
        <v>1388</v>
      </c>
      <c r="V688" s="277">
        <v>55</v>
      </c>
      <c r="W688" s="269"/>
      <c r="X688" s="268" t="s">
        <v>208</v>
      </c>
      <c r="Y688" s="267">
        <v>43312</v>
      </c>
    </row>
    <row r="689" spans="1:25">
      <c r="A689" s="280" t="s">
        <v>95</v>
      </c>
      <c r="B689" s="279" t="s">
        <v>1320</v>
      </c>
      <c r="C689" s="278" t="s">
        <v>2780</v>
      </c>
      <c r="D689" s="277" t="s">
        <v>1393</v>
      </c>
      <c r="E689" s="276" t="s">
        <v>1539</v>
      </c>
      <c r="F689" s="277" t="s">
        <v>18</v>
      </c>
      <c r="G689" s="276" t="s">
        <v>208</v>
      </c>
      <c r="H689" s="275">
        <v>1</v>
      </c>
      <c r="I689" s="276"/>
      <c r="J689" s="275">
        <v>6</v>
      </c>
      <c r="K689" s="274"/>
      <c r="L689" s="275">
        <v>6</v>
      </c>
      <c r="M689" s="276" t="s">
        <v>2781</v>
      </c>
      <c r="N689" s="273"/>
      <c r="O689" s="276" t="s">
        <v>55</v>
      </c>
      <c r="P689" s="277" t="s">
        <v>1362</v>
      </c>
      <c r="Q689" s="272"/>
      <c r="R689" s="271"/>
      <c r="S689" s="270"/>
      <c r="T689" s="277" t="s">
        <v>25</v>
      </c>
      <c r="U689" s="276" t="s">
        <v>18</v>
      </c>
      <c r="V689" s="277">
        <v>91</v>
      </c>
      <c r="W689" s="269"/>
      <c r="X689" s="268" t="s">
        <v>208</v>
      </c>
      <c r="Y689" s="267">
        <v>43312</v>
      </c>
    </row>
    <row r="690" spans="1:25">
      <c r="A690" s="280" t="s">
        <v>100</v>
      </c>
      <c r="B690" s="279" t="s">
        <v>1385</v>
      </c>
      <c r="C690" s="278" t="s">
        <v>1134</v>
      </c>
      <c r="D690" s="277" t="s">
        <v>1738</v>
      </c>
      <c r="E690" s="276" t="s">
        <v>1429</v>
      </c>
      <c r="F690" s="277" t="s">
        <v>1388</v>
      </c>
      <c r="G690" s="276" t="s">
        <v>208</v>
      </c>
      <c r="H690" s="275">
        <v>1</v>
      </c>
      <c r="I690" s="276"/>
      <c r="J690" s="275">
        <v>9.6</v>
      </c>
      <c r="K690" s="274"/>
      <c r="L690" s="275">
        <v>9.6</v>
      </c>
      <c r="M690" s="276" t="s">
        <v>2782</v>
      </c>
      <c r="N690" s="273"/>
      <c r="O690" s="276" t="s">
        <v>1285</v>
      </c>
      <c r="P690" s="277" t="s">
        <v>1407</v>
      </c>
      <c r="Q690" s="272"/>
      <c r="R690" s="271"/>
      <c r="S690" s="270"/>
      <c r="T690" s="277" t="s">
        <v>29</v>
      </c>
      <c r="U690" s="276" t="s">
        <v>1388</v>
      </c>
      <c r="V690" s="277">
        <v>1430</v>
      </c>
      <c r="W690" s="269"/>
      <c r="X690" s="268" t="s">
        <v>208</v>
      </c>
      <c r="Y690" s="267">
        <v>43769.416655092595</v>
      </c>
    </row>
    <row r="691" spans="1:25">
      <c r="A691" s="280" t="s">
        <v>62</v>
      </c>
      <c r="B691" s="279" t="s">
        <v>1385</v>
      </c>
      <c r="C691" s="278" t="s">
        <v>2783</v>
      </c>
      <c r="D691" s="277" t="s">
        <v>69</v>
      </c>
      <c r="E691" s="276" t="s">
        <v>1398</v>
      </c>
      <c r="F691" s="277" t="s">
        <v>1388</v>
      </c>
      <c r="G691" s="276" t="s">
        <v>208</v>
      </c>
      <c r="H691" s="275">
        <v>1</v>
      </c>
      <c r="I691" s="276"/>
      <c r="J691" s="275">
        <v>200</v>
      </c>
      <c r="K691" s="274"/>
      <c r="L691" s="275">
        <v>200</v>
      </c>
      <c r="M691" s="276" t="s">
        <v>1615</v>
      </c>
      <c r="N691" s="273"/>
      <c r="O691" s="276" t="s">
        <v>1285</v>
      </c>
      <c r="P691" s="277" t="s">
        <v>1407</v>
      </c>
      <c r="Q691" s="272"/>
      <c r="R691" s="271"/>
      <c r="S691" s="270"/>
      <c r="T691" s="277" t="s">
        <v>29</v>
      </c>
      <c r="U691" s="276" t="s">
        <v>1388</v>
      </c>
      <c r="V691" s="277">
        <v>1576</v>
      </c>
      <c r="W691" s="269"/>
      <c r="X691" s="268" t="s">
        <v>1363</v>
      </c>
      <c r="Y691" s="267">
        <v>44671.477881944447</v>
      </c>
    </row>
    <row r="692" spans="1:25">
      <c r="A692" s="280" t="s">
        <v>62</v>
      </c>
      <c r="B692" s="279" t="s">
        <v>1320</v>
      </c>
      <c r="C692" s="278" t="s">
        <v>2784</v>
      </c>
      <c r="D692" s="277" t="s">
        <v>2785</v>
      </c>
      <c r="E692" s="276" t="s">
        <v>1822</v>
      </c>
      <c r="F692" s="277" t="s">
        <v>1597</v>
      </c>
      <c r="G692" s="276" t="s">
        <v>2786</v>
      </c>
      <c r="H692" s="275">
        <v>1</v>
      </c>
      <c r="I692" s="276"/>
      <c r="J692" s="275">
        <v>426</v>
      </c>
      <c r="K692" s="274"/>
      <c r="L692" s="275">
        <v>426</v>
      </c>
      <c r="M692" s="276" t="s">
        <v>2787</v>
      </c>
      <c r="N692" s="273"/>
      <c r="O692" s="276" t="s">
        <v>55</v>
      </c>
      <c r="P692" s="277" t="s">
        <v>1403</v>
      </c>
      <c r="Q692" s="272"/>
      <c r="R692" s="271" t="s">
        <v>1744</v>
      </c>
      <c r="S692" s="270"/>
      <c r="T692" s="277" t="s">
        <v>25</v>
      </c>
      <c r="U692" s="276" t="s">
        <v>12</v>
      </c>
      <c r="V692" s="277">
        <v>1134</v>
      </c>
      <c r="W692" s="269"/>
      <c r="X692" s="268" t="s">
        <v>1363</v>
      </c>
      <c r="Y692" s="267">
        <v>44658.63559027778</v>
      </c>
    </row>
    <row r="693" spans="1:25">
      <c r="A693" s="280" t="s">
        <v>62</v>
      </c>
      <c r="B693" s="279" t="s">
        <v>1320</v>
      </c>
      <c r="C693" s="278" t="s">
        <v>2784</v>
      </c>
      <c r="D693" s="277" t="s">
        <v>2785</v>
      </c>
      <c r="E693" s="276" t="s">
        <v>1822</v>
      </c>
      <c r="F693" s="277" t="s">
        <v>1597</v>
      </c>
      <c r="G693" s="276" t="s">
        <v>2788</v>
      </c>
      <c r="H693" s="275">
        <v>1</v>
      </c>
      <c r="I693" s="276"/>
      <c r="J693" s="275">
        <v>426</v>
      </c>
      <c r="K693" s="274"/>
      <c r="L693" s="275">
        <v>426</v>
      </c>
      <c r="M693" s="276" t="s">
        <v>2787</v>
      </c>
      <c r="N693" s="273"/>
      <c r="O693" s="276" t="s">
        <v>55</v>
      </c>
      <c r="P693" s="277" t="s">
        <v>1403</v>
      </c>
      <c r="Q693" s="272"/>
      <c r="R693" s="271" t="s">
        <v>1744</v>
      </c>
      <c r="S693" s="270"/>
      <c r="T693" s="277" t="s">
        <v>25</v>
      </c>
      <c r="U693" s="276" t="s">
        <v>12</v>
      </c>
      <c r="V693" s="277">
        <v>1134</v>
      </c>
      <c r="W693" s="269"/>
      <c r="X693" s="268" t="s">
        <v>1363</v>
      </c>
      <c r="Y693" s="267">
        <v>44658.63559027778</v>
      </c>
    </row>
    <row r="694" spans="1:25">
      <c r="A694" s="280" t="s">
        <v>80</v>
      </c>
      <c r="B694" s="279" t="s">
        <v>1320</v>
      </c>
      <c r="C694" s="278" t="s">
        <v>2789</v>
      </c>
      <c r="D694" s="277" t="s">
        <v>2103</v>
      </c>
      <c r="E694" s="276" t="s">
        <v>1493</v>
      </c>
      <c r="F694" s="277" t="s">
        <v>1360</v>
      </c>
      <c r="G694" s="276" t="s">
        <v>2790</v>
      </c>
      <c r="H694" s="275">
        <v>1</v>
      </c>
      <c r="I694" s="276"/>
      <c r="J694" s="275">
        <v>90</v>
      </c>
      <c r="K694" s="274"/>
      <c r="L694" s="275">
        <v>90</v>
      </c>
      <c r="M694" s="276" t="s">
        <v>1747</v>
      </c>
      <c r="N694" s="273"/>
      <c r="O694" s="276" t="s">
        <v>55</v>
      </c>
      <c r="P694" s="277" t="s">
        <v>1403</v>
      </c>
      <c r="Q694" s="272"/>
      <c r="R694" s="271" t="s">
        <v>1655</v>
      </c>
      <c r="S694" s="270"/>
      <c r="T694" s="277" t="s">
        <v>25</v>
      </c>
      <c r="U694" s="276" t="s">
        <v>14</v>
      </c>
      <c r="V694" s="277">
        <v>1135</v>
      </c>
      <c r="W694" s="269"/>
      <c r="X694" s="268" t="s">
        <v>1363</v>
      </c>
      <c r="Y694" s="267">
        <v>44670.459432870368</v>
      </c>
    </row>
    <row r="695" spans="1:25">
      <c r="A695" s="280" t="s">
        <v>62</v>
      </c>
      <c r="B695" s="279" t="s">
        <v>1385</v>
      </c>
      <c r="C695" s="278" t="s">
        <v>2791</v>
      </c>
      <c r="D695" s="277" t="s">
        <v>2099</v>
      </c>
      <c r="E695" s="276" t="s">
        <v>1398</v>
      </c>
      <c r="F695" s="277" t="s">
        <v>1388</v>
      </c>
      <c r="G695" s="276" t="s">
        <v>208</v>
      </c>
      <c r="H695" s="275">
        <v>1</v>
      </c>
      <c r="I695" s="276"/>
      <c r="J695" s="275"/>
      <c r="K695" s="274"/>
      <c r="L695" s="275"/>
      <c r="M695" s="276"/>
      <c r="N695" s="273"/>
      <c r="O695" s="276" t="s">
        <v>1285</v>
      </c>
      <c r="P695" s="277" t="s">
        <v>1407</v>
      </c>
      <c r="Q695" s="272"/>
      <c r="R695" s="271"/>
      <c r="S695" s="270"/>
      <c r="T695" s="277" t="s">
        <v>29</v>
      </c>
      <c r="U695" s="276" t="s">
        <v>1388</v>
      </c>
      <c r="V695" s="277">
        <v>1445</v>
      </c>
      <c r="W695" s="269"/>
      <c r="X695" s="268" t="s">
        <v>1400</v>
      </c>
      <c r="Y695" s="267">
        <v>43769.416655092595</v>
      </c>
    </row>
    <row r="696" spans="1:25">
      <c r="A696" s="280" t="s">
        <v>62</v>
      </c>
      <c r="B696" s="279" t="s">
        <v>1385</v>
      </c>
      <c r="C696" s="278" t="s">
        <v>2792</v>
      </c>
      <c r="D696" s="277" t="s">
        <v>209</v>
      </c>
      <c r="E696" s="276"/>
      <c r="F696" s="277" t="s">
        <v>17</v>
      </c>
      <c r="G696" s="276"/>
      <c r="H696" s="275">
        <v>1</v>
      </c>
      <c r="I696" s="276"/>
      <c r="J696" s="275">
        <v>415</v>
      </c>
      <c r="K696" s="274"/>
      <c r="L696" s="275">
        <v>415</v>
      </c>
      <c r="M696" s="276">
        <v>415</v>
      </c>
      <c r="N696" s="273"/>
      <c r="O696" s="276" t="s">
        <v>1285</v>
      </c>
      <c r="P696" s="277"/>
      <c r="Q696" s="272"/>
      <c r="R696" s="271"/>
      <c r="S696" s="270"/>
      <c r="T696" s="277" t="s">
        <v>29</v>
      </c>
      <c r="U696" s="276" t="s">
        <v>17</v>
      </c>
      <c r="V696" s="277" t="s">
        <v>208</v>
      </c>
      <c r="W696" s="269" t="s">
        <v>2793</v>
      </c>
      <c r="X696" s="268"/>
      <c r="Y696" s="267" t="s">
        <v>208</v>
      </c>
    </row>
    <row r="697" spans="1:25">
      <c r="A697" s="280" t="s">
        <v>46</v>
      </c>
      <c r="B697" s="279" t="s">
        <v>1385</v>
      </c>
      <c r="C697" s="278" t="s">
        <v>2794</v>
      </c>
      <c r="D697" s="277" t="s">
        <v>2795</v>
      </c>
      <c r="E697" s="276" t="s">
        <v>1429</v>
      </c>
      <c r="F697" s="277" t="s">
        <v>1388</v>
      </c>
      <c r="G697" s="276" t="s">
        <v>208</v>
      </c>
      <c r="H697" s="275">
        <v>8</v>
      </c>
      <c r="I697" s="276"/>
      <c r="J697" s="275"/>
      <c r="K697" s="274"/>
      <c r="L697" s="275"/>
      <c r="M697" s="276"/>
      <c r="N697" s="273"/>
      <c r="O697" s="276" t="s">
        <v>1285</v>
      </c>
      <c r="P697" s="277" t="s">
        <v>1407</v>
      </c>
      <c r="Q697" s="272"/>
      <c r="R697" s="271"/>
      <c r="S697" s="270"/>
      <c r="T697" s="277" t="s">
        <v>29</v>
      </c>
      <c r="U697" s="276" t="s">
        <v>1388</v>
      </c>
      <c r="V697" s="277">
        <v>1527</v>
      </c>
      <c r="W697" s="269"/>
      <c r="X697" s="268" t="s">
        <v>208</v>
      </c>
      <c r="Y697" s="267">
        <v>43769.416655092595</v>
      </c>
    </row>
    <row r="698" spans="1:25">
      <c r="A698" s="280" t="s">
        <v>100</v>
      </c>
      <c r="B698" s="279" t="s">
        <v>1385</v>
      </c>
      <c r="C698" s="278" t="s">
        <v>2796</v>
      </c>
      <c r="D698" s="277" t="s">
        <v>291</v>
      </c>
      <c r="E698" s="276" t="s">
        <v>1429</v>
      </c>
      <c r="F698" s="277" t="s">
        <v>1388</v>
      </c>
      <c r="G698" s="276" t="s">
        <v>208</v>
      </c>
      <c r="H698" s="275">
        <v>1</v>
      </c>
      <c r="I698" s="276"/>
      <c r="J698" s="275">
        <v>80</v>
      </c>
      <c r="K698" s="274"/>
      <c r="L698" s="275">
        <v>80</v>
      </c>
      <c r="M698" s="276" t="s">
        <v>1665</v>
      </c>
      <c r="N698" s="273">
        <v>0</v>
      </c>
      <c r="O698" s="276" t="s">
        <v>1285</v>
      </c>
      <c r="P698" s="277" t="s">
        <v>1407</v>
      </c>
      <c r="Q698" s="272" t="s">
        <v>2633</v>
      </c>
      <c r="R698" s="271"/>
      <c r="S698" s="270"/>
      <c r="T698" s="277" t="s">
        <v>29</v>
      </c>
      <c r="U698" s="276" t="s">
        <v>1388</v>
      </c>
      <c r="V698" s="277">
        <v>1637</v>
      </c>
      <c r="W698" s="269"/>
      <c r="X698" s="268" t="s">
        <v>1400</v>
      </c>
      <c r="Y698" s="267">
        <v>44679.615740740737</v>
      </c>
    </row>
    <row r="699" spans="1:25">
      <c r="A699" s="280" t="s">
        <v>100</v>
      </c>
      <c r="B699" s="279" t="s">
        <v>1385</v>
      </c>
      <c r="C699" s="278" t="s">
        <v>2797</v>
      </c>
      <c r="D699" s="277" t="s">
        <v>2798</v>
      </c>
      <c r="E699" s="276" t="s">
        <v>1429</v>
      </c>
      <c r="F699" s="277" t="s">
        <v>1388</v>
      </c>
      <c r="G699" s="276" t="s">
        <v>208</v>
      </c>
      <c r="H699" s="275">
        <v>1</v>
      </c>
      <c r="I699" s="276"/>
      <c r="J699" s="275">
        <v>46</v>
      </c>
      <c r="K699" s="274"/>
      <c r="L699" s="275">
        <v>46</v>
      </c>
      <c r="M699" s="276" t="s">
        <v>1836</v>
      </c>
      <c r="N699" s="273"/>
      <c r="O699" s="276" t="s">
        <v>1285</v>
      </c>
      <c r="P699" s="277" t="s">
        <v>1407</v>
      </c>
      <c r="Q699" s="272"/>
      <c r="R699" s="271"/>
      <c r="S699" s="270"/>
      <c r="T699" s="277" t="s">
        <v>29</v>
      </c>
      <c r="U699" s="276" t="s">
        <v>1388</v>
      </c>
      <c r="V699" s="277">
        <v>1999</v>
      </c>
      <c r="W699" s="269"/>
      <c r="X699" s="268" t="s">
        <v>208</v>
      </c>
      <c r="Y699" s="267">
        <v>44642.402650462966</v>
      </c>
    </row>
    <row r="700" spans="1:25">
      <c r="A700" s="280" t="s">
        <v>46</v>
      </c>
      <c r="B700" s="279" t="s">
        <v>1320</v>
      </c>
      <c r="C700" s="278" t="s">
        <v>335</v>
      </c>
      <c r="D700" s="277" t="s">
        <v>336</v>
      </c>
      <c r="E700" s="276" t="s">
        <v>1429</v>
      </c>
      <c r="F700" s="277" t="s">
        <v>1388</v>
      </c>
      <c r="G700" s="276" t="s">
        <v>337</v>
      </c>
      <c r="H700" s="275">
        <v>22</v>
      </c>
      <c r="I700" s="276"/>
      <c r="J700" s="275">
        <v>1.64</v>
      </c>
      <c r="K700" s="274"/>
      <c r="L700" s="275">
        <v>36.08</v>
      </c>
      <c r="M700" s="276" t="s">
        <v>2799</v>
      </c>
      <c r="N700" s="273"/>
      <c r="O700" s="276" t="s">
        <v>55</v>
      </c>
      <c r="P700" s="277" t="s">
        <v>1407</v>
      </c>
      <c r="Q700" s="272"/>
      <c r="R700" s="271" t="s">
        <v>1744</v>
      </c>
      <c r="S700" s="270"/>
      <c r="T700" s="277" t="s">
        <v>25</v>
      </c>
      <c r="U700" s="276" t="s">
        <v>1388</v>
      </c>
      <c r="V700" s="277">
        <v>1641</v>
      </c>
      <c r="W700" s="269"/>
      <c r="X700" s="268" t="s">
        <v>1404</v>
      </c>
      <c r="Y700" s="267">
        <v>44705.622511574074</v>
      </c>
    </row>
    <row r="701" spans="1:25">
      <c r="A701" s="280" t="s">
        <v>46</v>
      </c>
      <c r="B701" s="279" t="s">
        <v>1385</v>
      </c>
      <c r="C701" s="278" t="s">
        <v>3991</v>
      </c>
      <c r="D701" s="277" t="s">
        <v>3992</v>
      </c>
      <c r="E701" s="276"/>
      <c r="F701" s="277" t="s">
        <v>1529</v>
      </c>
      <c r="G701" s="276"/>
      <c r="H701" s="275">
        <v>18</v>
      </c>
      <c r="I701" s="276"/>
      <c r="J701" s="275">
        <v>5.5</v>
      </c>
      <c r="K701" s="274"/>
      <c r="L701" s="275">
        <v>99</v>
      </c>
      <c r="M701" s="276">
        <v>99</v>
      </c>
      <c r="N701" s="273"/>
      <c r="O701" s="276" t="s">
        <v>1285</v>
      </c>
      <c r="P701" s="277"/>
      <c r="Q701" s="272"/>
      <c r="R701" s="271"/>
      <c r="S701" s="270"/>
      <c r="T701" s="277" t="s">
        <v>29</v>
      </c>
      <c r="U701" s="276" t="s">
        <v>20</v>
      </c>
      <c r="V701" s="277"/>
      <c r="W701" s="269" t="s">
        <v>4028</v>
      </c>
      <c r="X701" s="268"/>
      <c r="Y701" s="267"/>
    </row>
    <row r="702" spans="1:25">
      <c r="A702" s="280" t="s">
        <v>46</v>
      </c>
      <c r="B702" s="279" t="s">
        <v>1385</v>
      </c>
      <c r="C702" s="278" t="s">
        <v>2800</v>
      </c>
      <c r="D702" s="277" t="s">
        <v>2801</v>
      </c>
      <c r="E702" s="276"/>
      <c r="F702" s="277" t="s">
        <v>1388</v>
      </c>
      <c r="G702" s="276"/>
      <c r="H702" s="275"/>
      <c r="I702" s="276"/>
      <c r="J702" s="275"/>
      <c r="K702" s="274"/>
      <c r="L702" s="275">
        <v>70</v>
      </c>
      <c r="M702" s="276"/>
      <c r="N702" s="273"/>
      <c r="O702" s="276" t="s">
        <v>1285</v>
      </c>
      <c r="P702" s="277"/>
      <c r="Q702" s="272"/>
      <c r="R702" s="271" t="s">
        <v>208</v>
      </c>
      <c r="S702" s="270"/>
      <c r="T702" s="277" t="s">
        <v>29</v>
      </c>
      <c r="U702" s="276" t="s">
        <v>1388</v>
      </c>
      <c r="V702" s="277" t="s">
        <v>208</v>
      </c>
      <c r="W702" s="269" t="s">
        <v>2802</v>
      </c>
      <c r="X702" s="268"/>
      <c r="Y702" s="267" t="s">
        <v>208</v>
      </c>
    </row>
    <row r="703" spans="1:25">
      <c r="A703" s="280" t="s">
        <v>100</v>
      </c>
      <c r="B703" s="279" t="s">
        <v>1385</v>
      </c>
      <c r="C703" s="278" t="s">
        <v>2803</v>
      </c>
      <c r="D703" s="277" t="s">
        <v>2804</v>
      </c>
      <c r="E703" s="276" t="s">
        <v>1391</v>
      </c>
      <c r="F703" s="277" t="s">
        <v>21</v>
      </c>
      <c r="G703" s="276" t="s">
        <v>208</v>
      </c>
      <c r="H703" s="275">
        <v>1</v>
      </c>
      <c r="I703" s="276"/>
      <c r="J703" s="275">
        <v>100</v>
      </c>
      <c r="K703" s="274"/>
      <c r="L703" s="275">
        <v>100</v>
      </c>
      <c r="M703" s="276" t="s">
        <v>1546</v>
      </c>
      <c r="N703" s="273">
        <v>200</v>
      </c>
      <c r="O703" s="276" t="s">
        <v>1285</v>
      </c>
      <c r="P703" s="277" t="s">
        <v>1403</v>
      </c>
      <c r="Q703" s="272"/>
      <c r="R703" s="271"/>
      <c r="S703" s="270"/>
      <c r="T703" s="277" t="s">
        <v>29</v>
      </c>
      <c r="U703" s="276" t="s">
        <v>20</v>
      </c>
      <c r="V703" s="277">
        <v>1956</v>
      </c>
      <c r="W703" s="269" t="s">
        <v>3986</v>
      </c>
      <c r="X703" s="268" t="s">
        <v>1453</v>
      </c>
      <c r="Y703" s="267">
        <v>44684.330509259256</v>
      </c>
    </row>
    <row r="704" spans="1:25">
      <c r="A704" s="280" t="s">
        <v>80</v>
      </c>
      <c r="B704" s="279" t="s">
        <v>1385</v>
      </c>
      <c r="C704" s="278" t="s">
        <v>2805</v>
      </c>
      <c r="D704" s="277" t="s">
        <v>2806</v>
      </c>
      <c r="E704" s="276"/>
      <c r="F704" s="277" t="s">
        <v>1388</v>
      </c>
      <c r="G704" s="276"/>
      <c r="H704" s="275"/>
      <c r="I704" s="276"/>
      <c r="J704" s="275"/>
      <c r="K704" s="274"/>
      <c r="L704" s="275">
        <v>100</v>
      </c>
      <c r="M704" s="276"/>
      <c r="N704" s="273"/>
      <c r="O704" s="276" t="s">
        <v>1285</v>
      </c>
      <c r="P704" s="277"/>
      <c r="Q704" s="272"/>
      <c r="R704" s="271" t="s">
        <v>208</v>
      </c>
      <c r="S704" s="270"/>
      <c r="T704" s="277" t="s">
        <v>29</v>
      </c>
      <c r="U704" s="276" t="s">
        <v>1388</v>
      </c>
      <c r="V704" s="277" t="s">
        <v>208</v>
      </c>
      <c r="W704" s="269" t="s">
        <v>2807</v>
      </c>
      <c r="X704" s="268"/>
      <c r="Y704" s="267" t="s">
        <v>208</v>
      </c>
    </row>
    <row r="705" spans="1:25">
      <c r="A705" s="280" t="s">
        <v>100</v>
      </c>
      <c r="B705" s="279" t="s">
        <v>1385</v>
      </c>
      <c r="C705" s="278" t="s">
        <v>2808</v>
      </c>
      <c r="D705" s="277" t="s">
        <v>1989</v>
      </c>
      <c r="E705" s="276"/>
      <c r="F705" s="277" t="s">
        <v>1388</v>
      </c>
      <c r="G705" s="276"/>
      <c r="H705" s="275"/>
      <c r="I705" s="276"/>
      <c r="J705" s="275"/>
      <c r="K705" s="274"/>
      <c r="L705" s="275">
        <v>230</v>
      </c>
      <c r="M705" s="276"/>
      <c r="N705" s="273"/>
      <c r="O705" s="276" t="s">
        <v>1285</v>
      </c>
      <c r="P705" s="277"/>
      <c r="Q705" s="272"/>
      <c r="R705" s="271"/>
      <c r="S705" s="270"/>
      <c r="T705" s="277" t="s">
        <v>29</v>
      </c>
      <c r="U705" s="276" t="s">
        <v>1388</v>
      </c>
      <c r="V705" s="277" t="s">
        <v>208</v>
      </c>
      <c r="W705" s="269" t="s">
        <v>2809</v>
      </c>
      <c r="X705" s="268"/>
      <c r="Y705" s="267" t="s">
        <v>208</v>
      </c>
    </row>
    <row r="706" spans="1:25">
      <c r="A706" s="280" t="s">
        <v>100</v>
      </c>
      <c r="B706" s="279" t="s">
        <v>1320</v>
      </c>
      <c r="C706" s="278" t="s">
        <v>365</v>
      </c>
      <c r="D706" s="277" t="s">
        <v>366</v>
      </c>
      <c r="E706" s="276" t="s">
        <v>1419</v>
      </c>
      <c r="F706" s="277" t="s">
        <v>17</v>
      </c>
      <c r="G706" s="276" t="s">
        <v>367</v>
      </c>
      <c r="H706" s="275">
        <v>104</v>
      </c>
      <c r="I706" s="276"/>
      <c r="J706" s="275">
        <v>3</v>
      </c>
      <c r="K706" s="274"/>
      <c r="L706" s="275">
        <v>312</v>
      </c>
      <c r="M706" s="276" t="s">
        <v>2640</v>
      </c>
      <c r="N706" s="273"/>
      <c r="O706" s="276" t="s">
        <v>55</v>
      </c>
      <c r="P706" s="277" t="s">
        <v>1407</v>
      </c>
      <c r="Q706" s="272"/>
      <c r="R706" s="271" t="s">
        <v>1558</v>
      </c>
      <c r="S706" s="270"/>
      <c r="T706" s="277" t="s">
        <v>25</v>
      </c>
      <c r="U706" s="276" t="s">
        <v>17</v>
      </c>
      <c r="V706" s="277">
        <v>1425</v>
      </c>
      <c r="W706" s="269"/>
      <c r="X706" s="268" t="s">
        <v>1453</v>
      </c>
      <c r="Y706" s="267">
        <v>44746.420891203707</v>
      </c>
    </row>
    <row r="707" spans="1:25">
      <c r="A707" s="280" t="s">
        <v>46</v>
      </c>
      <c r="B707" s="279" t="s">
        <v>1385</v>
      </c>
      <c r="C707" s="278" t="s">
        <v>2810</v>
      </c>
      <c r="D707" s="277" t="s">
        <v>2811</v>
      </c>
      <c r="E707" s="276" t="s">
        <v>1398</v>
      </c>
      <c r="F707" s="277" t="s">
        <v>1388</v>
      </c>
      <c r="G707" s="276" t="s">
        <v>208</v>
      </c>
      <c r="H707" s="275">
        <v>1</v>
      </c>
      <c r="I707" s="276"/>
      <c r="J707" s="275">
        <v>5</v>
      </c>
      <c r="K707" s="274"/>
      <c r="L707" s="275">
        <v>5</v>
      </c>
      <c r="M707" s="276" t="s">
        <v>1416</v>
      </c>
      <c r="N707" s="273"/>
      <c r="O707" s="276" t="s">
        <v>1285</v>
      </c>
      <c r="P707" s="277" t="s">
        <v>1362</v>
      </c>
      <c r="Q707" s="272"/>
      <c r="R707" s="271"/>
      <c r="S707" s="270"/>
      <c r="T707" s="277" t="s">
        <v>29</v>
      </c>
      <c r="U707" s="276" t="s">
        <v>1388</v>
      </c>
      <c r="V707" s="277">
        <v>1650</v>
      </c>
      <c r="W707" s="269"/>
      <c r="X707" s="268" t="s">
        <v>208</v>
      </c>
      <c r="Y707" s="267">
        <v>43769.416655092595</v>
      </c>
    </row>
    <row r="708" spans="1:25">
      <c r="A708" s="280" t="s">
        <v>62</v>
      </c>
      <c r="B708" s="279" t="s">
        <v>1320</v>
      </c>
      <c r="C708" s="278" t="s">
        <v>2812</v>
      </c>
      <c r="D708" s="277" t="s">
        <v>2421</v>
      </c>
      <c r="E708" s="276" t="s">
        <v>1365</v>
      </c>
      <c r="F708" s="277" t="s">
        <v>1438</v>
      </c>
      <c r="G708" s="276" t="s">
        <v>2813</v>
      </c>
      <c r="H708" s="275">
        <v>8</v>
      </c>
      <c r="I708" s="276"/>
      <c r="J708" s="275">
        <v>1.57</v>
      </c>
      <c r="K708" s="274"/>
      <c r="L708" s="275">
        <v>12.56</v>
      </c>
      <c r="M708" s="276" t="s">
        <v>2814</v>
      </c>
      <c r="N708" s="273"/>
      <c r="O708" s="276" t="s">
        <v>55</v>
      </c>
      <c r="P708" s="277" t="s">
        <v>1362</v>
      </c>
      <c r="Q708" s="272"/>
      <c r="R708" s="271"/>
      <c r="S708" s="270"/>
      <c r="T708" s="277" t="s">
        <v>25</v>
      </c>
      <c r="U708" s="276" t="s">
        <v>15</v>
      </c>
      <c r="V708" s="277">
        <v>1250</v>
      </c>
      <c r="W708" s="269"/>
      <c r="X708" s="268" t="s">
        <v>1363</v>
      </c>
      <c r="Y708" s="267">
        <v>44671.352673611109</v>
      </c>
    </row>
    <row r="709" spans="1:25">
      <c r="A709" s="280" t="s">
        <v>62</v>
      </c>
      <c r="B709" s="279" t="s">
        <v>1320</v>
      </c>
      <c r="C709" s="278" t="s">
        <v>2815</v>
      </c>
      <c r="D709" s="277" t="s">
        <v>2322</v>
      </c>
      <c r="E709" s="276" t="s">
        <v>1359</v>
      </c>
      <c r="F709" s="277" t="s">
        <v>1438</v>
      </c>
      <c r="G709" s="276" t="s">
        <v>2816</v>
      </c>
      <c r="H709" s="275">
        <v>21</v>
      </c>
      <c r="I709" s="276"/>
      <c r="J709" s="275">
        <v>3.04</v>
      </c>
      <c r="K709" s="274"/>
      <c r="L709" s="275">
        <v>63.84</v>
      </c>
      <c r="M709" s="276" t="s">
        <v>2817</v>
      </c>
      <c r="N709" s="273"/>
      <c r="O709" s="276" t="s">
        <v>55</v>
      </c>
      <c r="P709" s="277" t="s">
        <v>1362</v>
      </c>
      <c r="Q709" s="272"/>
      <c r="R709" s="271" t="s">
        <v>1959</v>
      </c>
      <c r="S709" s="270"/>
      <c r="T709" s="277" t="s">
        <v>25</v>
      </c>
      <c r="U709" s="276" t="s">
        <v>15</v>
      </c>
      <c r="V709" s="277">
        <v>1136</v>
      </c>
      <c r="W709" s="269"/>
      <c r="X709" s="268" t="s">
        <v>1363</v>
      </c>
      <c r="Y709" s="267">
        <v>44670.461550925924</v>
      </c>
    </row>
    <row r="710" spans="1:25">
      <c r="A710" s="280" t="s">
        <v>62</v>
      </c>
      <c r="B710" s="279" t="s">
        <v>1320</v>
      </c>
      <c r="C710" s="278" t="s">
        <v>2818</v>
      </c>
      <c r="D710" s="277" t="s">
        <v>1393</v>
      </c>
      <c r="E710" s="276" t="s">
        <v>1398</v>
      </c>
      <c r="F710" s="277" t="s">
        <v>1388</v>
      </c>
      <c r="G710" s="276" t="s">
        <v>208</v>
      </c>
      <c r="H710" s="275">
        <v>1</v>
      </c>
      <c r="I710" s="276"/>
      <c r="J710" s="275">
        <v>0.214</v>
      </c>
      <c r="K710" s="274"/>
      <c r="L710" s="275">
        <v>0.21379999999999999</v>
      </c>
      <c r="M710" s="276" t="s">
        <v>2819</v>
      </c>
      <c r="N710" s="273"/>
      <c r="O710" s="276" t="s">
        <v>55</v>
      </c>
      <c r="P710" s="277" t="s">
        <v>1362</v>
      </c>
      <c r="Q710" s="272"/>
      <c r="R710" s="271"/>
      <c r="S710" s="270"/>
      <c r="T710" s="277" t="s">
        <v>25</v>
      </c>
      <c r="U710" s="276" t="s">
        <v>1388</v>
      </c>
      <c r="V710" s="277">
        <v>73</v>
      </c>
      <c r="W710" s="269"/>
      <c r="X710" s="268" t="s">
        <v>208</v>
      </c>
      <c r="Y710" s="267">
        <v>43312</v>
      </c>
    </row>
    <row r="711" spans="1:25">
      <c r="A711" s="280" t="s">
        <v>46</v>
      </c>
      <c r="B711" s="279" t="s">
        <v>1320</v>
      </c>
      <c r="C711" s="278" t="s">
        <v>922</v>
      </c>
      <c r="D711" s="277" t="s">
        <v>2820</v>
      </c>
      <c r="E711" s="276" t="s">
        <v>1429</v>
      </c>
      <c r="F711" s="277" t="s">
        <v>1388</v>
      </c>
      <c r="G711" s="276" t="s">
        <v>2821</v>
      </c>
      <c r="H711" s="275">
        <v>56</v>
      </c>
      <c r="I711" s="276"/>
      <c r="J711" s="275">
        <v>1</v>
      </c>
      <c r="K711" s="274"/>
      <c r="L711" s="275">
        <v>56</v>
      </c>
      <c r="M711" s="276" t="s">
        <v>2822</v>
      </c>
      <c r="N711" s="273"/>
      <c r="O711" s="276" t="s">
        <v>55</v>
      </c>
      <c r="P711" s="277" t="s">
        <v>1407</v>
      </c>
      <c r="Q711" s="272"/>
      <c r="R711" s="271" t="s">
        <v>1681</v>
      </c>
      <c r="S711" s="270"/>
      <c r="T711" s="277" t="s">
        <v>25</v>
      </c>
      <c r="U711" s="276" t="s">
        <v>1388</v>
      </c>
      <c r="V711" s="277">
        <v>1318</v>
      </c>
      <c r="W711" s="269"/>
      <c r="X711" s="268" t="s">
        <v>1363</v>
      </c>
      <c r="Y711" s="267">
        <v>44678.430856481478</v>
      </c>
    </row>
    <row r="712" spans="1:25" ht="22.5">
      <c r="A712" s="280" t="s">
        <v>80</v>
      </c>
      <c r="B712" s="279" t="s">
        <v>1320</v>
      </c>
      <c r="C712" s="278" t="s">
        <v>352</v>
      </c>
      <c r="D712" s="277" t="s">
        <v>82</v>
      </c>
      <c r="E712" s="276" t="s">
        <v>1429</v>
      </c>
      <c r="F712" s="277" t="s">
        <v>1388</v>
      </c>
      <c r="G712" s="276" t="s">
        <v>353</v>
      </c>
      <c r="H712" s="275">
        <v>2</v>
      </c>
      <c r="I712" s="276"/>
      <c r="J712" s="275">
        <v>3.06</v>
      </c>
      <c r="K712" s="274"/>
      <c r="L712" s="275">
        <v>6.12</v>
      </c>
      <c r="M712" s="276" t="s">
        <v>2823</v>
      </c>
      <c r="N712" s="273"/>
      <c r="O712" s="276" t="s">
        <v>27</v>
      </c>
      <c r="P712" s="277" t="s">
        <v>1407</v>
      </c>
      <c r="Q712" s="272" t="s">
        <v>1628</v>
      </c>
      <c r="R712" s="271" t="s">
        <v>2465</v>
      </c>
      <c r="S712" s="270"/>
      <c r="T712" s="277" t="s">
        <v>25</v>
      </c>
      <c r="U712" s="276" t="s">
        <v>1388</v>
      </c>
      <c r="V712" s="277">
        <v>1849</v>
      </c>
      <c r="W712" s="269"/>
      <c r="X712" s="268" t="s">
        <v>1363</v>
      </c>
      <c r="Y712" s="267">
        <v>44671.338425925926</v>
      </c>
    </row>
    <row r="713" spans="1:25">
      <c r="A713" s="280" t="s">
        <v>80</v>
      </c>
      <c r="B713" s="279" t="s">
        <v>1320</v>
      </c>
      <c r="C713" s="278" t="s">
        <v>354</v>
      </c>
      <c r="D713" s="277" t="s">
        <v>82</v>
      </c>
      <c r="E713" s="276" t="s">
        <v>1429</v>
      </c>
      <c r="F713" s="277" t="s">
        <v>1388</v>
      </c>
      <c r="G713" s="276" t="s">
        <v>355</v>
      </c>
      <c r="H713" s="275">
        <v>2</v>
      </c>
      <c r="I713" s="276"/>
      <c r="J713" s="275">
        <v>2.94</v>
      </c>
      <c r="K713" s="274"/>
      <c r="L713" s="275">
        <v>5.88</v>
      </c>
      <c r="M713" s="276" t="s">
        <v>2824</v>
      </c>
      <c r="N713" s="273"/>
      <c r="O713" s="276" t="s">
        <v>27</v>
      </c>
      <c r="P713" s="277" t="s">
        <v>1407</v>
      </c>
      <c r="Q713" s="272" t="s">
        <v>1453</v>
      </c>
      <c r="R713" s="271" t="s">
        <v>1405</v>
      </c>
      <c r="S713" s="270"/>
      <c r="T713" s="277" t="s">
        <v>25</v>
      </c>
      <c r="U713" s="276" t="s">
        <v>1388</v>
      </c>
      <c r="V713" s="277">
        <v>1850</v>
      </c>
      <c r="W713" s="269"/>
      <c r="X713" s="268" t="s">
        <v>1363</v>
      </c>
      <c r="Y713" s="267">
        <v>44671.335069444445</v>
      </c>
    </row>
    <row r="714" spans="1:25">
      <c r="A714" s="280" t="s">
        <v>80</v>
      </c>
      <c r="B714" s="279" t="s">
        <v>1320</v>
      </c>
      <c r="C714" s="278" t="s">
        <v>379</v>
      </c>
      <c r="D714" s="277" t="s">
        <v>82</v>
      </c>
      <c r="E714" s="276" t="s">
        <v>1429</v>
      </c>
      <c r="F714" s="277" t="s">
        <v>1388</v>
      </c>
      <c r="G714" s="276" t="s">
        <v>380</v>
      </c>
      <c r="H714" s="275">
        <v>3</v>
      </c>
      <c r="I714" s="276"/>
      <c r="J714" s="275">
        <v>2.46</v>
      </c>
      <c r="K714" s="274"/>
      <c r="L714" s="275">
        <v>7.38</v>
      </c>
      <c r="M714" s="276" t="s">
        <v>2825</v>
      </c>
      <c r="N714" s="273"/>
      <c r="O714" s="276" t="s">
        <v>27</v>
      </c>
      <c r="P714" s="277" t="s">
        <v>1407</v>
      </c>
      <c r="Q714" s="272" t="s">
        <v>1453</v>
      </c>
      <c r="R714" s="271" t="s">
        <v>1534</v>
      </c>
      <c r="S714" s="270"/>
      <c r="T714" s="277" t="s">
        <v>25</v>
      </c>
      <c r="U714" s="276" t="s">
        <v>1388</v>
      </c>
      <c r="V714" s="277">
        <v>1851</v>
      </c>
      <c r="W714" s="269"/>
      <c r="X714" s="268" t="s">
        <v>1363</v>
      </c>
      <c r="Y714" s="267">
        <v>44671.332372685189</v>
      </c>
    </row>
    <row r="715" spans="1:25">
      <c r="A715" s="280" t="s">
        <v>80</v>
      </c>
      <c r="B715" s="279" t="s">
        <v>1320</v>
      </c>
      <c r="C715" s="278" t="s">
        <v>356</v>
      </c>
      <c r="D715" s="277" t="s">
        <v>82</v>
      </c>
      <c r="E715" s="276" t="s">
        <v>1429</v>
      </c>
      <c r="F715" s="277" t="s">
        <v>1388</v>
      </c>
      <c r="G715" s="276" t="s">
        <v>357</v>
      </c>
      <c r="H715" s="275">
        <v>2</v>
      </c>
      <c r="I715" s="276"/>
      <c r="J715" s="275">
        <v>2.94</v>
      </c>
      <c r="K715" s="274"/>
      <c r="L715" s="275">
        <v>5.88</v>
      </c>
      <c r="M715" s="276" t="s">
        <v>2824</v>
      </c>
      <c r="N715" s="273"/>
      <c r="O715" s="276" t="s">
        <v>27</v>
      </c>
      <c r="P715" s="277" t="s">
        <v>1407</v>
      </c>
      <c r="Q715" s="272" t="s">
        <v>1628</v>
      </c>
      <c r="R715" s="271" t="s">
        <v>1405</v>
      </c>
      <c r="S715" s="270"/>
      <c r="T715" s="277" t="s">
        <v>25</v>
      </c>
      <c r="U715" s="276" t="s">
        <v>1388</v>
      </c>
      <c r="V715" s="277">
        <v>1852</v>
      </c>
      <c r="W715" s="269"/>
      <c r="X715" s="268" t="s">
        <v>1363</v>
      </c>
      <c r="Y715" s="267">
        <v>44671.330578703702</v>
      </c>
    </row>
    <row r="716" spans="1:25">
      <c r="A716" s="280" t="s">
        <v>100</v>
      </c>
      <c r="B716" s="279" t="s">
        <v>1385</v>
      </c>
      <c r="C716" s="278" t="s">
        <v>4094</v>
      </c>
      <c r="D716" s="277" t="s">
        <v>2017</v>
      </c>
      <c r="E716" s="276"/>
      <c r="F716" s="277" t="s">
        <v>21</v>
      </c>
      <c r="G716" s="276"/>
      <c r="H716" s="275"/>
      <c r="I716" s="276"/>
      <c r="J716" s="275"/>
      <c r="K716" s="274"/>
      <c r="L716" s="275">
        <v>240</v>
      </c>
      <c r="M716" s="276"/>
      <c r="N716" s="273"/>
      <c r="O716" s="276" t="s">
        <v>1285</v>
      </c>
      <c r="P716" s="277"/>
      <c r="Q716" s="272"/>
      <c r="R716" s="271" t="s">
        <v>208</v>
      </c>
      <c r="S716" s="270"/>
      <c r="T716" s="277" t="s">
        <v>29</v>
      </c>
      <c r="U716" s="276" t="s">
        <v>20</v>
      </c>
      <c r="V716" s="277">
        <v>1945</v>
      </c>
      <c r="W716" s="269" t="s">
        <v>4095</v>
      </c>
      <c r="X716" s="268"/>
      <c r="Y716" s="267"/>
    </row>
    <row r="717" spans="1:25">
      <c r="A717" s="280" t="s">
        <v>100</v>
      </c>
      <c r="B717" s="279" t="s">
        <v>1320</v>
      </c>
      <c r="C717" s="278" t="s">
        <v>2826</v>
      </c>
      <c r="D717" s="277" t="s">
        <v>75</v>
      </c>
      <c r="E717" s="276" t="s">
        <v>1359</v>
      </c>
      <c r="F717" s="277" t="s">
        <v>1486</v>
      </c>
      <c r="G717" s="276" t="s">
        <v>2827</v>
      </c>
      <c r="H717" s="275">
        <v>1</v>
      </c>
      <c r="I717" s="276"/>
      <c r="J717" s="275">
        <v>0.78900000000000003</v>
      </c>
      <c r="K717" s="274"/>
      <c r="L717" s="275">
        <v>0.78900000000000003</v>
      </c>
      <c r="M717" s="276" t="s">
        <v>1514</v>
      </c>
      <c r="N717" s="273"/>
      <c r="O717" s="276" t="s">
        <v>55</v>
      </c>
      <c r="P717" s="277" t="s">
        <v>1362</v>
      </c>
      <c r="Q717" s="272"/>
      <c r="R717" s="271"/>
      <c r="S717" s="270"/>
      <c r="T717" s="277" t="s">
        <v>25</v>
      </c>
      <c r="U717" s="276" t="s">
        <v>19</v>
      </c>
      <c r="V717" s="277">
        <v>1137</v>
      </c>
      <c r="W717" s="269"/>
      <c r="X717" s="268" t="s">
        <v>1400</v>
      </c>
      <c r="Y717" s="267">
        <v>43769.416655092595</v>
      </c>
    </row>
    <row r="718" spans="1:25">
      <c r="A718" s="280" t="s">
        <v>100</v>
      </c>
      <c r="B718" s="279" t="s">
        <v>1385</v>
      </c>
      <c r="C718" s="278" t="s">
        <v>464</v>
      </c>
      <c r="D718" s="277" t="s">
        <v>465</v>
      </c>
      <c r="E718" s="276" t="s">
        <v>1493</v>
      </c>
      <c r="F718" s="277" t="s">
        <v>2284</v>
      </c>
      <c r="G718" s="276" t="s">
        <v>208</v>
      </c>
      <c r="H718" s="275">
        <v>1</v>
      </c>
      <c r="I718" s="276"/>
      <c r="J718" s="275">
        <v>50</v>
      </c>
      <c r="K718" s="274"/>
      <c r="L718" s="275">
        <v>50</v>
      </c>
      <c r="M718" s="276" t="s">
        <v>1489</v>
      </c>
      <c r="N718" s="273"/>
      <c r="O718" s="276" t="s">
        <v>1285</v>
      </c>
      <c r="P718" s="277" t="s">
        <v>1403</v>
      </c>
      <c r="Q718" s="272"/>
      <c r="R718" s="271"/>
      <c r="S718" s="270"/>
      <c r="T718" s="277" t="s">
        <v>29</v>
      </c>
      <c r="U718" s="276" t="s">
        <v>14</v>
      </c>
      <c r="V718" s="277">
        <v>1139</v>
      </c>
      <c r="W718" s="269"/>
      <c r="X718" s="268" t="s">
        <v>1363</v>
      </c>
      <c r="Y718" s="267">
        <v>44670.462962962964</v>
      </c>
    </row>
    <row r="719" spans="1:25">
      <c r="A719" s="280" t="s">
        <v>100</v>
      </c>
      <c r="B719" s="279" t="s">
        <v>1385</v>
      </c>
      <c r="C719" s="278" t="s">
        <v>464</v>
      </c>
      <c r="D719" s="277" t="s">
        <v>465</v>
      </c>
      <c r="E719" s="276" t="s">
        <v>1493</v>
      </c>
      <c r="F719" s="277" t="s">
        <v>2284</v>
      </c>
      <c r="G719" s="276" t="s">
        <v>208</v>
      </c>
      <c r="H719" s="275">
        <v>3</v>
      </c>
      <c r="I719" s="276"/>
      <c r="J719" s="275">
        <v>50</v>
      </c>
      <c r="K719" s="274"/>
      <c r="L719" s="275">
        <v>150</v>
      </c>
      <c r="M719" s="276" t="s">
        <v>1480</v>
      </c>
      <c r="N719" s="273"/>
      <c r="O719" s="276" t="s">
        <v>1285</v>
      </c>
      <c r="P719" s="277" t="s">
        <v>1403</v>
      </c>
      <c r="Q719" s="272"/>
      <c r="R719" s="271"/>
      <c r="S719" s="270"/>
      <c r="T719" s="277" t="s">
        <v>29</v>
      </c>
      <c r="U719" s="276" t="s">
        <v>2828</v>
      </c>
      <c r="V719" s="277">
        <v>1139</v>
      </c>
      <c r="W719" s="269"/>
      <c r="X719" s="268" t="s">
        <v>1363</v>
      </c>
      <c r="Y719" s="267">
        <v>44670.462962962964</v>
      </c>
    </row>
    <row r="720" spans="1:25">
      <c r="A720" s="280" t="s">
        <v>100</v>
      </c>
      <c r="B720" s="279" t="s">
        <v>1320</v>
      </c>
      <c r="C720" s="278" t="s">
        <v>464</v>
      </c>
      <c r="D720" s="277" t="s">
        <v>465</v>
      </c>
      <c r="E720" s="276" t="s">
        <v>1493</v>
      </c>
      <c r="F720" s="277" t="s">
        <v>1360</v>
      </c>
      <c r="G720" s="276" t="s">
        <v>2829</v>
      </c>
      <c r="H720" s="275">
        <v>1</v>
      </c>
      <c r="I720" s="276"/>
      <c r="J720" s="275">
        <v>292</v>
      </c>
      <c r="K720" s="274"/>
      <c r="L720" s="275">
        <v>292</v>
      </c>
      <c r="M720" s="276" t="s">
        <v>2830</v>
      </c>
      <c r="N720" s="273"/>
      <c r="O720" s="276" t="s">
        <v>55</v>
      </c>
      <c r="P720" s="277" t="s">
        <v>1403</v>
      </c>
      <c r="Q720" s="272"/>
      <c r="R720" s="271" t="s">
        <v>1457</v>
      </c>
      <c r="S720" s="270"/>
      <c r="T720" s="277" t="s">
        <v>25</v>
      </c>
      <c r="U720" s="276" t="s">
        <v>14</v>
      </c>
      <c r="V720" s="277">
        <v>1139</v>
      </c>
      <c r="W720" s="269"/>
      <c r="X720" s="268" t="s">
        <v>1363</v>
      </c>
      <c r="Y720" s="267">
        <v>44670.462962962964</v>
      </c>
    </row>
    <row r="721" spans="1:25">
      <c r="A721" s="280" t="s">
        <v>100</v>
      </c>
      <c r="B721" s="279" t="s">
        <v>1320</v>
      </c>
      <c r="C721" s="278" t="s">
        <v>464</v>
      </c>
      <c r="D721" s="277" t="s">
        <v>465</v>
      </c>
      <c r="E721" s="276" t="s">
        <v>1493</v>
      </c>
      <c r="F721" s="277" t="s">
        <v>1360</v>
      </c>
      <c r="G721" s="276" t="s">
        <v>505</v>
      </c>
      <c r="H721" s="275">
        <v>1</v>
      </c>
      <c r="I721" s="276"/>
      <c r="J721" s="275">
        <v>292</v>
      </c>
      <c r="K721" s="274"/>
      <c r="L721" s="275">
        <v>292</v>
      </c>
      <c r="M721" s="276" t="s">
        <v>2830</v>
      </c>
      <c r="N721" s="273"/>
      <c r="O721" s="276" t="s">
        <v>55</v>
      </c>
      <c r="P721" s="277" t="s">
        <v>1403</v>
      </c>
      <c r="Q721" s="272"/>
      <c r="R721" s="271" t="s">
        <v>1457</v>
      </c>
      <c r="S721" s="270"/>
      <c r="T721" s="277" t="s">
        <v>25</v>
      </c>
      <c r="U721" s="276" t="s">
        <v>14</v>
      </c>
      <c r="V721" s="277">
        <v>1139</v>
      </c>
      <c r="W721" s="269"/>
      <c r="X721" s="268" t="s">
        <v>1363</v>
      </c>
      <c r="Y721" s="267">
        <v>44670.462962962964</v>
      </c>
    </row>
    <row r="722" spans="1:25">
      <c r="A722" s="280" t="s">
        <v>100</v>
      </c>
      <c r="B722" s="279" t="s">
        <v>1385</v>
      </c>
      <c r="C722" s="278" t="s">
        <v>2831</v>
      </c>
      <c r="D722" s="277" t="s">
        <v>2832</v>
      </c>
      <c r="E722" s="276" t="s">
        <v>1391</v>
      </c>
      <c r="F722" s="277" t="s">
        <v>21</v>
      </c>
      <c r="G722" s="276" t="s">
        <v>208</v>
      </c>
      <c r="H722" s="275">
        <v>1</v>
      </c>
      <c r="I722" s="276"/>
      <c r="J722" s="275">
        <v>300</v>
      </c>
      <c r="K722" s="274"/>
      <c r="L722" s="275">
        <v>300</v>
      </c>
      <c r="M722" s="276" t="s">
        <v>1661</v>
      </c>
      <c r="N722" s="273">
        <v>900</v>
      </c>
      <c r="O722" s="276" t="s">
        <v>1285</v>
      </c>
      <c r="P722" s="277" t="s">
        <v>1393</v>
      </c>
      <c r="Q722" s="272"/>
      <c r="R722" s="271"/>
      <c r="S722" s="270"/>
      <c r="T722" s="277" t="s">
        <v>29</v>
      </c>
      <c r="U722" s="276" t="s">
        <v>20</v>
      </c>
      <c r="V722" s="277">
        <v>1882</v>
      </c>
      <c r="W722" s="269" t="s">
        <v>3976</v>
      </c>
      <c r="X722" s="268" t="s">
        <v>1363</v>
      </c>
      <c r="Y722" s="267">
        <v>44671.324386574073</v>
      </c>
    </row>
    <row r="723" spans="1:25">
      <c r="A723" s="280" t="s">
        <v>100</v>
      </c>
      <c r="B723" s="279" t="s">
        <v>1385</v>
      </c>
      <c r="C723" s="278" t="s">
        <v>2833</v>
      </c>
      <c r="D723" s="277" t="s">
        <v>2834</v>
      </c>
      <c r="E723" s="276" t="s">
        <v>1429</v>
      </c>
      <c r="F723" s="277" t="s">
        <v>1388</v>
      </c>
      <c r="G723" s="276" t="s">
        <v>208</v>
      </c>
      <c r="H723" s="275">
        <v>106</v>
      </c>
      <c r="I723" s="276"/>
      <c r="J723" s="275">
        <v>4.3899999999999997</v>
      </c>
      <c r="K723" s="274"/>
      <c r="L723" s="281">
        <v>465.34</v>
      </c>
      <c r="M723" s="276" t="s">
        <v>2835</v>
      </c>
      <c r="N723" s="273"/>
      <c r="O723" s="276" t="s">
        <v>1285</v>
      </c>
      <c r="P723" s="277" t="s">
        <v>1407</v>
      </c>
      <c r="Q723" s="272"/>
      <c r="R723" s="271"/>
      <c r="S723" s="270"/>
      <c r="T723" s="277" t="s">
        <v>29</v>
      </c>
      <c r="U723" s="276" t="s">
        <v>1388</v>
      </c>
      <c r="V723" s="277">
        <v>2022</v>
      </c>
      <c r="W723" s="269" t="s">
        <v>2836</v>
      </c>
      <c r="X723" s="268"/>
      <c r="Y723" s="267">
        <v>44719.388564814813</v>
      </c>
    </row>
    <row r="724" spans="1:25">
      <c r="A724" s="280" t="s">
        <v>100</v>
      </c>
      <c r="B724" s="279" t="s">
        <v>1385</v>
      </c>
      <c r="C724" s="278" t="s">
        <v>2837</v>
      </c>
      <c r="D724" s="277" t="s">
        <v>2838</v>
      </c>
      <c r="E724" s="276" t="s">
        <v>1419</v>
      </c>
      <c r="F724" s="277" t="s">
        <v>17</v>
      </c>
      <c r="G724" s="276" t="s">
        <v>208</v>
      </c>
      <c r="H724" s="275">
        <v>35</v>
      </c>
      <c r="I724" s="276"/>
      <c r="J724" s="275">
        <v>4.5</v>
      </c>
      <c r="K724" s="274"/>
      <c r="L724" s="275">
        <v>157.5</v>
      </c>
      <c r="M724" s="276" t="s">
        <v>2839</v>
      </c>
      <c r="N724" s="273">
        <v>0</v>
      </c>
      <c r="O724" s="276" t="s">
        <v>28</v>
      </c>
      <c r="P724" s="277" t="s">
        <v>1407</v>
      </c>
      <c r="Q724" s="272" t="s">
        <v>1363</v>
      </c>
      <c r="R724" s="271"/>
      <c r="S724" s="270"/>
      <c r="T724" s="277" t="s">
        <v>28</v>
      </c>
      <c r="U724" s="276" t="s">
        <v>17</v>
      </c>
      <c r="V724" s="277">
        <v>1138</v>
      </c>
      <c r="W724" s="269"/>
      <c r="X724" s="268" t="s">
        <v>1453</v>
      </c>
      <c r="Y724" s="267">
        <v>44747.361689814818</v>
      </c>
    </row>
    <row r="725" spans="1:25">
      <c r="A725" s="280" t="s">
        <v>100</v>
      </c>
      <c r="B725" s="279" t="s">
        <v>1320</v>
      </c>
      <c r="C725" s="278" t="s">
        <v>1165</v>
      </c>
      <c r="D725" s="277" t="s">
        <v>2840</v>
      </c>
      <c r="E725" s="276" t="s">
        <v>1419</v>
      </c>
      <c r="F725" s="277" t="s">
        <v>17</v>
      </c>
      <c r="G725" s="276" t="s">
        <v>2841</v>
      </c>
      <c r="H725" s="275">
        <v>13</v>
      </c>
      <c r="I725" s="276"/>
      <c r="J725" s="275">
        <v>1.5</v>
      </c>
      <c r="K725" s="274"/>
      <c r="L725" s="275">
        <v>19.5</v>
      </c>
      <c r="M725" s="276" t="s">
        <v>2842</v>
      </c>
      <c r="N725" s="273">
        <v>0</v>
      </c>
      <c r="O725" s="276" t="s">
        <v>55</v>
      </c>
      <c r="P725" s="277" t="s">
        <v>1362</v>
      </c>
      <c r="Q725" s="272"/>
      <c r="R725" s="271"/>
      <c r="S725" s="270"/>
      <c r="T725" s="277" t="s">
        <v>25</v>
      </c>
      <c r="U725" s="276" t="s">
        <v>17</v>
      </c>
      <c r="V725" s="277">
        <v>1331</v>
      </c>
      <c r="W725" s="269"/>
      <c r="X725" s="268" t="s">
        <v>1400</v>
      </c>
      <c r="Y725" s="267">
        <v>44679.644548611112</v>
      </c>
    </row>
    <row r="726" spans="1:25" ht="22.5">
      <c r="A726" s="280" t="s">
        <v>100</v>
      </c>
      <c r="B726" s="279" t="s">
        <v>1385</v>
      </c>
      <c r="C726" s="278" t="s">
        <v>2843</v>
      </c>
      <c r="D726" s="277" t="s">
        <v>2017</v>
      </c>
      <c r="E726" s="276"/>
      <c r="F726" s="277" t="s">
        <v>21</v>
      </c>
      <c r="G726" s="276"/>
      <c r="H726" s="275"/>
      <c r="I726" s="276"/>
      <c r="J726" s="275"/>
      <c r="K726" s="274"/>
      <c r="L726" s="275">
        <v>230</v>
      </c>
      <c r="M726" s="276"/>
      <c r="N726" s="273"/>
      <c r="O726" s="276" t="s">
        <v>1285</v>
      </c>
      <c r="P726" s="277"/>
      <c r="Q726" s="272"/>
      <c r="R726" s="271" t="s">
        <v>208</v>
      </c>
      <c r="S726" s="270"/>
      <c r="T726" s="277" t="s">
        <v>29</v>
      </c>
      <c r="U726" s="276" t="s">
        <v>20</v>
      </c>
      <c r="V726" s="277" t="s">
        <v>208</v>
      </c>
      <c r="W726" s="269" t="s">
        <v>2844</v>
      </c>
      <c r="X726" s="268"/>
      <c r="Y726" s="267" t="s">
        <v>208</v>
      </c>
    </row>
    <row r="727" spans="1:25">
      <c r="A727" s="280" t="s">
        <v>100</v>
      </c>
      <c r="B727" s="279" t="s">
        <v>1385</v>
      </c>
      <c r="C727" s="278" t="s">
        <v>2845</v>
      </c>
      <c r="D727" s="277" t="s">
        <v>2846</v>
      </c>
      <c r="E727" s="276" t="s">
        <v>1429</v>
      </c>
      <c r="F727" s="277" t="s">
        <v>1388</v>
      </c>
      <c r="G727" s="276" t="s">
        <v>208</v>
      </c>
      <c r="H727" s="275">
        <v>11</v>
      </c>
      <c r="I727" s="276">
        <v>6</v>
      </c>
      <c r="J727" s="275">
        <v>7.5</v>
      </c>
      <c r="K727" s="274">
        <v>66</v>
      </c>
      <c r="L727" s="275">
        <v>82.5</v>
      </c>
      <c r="M727" s="276" t="s">
        <v>2847</v>
      </c>
      <c r="N727" s="273"/>
      <c r="O727" s="276" t="s">
        <v>1285</v>
      </c>
      <c r="P727" s="277" t="s">
        <v>1407</v>
      </c>
      <c r="Q727" s="272"/>
      <c r="R727" s="271"/>
      <c r="S727" s="270"/>
      <c r="T727" s="277" t="s">
        <v>29</v>
      </c>
      <c r="U727" s="276" t="s">
        <v>1388</v>
      </c>
      <c r="V727" s="277">
        <v>2009</v>
      </c>
      <c r="W727" s="269"/>
      <c r="X727" s="268" t="s">
        <v>208</v>
      </c>
      <c r="Y727" s="267">
        <v>44670.597083333334</v>
      </c>
    </row>
    <row r="728" spans="1:25">
      <c r="A728" s="280" t="s">
        <v>62</v>
      </c>
      <c r="B728" s="279" t="s">
        <v>1320</v>
      </c>
      <c r="C728" s="278" t="s">
        <v>596</v>
      </c>
      <c r="D728" s="277" t="s">
        <v>102</v>
      </c>
      <c r="E728" s="276" t="s">
        <v>1419</v>
      </c>
      <c r="F728" s="277" t="s">
        <v>17</v>
      </c>
      <c r="G728" s="276" t="s">
        <v>2848</v>
      </c>
      <c r="H728" s="275">
        <v>53</v>
      </c>
      <c r="I728" s="276"/>
      <c r="J728" s="275">
        <v>3.4060000000000001</v>
      </c>
      <c r="K728" s="274"/>
      <c r="L728" s="275">
        <v>180.518</v>
      </c>
      <c r="M728" s="276" t="s">
        <v>2849</v>
      </c>
      <c r="N728" s="273"/>
      <c r="O728" s="276" t="s">
        <v>55</v>
      </c>
      <c r="P728" s="277" t="s">
        <v>1407</v>
      </c>
      <c r="Q728" s="272"/>
      <c r="R728" s="271" t="s">
        <v>1769</v>
      </c>
      <c r="S728" s="270"/>
      <c r="T728" s="277" t="s">
        <v>25</v>
      </c>
      <c r="U728" s="276" t="s">
        <v>17</v>
      </c>
      <c r="V728" s="277">
        <v>1258</v>
      </c>
      <c r="W728" s="269"/>
      <c r="X728" s="268" t="s">
        <v>1363</v>
      </c>
      <c r="Y728" s="267">
        <v>44671.351909722223</v>
      </c>
    </row>
    <row r="729" spans="1:25">
      <c r="A729" s="280" t="s">
        <v>100</v>
      </c>
      <c r="B729" s="279" t="s">
        <v>1385</v>
      </c>
      <c r="C729" s="278" t="s">
        <v>2850</v>
      </c>
      <c r="D729" s="277" t="s">
        <v>2851</v>
      </c>
      <c r="E729" s="276" t="s">
        <v>1419</v>
      </c>
      <c r="F729" s="277" t="s">
        <v>17</v>
      </c>
      <c r="G729" s="276" t="s">
        <v>208</v>
      </c>
      <c r="H729" s="275">
        <v>85</v>
      </c>
      <c r="I729" s="276">
        <v>4</v>
      </c>
      <c r="J729" s="275">
        <v>5.4</v>
      </c>
      <c r="K729" s="274">
        <v>340</v>
      </c>
      <c r="L729" s="275">
        <v>459.00000000000006</v>
      </c>
      <c r="M729" s="276" t="s">
        <v>2852</v>
      </c>
      <c r="N729" s="273"/>
      <c r="O729" s="276" t="s">
        <v>1285</v>
      </c>
      <c r="P729" s="277" t="s">
        <v>1407</v>
      </c>
      <c r="Q729" s="272"/>
      <c r="R729" s="271"/>
      <c r="S729" s="270"/>
      <c r="T729" s="277" t="s">
        <v>29</v>
      </c>
      <c r="U729" s="276" t="s">
        <v>17</v>
      </c>
      <c r="V729" s="277">
        <v>1500</v>
      </c>
      <c r="W729" s="269"/>
      <c r="X729" s="268" t="s">
        <v>1363</v>
      </c>
      <c r="Y729" s="267">
        <v>44672.474907407406</v>
      </c>
    </row>
    <row r="730" spans="1:25">
      <c r="A730" s="280" t="s">
        <v>46</v>
      </c>
      <c r="B730" s="279" t="s">
        <v>1320</v>
      </c>
      <c r="C730" s="278" t="s">
        <v>2853</v>
      </c>
      <c r="D730" s="277" t="s">
        <v>2854</v>
      </c>
      <c r="E730" s="276" t="s">
        <v>1429</v>
      </c>
      <c r="F730" s="277" t="s">
        <v>1388</v>
      </c>
      <c r="G730" s="276" t="s">
        <v>208</v>
      </c>
      <c r="H730" s="275">
        <v>1</v>
      </c>
      <c r="I730" s="276"/>
      <c r="J730" s="275">
        <v>2.2999999999999998</v>
      </c>
      <c r="K730" s="274"/>
      <c r="L730" s="275">
        <v>2.2999999999999998</v>
      </c>
      <c r="M730" s="276" t="s">
        <v>2475</v>
      </c>
      <c r="N730" s="273">
        <v>0</v>
      </c>
      <c r="O730" s="276" t="s">
        <v>55</v>
      </c>
      <c r="P730" s="277" t="s">
        <v>1362</v>
      </c>
      <c r="Q730" s="272"/>
      <c r="R730" s="271"/>
      <c r="S730" s="270"/>
      <c r="T730" s="277" t="s">
        <v>25</v>
      </c>
      <c r="U730" s="276" t="s">
        <v>1388</v>
      </c>
      <c r="V730" s="277">
        <v>1448</v>
      </c>
      <c r="W730" s="269"/>
      <c r="X730" s="268" t="s">
        <v>1400</v>
      </c>
      <c r="Y730" s="267">
        <v>44679.62709490741</v>
      </c>
    </row>
    <row r="731" spans="1:25">
      <c r="A731" s="280" t="s">
        <v>62</v>
      </c>
      <c r="B731" s="279" t="s">
        <v>1320</v>
      </c>
      <c r="C731" s="278" t="s">
        <v>2855</v>
      </c>
      <c r="D731" s="277" t="s">
        <v>1393</v>
      </c>
      <c r="E731" s="276" t="s">
        <v>1398</v>
      </c>
      <c r="F731" s="277" t="s">
        <v>1388</v>
      </c>
      <c r="G731" s="276" t="s">
        <v>208</v>
      </c>
      <c r="H731" s="275">
        <v>1</v>
      </c>
      <c r="I731" s="276"/>
      <c r="J731" s="275">
        <v>0.3</v>
      </c>
      <c r="K731" s="274"/>
      <c r="L731" s="275">
        <v>0.29949999999999999</v>
      </c>
      <c r="M731" s="276" t="s">
        <v>2856</v>
      </c>
      <c r="N731" s="273"/>
      <c r="O731" s="276" t="s">
        <v>55</v>
      </c>
      <c r="P731" s="277" t="s">
        <v>1362</v>
      </c>
      <c r="Q731" s="272"/>
      <c r="R731" s="271"/>
      <c r="S731" s="270"/>
      <c r="T731" s="277" t="s">
        <v>25</v>
      </c>
      <c r="U731" s="276" t="s">
        <v>1388</v>
      </c>
      <c r="V731" s="277">
        <v>74</v>
      </c>
      <c r="W731" s="269"/>
      <c r="X731" s="268" t="s">
        <v>208</v>
      </c>
      <c r="Y731" s="267">
        <v>43312</v>
      </c>
    </row>
    <row r="732" spans="1:25">
      <c r="A732" s="280" t="s">
        <v>100</v>
      </c>
      <c r="B732" s="279" t="s">
        <v>1320</v>
      </c>
      <c r="C732" s="278" t="s">
        <v>2857</v>
      </c>
      <c r="D732" s="277" t="s">
        <v>1393</v>
      </c>
      <c r="E732" s="276" t="s">
        <v>1539</v>
      </c>
      <c r="F732" s="277" t="s">
        <v>18</v>
      </c>
      <c r="G732" s="276" t="s">
        <v>208</v>
      </c>
      <c r="H732" s="275">
        <v>1</v>
      </c>
      <c r="I732" s="276"/>
      <c r="J732" s="275">
        <v>0.35499999999999998</v>
      </c>
      <c r="K732" s="274"/>
      <c r="L732" s="275">
        <v>0.35499999999999998</v>
      </c>
      <c r="M732" s="276" t="s">
        <v>2858</v>
      </c>
      <c r="N732" s="273"/>
      <c r="O732" s="276" t="s">
        <v>55</v>
      </c>
      <c r="P732" s="277" t="s">
        <v>1362</v>
      </c>
      <c r="Q732" s="272"/>
      <c r="R732" s="271"/>
      <c r="S732" s="270"/>
      <c r="T732" s="277" t="s">
        <v>25</v>
      </c>
      <c r="U732" s="276" t="s">
        <v>18</v>
      </c>
      <c r="V732" s="277">
        <v>7</v>
      </c>
      <c r="W732" s="269"/>
      <c r="X732" s="268" t="s">
        <v>208</v>
      </c>
      <c r="Y732" s="267">
        <v>43312</v>
      </c>
    </row>
    <row r="733" spans="1:25">
      <c r="A733" s="280" t="s">
        <v>62</v>
      </c>
      <c r="B733" s="279" t="s">
        <v>1385</v>
      </c>
      <c r="C733" s="278" t="s">
        <v>245</v>
      </c>
      <c r="D733" s="277" t="s">
        <v>246</v>
      </c>
      <c r="E733" s="276" t="s">
        <v>1429</v>
      </c>
      <c r="F733" s="277" t="s">
        <v>1388</v>
      </c>
      <c r="G733" s="276" t="s">
        <v>208</v>
      </c>
      <c r="H733" s="275">
        <v>36</v>
      </c>
      <c r="I733" s="276"/>
      <c r="J733" s="275">
        <v>2.75</v>
      </c>
      <c r="K733" s="274"/>
      <c r="L733" s="275">
        <v>99</v>
      </c>
      <c r="M733" s="276" t="s">
        <v>2859</v>
      </c>
      <c r="N733" s="273"/>
      <c r="O733" s="276" t="s">
        <v>27</v>
      </c>
      <c r="P733" s="277" t="s">
        <v>1407</v>
      </c>
      <c r="Q733" s="272" t="s">
        <v>1975</v>
      </c>
      <c r="R733" s="271" t="s">
        <v>1542</v>
      </c>
      <c r="S733" s="270"/>
      <c r="T733" s="277" t="s">
        <v>27</v>
      </c>
      <c r="U733" s="276" t="s">
        <v>1388</v>
      </c>
      <c r="V733" s="277">
        <v>1880</v>
      </c>
      <c r="W733" s="269"/>
      <c r="X733" s="268" t="s">
        <v>1453</v>
      </c>
      <c r="Y733" s="267">
        <v>44700.343275462961</v>
      </c>
    </row>
    <row r="734" spans="1:25" ht="22.5">
      <c r="A734" s="280" t="s">
        <v>62</v>
      </c>
      <c r="B734" s="279" t="s">
        <v>1385</v>
      </c>
      <c r="C734" s="278" t="s">
        <v>2860</v>
      </c>
      <c r="D734" s="277" t="s">
        <v>2861</v>
      </c>
      <c r="E734" s="276" t="s">
        <v>1596</v>
      </c>
      <c r="F734" s="277" t="s">
        <v>2862</v>
      </c>
      <c r="G734" s="276" t="s">
        <v>208</v>
      </c>
      <c r="H734" s="275">
        <v>1</v>
      </c>
      <c r="I734" s="276"/>
      <c r="J734" s="275">
        <v>7.6</v>
      </c>
      <c r="K734" s="274"/>
      <c r="L734" s="275">
        <v>7.6</v>
      </c>
      <c r="M734" s="276" t="s">
        <v>2863</v>
      </c>
      <c r="N734" s="273"/>
      <c r="O734" s="276" t="s">
        <v>1285</v>
      </c>
      <c r="P734" s="277" t="s">
        <v>1403</v>
      </c>
      <c r="Q734" s="272"/>
      <c r="R734" s="271"/>
      <c r="S734" s="270"/>
      <c r="T734" s="277" t="s">
        <v>29</v>
      </c>
      <c r="U734" s="276" t="s">
        <v>19</v>
      </c>
      <c r="V734" s="277">
        <v>1310</v>
      </c>
      <c r="W734" s="269"/>
      <c r="X734" s="268" t="s">
        <v>208</v>
      </c>
      <c r="Y734" s="267">
        <v>43769.416655092595</v>
      </c>
    </row>
    <row r="735" spans="1:25">
      <c r="A735" s="280" t="s">
        <v>62</v>
      </c>
      <c r="B735" s="279" t="s">
        <v>1385</v>
      </c>
      <c r="C735" s="278" t="s">
        <v>2864</v>
      </c>
      <c r="D735" s="277" t="s">
        <v>2865</v>
      </c>
      <c r="E735" s="276"/>
      <c r="F735" s="277" t="s">
        <v>17</v>
      </c>
      <c r="G735" s="276"/>
      <c r="H735" s="275"/>
      <c r="I735" s="276"/>
      <c r="J735" s="275"/>
      <c r="K735" s="274"/>
      <c r="L735" s="275">
        <v>342</v>
      </c>
      <c r="M735" s="276"/>
      <c r="N735" s="273"/>
      <c r="O735" s="276" t="s">
        <v>1285</v>
      </c>
      <c r="P735" s="277"/>
      <c r="Q735" s="272"/>
      <c r="R735" s="271" t="s">
        <v>208</v>
      </c>
      <c r="S735" s="270"/>
      <c r="T735" s="277" t="s">
        <v>29</v>
      </c>
      <c r="U735" s="276" t="s">
        <v>17</v>
      </c>
      <c r="V735" s="277" t="s">
        <v>208</v>
      </c>
      <c r="W735" s="269" t="s">
        <v>2866</v>
      </c>
      <c r="X735" s="268"/>
      <c r="Y735" s="267" t="s">
        <v>208</v>
      </c>
    </row>
    <row r="736" spans="1:25">
      <c r="A736" s="280" t="s">
        <v>100</v>
      </c>
      <c r="B736" s="279" t="s">
        <v>1320</v>
      </c>
      <c r="C736" s="278" t="s">
        <v>507</v>
      </c>
      <c r="D736" s="277" t="s">
        <v>508</v>
      </c>
      <c r="E736" s="276" t="s">
        <v>1419</v>
      </c>
      <c r="F736" s="277" t="s">
        <v>17</v>
      </c>
      <c r="G736" s="276" t="s">
        <v>509</v>
      </c>
      <c r="H736" s="275">
        <v>44</v>
      </c>
      <c r="I736" s="276"/>
      <c r="J736" s="275">
        <v>3.15</v>
      </c>
      <c r="K736" s="274"/>
      <c r="L736" s="275">
        <v>138.6</v>
      </c>
      <c r="M736" s="276" t="s">
        <v>2867</v>
      </c>
      <c r="N736" s="273"/>
      <c r="O736" s="276" t="s">
        <v>55</v>
      </c>
      <c r="P736" s="277" t="s">
        <v>1407</v>
      </c>
      <c r="Q736" s="272"/>
      <c r="R736" s="271" t="s">
        <v>1769</v>
      </c>
      <c r="S736" s="270"/>
      <c r="T736" s="277" t="s">
        <v>25</v>
      </c>
      <c r="U736" s="276" t="s">
        <v>17</v>
      </c>
      <c r="V736" s="277">
        <v>1141</v>
      </c>
      <c r="W736" s="269"/>
      <c r="X736" s="268" t="s">
        <v>1363</v>
      </c>
      <c r="Y736" s="267">
        <v>44658.636319444442</v>
      </c>
    </row>
    <row r="737" spans="1:25">
      <c r="A737" s="280" t="s">
        <v>100</v>
      </c>
      <c r="B737" s="279" t="s">
        <v>1320</v>
      </c>
      <c r="C737" s="278" t="s">
        <v>1069</v>
      </c>
      <c r="D737" s="277" t="s">
        <v>2868</v>
      </c>
      <c r="E737" s="276" t="s">
        <v>1419</v>
      </c>
      <c r="F737" s="277" t="s">
        <v>17</v>
      </c>
      <c r="G737" s="276" t="s">
        <v>2869</v>
      </c>
      <c r="H737" s="275">
        <v>64</v>
      </c>
      <c r="I737" s="276"/>
      <c r="J737" s="275">
        <v>2.0499999999999998</v>
      </c>
      <c r="K737" s="274"/>
      <c r="L737" s="275">
        <v>131.19999999999999</v>
      </c>
      <c r="M737" s="276" t="s">
        <v>2870</v>
      </c>
      <c r="N737" s="273"/>
      <c r="O737" s="276" t="s">
        <v>55</v>
      </c>
      <c r="P737" s="277" t="s">
        <v>1407</v>
      </c>
      <c r="Q737" s="272"/>
      <c r="R737" s="271" t="s">
        <v>1769</v>
      </c>
      <c r="S737" s="270"/>
      <c r="T737" s="277" t="s">
        <v>25</v>
      </c>
      <c r="U737" s="276" t="s">
        <v>17</v>
      </c>
      <c r="V737" s="277">
        <v>1142</v>
      </c>
      <c r="W737" s="269"/>
      <c r="X737" s="268" t="s">
        <v>1363</v>
      </c>
      <c r="Y737" s="267">
        <v>44670.464722222219</v>
      </c>
    </row>
    <row r="738" spans="1:25">
      <c r="A738" s="280" t="s">
        <v>80</v>
      </c>
      <c r="B738" s="279" t="s">
        <v>1320</v>
      </c>
      <c r="C738" s="278" t="s">
        <v>2871</v>
      </c>
      <c r="D738" s="277" t="s">
        <v>2872</v>
      </c>
      <c r="E738" s="276" t="s">
        <v>1419</v>
      </c>
      <c r="F738" s="277" t="s">
        <v>17</v>
      </c>
      <c r="G738" s="276" t="s">
        <v>2873</v>
      </c>
      <c r="H738" s="275">
        <v>35</v>
      </c>
      <c r="I738" s="276"/>
      <c r="J738" s="275">
        <v>2.0649999999999999</v>
      </c>
      <c r="K738" s="274"/>
      <c r="L738" s="275">
        <v>72.274999999999991</v>
      </c>
      <c r="M738" s="276" t="s">
        <v>2874</v>
      </c>
      <c r="N738" s="273"/>
      <c r="O738" s="276" t="s">
        <v>55</v>
      </c>
      <c r="P738" s="277" t="s">
        <v>1362</v>
      </c>
      <c r="Q738" s="272"/>
      <c r="R738" s="271" t="s">
        <v>1837</v>
      </c>
      <c r="S738" s="270"/>
      <c r="T738" s="277" t="s">
        <v>25</v>
      </c>
      <c r="U738" s="276" t="s">
        <v>17</v>
      </c>
      <c r="V738" s="277">
        <v>1143</v>
      </c>
      <c r="W738" s="269"/>
      <c r="X738" s="268" t="s">
        <v>1363</v>
      </c>
      <c r="Y738" s="267">
        <v>44670.465636574074</v>
      </c>
    </row>
    <row r="739" spans="1:25">
      <c r="A739" s="280" t="s">
        <v>46</v>
      </c>
      <c r="B739" s="279" t="s">
        <v>1320</v>
      </c>
      <c r="C739" s="278" t="s">
        <v>371</v>
      </c>
      <c r="D739" s="277" t="s">
        <v>372</v>
      </c>
      <c r="E739" s="276" t="s">
        <v>1596</v>
      </c>
      <c r="F739" s="277" t="s">
        <v>1597</v>
      </c>
      <c r="G739" s="276" t="s">
        <v>373</v>
      </c>
      <c r="H739" s="275">
        <v>1</v>
      </c>
      <c r="I739" s="276"/>
      <c r="J739" s="275">
        <v>730</v>
      </c>
      <c r="K739" s="274"/>
      <c r="L739" s="275">
        <v>730</v>
      </c>
      <c r="M739" s="276" t="s">
        <v>2875</v>
      </c>
      <c r="N739" s="273"/>
      <c r="O739" s="276" t="s">
        <v>55</v>
      </c>
      <c r="P739" s="277" t="s">
        <v>1403</v>
      </c>
      <c r="Q739" s="272"/>
      <c r="R739" s="271" t="s">
        <v>1511</v>
      </c>
      <c r="S739" s="270"/>
      <c r="T739" s="277" t="s">
        <v>25</v>
      </c>
      <c r="U739" s="276" t="s">
        <v>12</v>
      </c>
      <c r="V739" s="277">
        <v>1144</v>
      </c>
      <c r="W739" s="269"/>
      <c r="X739" s="268" t="s">
        <v>1363</v>
      </c>
      <c r="Y739" s="267">
        <v>44746.490891203706</v>
      </c>
    </row>
    <row r="740" spans="1:25">
      <c r="A740" s="280" t="s">
        <v>46</v>
      </c>
      <c r="B740" s="279" t="s">
        <v>1320</v>
      </c>
      <c r="C740" s="278" t="s">
        <v>371</v>
      </c>
      <c r="D740" s="277" t="s">
        <v>372</v>
      </c>
      <c r="E740" s="276" t="s">
        <v>1596</v>
      </c>
      <c r="F740" s="277" t="s">
        <v>1597</v>
      </c>
      <c r="G740" s="276" t="s">
        <v>2876</v>
      </c>
      <c r="H740" s="275">
        <v>1</v>
      </c>
      <c r="I740" s="276"/>
      <c r="J740" s="275">
        <v>660</v>
      </c>
      <c r="K740" s="274"/>
      <c r="L740" s="275">
        <v>660</v>
      </c>
      <c r="M740" s="276" t="s">
        <v>1599</v>
      </c>
      <c r="N740" s="273"/>
      <c r="O740" s="276" t="s">
        <v>55</v>
      </c>
      <c r="P740" s="277" t="s">
        <v>1403</v>
      </c>
      <c r="Q740" s="272"/>
      <c r="R740" s="271" t="s">
        <v>1511</v>
      </c>
      <c r="S740" s="270"/>
      <c r="T740" s="277" t="s">
        <v>25</v>
      </c>
      <c r="U740" s="276" t="s">
        <v>12</v>
      </c>
      <c r="V740" s="277">
        <v>1144</v>
      </c>
      <c r="W740" s="269"/>
      <c r="X740" s="268" t="s">
        <v>1363</v>
      </c>
      <c r="Y740" s="267">
        <v>44746.490891203706</v>
      </c>
    </row>
    <row r="741" spans="1:25" ht="22.5">
      <c r="A741" s="280" t="s">
        <v>62</v>
      </c>
      <c r="B741" s="279" t="s">
        <v>1385</v>
      </c>
      <c r="C741" s="278" t="s">
        <v>2877</v>
      </c>
      <c r="D741" s="277" t="s">
        <v>2878</v>
      </c>
      <c r="E741" s="276"/>
      <c r="F741" s="277" t="s">
        <v>18</v>
      </c>
      <c r="G741" s="276"/>
      <c r="H741" s="275"/>
      <c r="I741" s="276"/>
      <c r="J741" s="275"/>
      <c r="K741" s="274"/>
      <c r="L741" s="275">
        <v>1000</v>
      </c>
      <c r="M741" s="276"/>
      <c r="N741" s="273"/>
      <c r="O741" s="276" t="s">
        <v>1285</v>
      </c>
      <c r="P741" s="277"/>
      <c r="Q741" s="272"/>
      <c r="R741" s="271" t="s">
        <v>208</v>
      </c>
      <c r="S741" s="270"/>
      <c r="T741" s="277" t="s">
        <v>29</v>
      </c>
      <c r="U741" s="276" t="s">
        <v>18</v>
      </c>
      <c r="V741" s="277" t="s">
        <v>208</v>
      </c>
      <c r="W741" s="269" t="s">
        <v>2879</v>
      </c>
      <c r="X741" s="268"/>
      <c r="Y741" s="267" t="s">
        <v>208</v>
      </c>
    </row>
    <row r="742" spans="1:25">
      <c r="A742" s="280" t="s">
        <v>62</v>
      </c>
      <c r="B742" s="279" t="s">
        <v>1320</v>
      </c>
      <c r="C742" s="278" t="s">
        <v>2880</v>
      </c>
      <c r="D742" s="277" t="s">
        <v>2881</v>
      </c>
      <c r="E742" s="276" t="s">
        <v>1493</v>
      </c>
      <c r="F742" s="277" t="s">
        <v>1431</v>
      </c>
      <c r="G742" s="276" t="s">
        <v>2882</v>
      </c>
      <c r="H742" s="275">
        <v>1</v>
      </c>
      <c r="I742" s="276"/>
      <c r="J742" s="275">
        <v>146</v>
      </c>
      <c r="K742" s="274"/>
      <c r="L742" s="275">
        <v>146</v>
      </c>
      <c r="M742" s="276" t="s">
        <v>2883</v>
      </c>
      <c r="N742" s="273"/>
      <c r="O742" s="276" t="s">
        <v>55</v>
      </c>
      <c r="P742" s="277" t="s">
        <v>1403</v>
      </c>
      <c r="Q742" s="272"/>
      <c r="R742" s="271" t="s">
        <v>1521</v>
      </c>
      <c r="S742" s="270"/>
      <c r="T742" s="277" t="s">
        <v>25</v>
      </c>
      <c r="U742" s="276" t="s">
        <v>14</v>
      </c>
      <c r="V742" s="277">
        <v>1145</v>
      </c>
      <c r="W742" s="269"/>
      <c r="X742" s="268" t="s">
        <v>1363</v>
      </c>
      <c r="Y742" s="267">
        <v>44670.468958333331</v>
      </c>
    </row>
    <row r="743" spans="1:25">
      <c r="A743" s="280" t="s">
        <v>62</v>
      </c>
      <c r="B743" s="279" t="s">
        <v>1320</v>
      </c>
      <c r="C743" s="278" t="s">
        <v>2880</v>
      </c>
      <c r="D743" s="277" t="s">
        <v>2881</v>
      </c>
      <c r="E743" s="276" t="s">
        <v>1493</v>
      </c>
      <c r="F743" s="277" t="s">
        <v>1431</v>
      </c>
      <c r="G743" s="276" t="s">
        <v>2884</v>
      </c>
      <c r="H743" s="275">
        <v>1</v>
      </c>
      <c r="I743" s="276"/>
      <c r="J743" s="275">
        <v>146</v>
      </c>
      <c r="K743" s="274"/>
      <c r="L743" s="275">
        <v>146</v>
      </c>
      <c r="M743" s="276" t="s">
        <v>2883</v>
      </c>
      <c r="N743" s="273"/>
      <c r="O743" s="276" t="s">
        <v>55</v>
      </c>
      <c r="P743" s="277" t="s">
        <v>1403</v>
      </c>
      <c r="Q743" s="272"/>
      <c r="R743" s="271" t="s">
        <v>1521</v>
      </c>
      <c r="S743" s="270"/>
      <c r="T743" s="277" t="s">
        <v>25</v>
      </c>
      <c r="U743" s="276" t="s">
        <v>14</v>
      </c>
      <c r="V743" s="277">
        <v>1145</v>
      </c>
      <c r="W743" s="269"/>
      <c r="X743" s="268" t="s">
        <v>1363</v>
      </c>
      <c r="Y743" s="267">
        <v>44670.468958333331</v>
      </c>
    </row>
    <row r="744" spans="1:25">
      <c r="A744" s="280" t="s">
        <v>62</v>
      </c>
      <c r="B744" s="279" t="s">
        <v>1320</v>
      </c>
      <c r="C744" s="278" t="s">
        <v>2880</v>
      </c>
      <c r="D744" s="277" t="s">
        <v>2881</v>
      </c>
      <c r="E744" s="276" t="s">
        <v>1493</v>
      </c>
      <c r="F744" s="277" t="s">
        <v>1431</v>
      </c>
      <c r="G744" s="276" t="s">
        <v>2885</v>
      </c>
      <c r="H744" s="275">
        <v>1</v>
      </c>
      <c r="I744" s="276"/>
      <c r="J744" s="275">
        <v>131.5</v>
      </c>
      <c r="K744" s="274"/>
      <c r="L744" s="275">
        <v>131.5</v>
      </c>
      <c r="M744" s="276" t="s">
        <v>2886</v>
      </c>
      <c r="N744" s="273"/>
      <c r="O744" s="276" t="s">
        <v>55</v>
      </c>
      <c r="P744" s="277" t="s">
        <v>1403</v>
      </c>
      <c r="Q744" s="272"/>
      <c r="R744" s="271" t="s">
        <v>1558</v>
      </c>
      <c r="S744" s="270"/>
      <c r="T744" s="277" t="s">
        <v>25</v>
      </c>
      <c r="U744" s="276" t="s">
        <v>14</v>
      </c>
      <c r="V744" s="277">
        <v>1145</v>
      </c>
      <c r="W744" s="269"/>
      <c r="X744" s="268" t="s">
        <v>1363</v>
      </c>
      <c r="Y744" s="267">
        <v>44670.468958333331</v>
      </c>
    </row>
    <row r="745" spans="1:25">
      <c r="A745" s="280" t="s">
        <v>46</v>
      </c>
      <c r="B745" s="279" t="s">
        <v>1320</v>
      </c>
      <c r="C745" s="278" t="s">
        <v>861</v>
      </c>
      <c r="D745" s="277" t="s">
        <v>2887</v>
      </c>
      <c r="E745" s="276" t="s">
        <v>1398</v>
      </c>
      <c r="F745" s="277" t="s">
        <v>1388</v>
      </c>
      <c r="G745" s="276" t="s">
        <v>2888</v>
      </c>
      <c r="H745" s="275">
        <v>20</v>
      </c>
      <c r="I745" s="276"/>
      <c r="J745" s="275">
        <v>0.68</v>
      </c>
      <c r="K745" s="274"/>
      <c r="L745" s="275">
        <v>13.600000000000001</v>
      </c>
      <c r="M745" s="276" t="s">
        <v>2889</v>
      </c>
      <c r="N745" s="273"/>
      <c r="O745" s="276" t="s">
        <v>55</v>
      </c>
      <c r="P745" s="277" t="s">
        <v>1362</v>
      </c>
      <c r="Q745" s="272"/>
      <c r="R745" s="271"/>
      <c r="S745" s="270"/>
      <c r="T745" s="277" t="s">
        <v>25</v>
      </c>
      <c r="U745" s="276" t="s">
        <v>1388</v>
      </c>
      <c r="V745" s="277">
        <v>1335</v>
      </c>
      <c r="W745" s="269"/>
      <c r="X745" s="268" t="s">
        <v>1400</v>
      </c>
      <c r="Y745" s="267">
        <v>43769.416655092595</v>
      </c>
    </row>
    <row r="746" spans="1:25">
      <c r="A746" s="280" t="s">
        <v>62</v>
      </c>
      <c r="B746" s="279" t="s">
        <v>1320</v>
      </c>
      <c r="C746" s="278" t="s">
        <v>2890</v>
      </c>
      <c r="D746" s="277" t="s">
        <v>516</v>
      </c>
      <c r="E746" s="276" t="s">
        <v>1822</v>
      </c>
      <c r="F746" s="277" t="s">
        <v>1856</v>
      </c>
      <c r="G746" s="276" t="s">
        <v>208</v>
      </c>
      <c r="H746" s="275">
        <v>1</v>
      </c>
      <c r="I746" s="276"/>
      <c r="J746" s="275">
        <v>9</v>
      </c>
      <c r="K746" s="274"/>
      <c r="L746" s="275">
        <v>9</v>
      </c>
      <c r="M746" s="276" t="s">
        <v>2466</v>
      </c>
      <c r="N746" s="273">
        <v>0</v>
      </c>
      <c r="O746" s="276" t="s">
        <v>55</v>
      </c>
      <c r="P746" s="277" t="s">
        <v>1362</v>
      </c>
      <c r="Q746" s="272"/>
      <c r="R746" s="271"/>
      <c r="S746" s="270"/>
      <c r="T746" s="277" t="s">
        <v>25</v>
      </c>
      <c r="U746" s="276" t="s">
        <v>19</v>
      </c>
      <c r="V746" s="277">
        <v>1306</v>
      </c>
      <c r="W746" s="269"/>
      <c r="X746" s="268" t="s">
        <v>1400</v>
      </c>
      <c r="Y746" s="267">
        <v>44679.644305555557</v>
      </c>
    </row>
    <row r="747" spans="1:25">
      <c r="A747" s="280" t="s">
        <v>46</v>
      </c>
      <c r="B747" s="279" t="s">
        <v>1385</v>
      </c>
      <c r="C747" s="278" t="s">
        <v>2891</v>
      </c>
      <c r="D747" s="277" t="s">
        <v>2892</v>
      </c>
      <c r="E747" s="276" t="s">
        <v>1429</v>
      </c>
      <c r="F747" s="277" t="s">
        <v>1388</v>
      </c>
      <c r="G747" s="276" t="s">
        <v>208</v>
      </c>
      <c r="H747" s="275">
        <v>1</v>
      </c>
      <c r="I747" s="276"/>
      <c r="J747" s="275">
        <v>80</v>
      </c>
      <c r="K747" s="274"/>
      <c r="L747" s="275">
        <v>80</v>
      </c>
      <c r="M747" s="276">
        <v>80</v>
      </c>
      <c r="N747" s="273"/>
      <c r="O747" s="276" t="s">
        <v>1285</v>
      </c>
      <c r="P747" s="277" t="s">
        <v>1407</v>
      </c>
      <c r="Q747" s="272"/>
      <c r="R747" s="271"/>
      <c r="S747" s="270"/>
      <c r="T747" s="277" t="s">
        <v>29</v>
      </c>
      <c r="U747" s="276" t="s">
        <v>1388</v>
      </c>
      <c r="V747" s="277">
        <v>1998</v>
      </c>
      <c r="W747" s="269"/>
      <c r="X747" s="268" t="s">
        <v>1453</v>
      </c>
      <c r="Y747" s="267">
        <v>44746.504062499997</v>
      </c>
    </row>
    <row r="748" spans="1:25">
      <c r="A748" s="280" t="s">
        <v>46</v>
      </c>
      <c r="B748" s="279" t="s">
        <v>1385</v>
      </c>
      <c r="C748" s="278" t="s">
        <v>2893</v>
      </c>
      <c r="D748" s="277" t="s">
        <v>1734</v>
      </c>
      <c r="E748" s="276" t="s">
        <v>1398</v>
      </c>
      <c r="F748" s="277" t="s">
        <v>1388</v>
      </c>
      <c r="G748" s="276" t="s">
        <v>208</v>
      </c>
      <c r="H748" s="275">
        <v>1</v>
      </c>
      <c r="I748" s="276"/>
      <c r="J748" s="275">
        <v>100</v>
      </c>
      <c r="K748" s="274"/>
      <c r="L748" s="275">
        <v>100</v>
      </c>
      <c r="M748" s="276" t="s">
        <v>1546</v>
      </c>
      <c r="N748" s="273"/>
      <c r="O748" s="276" t="s">
        <v>1285</v>
      </c>
      <c r="P748" s="277" t="s">
        <v>1407</v>
      </c>
      <c r="Q748" s="272"/>
      <c r="R748" s="271"/>
      <c r="S748" s="270"/>
      <c r="T748" s="277" t="s">
        <v>29</v>
      </c>
      <c r="U748" s="276" t="s">
        <v>1388</v>
      </c>
      <c r="V748" s="277">
        <v>1596</v>
      </c>
      <c r="W748" s="269"/>
      <c r="X748" s="268" t="s">
        <v>208</v>
      </c>
      <c r="Y748" s="267">
        <v>43769.416655092595</v>
      </c>
    </row>
    <row r="749" spans="1:25">
      <c r="A749" s="280" t="s">
        <v>46</v>
      </c>
      <c r="B749" s="279" t="s">
        <v>1385</v>
      </c>
      <c r="C749" s="278" t="s">
        <v>3995</v>
      </c>
      <c r="D749" s="277" t="s">
        <v>1676</v>
      </c>
      <c r="E749" s="276"/>
      <c r="F749" s="277" t="s">
        <v>1529</v>
      </c>
      <c r="G749" s="276"/>
      <c r="H749" s="275">
        <v>246</v>
      </c>
      <c r="I749" s="276"/>
      <c r="J749" s="275">
        <v>4.5999999999999996</v>
      </c>
      <c r="K749" s="274"/>
      <c r="L749" s="275">
        <v>1131.5999999999999</v>
      </c>
      <c r="M749" s="276">
        <v>1131.5999999999999</v>
      </c>
      <c r="N749" s="273"/>
      <c r="O749" s="276" t="s">
        <v>1285</v>
      </c>
      <c r="P749" s="277"/>
      <c r="Q749" s="272"/>
      <c r="R749" s="271"/>
      <c r="S749" s="270"/>
      <c r="T749" s="277" t="s">
        <v>29</v>
      </c>
      <c r="U749" s="276" t="s">
        <v>20</v>
      </c>
      <c r="V749" s="277"/>
      <c r="W749" s="269" t="s">
        <v>4030</v>
      </c>
      <c r="X749" s="268"/>
      <c r="Y749" s="267"/>
    </row>
    <row r="750" spans="1:25">
      <c r="A750" s="280" t="s">
        <v>62</v>
      </c>
      <c r="B750" s="279" t="s">
        <v>1385</v>
      </c>
      <c r="C750" s="278" t="s">
        <v>248</v>
      </c>
      <c r="D750" s="277" t="s">
        <v>249</v>
      </c>
      <c r="E750" s="276" t="s">
        <v>1429</v>
      </c>
      <c r="F750" s="277" t="s">
        <v>1388</v>
      </c>
      <c r="G750" s="276" t="s">
        <v>208</v>
      </c>
      <c r="H750" s="275">
        <v>56</v>
      </c>
      <c r="I750" s="276"/>
      <c r="J750" s="275">
        <v>2.75</v>
      </c>
      <c r="K750" s="274"/>
      <c r="L750" s="275">
        <v>154</v>
      </c>
      <c r="M750" s="276" t="s">
        <v>2894</v>
      </c>
      <c r="N750" s="273">
        <v>0</v>
      </c>
      <c r="O750" s="276" t="s">
        <v>28</v>
      </c>
      <c r="P750" s="277" t="s">
        <v>1407</v>
      </c>
      <c r="Q750" s="272" t="s">
        <v>2895</v>
      </c>
      <c r="R750" s="271" t="s">
        <v>1700</v>
      </c>
      <c r="S750" s="270"/>
      <c r="T750" s="277" t="s">
        <v>28</v>
      </c>
      <c r="U750" s="276" t="s">
        <v>1388</v>
      </c>
      <c r="V750" s="277">
        <v>1905</v>
      </c>
      <c r="W750" s="269"/>
      <c r="X750" s="268" t="s">
        <v>1453</v>
      </c>
      <c r="Y750" s="267">
        <v>44679.628333333334</v>
      </c>
    </row>
    <row r="751" spans="1:25">
      <c r="A751" s="280" t="s">
        <v>100</v>
      </c>
      <c r="B751" s="279" t="s">
        <v>1385</v>
      </c>
      <c r="C751" s="278" t="s">
        <v>2896</v>
      </c>
      <c r="D751" s="277" t="s">
        <v>2047</v>
      </c>
      <c r="E751" s="276" t="s">
        <v>1398</v>
      </c>
      <c r="F751" s="277" t="s">
        <v>1388</v>
      </c>
      <c r="G751" s="276" t="s">
        <v>208</v>
      </c>
      <c r="H751" s="275">
        <v>1</v>
      </c>
      <c r="I751" s="276"/>
      <c r="J751" s="275">
        <v>200</v>
      </c>
      <c r="K751" s="274"/>
      <c r="L751" s="275">
        <v>200</v>
      </c>
      <c r="M751" s="276" t="s">
        <v>1615</v>
      </c>
      <c r="N751" s="273">
        <v>0</v>
      </c>
      <c r="O751" s="276" t="s">
        <v>1285</v>
      </c>
      <c r="P751" s="277" t="s">
        <v>1407</v>
      </c>
      <c r="Q751" s="272"/>
      <c r="R751" s="271"/>
      <c r="S751" s="270"/>
      <c r="T751" s="277" t="s">
        <v>29</v>
      </c>
      <c r="U751" s="276" t="s">
        <v>1388</v>
      </c>
      <c r="V751" s="277">
        <v>1655</v>
      </c>
      <c r="W751" s="269"/>
      <c r="X751" s="268" t="s">
        <v>1400</v>
      </c>
      <c r="Y751" s="267">
        <v>44679.629004629627</v>
      </c>
    </row>
    <row r="752" spans="1:25">
      <c r="A752" s="280" t="s">
        <v>100</v>
      </c>
      <c r="B752" s="279" t="s">
        <v>1320</v>
      </c>
      <c r="C752" s="278" t="s">
        <v>773</v>
      </c>
      <c r="D752" s="277" t="s">
        <v>429</v>
      </c>
      <c r="E752" s="276" t="s">
        <v>1419</v>
      </c>
      <c r="F752" s="277" t="s">
        <v>17</v>
      </c>
      <c r="G752" s="276" t="s">
        <v>2897</v>
      </c>
      <c r="H752" s="275">
        <v>61</v>
      </c>
      <c r="I752" s="276"/>
      <c r="J752" s="275">
        <v>3.7</v>
      </c>
      <c r="K752" s="274"/>
      <c r="L752" s="275">
        <v>225.70000000000002</v>
      </c>
      <c r="M752" s="276" t="s">
        <v>2898</v>
      </c>
      <c r="N752" s="273">
        <v>0</v>
      </c>
      <c r="O752" s="276" t="s">
        <v>55</v>
      </c>
      <c r="P752" s="277" t="s">
        <v>1407</v>
      </c>
      <c r="Q752" s="272"/>
      <c r="R752" s="271" t="s">
        <v>1547</v>
      </c>
      <c r="S752" s="270"/>
      <c r="T752" s="277" t="s">
        <v>25</v>
      </c>
      <c r="U752" s="276" t="s">
        <v>17</v>
      </c>
      <c r="V752" s="277">
        <v>1262</v>
      </c>
      <c r="W752" s="269"/>
      <c r="X752" s="268" t="s">
        <v>1404</v>
      </c>
      <c r="Y752" s="267">
        <v>44693.443055555559</v>
      </c>
    </row>
    <row r="753" spans="1:25">
      <c r="A753" s="280" t="s">
        <v>100</v>
      </c>
      <c r="B753" s="279" t="s">
        <v>1320</v>
      </c>
      <c r="C753" s="278" t="s">
        <v>428</v>
      </c>
      <c r="D753" s="277" t="s">
        <v>2899</v>
      </c>
      <c r="E753" s="276" t="s">
        <v>1419</v>
      </c>
      <c r="F753" s="277" t="s">
        <v>17</v>
      </c>
      <c r="G753" s="276" t="s">
        <v>2900</v>
      </c>
      <c r="H753" s="275">
        <v>38</v>
      </c>
      <c r="I753" s="276"/>
      <c r="J753" s="275">
        <v>5.5</v>
      </c>
      <c r="K753" s="274"/>
      <c r="L753" s="275">
        <v>209</v>
      </c>
      <c r="M753" s="276" t="s">
        <v>2901</v>
      </c>
      <c r="N753" s="273"/>
      <c r="O753" s="276" t="s">
        <v>27</v>
      </c>
      <c r="P753" s="277" t="s">
        <v>1407</v>
      </c>
      <c r="Q753" s="272" t="s">
        <v>1409</v>
      </c>
      <c r="R753" s="271" t="s">
        <v>1474</v>
      </c>
      <c r="S753" s="270"/>
      <c r="T753" s="277" t="s">
        <v>25</v>
      </c>
      <c r="U753" s="276" t="s">
        <v>17</v>
      </c>
      <c r="V753" s="277">
        <v>1506</v>
      </c>
      <c r="W753" s="269"/>
      <c r="X753" s="268" t="s">
        <v>1404</v>
      </c>
      <c r="Y753" s="267">
        <v>44693.449166666665</v>
      </c>
    </row>
    <row r="754" spans="1:25">
      <c r="A754" s="280" t="s">
        <v>100</v>
      </c>
      <c r="B754" s="279" t="s">
        <v>1320</v>
      </c>
      <c r="C754" s="278" t="s">
        <v>2902</v>
      </c>
      <c r="D754" s="277" t="s">
        <v>558</v>
      </c>
      <c r="E754" s="276" t="s">
        <v>1539</v>
      </c>
      <c r="F754" s="277" t="s">
        <v>18</v>
      </c>
      <c r="G754" s="276" t="s">
        <v>2903</v>
      </c>
      <c r="H754" s="275">
        <v>10</v>
      </c>
      <c r="I754" s="276"/>
      <c r="J754" s="275">
        <v>95</v>
      </c>
      <c r="K754" s="274"/>
      <c r="L754" s="275">
        <v>950</v>
      </c>
      <c r="M754" s="276" t="s">
        <v>2904</v>
      </c>
      <c r="N754" s="273"/>
      <c r="O754" s="276" t="s">
        <v>55</v>
      </c>
      <c r="P754" s="277" t="s">
        <v>1403</v>
      </c>
      <c r="Q754" s="272"/>
      <c r="R754" s="271" t="s">
        <v>1434</v>
      </c>
      <c r="S754" s="270"/>
      <c r="T754" s="277" t="s">
        <v>25</v>
      </c>
      <c r="U754" s="276" t="s">
        <v>18</v>
      </c>
      <c r="V754" s="277">
        <v>1147</v>
      </c>
      <c r="W754" s="269"/>
      <c r="X754" s="268" t="s">
        <v>1363</v>
      </c>
      <c r="Y754" s="267">
        <v>44670.470069444447</v>
      </c>
    </row>
    <row r="755" spans="1:25">
      <c r="A755" s="280" t="s">
        <v>100</v>
      </c>
      <c r="B755" s="279" t="s">
        <v>1320</v>
      </c>
      <c r="C755" s="278" t="s">
        <v>2905</v>
      </c>
      <c r="D755" s="277" t="s">
        <v>558</v>
      </c>
      <c r="E755" s="276" t="s">
        <v>1539</v>
      </c>
      <c r="F755" s="277" t="s">
        <v>18</v>
      </c>
      <c r="G755" s="276" t="s">
        <v>2903</v>
      </c>
      <c r="H755" s="275">
        <v>4</v>
      </c>
      <c r="I755" s="276"/>
      <c r="J755" s="275">
        <v>138</v>
      </c>
      <c r="K755" s="274"/>
      <c r="L755" s="275">
        <v>552</v>
      </c>
      <c r="M755" s="276" t="s">
        <v>2906</v>
      </c>
      <c r="N755" s="273"/>
      <c r="O755" s="276" t="s">
        <v>55</v>
      </c>
      <c r="P755" s="277" t="s">
        <v>1403</v>
      </c>
      <c r="Q755" s="272"/>
      <c r="R755" s="271" t="s">
        <v>1434</v>
      </c>
      <c r="S755" s="270"/>
      <c r="T755" s="277" t="s">
        <v>25</v>
      </c>
      <c r="U755" s="276" t="s">
        <v>18</v>
      </c>
      <c r="V755" s="277">
        <v>1148</v>
      </c>
      <c r="W755" s="269"/>
      <c r="X755" s="268" t="s">
        <v>1363</v>
      </c>
      <c r="Y755" s="267">
        <v>44670.470983796295</v>
      </c>
    </row>
    <row r="756" spans="1:25" ht="22.5">
      <c r="A756" s="280" t="s">
        <v>80</v>
      </c>
      <c r="B756" s="279" t="s">
        <v>1320</v>
      </c>
      <c r="C756" s="278" t="s">
        <v>196</v>
      </c>
      <c r="D756" s="277" t="s">
        <v>82</v>
      </c>
      <c r="E756" s="276" t="s">
        <v>1429</v>
      </c>
      <c r="F756" s="277" t="s">
        <v>1388</v>
      </c>
      <c r="G756" s="276" t="s">
        <v>197</v>
      </c>
      <c r="H756" s="275">
        <v>6</v>
      </c>
      <c r="I756" s="276"/>
      <c r="J756" s="275">
        <v>2.29</v>
      </c>
      <c r="K756" s="274"/>
      <c r="L756" s="275">
        <v>13.74</v>
      </c>
      <c r="M756" s="276" t="s">
        <v>2907</v>
      </c>
      <c r="N756" s="273"/>
      <c r="O756" s="276" t="s">
        <v>27</v>
      </c>
      <c r="P756" s="277" t="s">
        <v>1407</v>
      </c>
      <c r="Q756" s="272" t="s">
        <v>1628</v>
      </c>
      <c r="R756" s="271" t="s">
        <v>1405</v>
      </c>
      <c r="S756" s="270"/>
      <c r="T756" s="277" t="s">
        <v>25</v>
      </c>
      <c r="U756" s="276" t="s">
        <v>1388</v>
      </c>
      <c r="V756" s="277">
        <v>1853</v>
      </c>
      <c r="W756" s="269"/>
      <c r="X756" s="268" t="s">
        <v>1363</v>
      </c>
      <c r="Y756" s="267">
        <v>44671.329525462963</v>
      </c>
    </row>
    <row r="757" spans="1:25" ht="22.5">
      <c r="A757" s="280" t="s">
        <v>80</v>
      </c>
      <c r="B757" s="279" t="s">
        <v>1385</v>
      </c>
      <c r="C757" s="278" t="s">
        <v>2908</v>
      </c>
      <c r="D757" s="277" t="s">
        <v>2909</v>
      </c>
      <c r="E757" s="276"/>
      <c r="F757" s="277" t="s">
        <v>1388</v>
      </c>
      <c r="G757" s="276"/>
      <c r="H757" s="275"/>
      <c r="I757" s="276"/>
      <c r="J757" s="275"/>
      <c r="K757" s="274"/>
      <c r="L757" s="275">
        <v>10.3</v>
      </c>
      <c r="M757" s="276"/>
      <c r="N757" s="273"/>
      <c r="O757" s="276" t="s">
        <v>1285</v>
      </c>
      <c r="P757" s="277"/>
      <c r="Q757" s="272"/>
      <c r="R757" s="271" t="s">
        <v>208</v>
      </c>
      <c r="S757" s="270"/>
      <c r="T757" s="277" t="s">
        <v>29</v>
      </c>
      <c r="U757" s="276" t="s">
        <v>1388</v>
      </c>
      <c r="V757" s="277" t="s">
        <v>208</v>
      </c>
      <c r="W757" s="269" t="s">
        <v>2910</v>
      </c>
      <c r="X757" s="268"/>
      <c r="Y757" s="267" t="s">
        <v>208</v>
      </c>
    </row>
    <row r="758" spans="1:25">
      <c r="A758" s="280" t="s">
        <v>95</v>
      </c>
      <c r="B758" s="279" t="s">
        <v>1320</v>
      </c>
      <c r="C758" s="278" t="s">
        <v>1130</v>
      </c>
      <c r="D758" s="277" t="s">
        <v>2911</v>
      </c>
      <c r="E758" s="276" t="s">
        <v>1419</v>
      </c>
      <c r="F758" s="277" t="s">
        <v>17</v>
      </c>
      <c r="G758" s="276" t="s">
        <v>2912</v>
      </c>
      <c r="H758" s="275">
        <v>56</v>
      </c>
      <c r="I758" s="276"/>
      <c r="J758" s="275">
        <v>3</v>
      </c>
      <c r="K758" s="274"/>
      <c r="L758" s="275">
        <v>168</v>
      </c>
      <c r="M758" s="276" t="s">
        <v>2118</v>
      </c>
      <c r="N758" s="273"/>
      <c r="O758" s="276" t="s">
        <v>55</v>
      </c>
      <c r="P758" s="277" t="s">
        <v>1407</v>
      </c>
      <c r="Q758" s="272"/>
      <c r="R758" s="271" t="s">
        <v>1532</v>
      </c>
      <c r="S758" s="270"/>
      <c r="T758" s="277" t="s">
        <v>25</v>
      </c>
      <c r="U758" s="276" t="s">
        <v>17</v>
      </c>
      <c r="V758" s="277">
        <v>1149</v>
      </c>
      <c r="W758" s="269"/>
      <c r="X758" s="268" t="s">
        <v>1363</v>
      </c>
      <c r="Y758" s="267">
        <v>44670.471759259257</v>
      </c>
    </row>
    <row r="759" spans="1:25">
      <c r="A759" s="280" t="s">
        <v>100</v>
      </c>
      <c r="B759" s="279" t="s">
        <v>1385</v>
      </c>
      <c r="C759" s="278" t="s">
        <v>2913</v>
      </c>
      <c r="D759" s="277" t="s">
        <v>2914</v>
      </c>
      <c r="E759" s="276" t="s">
        <v>1398</v>
      </c>
      <c r="F759" s="277" t="s">
        <v>1388</v>
      </c>
      <c r="G759" s="276" t="s">
        <v>208</v>
      </c>
      <c r="H759" s="275">
        <v>1</v>
      </c>
      <c r="I759" s="276"/>
      <c r="J759" s="275">
        <v>60</v>
      </c>
      <c r="K759" s="274"/>
      <c r="L759" s="275">
        <v>60</v>
      </c>
      <c r="M759" s="276" t="s">
        <v>1651</v>
      </c>
      <c r="N759" s="273"/>
      <c r="O759" s="276" t="s">
        <v>1285</v>
      </c>
      <c r="P759" s="277" t="s">
        <v>1407</v>
      </c>
      <c r="Q759" s="272"/>
      <c r="R759" s="271"/>
      <c r="S759" s="270"/>
      <c r="T759" s="277" t="s">
        <v>29</v>
      </c>
      <c r="U759" s="276" t="s">
        <v>1388</v>
      </c>
      <c r="V759" s="277">
        <v>126</v>
      </c>
      <c r="W759" s="269"/>
      <c r="X759" s="268" t="s">
        <v>208</v>
      </c>
      <c r="Y759" s="267">
        <v>43312</v>
      </c>
    </row>
    <row r="760" spans="1:25">
      <c r="A760" s="280" t="s">
        <v>100</v>
      </c>
      <c r="B760" s="279" t="s">
        <v>1385</v>
      </c>
      <c r="C760" s="278" t="s">
        <v>2915</v>
      </c>
      <c r="D760" s="277" t="s">
        <v>2916</v>
      </c>
      <c r="E760" s="276" t="s">
        <v>1419</v>
      </c>
      <c r="F760" s="277" t="s">
        <v>17</v>
      </c>
      <c r="G760" s="276" t="s">
        <v>208</v>
      </c>
      <c r="H760" s="275">
        <v>1</v>
      </c>
      <c r="I760" s="276"/>
      <c r="J760" s="275">
        <v>50</v>
      </c>
      <c r="K760" s="274"/>
      <c r="L760" s="275">
        <v>50</v>
      </c>
      <c r="M760" s="276" t="s">
        <v>1489</v>
      </c>
      <c r="N760" s="273"/>
      <c r="O760" s="276" t="s">
        <v>1285</v>
      </c>
      <c r="P760" s="277" t="s">
        <v>1407</v>
      </c>
      <c r="Q760" s="272"/>
      <c r="R760" s="271"/>
      <c r="S760" s="270"/>
      <c r="T760" s="277" t="s">
        <v>29</v>
      </c>
      <c r="U760" s="276" t="s">
        <v>17</v>
      </c>
      <c r="V760" s="277">
        <v>1467</v>
      </c>
      <c r="W760" s="269"/>
      <c r="X760" s="268" t="s">
        <v>1363</v>
      </c>
      <c r="Y760" s="267">
        <v>44671.451122685183</v>
      </c>
    </row>
    <row r="761" spans="1:25">
      <c r="A761" s="280" t="s">
        <v>46</v>
      </c>
      <c r="B761" s="279" t="s">
        <v>1385</v>
      </c>
      <c r="C761" s="278" t="s">
        <v>2917</v>
      </c>
      <c r="D761" s="277" t="s">
        <v>2918</v>
      </c>
      <c r="E761" s="276"/>
      <c r="F761" s="277" t="s">
        <v>1388</v>
      </c>
      <c r="G761" s="276"/>
      <c r="H761" s="275"/>
      <c r="I761" s="276"/>
      <c r="J761" s="275"/>
      <c r="K761" s="274"/>
      <c r="L761" s="275">
        <v>120</v>
      </c>
      <c r="M761" s="276"/>
      <c r="N761" s="273"/>
      <c r="O761" s="276" t="s">
        <v>1285</v>
      </c>
      <c r="P761" s="277"/>
      <c r="Q761" s="272"/>
      <c r="R761" s="271"/>
      <c r="S761" s="270"/>
      <c r="T761" s="277" t="s">
        <v>29</v>
      </c>
      <c r="U761" s="276" t="s">
        <v>1388</v>
      </c>
      <c r="V761" s="277" t="s">
        <v>208</v>
      </c>
      <c r="W761" s="269" t="s">
        <v>2919</v>
      </c>
      <c r="X761" s="268"/>
      <c r="Y761" s="267" t="s">
        <v>208</v>
      </c>
    </row>
    <row r="762" spans="1:25">
      <c r="A762" s="280" t="s">
        <v>46</v>
      </c>
      <c r="B762" s="279" t="s">
        <v>1385</v>
      </c>
      <c r="C762" s="278" t="s">
        <v>2920</v>
      </c>
      <c r="D762" s="277" t="s">
        <v>1867</v>
      </c>
      <c r="E762" s="276" t="s">
        <v>1429</v>
      </c>
      <c r="F762" s="277" t="s">
        <v>1388</v>
      </c>
      <c r="G762" s="276" t="s">
        <v>208</v>
      </c>
      <c r="H762" s="275">
        <v>1</v>
      </c>
      <c r="I762" s="276"/>
      <c r="J762" s="275">
        <v>50</v>
      </c>
      <c r="K762" s="274"/>
      <c r="L762" s="275">
        <v>50</v>
      </c>
      <c r="M762" s="276" t="s">
        <v>1489</v>
      </c>
      <c r="N762" s="273"/>
      <c r="O762" s="276" t="s">
        <v>1285</v>
      </c>
      <c r="P762" s="277" t="s">
        <v>1407</v>
      </c>
      <c r="Q762" s="272"/>
      <c r="R762" s="271"/>
      <c r="S762" s="270"/>
      <c r="T762" s="277" t="s">
        <v>29</v>
      </c>
      <c r="U762" s="276" t="s">
        <v>1388</v>
      </c>
      <c r="V762" s="277">
        <v>1656</v>
      </c>
      <c r="W762" s="269"/>
      <c r="X762" s="268" t="s">
        <v>1400</v>
      </c>
      <c r="Y762" s="267">
        <v>43769.416655092595</v>
      </c>
    </row>
    <row r="763" spans="1:25">
      <c r="A763" s="280" t="s">
        <v>46</v>
      </c>
      <c r="B763" s="279" t="s">
        <v>1320</v>
      </c>
      <c r="C763" s="278" t="s">
        <v>2921</v>
      </c>
      <c r="D763" s="277" t="s">
        <v>2922</v>
      </c>
      <c r="E763" s="276" t="s">
        <v>1429</v>
      </c>
      <c r="F763" s="277" t="s">
        <v>1388</v>
      </c>
      <c r="G763" s="276" t="s">
        <v>2923</v>
      </c>
      <c r="H763" s="275">
        <v>1</v>
      </c>
      <c r="I763" s="276"/>
      <c r="J763" s="275">
        <v>10</v>
      </c>
      <c r="K763" s="274"/>
      <c r="L763" s="275">
        <v>10</v>
      </c>
      <c r="M763" s="276" t="s">
        <v>1543</v>
      </c>
      <c r="N763" s="273"/>
      <c r="O763" s="276" t="s">
        <v>55</v>
      </c>
      <c r="P763" s="277" t="s">
        <v>1362</v>
      </c>
      <c r="Q763" s="272"/>
      <c r="R763" s="271" t="s">
        <v>1484</v>
      </c>
      <c r="S763" s="270"/>
      <c r="T763" s="277" t="s">
        <v>25</v>
      </c>
      <c r="U763" s="276" t="s">
        <v>1388</v>
      </c>
      <c r="V763" s="277">
        <v>1380</v>
      </c>
      <c r="W763" s="269"/>
      <c r="X763" s="268" t="s">
        <v>1363</v>
      </c>
      <c r="Y763" s="267">
        <v>44671.428530092591</v>
      </c>
    </row>
    <row r="764" spans="1:25">
      <c r="A764" s="280" t="s">
        <v>100</v>
      </c>
      <c r="B764" s="279" t="s">
        <v>1385</v>
      </c>
      <c r="C764" s="278" t="s">
        <v>2924</v>
      </c>
      <c r="D764" s="277" t="s">
        <v>2925</v>
      </c>
      <c r="E764" s="276"/>
      <c r="F764" s="277" t="s">
        <v>17</v>
      </c>
      <c r="G764" s="276"/>
      <c r="H764" s="275"/>
      <c r="I764" s="276"/>
      <c r="J764" s="275"/>
      <c r="K764" s="274"/>
      <c r="L764" s="275">
        <v>526</v>
      </c>
      <c r="M764" s="276"/>
      <c r="N764" s="273"/>
      <c r="O764" s="276" t="s">
        <v>1285</v>
      </c>
      <c r="P764" s="277"/>
      <c r="Q764" s="272"/>
      <c r="R764" s="271" t="s">
        <v>208</v>
      </c>
      <c r="S764" s="270"/>
      <c r="T764" s="277" t="s">
        <v>29</v>
      </c>
      <c r="U764" s="276" t="s">
        <v>17</v>
      </c>
      <c r="V764" s="277" t="s">
        <v>208</v>
      </c>
      <c r="W764" s="269" t="s">
        <v>2926</v>
      </c>
      <c r="X764" s="268"/>
      <c r="Y764" s="267" t="s">
        <v>208</v>
      </c>
    </row>
    <row r="765" spans="1:25">
      <c r="A765" s="280" t="s">
        <v>80</v>
      </c>
      <c r="B765" s="279" t="s">
        <v>1320</v>
      </c>
      <c r="C765" s="278" t="s">
        <v>2927</v>
      </c>
      <c r="D765" s="277" t="s">
        <v>2928</v>
      </c>
      <c r="E765" s="276" t="s">
        <v>2929</v>
      </c>
      <c r="F765" s="277" t="s">
        <v>21</v>
      </c>
      <c r="G765" s="276" t="s">
        <v>208</v>
      </c>
      <c r="H765" s="275">
        <v>1</v>
      </c>
      <c r="I765" s="276"/>
      <c r="J765" s="275">
        <v>2.3929999999999998</v>
      </c>
      <c r="K765" s="274"/>
      <c r="L765" s="275">
        <v>2.3929999999999998</v>
      </c>
      <c r="M765" s="276" t="s">
        <v>2930</v>
      </c>
      <c r="N765" s="273"/>
      <c r="O765" s="276" t="s">
        <v>55</v>
      </c>
      <c r="P765" s="277" t="s">
        <v>1362</v>
      </c>
      <c r="Q765" s="272"/>
      <c r="R765" s="271"/>
      <c r="S765" s="270"/>
      <c r="T765" s="277" t="s">
        <v>25</v>
      </c>
      <c r="U765" s="276" t="s">
        <v>21</v>
      </c>
      <c r="V765" s="277">
        <v>29</v>
      </c>
      <c r="W765" s="269"/>
      <c r="X765" s="268" t="s">
        <v>208</v>
      </c>
      <c r="Y765" s="267">
        <v>43312</v>
      </c>
    </row>
    <row r="766" spans="1:25">
      <c r="A766" s="280" t="s">
        <v>80</v>
      </c>
      <c r="B766" s="279" t="s">
        <v>1320</v>
      </c>
      <c r="C766" s="278" t="s">
        <v>2931</v>
      </c>
      <c r="D766" s="277" t="s">
        <v>2932</v>
      </c>
      <c r="E766" s="276" t="s">
        <v>1365</v>
      </c>
      <c r="F766" s="277" t="s">
        <v>1422</v>
      </c>
      <c r="G766" s="276" t="s">
        <v>208</v>
      </c>
      <c r="H766" s="275">
        <v>1</v>
      </c>
      <c r="I766" s="276"/>
      <c r="J766" s="275">
        <v>1.123</v>
      </c>
      <c r="K766" s="274"/>
      <c r="L766" s="275">
        <v>1.123</v>
      </c>
      <c r="M766" s="276" t="s">
        <v>1423</v>
      </c>
      <c r="N766" s="273"/>
      <c r="O766" s="276" t="s">
        <v>55</v>
      </c>
      <c r="P766" s="277" t="s">
        <v>1362</v>
      </c>
      <c r="Q766" s="272"/>
      <c r="R766" s="271" t="s">
        <v>1424</v>
      </c>
      <c r="S766" s="270"/>
      <c r="T766" s="277" t="s">
        <v>25</v>
      </c>
      <c r="U766" s="276" t="s">
        <v>21</v>
      </c>
      <c r="V766" s="277">
        <v>1544</v>
      </c>
      <c r="W766" s="269"/>
      <c r="X766" s="268" t="s">
        <v>1400</v>
      </c>
      <c r="Y766" s="267">
        <v>44685.504247685189</v>
      </c>
    </row>
    <row r="767" spans="1:25">
      <c r="A767" s="280" t="s">
        <v>80</v>
      </c>
      <c r="B767" s="279" t="s">
        <v>1320</v>
      </c>
      <c r="C767" s="278" t="s">
        <v>2931</v>
      </c>
      <c r="D767" s="277" t="s">
        <v>2932</v>
      </c>
      <c r="E767" s="276" t="s">
        <v>1398</v>
      </c>
      <c r="F767" s="277" t="s">
        <v>1388</v>
      </c>
      <c r="G767" s="276" t="s">
        <v>208</v>
      </c>
      <c r="H767" s="275">
        <v>46</v>
      </c>
      <c r="I767" s="276"/>
      <c r="J767" s="275">
        <v>2.5000000000000001E-2</v>
      </c>
      <c r="K767" s="274"/>
      <c r="L767" s="275">
        <v>1.1500000000000001</v>
      </c>
      <c r="M767" s="276" t="s">
        <v>1774</v>
      </c>
      <c r="N767" s="273"/>
      <c r="O767" s="276" t="s">
        <v>55</v>
      </c>
      <c r="P767" s="277" t="s">
        <v>1362</v>
      </c>
      <c r="Q767" s="272"/>
      <c r="R767" s="271" t="s">
        <v>1424</v>
      </c>
      <c r="S767" s="270"/>
      <c r="T767" s="277" t="s">
        <v>25</v>
      </c>
      <c r="U767" s="276" t="s">
        <v>1388</v>
      </c>
      <c r="V767" s="277">
        <v>1544</v>
      </c>
      <c r="W767" s="269"/>
      <c r="X767" s="268" t="s">
        <v>1400</v>
      </c>
      <c r="Y767" s="267">
        <v>44685.504247685189</v>
      </c>
    </row>
    <row r="768" spans="1:25">
      <c r="A768" s="280" t="s">
        <v>46</v>
      </c>
      <c r="B768" s="279" t="s">
        <v>1320</v>
      </c>
      <c r="C768" s="278" t="s">
        <v>390</v>
      </c>
      <c r="D768" s="277" t="s">
        <v>391</v>
      </c>
      <c r="E768" s="276" t="s">
        <v>1429</v>
      </c>
      <c r="F768" s="277" t="s">
        <v>1388</v>
      </c>
      <c r="G768" s="276" t="s">
        <v>392</v>
      </c>
      <c r="H768" s="275">
        <v>48</v>
      </c>
      <c r="I768" s="276"/>
      <c r="J768" s="275">
        <v>2.1800000000000002</v>
      </c>
      <c r="K768" s="274"/>
      <c r="L768" s="275">
        <v>104.64000000000001</v>
      </c>
      <c r="M768" s="276" t="s">
        <v>2933</v>
      </c>
      <c r="N768" s="273"/>
      <c r="O768" s="276" t="s">
        <v>55</v>
      </c>
      <c r="P768" s="277" t="s">
        <v>1407</v>
      </c>
      <c r="Q768" s="272"/>
      <c r="R768" s="271" t="s">
        <v>1547</v>
      </c>
      <c r="S768" s="270"/>
      <c r="T768" s="277" t="s">
        <v>25</v>
      </c>
      <c r="U768" s="276" t="s">
        <v>1388</v>
      </c>
      <c r="V768" s="277">
        <v>1414</v>
      </c>
      <c r="W768" s="269"/>
      <c r="X768" s="268" t="s">
        <v>1404</v>
      </c>
      <c r="Y768" s="267">
        <v>44698.368101851855</v>
      </c>
    </row>
    <row r="769" spans="1:25">
      <c r="A769" s="280" t="s">
        <v>46</v>
      </c>
      <c r="B769" s="279" t="s">
        <v>1385</v>
      </c>
      <c r="C769" s="278" t="s">
        <v>284</v>
      </c>
      <c r="D769" s="277" t="s">
        <v>2934</v>
      </c>
      <c r="E769" s="276" t="s">
        <v>1429</v>
      </c>
      <c r="F769" s="277" t="s">
        <v>1388</v>
      </c>
      <c r="G769" s="276" t="s">
        <v>208</v>
      </c>
      <c r="H769" s="275">
        <v>222</v>
      </c>
      <c r="I769" s="276"/>
      <c r="J769" s="275">
        <v>1.4410000000000001</v>
      </c>
      <c r="K769" s="274"/>
      <c r="L769" s="275">
        <v>319.90199999999999</v>
      </c>
      <c r="M769" s="276" t="s">
        <v>2935</v>
      </c>
      <c r="N769" s="273"/>
      <c r="O769" s="276" t="s">
        <v>1285</v>
      </c>
      <c r="P769" s="277" t="s">
        <v>1407</v>
      </c>
      <c r="Q769" s="272"/>
      <c r="R769" s="271"/>
      <c r="S769" s="270"/>
      <c r="T769" s="277" t="s">
        <v>29</v>
      </c>
      <c r="U769" s="276" t="s">
        <v>1388</v>
      </c>
      <c r="V769" s="277">
        <v>1854</v>
      </c>
      <c r="W769" s="269"/>
      <c r="X769" s="268" t="s">
        <v>1453</v>
      </c>
      <c r="Y769" s="267">
        <v>44743.648506944446</v>
      </c>
    </row>
    <row r="770" spans="1:25">
      <c r="A770" s="280" t="s">
        <v>46</v>
      </c>
      <c r="B770" s="279" t="s">
        <v>1385</v>
      </c>
      <c r="C770" s="278" t="s">
        <v>284</v>
      </c>
      <c r="D770" s="277" t="s">
        <v>2934</v>
      </c>
      <c r="E770" s="276" t="s">
        <v>1429</v>
      </c>
      <c r="F770" s="277" t="s">
        <v>1388</v>
      </c>
      <c r="G770" s="276" t="s">
        <v>208</v>
      </c>
      <c r="H770" s="275">
        <v>288</v>
      </c>
      <c r="I770" s="276"/>
      <c r="J770" s="275">
        <v>1.637</v>
      </c>
      <c r="K770" s="274"/>
      <c r="L770" s="275">
        <v>471.45600000000002</v>
      </c>
      <c r="M770" s="276" t="s">
        <v>2936</v>
      </c>
      <c r="N770" s="273"/>
      <c r="O770" s="276" t="s">
        <v>27</v>
      </c>
      <c r="P770" s="277" t="s">
        <v>1407</v>
      </c>
      <c r="Q770" s="272" t="s">
        <v>2937</v>
      </c>
      <c r="R770" s="271" t="s">
        <v>1474</v>
      </c>
      <c r="S770" s="270"/>
      <c r="T770" s="277" t="s">
        <v>27</v>
      </c>
      <c r="U770" s="276" t="s">
        <v>1388</v>
      </c>
      <c r="V770" s="277">
        <v>1854</v>
      </c>
      <c r="W770" s="269"/>
      <c r="X770" s="268" t="s">
        <v>1453</v>
      </c>
      <c r="Y770" s="267">
        <v>44743.648506944446</v>
      </c>
    </row>
    <row r="771" spans="1:25">
      <c r="A771" s="280" t="s">
        <v>46</v>
      </c>
      <c r="B771" s="279" t="s">
        <v>1385</v>
      </c>
      <c r="C771" s="278" t="s">
        <v>2938</v>
      </c>
      <c r="D771" s="277" t="s">
        <v>285</v>
      </c>
      <c r="E771" s="276" t="s">
        <v>1391</v>
      </c>
      <c r="F771" s="277" t="s">
        <v>21</v>
      </c>
      <c r="G771" s="276" t="s">
        <v>208</v>
      </c>
      <c r="H771" s="275">
        <v>1</v>
      </c>
      <c r="I771" s="276"/>
      <c r="J771" s="275">
        <v>50</v>
      </c>
      <c r="K771" s="274"/>
      <c r="L771" s="275">
        <v>50</v>
      </c>
      <c r="M771" s="276" t="s">
        <v>1489</v>
      </c>
      <c r="N771" s="273">
        <v>50</v>
      </c>
      <c r="O771" s="276" t="s">
        <v>1285</v>
      </c>
      <c r="P771" s="277" t="s">
        <v>1403</v>
      </c>
      <c r="Q771" s="272"/>
      <c r="R771" s="271"/>
      <c r="S771" s="270"/>
      <c r="T771" s="277" t="s">
        <v>29</v>
      </c>
      <c r="U771" s="276" t="s">
        <v>20</v>
      </c>
      <c r="V771" s="277">
        <v>1893</v>
      </c>
      <c r="W771" s="269" t="s">
        <v>4051</v>
      </c>
      <c r="X771" s="268" t="s">
        <v>1453</v>
      </c>
      <c r="Y771" s="267">
        <v>44747.400347222225</v>
      </c>
    </row>
    <row r="772" spans="1:25">
      <c r="A772" s="280" t="s">
        <v>46</v>
      </c>
      <c r="B772" s="279" t="s">
        <v>1385</v>
      </c>
      <c r="C772" s="278" t="s">
        <v>2939</v>
      </c>
      <c r="D772" s="277" t="s">
        <v>469</v>
      </c>
      <c r="E772" s="276" t="s">
        <v>1365</v>
      </c>
      <c r="F772" s="277" t="s">
        <v>2284</v>
      </c>
      <c r="G772" s="276" t="s">
        <v>208</v>
      </c>
      <c r="H772" s="275">
        <v>1</v>
      </c>
      <c r="I772" s="276"/>
      <c r="J772" s="275">
        <v>250</v>
      </c>
      <c r="K772" s="274"/>
      <c r="L772" s="275">
        <v>250</v>
      </c>
      <c r="M772" s="276" t="s">
        <v>1564</v>
      </c>
      <c r="N772" s="273"/>
      <c r="O772" s="276" t="s">
        <v>1285</v>
      </c>
      <c r="P772" s="277" t="s">
        <v>1403</v>
      </c>
      <c r="Q772" s="272" t="s">
        <v>2063</v>
      </c>
      <c r="R772" s="271"/>
      <c r="S772" s="270"/>
      <c r="T772" s="277" t="s">
        <v>29</v>
      </c>
      <c r="U772" s="276" t="s">
        <v>15</v>
      </c>
      <c r="V772" s="277">
        <v>1620</v>
      </c>
      <c r="W772" s="269"/>
      <c r="X772" s="268" t="s">
        <v>1453</v>
      </c>
      <c r="Y772" s="267">
        <v>44746.578842592593</v>
      </c>
    </row>
    <row r="773" spans="1:25">
      <c r="A773" s="280" t="s">
        <v>46</v>
      </c>
      <c r="B773" s="279" t="s">
        <v>1385</v>
      </c>
      <c r="C773" s="278" t="s">
        <v>2940</v>
      </c>
      <c r="D773" s="277" t="s">
        <v>2941</v>
      </c>
      <c r="E773" s="276" t="s">
        <v>1581</v>
      </c>
      <c r="F773" s="277" t="s">
        <v>17</v>
      </c>
      <c r="G773" s="276" t="s">
        <v>208</v>
      </c>
      <c r="H773" s="275">
        <v>500</v>
      </c>
      <c r="I773" s="276"/>
      <c r="J773" s="275">
        <v>20</v>
      </c>
      <c r="K773" s="274"/>
      <c r="L773" s="275">
        <v>10000</v>
      </c>
      <c r="M773" s="276" t="s">
        <v>2942</v>
      </c>
      <c r="N773" s="273"/>
      <c r="O773" s="276" t="s">
        <v>1285</v>
      </c>
      <c r="P773" s="277" t="s">
        <v>1407</v>
      </c>
      <c r="Q773" s="272"/>
      <c r="R773" s="271"/>
      <c r="S773" s="270"/>
      <c r="T773" s="277" t="s">
        <v>29</v>
      </c>
      <c r="U773" s="276" t="s">
        <v>17</v>
      </c>
      <c r="V773" s="277">
        <v>1917</v>
      </c>
      <c r="W773" s="269"/>
      <c r="X773" s="268" t="s">
        <v>1583</v>
      </c>
      <c r="Y773" s="267">
        <v>44684.610856481479</v>
      </c>
    </row>
    <row r="774" spans="1:25">
      <c r="A774" s="280" t="s">
        <v>100</v>
      </c>
      <c r="B774" s="279" t="s">
        <v>1320</v>
      </c>
      <c r="C774" s="278" t="s">
        <v>2943</v>
      </c>
      <c r="D774" s="277" t="s">
        <v>1393</v>
      </c>
      <c r="E774" s="276" t="s">
        <v>1398</v>
      </c>
      <c r="F774" s="277" t="s">
        <v>1388</v>
      </c>
      <c r="G774" s="276" t="s">
        <v>208</v>
      </c>
      <c r="H774" s="275">
        <v>1</v>
      </c>
      <c r="I774" s="276"/>
      <c r="J774" s="275">
        <v>0.24299999999999999</v>
      </c>
      <c r="K774" s="274"/>
      <c r="L774" s="275">
        <v>0.2432</v>
      </c>
      <c r="M774" s="276" t="s">
        <v>2944</v>
      </c>
      <c r="N774" s="273"/>
      <c r="O774" s="276" t="s">
        <v>55</v>
      </c>
      <c r="P774" s="277" t="s">
        <v>1362</v>
      </c>
      <c r="Q774" s="272"/>
      <c r="R774" s="271"/>
      <c r="S774" s="270"/>
      <c r="T774" s="277" t="s">
        <v>25</v>
      </c>
      <c r="U774" s="276" t="s">
        <v>1388</v>
      </c>
      <c r="V774" s="277">
        <v>56</v>
      </c>
      <c r="W774" s="269"/>
      <c r="X774" s="268" t="s">
        <v>208</v>
      </c>
      <c r="Y774" s="267">
        <v>43312</v>
      </c>
    </row>
    <row r="775" spans="1:25">
      <c r="A775" s="280" t="s">
        <v>100</v>
      </c>
      <c r="B775" s="279" t="s">
        <v>1320</v>
      </c>
      <c r="C775" s="278" t="s">
        <v>640</v>
      </c>
      <c r="D775" s="277" t="s">
        <v>641</v>
      </c>
      <c r="E775" s="276" t="s">
        <v>1596</v>
      </c>
      <c r="F775" s="277" t="s">
        <v>1360</v>
      </c>
      <c r="G775" s="276" t="s">
        <v>2945</v>
      </c>
      <c r="H775" s="275">
        <v>1</v>
      </c>
      <c r="I775" s="276"/>
      <c r="J775" s="275">
        <v>500</v>
      </c>
      <c r="K775" s="274"/>
      <c r="L775" s="275">
        <v>500</v>
      </c>
      <c r="M775" s="276" t="s">
        <v>1447</v>
      </c>
      <c r="N775" s="273"/>
      <c r="O775" s="276" t="s">
        <v>55</v>
      </c>
      <c r="P775" s="277" t="s">
        <v>1403</v>
      </c>
      <c r="Q775" s="272"/>
      <c r="R775" s="271" t="s">
        <v>1943</v>
      </c>
      <c r="S775" s="270"/>
      <c r="T775" s="277" t="s">
        <v>25</v>
      </c>
      <c r="U775" s="276" t="s">
        <v>15</v>
      </c>
      <c r="V775" s="277">
        <v>1150</v>
      </c>
      <c r="W775" s="269"/>
      <c r="X775" s="268" t="s">
        <v>1363</v>
      </c>
      <c r="Y775" s="267">
        <v>44746.639513888891</v>
      </c>
    </row>
    <row r="776" spans="1:25" ht="22.5">
      <c r="A776" s="280" t="s">
        <v>100</v>
      </c>
      <c r="B776" s="279" t="s">
        <v>1385</v>
      </c>
      <c r="C776" s="278" t="s">
        <v>2946</v>
      </c>
      <c r="D776" s="277" t="s">
        <v>2947</v>
      </c>
      <c r="E776" s="276"/>
      <c r="F776" s="277" t="s">
        <v>21</v>
      </c>
      <c r="G776" s="276"/>
      <c r="H776" s="275"/>
      <c r="I776" s="276"/>
      <c r="J776" s="275"/>
      <c r="K776" s="274"/>
      <c r="L776" s="275">
        <v>250</v>
      </c>
      <c r="M776" s="276"/>
      <c r="N776" s="273"/>
      <c r="O776" s="276" t="s">
        <v>1285</v>
      </c>
      <c r="P776" s="277"/>
      <c r="Q776" s="272"/>
      <c r="R776" s="271"/>
      <c r="S776" s="270"/>
      <c r="T776" s="277" t="s">
        <v>29</v>
      </c>
      <c r="U776" s="276" t="s">
        <v>20</v>
      </c>
      <c r="V776" s="277" t="s">
        <v>208</v>
      </c>
      <c r="W776" s="269" t="s">
        <v>2948</v>
      </c>
      <c r="X776" s="268"/>
      <c r="Y776" s="267" t="s">
        <v>208</v>
      </c>
    </row>
    <row r="777" spans="1:25" ht="22.5">
      <c r="A777" s="280" t="s">
        <v>46</v>
      </c>
      <c r="B777" s="279" t="s">
        <v>1320</v>
      </c>
      <c r="C777" s="278" t="s">
        <v>2949</v>
      </c>
      <c r="D777" s="277" t="s">
        <v>2950</v>
      </c>
      <c r="E777" s="276" t="s">
        <v>1365</v>
      </c>
      <c r="F777" s="277" t="s">
        <v>1431</v>
      </c>
      <c r="G777" s="276" t="s">
        <v>2951</v>
      </c>
      <c r="H777" s="275">
        <v>1</v>
      </c>
      <c r="I777" s="276"/>
      <c r="J777" s="275">
        <v>1.28</v>
      </c>
      <c r="K777" s="274"/>
      <c r="L777" s="275">
        <v>1.28</v>
      </c>
      <c r="M777" s="276" t="s">
        <v>2952</v>
      </c>
      <c r="N777" s="273"/>
      <c r="O777" s="276" t="s">
        <v>55</v>
      </c>
      <c r="P777" s="277" t="s">
        <v>1362</v>
      </c>
      <c r="Q777" s="272"/>
      <c r="R777" s="271"/>
      <c r="S777" s="270"/>
      <c r="T777" s="277" t="s">
        <v>25</v>
      </c>
      <c r="U777" s="276" t="s">
        <v>21</v>
      </c>
      <c r="V777" s="277">
        <v>1293</v>
      </c>
      <c r="W777" s="269"/>
      <c r="X777" s="268" t="s">
        <v>1400</v>
      </c>
      <c r="Y777" s="267">
        <v>44341.58016203704</v>
      </c>
    </row>
    <row r="778" spans="1:25">
      <c r="A778" s="280" t="s">
        <v>62</v>
      </c>
      <c r="B778" s="279" t="s">
        <v>1320</v>
      </c>
      <c r="C778" s="278" t="s">
        <v>2953</v>
      </c>
      <c r="D778" s="277" t="s">
        <v>1393</v>
      </c>
      <c r="E778" s="276" t="s">
        <v>1429</v>
      </c>
      <c r="F778" s="277" t="s">
        <v>1388</v>
      </c>
      <c r="G778" s="276" t="s">
        <v>208</v>
      </c>
      <c r="H778" s="275">
        <v>1</v>
      </c>
      <c r="I778" s="276"/>
      <c r="J778" s="275">
        <v>4.96</v>
      </c>
      <c r="K778" s="274"/>
      <c r="L778" s="275">
        <v>4.96</v>
      </c>
      <c r="M778" s="276" t="s">
        <v>2954</v>
      </c>
      <c r="N778" s="273"/>
      <c r="O778" s="276" t="s">
        <v>55</v>
      </c>
      <c r="P778" s="277" t="s">
        <v>1362</v>
      </c>
      <c r="Q778" s="272"/>
      <c r="R778" s="271"/>
      <c r="S778" s="270"/>
      <c r="T778" s="277" t="s">
        <v>25</v>
      </c>
      <c r="U778" s="276" t="s">
        <v>1388</v>
      </c>
      <c r="V778" s="277">
        <v>75</v>
      </c>
      <c r="W778" s="269"/>
      <c r="X778" s="268" t="s">
        <v>208</v>
      </c>
      <c r="Y778" s="267">
        <v>43312</v>
      </c>
    </row>
    <row r="779" spans="1:25">
      <c r="A779" s="280" t="s">
        <v>62</v>
      </c>
      <c r="B779" s="279" t="s">
        <v>1385</v>
      </c>
      <c r="C779" s="278" t="s">
        <v>2955</v>
      </c>
      <c r="D779" s="277" t="s">
        <v>2956</v>
      </c>
      <c r="E779" s="276" t="s">
        <v>1596</v>
      </c>
      <c r="F779" s="277" t="s">
        <v>19</v>
      </c>
      <c r="G779" s="276" t="s">
        <v>208</v>
      </c>
      <c r="H779" s="275">
        <v>1</v>
      </c>
      <c r="I779" s="276">
        <v>4</v>
      </c>
      <c r="J779" s="275">
        <v>40</v>
      </c>
      <c r="K779" s="274">
        <v>4</v>
      </c>
      <c r="L779" s="275">
        <v>40</v>
      </c>
      <c r="M779" s="276" t="s">
        <v>2957</v>
      </c>
      <c r="N779" s="273"/>
      <c r="O779" s="276" t="s">
        <v>1285</v>
      </c>
      <c r="P779" s="277" t="s">
        <v>1362</v>
      </c>
      <c r="Q779" s="272"/>
      <c r="R779" s="271" t="s">
        <v>2958</v>
      </c>
      <c r="S779" s="270"/>
      <c r="T779" s="277" t="s">
        <v>29</v>
      </c>
      <c r="U779" s="276" t="s">
        <v>19</v>
      </c>
      <c r="V779" s="277">
        <v>1273</v>
      </c>
      <c r="W779" s="269"/>
      <c r="X779" s="268" t="s">
        <v>1453</v>
      </c>
      <c r="Y779" s="267">
        <v>44743.429849537039</v>
      </c>
    </row>
    <row r="780" spans="1:25">
      <c r="A780" s="280" t="s">
        <v>62</v>
      </c>
      <c r="B780" s="279" t="s">
        <v>1385</v>
      </c>
      <c r="C780" s="278" t="s">
        <v>2955</v>
      </c>
      <c r="D780" s="277" t="s">
        <v>2956</v>
      </c>
      <c r="E780" s="276" t="s">
        <v>1596</v>
      </c>
      <c r="F780" s="277" t="s">
        <v>19</v>
      </c>
      <c r="G780" s="276" t="s">
        <v>208</v>
      </c>
      <c r="H780" s="275">
        <v>2</v>
      </c>
      <c r="I780" s="276">
        <v>5.5</v>
      </c>
      <c r="J780" s="275">
        <v>55</v>
      </c>
      <c r="K780" s="274">
        <v>11</v>
      </c>
      <c r="L780" s="275">
        <v>110</v>
      </c>
      <c r="M780" s="276" t="s">
        <v>2959</v>
      </c>
      <c r="N780" s="273"/>
      <c r="O780" s="276" t="s">
        <v>1285</v>
      </c>
      <c r="P780" s="277" t="s">
        <v>1403</v>
      </c>
      <c r="Q780" s="272"/>
      <c r="R780" s="271" t="s">
        <v>2960</v>
      </c>
      <c r="S780" s="270"/>
      <c r="T780" s="277" t="s">
        <v>29</v>
      </c>
      <c r="U780" s="276" t="s">
        <v>19</v>
      </c>
      <c r="V780" s="277">
        <v>1273</v>
      </c>
      <c r="W780" s="269"/>
      <c r="X780" s="268" t="s">
        <v>1453</v>
      </c>
      <c r="Y780" s="267">
        <v>44743.429849537039</v>
      </c>
    </row>
    <row r="781" spans="1:25">
      <c r="A781" s="280" t="s">
        <v>80</v>
      </c>
      <c r="B781" s="279" t="s">
        <v>1385</v>
      </c>
      <c r="C781" s="278" t="s">
        <v>2961</v>
      </c>
      <c r="D781" s="277" t="s">
        <v>2962</v>
      </c>
      <c r="E781" s="276"/>
      <c r="F781" s="277" t="s">
        <v>1388</v>
      </c>
      <c r="G781" s="276"/>
      <c r="H781" s="275"/>
      <c r="I781" s="276"/>
      <c r="J781" s="275"/>
      <c r="K781" s="274"/>
      <c r="L781" s="275">
        <v>147</v>
      </c>
      <c r="M781" s="276"/>
      <c r="N781" s="273"/>
      <c r="O781" s="276" t="s">
        <v>1285</v>
      </c>
      <c r="P781" s="277"/>
      <c r="Q781" s="272"/>
      <c r="R781" s="271" t="s">
        <v>208</v>
      </c>
      <c r="S781" s="270"/>
      <c r="T781" s="277" t="s">
        <v>29</v>
      </c>
      <c r="U781" s="276" t="s">
        <v>1388</v>
      </c>
      <c r="V781" s="277" t="s">
        <v>208</v>
      </c>
      <c r="W781" s="269" t="s">
        <v>2963</v>
      </c>
      <c r="X781" s="268"/>
      <c r="Y781" s="267" t="s">
        <v>208</v>
      </c>
    </row>
    <row r="782" spans="1:25">
      <c r="A782" s="280" t="s">
        <v>46</v>
      </c>
      <c r="B782" s="279" t="s">
        <v>1385</v>
      </c>
      <c r="C782" s="278" t="s">
        <v>2964</v>
      </c>
      <c r="D782" s="277" t="s">
        <v>2138</v>
      </c>
      <c r="E782" s="276" t="s">
        <v>1581</v>
      </c>
      <c r="F782" s="277" t="s">
        <v>17</v>
      </c>
      <c r="G782" s="276" t="s">
        <v>208</v>
      </c>
      <c r="H782" s="275">
        <v>1</v>
      </c>
      <c r="I782" s="276"/>
      <c r="J782" s="275">
        <v>2000</v>
      </c>
      <c r="K782" s="274"/>
      <c r="L782" s="275">
        <v>2000</v>
      </c>
      <c r="M782" s="276" t="s">
        <v>2139</v>
      </c>
      <c r="N782" s="273"/>
      <c r="O782" s="276" t="s">
        <v>1285</v>
      </c>
      <c r="P782" s="277" t="s">
        <v>1407</v>
      </c>
      <c r="Q782" s="272" t="s">
        <v>2450</v>
      </c>
      <c r="R782" s="271"/>
      <c r="S782" s="270"/>
      <c r="T782" s="277" t="s">
        <v>29</v>
      </c>
      <c r="U782" s="276" t="s">
        <v>17</v>
      </c>
      <c r="V782" s="277">
        <v>2023</v>
      </c>
      <c r="W782" s="269"/>
      <c r="X782" s="268"/>
      <c r="Y782" s="267">
        <v>44721.35864583333</v>
      </c>
    </row>
    <row r="783" spans="1:25">
      <c r="A783" s="280" t="s">
        <v>100</v>
      </c>
      <c r="B783" s="279" t="s">
        <v>1385</v>
      </c>
      <c r="C783" s="278" t="s">
        <v>2965</v>
      </c>
      <c r="D783" s="277" t="s">
        <v>377</v>
      </c>
      <c r="E783" s="276" t="s">
        <v>1429</v>
      </c>
      <c r="F783" s="277" t="s">
        <v>1388</v>
      </c>
      <c r="G783" s="276" t="s">
        <v>208</v>
      </c>
      <c r="H783" s="275">
        <v>1</v>
      </c>
      <c r="I783" s="276"/>
      <c r="J783" s="275">
        <v>250</v>
      </c>
      <c r="K783" s="274"/>
      <c r="L783" s="275">
        <v>250</v>
      </c>
      <c r="M783" s="276" t="s">
        <v>1564</v>
      </c>
      <c r="N783" s="273"/>
      <c r="O783" s="276" t="s">
        <v>1285</v>
      </c>
      <c r="P783" s="277" t="s">
        <v>1407</v>
      </c>
      <c r="Q783" s="272"/>
      <c r="R783" s="271"/>
      <c r="S783" s="270"/>
      <c r="T783" s="277" t="s">
        <v>29</v>
      </c>
      <c r="U783" s="276" t="s">
        <v>1388</v>
      </c>
      <c r="V783" s="277">
        <v>1411</v>
      </c>
      <c r="W783" s="269"/>
      <c r="X783" s="268" t="s">
        <v>208</v>
      </c>
      <c r="Y783" s="267">
        <v>43769.416655092595</v>
      </c>
    </row>
    <row r="784" spans="1:25">
      <c r="A784" s="280" t="s">
        <v>100</v>
      </c>
      <c r="B784" s="279" t="s">
        <v>1385</v>
      </c>
      <c r="C784" s="278" t="s">
        <v>2966</v>
      </c>
      <c r="D784" s="277" t="s">
        <v>377</v>
      </c>
      <c r="E784" s="276" t="s">
        <v>1391</v>
      </c>
      <c r="F784" s="277" t="s">
        <v>21</v>
      </c>
      <c r="G784" s="276" t="s">
        <v>208</v>
      </c>
      <c r="H784" s="275">
        <v>1</v>
      </c>
      <c r="I784" s="276"/>
      <c r="J784" s="275">
        <v>80</v>
      </c>
      <c r="K784" s="274"/>
      <c r="L784" s="275">
        <v>80</v>
      </c>
      <c r="M784" s="276" t="s">
        <v>1665</v>
      </c>
      <c r="N784" s="273"/>
      <c r="O784" s="276" t="s">
        <v>1285</v>
      </c>
      <c r="P784" s="277" t="s">
        <v>1403</v>
      </c>
      <c r="Q784" s="272"/>
      <c r="R784" s="271"/>
      <c r="S784" s="270"/>
      <c r="T784" s="277" t="s">
        <v>29</v>
      </c>
      <c r="U784" s="276" t="s">
        <v>20</v>
      </c>
      <c r="V784" s="277">
        <v>127</v>
      </c>
      <c r="W784" s="269"/>
      <c r="X784" s="268" t="s">
        <v>208</v>
      </c>
      <c r="Y784" s="267">
        <v>43312</v>
      </c>
    </row>
    <row r="785" spans="1:25">
      <c r="A785" s="280" t="s">
        <v>46</v>
      </c>
      <c r="B785" s="279" t="s">
        <v>1385</v>
      </c>
      <c r="C785" s="278" t="s">
        <v>2967</v>
      </c>
      <c r="D785" s="277" t="s">
        <v>2916</v>
      </c>
      <c r="E785" s="276" t="s">
        <v>1419</v>
      </c>
      <c r="F785" s="277" t="s">
        <v>17</v>
      </c>
      <c r="G785" s="276" t="s">
        <v>208</v>
      </c>
      <c r="H785" s="275">
        <v>1</v>
      </c>
      <c r="I785" s="276"/>
      <c r="J785" s="275">
        <v>500</v>
      </c>
      <c r="K785" s="274"/>
      <c r="L785" s="275">
        <v>500</v>
      </c>
      <c r="M785" s="276" t="s">
        <v>1447</v>
      </c>
      <c r="N785" s="273"/>
      <c r="O785" s="276" t="s">
        <v>1285</v>
      </c>
      <c r="P785" s="277" t="s">
        <v>1407</v>
      </c>
      <c r="Q785" s="272"/>
      <c r="R785" s="271" t="s">
        <v>1534</v>
      </c>
      <c r="S785" s="270"/>
      <c r="T785" s="277" t="s">
        <v>29</v>
      </c>
      <c r="U785" s="276" t="s">
        <v>17</v>
      </c>
      <c r="V785" s="277">
        <v>1466</v>
      </c>
      <c r="W785" s="269"/>
      <c r="X785" s="268" t="s">
        <v>1363</v>
      </c>
      <c r="Y785" s="267">
        <v>44671.450509259259</v>
      </c>
    </row>
    <row r="786" spans="1:25">
      <c r="A786" s="280" t="s">
        <v>46</v>
      </c>
      <c r="B786" s="279" t="s">
        <v>1385</v>
      </c>
      <c r="C786" s="278" t="s">
        <v>2968</v>
      </c>
      <c r="D786" s="277" t="s">
        <v>469</v>
      </c>
      <c r="E786" s="276" t="s">
        <v>1365</v>
      </c>
      <c r="F786" s="277" t="s">
        <v>2284</v>
      </c>
      <c r="G786" s="276" t="s">
        <v>208</v>
      </c>
      <c r="H786" s="275">
        <v>1</v>
      </c>
      <c r="I786" s="276"/>
      <c r="J786" s="275">
        <v>500</v>
      </c>
      <c r="K786" s="274"/>
      <c r="L786" s="275">
        <v>500</v>
      </c>
      <c r="M786" s="276" t="s">
        <v>1447</v>
      </c>
      <c r="N786" s="273"/>
      <c r="O786" s="276" t="s">
        <v>1285</v>
      </c>
      <c r="P786" s="277" t="s">
        <v>1403</v>
      </c>
      <c r="Q786" s="272"/>
      <c r="R786" s="271"/>
      <c r="S786" s="270"/>
      <c r="T786" s="277" t="s">
        <v>29</v>
      </c>
      <c r="U786" s="276" t="s">
        <v>15</v>
      </c>
      <c r="V786" s="277">
        <v>1617</v>
      </c>
      <c r="W786" s="269"/>
      <c r="X786" s="268" t="s">
        <v>1363</v>
      </c>
      <c r="Y786" s="267">
        <v>44671.594317129631</v>
      </c>
    </row>
    <row r="787" spans="1:25">
      <c r="A787" s="280" t="s">
        <v>100</v>
      </c>
      <c r="B787" s="279" t="s">
        <v>1320</v>
      </c>
      <c r="C787" s="278" t="s">
        <v>644</v>
      </c>
      <c r="D787" s="277" t="s">
        <v>645</v>
      </c>
      <c r="E787" s="276" t="s">
        <v>1429</v>
      </c>
      <c r="F787" s="277" t="s">
        <v>1388</v>
      </c>
      <c r="G787" s="276" t="s">
        <v>2969</v>
      </c>
      <c r="H787" s="275">
        <v>19</v>
      </c>
      <c r="I787" s="276"/>
      <c r="J787" s="275">
        <v>1.92</v>
      </c>
      <c r="K787" s="274"/>
      <c r="L787" s="275">
        <v>36.479999999999997</v>
      </c>
      <c r="M787" s="276" t="s">
        <v>2970</v>
      </c>
      <c r="N787" s="273"/>
      <c r="O787" s="276" t="s">
        <v>55</v>
      </c>
      <c r="P787" s="277" t="s">
        <v>1407</v>
      </c>
      <c r="Q787" s="272"/>
      <c r="R787" s="271" t="s">
        <v>1558</v>
      </c>
      <c r="S787" s="270"/>
      <c r="T787" s="277" t="s">
        <v>25</v>
      </c>
      <c r="U787" s="276" t="s">
        <v>1388</v>
      </c>
      <c r="V787" s="277">
        <v>1461</v>
      </c>
      <c r="W787" s="269"/>
      <c r="X787" s="268" t="s">
        <v>1363</v>
      </c>
      <c r="Y787" s="267">
        <v>44672.391747685186</v>
      </c>
    </row>
    <row r="788" spans="1:25">
      <c r="A788" s="280" t="s">
        <v>100</v>
      </c>
      <c r="B788" s="279" t="s">
        <v>1320</v>
      </c>
      <c r="C788" s="278" t="s">
        <v>644</v>
      </c>
      <c r="D788" s="277" t="s">
        <v>645</v>
      </c>
      <c r="E788" s="276" t="s">
        <v>1429</v>
      </c>
      <c r="F788" s="277" t="s">
        <v>1388</v>
      </c>
      <c r="G788" s="276" t="s">
        <v>2969</v>
      </c>
      <c r="H788" s="275">
        <v>37</v>
      </c>
      <c r="I788" s="276"/>
      <c r="J788" s="275">
        <v>2</v>
      </c>
      <c r="K788" s="274"/>
      <c r="L788" s="275">
        <v>74</v>
      </c>
      <c r="M788" s="276" t="s">
        <v>1860</v>
      </c>
      <c r="N788" s="273"/>
      <c r="O788" s="276" t="s">
        <v>55</v>
      </c>
      <c r="P788" s="277" t="s">
        <v>1407</v>
      </c>
      <c r="Q788" s="272"/>
      <c r="R788" s="271" t="s">
        <v>1558</v>
      </c>
      <c r="S788" s="270"/>
      <c r="T788" s="277" t="s">
        <v>25</v>
      </c>
      <c r="U788" s="276" t="s">
        <v>1388</v>
      </c>
      <c r="V788" s="277">
        <v>1461</v>
      </c>
      <c r="W788" s="269"/>
      <c r="X788" s="268" t="s">
        <v>1363</v>
      </c>
      <c r="Y788" s="267">
        <v>44672.391747685186</v>
      </c>
    </row>
    <row r="789" spans="1:25">
      <c r="A789" s="280" t="s">
        <v>46</v>
      </c>
      <c r="B789" s="279" t="s">
        <v>1320</v>
      </c>
      <c r="C789" s="278" t="s">
        <v>998</v>
      </c>
      <c r="D789" s="277" t="s">
        <v>477</v>
      </c>
      <c r="E789" s="276" t="s">
        <v>1398</v>
      </c>
      <c r="F789" s="277" t="s">
        <v>1388</v>
      </c>
      <c r="G789" s="276" t="s">
        <v>2971</v>
      </c>
      <c r="H789" s="275">
        <v>77</v>
      </c>
      <c r="I789" s="276"/>
      <c r="J789" s="275">
        <v>1.325</v>
      </c>
      <c r="K789" s="274"/>
      <c r="L789" s="275">
        <v>102.02499999999999</v>
      </c>
      <c r="M789" s="276" t="s">
        <v>2972</v>
      </c>
      <c r="N789" s="273"/>
      <c r="O789" s="276" t="s">
        <v>55</v>
      </c>
      <c r="P789" s="277" t="s">
        <v>1407</v>
      </c>
      <c r="Q789" s="272"/>
      <c r="R789" s="271" t="s">
        <v>1496</v>
      </c>
      <c r="S789" s="270"/>
      <c r="T789" s="277" t="s">
        <v>25</v>
      </c>
      <c r="U789" s="276" t="s">
        <v>1388</v>
      </c>
      <c r="V789" s="277">
        <v>1323</v>
      </c>
      <c r="W789" s="269"/>
      <c r="X789" s="268" t="s">
        <v>1363</v>
      </c>
      <c r="Y789" s="267">
        <v>44671.384375000001</v>
      </c>
    </row>
    <row r="790" spans="1:25">
      <c r="A790" s="280" t="s">
        <v>62</v>
      </c>
      <c r="B790" s="279" t="s">
        <v>1320</v>
      </c>
      <c r="C790" s="278" t="s">
        <v>822</v>
      </c>
      <c r="D790" s="277" t="s">
        <v>2973</v>
      </c>
      <c r="E790" s="276" t="s">
        <v>1398</v>
      </c>
      <c r="F790" s="277" t="s">
        <v>1388</v>
      </c>
      <c r="G790" s="276" t="s">
        <v>2974</v>
      </c>
      <c r="H790" s="275">
        <v>1</v>
      </c>
      <c r="I790" s="276"/>
      <c r="J790" s="275">
        <v>25</v>
      </c>
      <c r="K790" s="274"/>
      <c r="L790" s="275">
        <v>25</v>
      </c>
      <c r="M790" s="276" t="s">
        <v>1604</v>
      </c>
      <c r="N790" s="273"/>
      <c r="O790" s="276" t="s">
        <v>55</v>
      </c>
      <c r="P790" s="277" t="s">
        <v>1407</v>
      </c>
      <c r="Q790" s="272"/>
      <c r="R790" s="271" t="s">
        <v>1769</v>
      </c>
      <c r="S790" s="270"/>
      <c r="T790" s="277" t="s">
        <v>25</v>
      </c>
      <c r="U790" s="276" t="s">
        <v>1388</v>
      </c>
      <c r="V790" s="277">
        <v>1386</v>
      </c>
      <c r="W790" s="269"/>
      <c r="X790" s="268" t="s">
        <v>1363</v>
      </c>
      <c r="Y790" s="267">
        <v>44671.432662037034</v>
      </c>
    </row>
    <row r="791" spans="1:25">
      <c r="A791" s="280" t="s">
        <v>62</v>
      </c>
      <c r="B791" s="279" t="s">
        <v>1320</v>
      </c>
      <c r="C791" s="278" t="s">
        <v>397</v>
      </c>
      <c r="D791" s="277" t="s">
        <v>398</v>
      </c>
      <c r="E791" s="276" t="s">
        <v>1429</v>
      </c>
      <c r="F791" s="277" t="s">
        <v>1388</v>
      </c>
      <c r="G791" s="276" t="s">
        <v>399</v>
      </c>
      <c r="H791" s="275">
        <v>26</v>
      </c>
      <c r="I791" s="276"/>
      <c r="J791" s="275">
        <v>2.14</v>
      </c>
      <c r="K791" s="274"/>
      <c r="L791" s="275">
        <v>55.64</v>
      </c>
      <c r="M791" s="276" t="s">
        <v>2975</v>
      </c>
      <c r="N791" s="273"/>
      <c r="O791" s="276" t="s">
        <v>131</v>
      </c>
      <c r="P791" s="277" t="s">
        <v>1407</v>
      </c>
      <c r="Q791" s="272" t="s">
        <v>2003</v>
      </c>
      <c r="R791" s="271" t="s">
        <v>1547</v>
      </c>
      <c r="S791" s="270"/>
      <c r="T791" s="277" t="s">
        <v>25</v>
      </c>
      <c r="U791" s="276" t="s">
        <v>1388</v>
      </c>
      <c r="V791" s="277">
        <v>1591</v>
      </c>
      <c r="W791" s="269"/>
      <c r="X791" s="268" t="s">
        <v>1481</v>
      </c>
      <c r="Y791" s="267">
        <v>44696.333865740744</v>
      </c>
    </row>
    <row r="792" spans="1:25">
      <c r="A792" s="280" t="s">
        <v>62</v>
      </c>
      <c r="B792" s="279" t="s">
        <v>1320</v>
      </c>
      <c r="C792" s="278" t="s">
        <v>460</v>
      </c>
      <c r="D792" s="277" t="s">
        <v>461</v>
      </c>
      <c r="E792" s="276" t="s">
        <v>1493</v>
      </c>
      <c r="F792" s="277" t="s">
        <v>1360</v>
      </c>
      <c r="G792" s="276" t="s">
        <v>2976</v>
      </c>
      <c r="H792" s="275">
        <v>1</v>
      </c>
      <c r="I792" s="276"/>
      <c r="J792" s="275">
        <v>173</v>
      </c>
      <c r="K792" s="274"/>
      <c r="L792" s="275">
        <v>173</v>
      </c>
      <c r="M792" s="276" t="s">
        <v>1724</v>
      </c>
      <c r="N792" s="273"/>
      <c r="O792" s="276" t="s">
        <v>55</v>
      </c>
      <c r="P792" s="277" t="s">
        <v>1403</v>
      </c>
      <c r="Q792" s="272"/>
      <c r="R792" s="271" t="s">
        <v>1532</v>
      </c>
      <c r="S792" s="270"/>
      <c r="T792" s="277" t="s">
        <v>25</v>
      </c>
      <c r="U792" s="276" t="s">
        <v>14</v>
      </c>
      <c r="V792" s="277">
        <v>1433</v>
      </c>
      <c r="W792" s="269"/>
      <c r="X792" s="268" t="s">
        <v>1363</v>
      </c>
      <c r="Y792" s="267">
        <v>44658.64675925926</v>
      </c>
    </row>
    <row r="793" spans="1:25">
      <c r="A793" s="280" t="s">
        <v>62</v>
      </c>
      <c r="B793" s="279" t="s">
        <v>1320</v>
      </c>
      <c r="C793" s="278" t="s">
        <v>460</v>
      </c>
      <c r="D793" s="277" t="s">
        <v>461</v>
      </c>
      <c r="E793" s="276" t="s">
        <v>1493</v>
      </c>
      <c r="F793" s="277" t="s">
        <v>1360</v>
      </c>
      <c r="G793" s="276" t="s">
        <v>2977</v>
      </c>
      <c r="H793" s="275">
        <v>1</v>
      </c>
      <c r="I793" s="276"/>
      <c r="J793" s="275">
        <v>173</v>
      </c>
      <c r="K793" s="274"/>
      <c r="L793" s="275">
        <v>173</v>
      </c>
      <c r="M793" s="276" t="s">
        <v>1724</v>
      </c>
      <c r="N793" s="273"/>
      <c r="O793" s="276" t="s">
        <v>55</v>
      </c>
      <c r="P793" s="277" t="s">
        <v>1403</v>
      </c>
      <c r="Q793" s="272"/>
      <c r="R793" s="271" t="s">
        <v>1532</v>
      </c>
      <c r="S793" s="270"/>
      <c r="T793" s="277" t="s">
        <v>25</v>
      </c>
      <c r="U793" s="276" t="s">
        <v>14</v>
      </c>
      <c r="V793" s="277">
        <v>1433</v>
      </c>
      <c r="W793" s="269"/>
      <c r="X793" s="268" t="s">
        <v>1363</v>
      </c>
      <c r="Y793" s="267">
        <v>44658.64675925926</v>
      </c>
    </row>
    <row r="794" spans="1:25">
      <c r="A794" s="280" t="s">
        <v>100</v>
      </c>
      <c r="B794" s="279" t="s">
        <v>1320</v>
      </c>
      <c r="C794" s="278" t="s">
        <v>2978</v>
      </c>
      <c r="D794" s="277" t="s">
        <v>2979</v>
      </c>
      <c r="E794" s="276" t="s">
        <v>1419</v>
      </c>
      <c r="F794" s="277" t="s">
        <v>17</v>
      </c>
      <c r="G794" s="276" t="s">
        <v>2980</v>
      </c>
      <c r="H794" s="275">
        <v>32</v>
      </c>
      <c r="I794" s="276"/>
      <c r="J794" s="275">
        <v>2.1</v>
      </c>
      <c r="K794" s="274"/>
      <c r="L794" s="275">
        <v>67.2</v>
      </c>
      <c r="M794" s="276" t="s">
        <v>2981</v>
      </c>
      <c r="N794" s="273"/>
      <c r="O794" s="276" t="s">
        <v>55</v>
      </c>
      <c r="P794" s="277" t="s">
        <v>1407</v>
      </c>
      <c r="Q794" s="272"/>
      <c r="R794" s="271" t="s">
        <v>1424</v>
      </c>
      <c r="S794" s="270"/>
      <c r="T794" s="277" t="s">
        <v>25</v>
      </c>
      <c r="U794" s="276" t="s">
        <v>17</v>
      </c>
      <c r="V794" s="277">
        <v>1152</v>
      </c>
      <c r="W794" s="269"/>
      <c r="X794" s="268" t="s">
        <v>1363</v>
      </c>
      <c r="Y794" s="267">
        <v>44670.474363425928</v>
      </c>
    </row>
    <row r="795" spans="1:25">
      <c r="A795" s="280" t="s">
        <v>62</v>
      </c>
      <c r="B795" s="279" t="s">
        <v>1320</v>
      </c>
      <c r="C795" s="278" t="s">
        <v>2982</v>
      </c>
      <c r="D795" s="277" t="s">
        <v>2258</v>
      </c>
      <c r="E795" s="276" t="s">
        <v>1359</v>
      </c>
      <c r="F795" s="277" t="s">
        <v>1438</v>
      </c>
      <c r="G795" s="276" t="s">
        <v>2983</v>
      </c>
      <c r="H795" s="275">
        <v>2</v>
      </c>
      <c r="I795" s="276"/>
      <c r="J795" s="275">
        <v>3.044</v>
      </c>
      <c r="K795" s="274"/>
      <c r="L795" s="275">
        <v>6.0880000000000001</v>
      </c>
      <c r="M795" s="276" t="s">
        <v>2984</v>
      </c>
      <c r="N795" s="273"/>
      <c r="O795" s="276" t="s">
        <v>55</v>
      </c>
      <c r="P795" s="277" t="s">
        <v>1362</v>
      </c>
      <c r="Q795" s="272"/>
      <c r="R795" s="271" t="s">
        <v>1382</v>
      </c>
      <c r="S795" s="270"/>
      <c r="T795" s="277" t="s">
        <v>25</v>
      </c>
      <c r="U795" s="276" t="s">
        <v>15</v>
      </c>
      <c r="V795" s="277">
        <v>1359</v>
      </c>
      <c r="W795" s="269"/>
      <c r="X795" s="268" t="s">
        <v>1363</v>
      </c>
      <c r="Y795" s="267">
        <v>44671.392048611109</v>
      </c>
    </row>
    <row r="796" spans="1:25">
      <c r="A796" s="280" t="s">
        <v>62</v>
      </c>
      <c r="B796" s="279" t="s">
        <v>1320</v>
      </c>
      <c r="C796" s="278" t="s">
        <v>2982</v>
      </c>
      <c r="D796" s="277" t="s">
        <v>2258</v>
      </c>
      <c r="E796" s="276" t="s">
        <v>1359</v>
      </c>
      <c r="F796" s="277" t="s">
        <v>1438</v>
      </c>
      <c r="G796" s="276" t="s">
        <v>2983</v>
      </c>
      <c r="H796" s="275">
        <v>14</v>
      </c>
      <c r="I796" s="276"/>
      <c r="J796" s="275">
        <v>1.0649999999999999</v>
      </c>
      <c r="K796" s="274"/>
      <c r="L796" s="275">
        <v>14.91</v>
      </c>
      <c r="M796" s="276" t="s">
        <v>2985</v>
      </c>
      <c r="N796" s="273"/>
      <c r="O796" s="276" t="s">
        <v>55</v>
      </c>
      <c r="P796" s="277" t="s">
        <v>1362</v>
      </c>
      <c r="Q796" s="272"/>
      <c r="R796" s="271" t="s">
        <v>1382</v>
      </c>
      <c r="S796" s="270"/>
      <c r="T796" s="277" t="s">
        <v>25</v>
      </c>
      <c r="U796" s="276" t="s">
        <v>15</v>
      </c>
      <c r="V796" s="277">
        <v>1359</v>
      </c>
      <c r="W796" s="269"/>
      <c r="X796" s="268" t="s">
        <v>1363</v>
      </c>
      <c r="Y796" s="267">
        <v>44671.392048611109</v>
      </c>
    </row>
    <row r="797" spans="1:25">
      <c r="A797" s="280" t="s">
        <v>62</v>
      </c>
      <c r="B797" s="279" t="s">
        <v>1320</v>
      </c>
      <c r="C797" s="278" t="s">
        <v>913</v>
      </c>
      <c r="D797" s="277" t="s">
        <v>2986</v>
      </c>
      <c r="E797" s="276" t="s">
        <v>1359</v>
      </c>
      <c r="F797" s="277" t="s">
        <v>1438</v>
      </c>
      <c r="G797" s="276" t="s">
        <v>2987</v>
      </c>
      <c r="H797" s="275">
        <v>5</v>
      </c>
      <c r="I797" s="276"/>
      <c r="J797" s="275">
        <v>3</v>
      </c>
      <c r="K797" s="274"/>
      <c r="L797" s="275">
        <v>15</v>
      </c>
      <c r="M797" s="276" t="s">
        <v>1696</v>
      </c>
      <c r="N797" s="273"/>
      <c r="O797" s="276" t="s">
        <v>55</v>
      </c>
      <c r="P797" s="277" t="s">
        <v>1362</v>
      </c>
      <c r="Q797" s="272"/>
      <c r="R797" s="271" t="s">
        <v>1382</v>
      </c>
      <c r="S797" s="270"/>
      <c r="T797" s="277" t="s">
        <v>25</v>
      </c>
      <c r="U797" s="276" t="s">
        <v>15</v>
      </c>
      <c r="V797" s="277">
        <v>1379</v>
      </c>
      <c r="W797" s="269"/>
      <c r="X797" s="268" t="s">
        <v>1363</v>
      </c>
      <c r="Y797" s="267">
        <v>44671.427372685182</v>
      </c>
    </row>
    <row r="798" spans="1:25">
      <c r="A798" s="280" t="s">
        <v>46</v>
      </c>
      <c r="B798" s="279" t="s">
        <v>1385</v>
      </c>
      <c r="C798" s="278" t="s">
        <v>114</v>
      </c>
      <c r="D798" s="277" t="s">
        <v>115</v>
      </c>
      <c r="E798" s="276" t="s">
        <v>1391</v>
      </c>
      <c r="F798" s="277" t="s">
        <v>21</v>
      </c>
      <c r="G798" s="276" t="s">
        <v>208</v>
      </c>
      <c r="H798" s="275">
        <v>80</v>
      </c>
      <c r="I798" s="276"/>
      <c r="J798" s="275">
        <v>3</v>
      </c>
      <c r="K798" s="274"/>
      <c r="L798" s="275">
        <v>240</v>
      </c>
      <c r="M798" s="276" t="s">
        <v>1456</v>
      </c>
      <c r="N798" s="273">
        <v>800</v>
      </c>
      <c r="O798" s="276" t="s">
        <v>28</v>
      </c>
      <c r="P798" s="277" t="s">
        <v>1403</v>
      </c>
      <c r="Q798" s="272" t="s">
        <v>2988</v>
      </c>
      <c r="R798" s="271" t="s">
        <v>2762</v>
      </c>
      <c r="S798" s="270"/>
      <c r="T798" s="277" t="s">
        <v>28</v>
      </c>
      <c r="U798" s="276" t="s">
        <v>20</v>
      </c>
      <c r="V798" s="277">
        <v>2015</v>
      </c>
      <c r="W798" s="269"/>
      <c r="X798" s="268" t="s">
        <v>1453</v>
      </c>
      <c r="Y798" s="267">
        <v>44747.415613425925</v>
      </c>
    </row>
    <row r="799" spans="1:25">
      <c r="A799" s="280" t="s">
        <v>46</v>
      </c>
      <c r="B799" s="279" t="s">
        <v>1385</v>
      </c>
      <c r="C799" s="278" t="s">
        <v>2989</v>
      </c>
      <c r="D799" s="277" t="s">
        <v>2402</v>
      </c>
      <c r="E799" s="276" t="s">
        <v>1429</v>
      </c>
      <c r="F799" s="277" t="s">
        <v>1388</v>
      </c>
      <c r="G799" s="276" t="s">
        <v>208</v>
      </c>
      <c r="H799" s="275">
        <v>1</v>
      </c>
      <c r="I799" s="276"/>
      <c r="J799" s="275">
        <v>80</v>
      </c>
      <c r="K799" s="274"/>
      <c r="L799" s="275">
        <v>80</v>
      </c>
      <c r="M799" s="276" t="s">
        <v>1665</v>
      </c>
      <c r="N799" s="273"/>
      <c r="O799" s="276" t="s">
        <v>1285</v>
      </c>
      <c r="P799" s="277" t="s">
        <v>1407</v>
      </c>
      <c r="Q799" s="272"/>
      <c r="R799" s="271"/>
      <c r="S799" s="270"/>
      <c r="T799" s="277" t="s">
        <v>29</v>
      </c>
      <c r="U799" s="276" t="s">
        <v>1388</v>
      </c>
      <c r="V799" s="277">
        <v>1540</v>
      </c>
      <c r="W799" s="269"/>
      <c r="X799" s="268" t="s">
        <v>1400</v>
      </c>
      <c r="Y799" s="267">
        <v>43769.416655092595</v>
      </c>
    </row>
    <row r="800" spans="1:25">
      <c r="A800" s="280" t="s">
        <v>80</v>
      </c>
      <c r="B800" s="279" t="s">
        <v>1320</v>
      </c>
      <c r="C800" s="278" t="s">
        <v>440</v>
      </c>
      <c r="D800" s="277" t="s">
        <v>441</v>
      </c>
      <c r="E800" s="276" t="s">
        <v>1980</v>
      </c>
      <c r="F800" s="277" t="s">
        <v>1360</v>
      </c>
      <c r="G800" s="276" t="s">
        <v>442</v>
      </c>
      <c r="H800" s="275">
        <v>1</v>
      </c>
      <c r="I800" s="276"/>
      <c r="J800" s="275">
        <v>62</v>
      </c>
      <c r="K800" s="274"/>
      <c r="L800" s="275">
        <v>62</v>
      </c>
      <c r="M800" s="276" t="s">
        <v>2990</v>
      </c>
      <c r="N800" s="273"/>
      <c r="O800" s="276" t="s">
        <v>2166</v>
      </c>
      <c r="P800" s="277" t="s">
        <v>1403</v>
      </c>
      <c r="Q800" s="272"/>
      <c r="R800" s="271" t="s">
        <v>1377</v>
      </c>
      <c r="S800" s="270">
        <v>45291</v>
      </c>
      <c r="T800" s="277" t="s">
        <v>24</v>
      </c>
      <c r="U800" s="276" t="s">
        <v>13</v>
      </c>
      <c r="V800" s="277">
        <v>1154</v>
      </c>
      <c r="W800" s="269"/>
      <c r="X800" s="268" t="s">
        <v>1363</v>
      </c>
      <c r="Y800" s="267">
        <v>44670.474976851852</v>
      </c>
    </row>
    <row r="801" spans="1:25">
      <c r="A801" s="280" t="s">
        <v>80</v>
      </c>
      <c r="B801" s="279" t="s">
        <v>1320</v>
      </c>
      <c r="C801" s="278" t="s">
        <v>440</v>
      </c>
      <c r="D801" s="277" t="s">
        <v>441</v>
      </c>
      <c r="E801" s="276" t="s">
        <v>1980</v>
      </c>
      <c r="F801" s="277" t="s">
        <v>1360</v>
      </c>
      <c r="G801" s="276" t="s">
        <v>442</v>
      </c>
      <c r="H801" s="275">
        <v>1</v>
      </c>
      <c r="I801" s="276"/>
      <c r="J801" s="275">
        <v>118</v>
      </c>
      <c r="K801" s="274"/>
      <c r="L801" s="275">
        <v>118</v>
      </c>
      <c r="M801" s="276" t="s">
        <v>2237</v>
      </c>
      <c r="N801" s="273"/>
      <c r="O801" s="276" t="s">
        <v>2166</v>
      </c>
      <c r="P801" s="277" t="s">
        <v>1403</v>
      </c>
      <c r="Q801" s="272"/>
      <c r="R801" s="271" t="s">
        <v>1377</v>
      </c>
      <c r="S801" s="270">
        <v>45291</v>
      </c>
      <c r="T801" s="277" t="s">
        <v>24</v>
      </c>
      <c r="U801" s="276" t="s">
        <v>13</v>
      </c>
      <c r="V801" s="277">
        <v>1154</v>
      </c>
      <c r="W801" s="269"/>
      <c r="X801" s="268" t="s">
        <v>1363</v>
      </c>
      <c r="Y801" s="267">
        <v>44670.474976851852</v>
      </c>
    </row>
    <row r="802" spans="1:25">
      <c r="A802" s="280" t="s">
        <v>46</v>
      </c>
      <c r="B802" s="279" t="s">
        <v>1385</v>
      </c>
      <c r="C802" s="278" t="s">
        <v>2991</v>
      </c>
      <c r="D802" s="277" t="s">
        <v>2991</v>
      </c>
      <c r="E802" s="276" t="s">
        <v>1539</v>
      </c>
      <c r="F802" s="277" t="s">
        <v>18</v>
      </c>
      <c r="G802" s="276" t="s">
        <v>208</v>
      </c>
      <c r="H802" s="275">
        <v>1</v>
      </c>
      <c r="I802" s="276"/>
      <c r="J802" s="275">
        <v>600</v>
      </c>
      <c r="K802" s="274"/>
      <c r="L802" s="275">
        <v>600</v>
      </c>
      <c r="M802" s="276" t="s">
        <v>1470</v>
      </c>
      <c r="N802" s="273">
        <v>7200</v>
      </c>
      <c r="O802" s="276" t="s">
        <v>1285</v>
      </c>
      <c r="P802" s="277" t="s">
        <v>1403</v>
      </c>
      <c r="Q802" s="272"/>
      <c r="R802" s="271"/>
      <c r="S802" s="270"/>
      <c r="T802" s="277" t="s">
        <v>29</v>
      </c>
      <c r="U802" s="276" t="s">
        <v>18</v>
      </c>
      <c r="V802" s="277">
        <v>1751</v>
      </c>
      <c r="W802" s="269"/>
      <c r="X802" s="268" t="s">
        <v>208</v>
      </c>
      <c r="Y802" s="267">
        <v>43769.416655092595</v>
      </c>
    </row>
    <row r="803" spans="1:25">
      <c r="A803" s="280" t="s">
        <v>46</v>
      </c>
      <c r="B803" s="279" t="s">
        <v>1385</v>
      </c>
      <c r="C803" s="278" t="s">
        <v>2992</v>
      </c>
      <c r="D803" s="277" t="s">
        <v>2993</v>
      </c>
      <c r="E803" s="276" t="s">
        <v>2994</v>
      </c>
      <c r="F803" s="277" t="s">
        <v>1388</v>
      </c>
      <c r="G803" s="276" t="s">
        <v>208</v>
      </c>
      <c r="H803" s="275">
        <v>1</v>
      </c>
      <c r="I803" s="276"/>
      <c r="J803" s="275">
        <v>300</v>
      </c>
      <c r="K803" s="274"/>
      <c r="L803" s="275">
        <v>300</v>
      </c>
      <c r="M803" s="276" t="s">
        <v>1661</v>
      </c>
      <c r="N803" s="273"/>
      <c r="O803" s="276" t="s">
        <v>1285</v>
      </c>
      <c r="P803" s="277" t="s">
        <v>1407</v>
      </c>
      <c r="Q803" s="272"/>
      <c r="R803" s="271"/>
      <c r="S803" s="270"/>
      <c r="T803" s="277" t="s">
        <v>29</v>
      </c>
      <c r="U803" s="276" t="s">
        <v>1388</v>
      </c>
      <c r="V803" s="277">
        <v>139</v>
      </c>
      <c r="W803" s="269"/>
      <c r="X803" s="268" t="s">
        <v>208</v>
      </c>
      <c r="Y803" s="267">
        <v>43769.416655092595</v>
      </c>
    </row>
    <row r="804" spans="1:25">
      <c r="A804" s="280" t="s">
        <v>46</v>
      </c>
      <c r="B804" s="279" t="s">
        <v>1385</v>
      </c>
      <c r="C804" s="278" t="s">
        <v>2995</v>
      </c>
      <c r="D804" s="277" t="s">
        <v>2067</v>
      </c>
      <c r="E804" s="276" t="s">
        <v>1419</v>
      </c>
      <c r="F804" s="277" t="s">
        <v>17</v>
      </c>
      <c r="G804" s="276" t="s">
        <v>208</v>
      </c>
      <c r="H804" s="275">
        <v>55</v>
      </c>
      <c r="I804" s="276"/>
      <c r="J804" s="275">
        <v>4.2</v>
      </c>
      <c r="K804" s="274"/>
      <c r="L804" s="275">
        <v>231</v>
      </c>
      <c r="M804" s="276" t="s">
        <v>2996</v>
      </c>
      <c r="N804" s="273">
        <v>0</v>
      </c>
      <c r="O804" s="276" t="s">
        <v>1285</v>
      </c>
      <c r="P804" s="277" t="s">
        <v>1407</v>
      </c>
      <c r="Q804" s="272"/>
      <c r="R804" s="271"/>
      <c r="S804" s="270"/>
      <c r="T804" s="277" t="s">
        <v>29</v>
      </c>
      <c r="U804" s="276" t="s">
        <v>17</v>
      </c>
      <c r="V804" s="277">
        <v>1155</v>
      </c>
      <c r="W804" s="269" t="s">
        <v>3917</v>
      </c>
      <c r="X804" s="268" t="s">
        <v>1400</v>
      </c>
      <c r="Y804" s="267">
        <v>44679.716678240744</v>
      </c>
    </row>
    <row r="805" spans="1:25">
      <c r="A805" s="280" t="s">
        <v>80</v>
      </c>
      <c r="B805" s="279" t="s">
        <v>1385</v>
      </c>
      <c r="C805" s="278" t="s">
        <v>2997</v>
      </c>
      <c r="D805" s="277" t="s">
        <v>2047</v>
      </c>
      <c r="E805" s="276" t="s">
        <v>1398</v>
      </c>
      <c r="F805" s="277" t="s">
        <v>1388</v>
      </c>
      <c r="G805" s="276" t="s">
        <v>208</v>
      </c>
      <c r="H805" s="275">
        <v>1</v>
      </c>
      <c r="I805" s="276"/>
      <c r="J805" s="275">
        <v>176</v>
      </c>
      <c r="K805" s="274"/>
      <c r="L805" s="275">
        <v>176</v>
      </c>
      <c r="M805" s="276" t="s">
        <v>2998</v>
      </c>
      <c r="N805" s="273"/>
      <c r="O805" s="276" t="s">
        <v>1285</v>
      </c>
      <c r="P805" s="277" t="s">
        <v>1407</v>
      </c>
      <c r="Q805" s="272"/>
      <c r="R805" s="271"/>
      <c r="S805" s="270"/>
      <c r="T805" s="277" t="s">
        <v>29</v>
      </c>
      <c r="U805" s="276" t="s">
        <v>1388</v>
      </c>
      <c r="V805" s="277">
        <v>113</v>
      </c>
      <c r="W805" s="269"/>
      <c r="X805" s="268" t="s">
        <v>208</v>
      </c>
      <c r="Y805" s="267">
        <v>43312</v>
      </c>
    </row>
    <row r="806" spans="1:25">
      <c r="A806" s="280" t="s">
        <v>80</v>
      </c>
      <c r="B806" s="279" t="s">
        <v>1385</v>
      </c>
      <c r="C806" s="278" t="s">
        <v>1127</v>
      </c>
      <c r="D806" s="277" t="s">
        <v>221</v>
      </c>
      <c r="E806" s="276" t="s">
        <v>1419</v>
      </c>
      <c r="F806" s="277" t="s">
        <v>17</v>
      </c>
      <c r="G806" s="276" t="s">
        <v>208</v>
      </c>
      <c r="H806" s="275">
        <v>49</v>
      </c>
      <c r="I806" s="276"/>
      <c r="J806" s="275">
        <v>6</v>
      </c>
      <c r="K806" s="274"/>
      <c r="L806" s="275">
        <v>294</v>
      </c>
      <c r="M806" s="276" t="s">
        <v>2999</v>
      </c>
      <c r="N806" s="273"/>
      <c r="O806" s="276" t="s">
        <v>1285</v>
      </c>
      <c r="P806" s="277" t="s">
        <v>1407</v>
      </c>
      <c r="Q806" s="272"/>
      <c r="R806" s="271"/>
      <c r="S806" s="270"/>
      <c r="T806" s="277" t="s">
        <v>29</v>
      </c>
      <c r="U806" s="276" t="s">
        <v>17</v>
      </c>
      <c r="V806" s="277">
        <v>1337</v>
      </c>
      <c r="W806" s="269"/>
      <c r="X806" s="268" t="s">
        <v>1363</v>
      </c>
      <c r="Y806" s="267">
        <v>44671.390694444446</v>
      </c>
    </row>
    <row r="807" spans="1:25" ht="22.5">
      <c r="A807" s="280" t="s">
        <v>95</v>
      </c>
      <c r="B807" s="279" t="s">
        <v>1385</v>
      </c>
      <c r="C807" s="278" t="s">
        <v>3000</v>
      </c>
      <c r="D807" s="277" t="s">
        <v>3001</v>
      </c>
      <c r="E807" s="276" t="s">
        <v>1391</v>
      </c>
      <c r="F807" s="277" t="s">
        <v>21</v>
      </c>
      <c r="G807" s="276"/>
      <c r="H807" s="275"/>
      <c r="I807" s="276"/>
      <c r="J807" s="275"/>
      <c r="K807" s="274"/>
      <c r="L807" s="275">
        <v>100</v>
      </c>
      <c r="M807" s="276"/>
      <c r="N807" s="273">
        <v>100</v>
      </c>
      <c r="O807" s="276" t="s">
        <v>1285</v>
      </c>
      <c r="P807" s="277"/>
      <c r="Q807" s="272"/>
      <c r="R807" s="271"/>
      <c r="S807" s="270"/>
      <c r="T807" s="277" t="s">
        <v>29</v>
      </c>
      <c r="U807" s="276" t="s">
        <v>20</v>
      </c>
      <c r="V807" s="277" t="s">
        <v>208</v>
      </c>
      <c r="W807" s="269" t="s">
        <v>3002</v>
      </c>
      <c r="X807" s="268"/>
      <c r="Y807" s="267" t="s">
        <v>208</v>
      </c>
    </row>
    <row r="808" spans="1:25">
      <c r="A808" s="280" t="s">
        <v>95</v>
      </c>
      <c r="B808" s="279" t="s">
        <v>1385</v>
      </c>
      <c r="C808" s="278" t="s">
        <v>3003</v>
      </c>
      <c r="D808" s="277" t="s">
        <v>160</v>
      </c>
      <c r="E808" s="276" t="s">
        <v>1391</v>
      </c>
      <c r="F808" s="277" t="s">
        <v>21</v>
      </c>
      <c r="G808" s="276"/>
      <c r="H808" s="275"/>
      <c r="I808" s="276"/>
      <c r="J808" s="275"/>
      <c r="K808" s="274"/>
      <c r="L808" s="275">
        <v>300</v>
      </c>
      <c r="M808" s="276"/>
      <c r="N808" s="273"/>
      <c r="O808" s="276" t="s">
        <v>1285</v>
      </c>
      <c r="P808" s="277"/>
      <c r="Q808" s="272"/>
      <c r="R808" s="271"/>
      <c r="S808" s="270"/>
      <c r="T808" s="277" t="s">
        <v>29</v>
      </c>
      <c r="U808" s="276" t="s">
        <v>20</v>
      </c>
      <c r="V808" s="277" t="s">
        <v>208</v>
      </c>
      <c r="W808" s="269" t="s">
        <v>3004</v>
      </c>
      <c r="X808" s="268"/>
      <c r="Y808" s="267" t="s">
        <v>208</v>
      </c>
    </row>
    <row r="809" spans="1:25">
      <c r="A809" s="280" t="s">
        <v>95</v>
      </c>
      <c r="B809" s="279" t="s">
        <v>1320</v>
      </c>
      <c r="C809" s="278" t="s">
        <v>3005</v>
      </c>
      <c r="D809" s="277" t="s">
        <v>1585</v>
      </c>
      <c r="E809" s="276" t="s">
        <v>1539</v>
      </c>
      <c r="F809" s="277" t="s">
        <v>18</v>
      </c>
      <c r="G809" s="276" t="s">
        <v>3006</v>
      </c>
      <c r="H809" s="275">
        <v>1</v>
      </c>
      <c r="I809" s="276"/>
      <c r="J809" s="275">
        <v>28</v>
      </c>
      <c r="K809" s="274"/>
      <c r="L809" s="275">
        <v>28</v>
      </c>
      <c r="M809" s="276" t="s">
        <v>3007</v>
      </c>
      <c r="N809" s="273"/>
      <c r="O809" s="276" t="s">
        <v>55</v>
      </c>
      <c r="P809" s="277" t="s">
        <v>1362</v>
      </c>
      <c r="Q809" s="272"/>
      <c r="R809" s="271" t="s">
        <v>1588</v>
      </c>
      <c r="S809" s="270"/>
      <c r="T809" s="277" t="s">
        <v>25</v>
      </c>
      <c r="U809" s="276" t="s">
        <v>18</v>
      </c>
      <c r="V809" s="277">
        <v>1156</v>
      </c>
      <c r="W809" s="269"/>
      <c r="X809" s="268" t="s">
        <v>1363</v>
      </c>
      <c r="Y809" s="267">
        <v>44670.608969907407</v>
      </c>
    </row>
    <row r="810" spans="1:25">
      <c r="A810" s="280" t="s">
        <v>80</v>
      </c>
      <c r="B810" s="279" t="s">
        <v>1385</v>
      </c>
      <c r="C810" s="278" t="s">
        <v>3008</v>
      </c>
      <c r="D810" s="277" t="s">
        <v>2017</v>
      </c>
      <c r="E810" s="276"/>
      <c r="F810" s="277" t="s">
        <v>21</v>
      </c>
      <c r="G810" s="276"/>
      <c r="H810" s="275"/>
      <c r="I810" s="276"/>
      <c r="J810" s="275"/>
      <c r="K810" s="274"/>
      <c r="L810" s="275">
        <v>225</v>
      </c>
      <c r="M810" s="276"/>
      <c r="N810" s="273"/>
      <c r="O810" s="276" t="s">
        <v>1285</v>
      </c>
      <c r="P810" s="277"/>
      <c r="Q810" s="272"/>
      <c r="R810" s="271" t="s">
        <v>208</v>
      </c>
      <c r="S810" s="270"/>
      <c r="T810" s="277" t="s">
        <v>29</v>
      </c>
      <c r="U810" s="276" t="s">
        <v>20</v>
      </c>
      <c r="V810" s="277" t="s">
        <v>208</v>
      </c>
      <c r="W810" s="269" t="s">
        <v>3009</v>
      </c>
      <c r="X810" s="268"/>
      <c r="Y810" s="267" t="s">
        <v>208</v>
      </c>
    </row>
    <row r="811" spans="1:25">
      <c r="A811" s="280" t="s">
        <v>46</v>
      </c>
      <c r="B811" s="279" t="s">
        <v>1320</v>
      </c>
      <c r="C811" s="278" t="s">
        <v>3010</v>
      </c>
      <c r="D811" s="277" t="s">
        <v>1393</v>
      </c>
      <c r="E811" s="276" t="s">
        <v>1398</v>
      </c>
      <c r="F811" s="277" t="s">
        <v>1388</v>
      </c>
      <c r="G811" s="276" t="s">
        <v>208</v>
      </c>
      <c r="H811" s="275">
        <v>1</v>
      </c>
      <c r="I811" s="276"/>
      <c r="J811" s="275">
        <v>0.107</v>
      </c>
      <c r="K811" s="274"/>
      <c r="L811" s="275">
        <v>0.1074</v>
      </c>
      <c r="M811" s="276" t="s">
        <v>3011</v>
      </c>
      <c r="N811" s="273"/>
      <c r="O811" s="276" t="s">
        <v>55</v>
      </c>
      <c r="P811" s="277" t="s">
        <v>1362</v>
      </c>
      <c r="Q811" s="272"/>
      <c r="R811" s="271"/>
      <c r="S811" s="270"/>
      <c r="T811" s="277" t="s">
        <v>25</v>
      </c>
      <c r="U811" s="276" t="s">
        <v>1388</v>
      </c>
      <c r="V811" s="277">
        <v>16</v>
      </c>
      <c r="W811" s="269"/>
      <c r="X811" s="268" t="s">
        <v>208</v>
      </c>
      <c r="Y811" s="267">
        <v>43312</v>
      </c>
    </row>
    <row r="812" spans="1:25">
      <c r="A812" s="280" t="s">
        <v>46</v>
      </c>
      <c r="B812" s="279" t="s">
        <v>1320</v>
      </c>
      <c r="C812" s="278" t="s">
        <v>3012</v>
      </c>
      <c r="D812" s="277" t="s">
        <v>1393</v>
      </c>
      <c r="E812" s="276" t="s">
        <v>1398</v>
      </c>
      <c r="F812" s="277" t="s">
        <v>1388</v>
      </c>
      <c r="G812" s="276" t="s">
        <v>208</v>
      </c>
      <c r="H812" s="275">
        <v>1</v>
      </c>
      <c r="I812" s="276"/>
      <c r="J812" s="275">
        <v>0.107</v>
      </c>
      <c r="K812" s="274"/>
      <c r="L812" s="275">
        <v>0.1074</v>
      </c>
      <c r="M812" s="276" t="s">
        <v>3011</v>
      </c>
      <c r="N812" s="273"/>
      <c r="O812" s="276" t="s">
        <v>55</v>
      </c>
      <c r="P812" s="277" t="s">
        <v>1362</v>
      </c>
      <c r="Q812" s="272"/>
      <c r="R812" s="271"/>
      <c r="S812" s="270"/>
      <c r="T812" s="277" t="s">
        <v>25</v>
      </c>
      <c r="U812" s="276" t="s">
        <v>1388</v>
      </c>
      <c r="V812" s="277">
        <v>17</v>
      </c>
      <c r="W812" s="269"/>
      <c r="X812" s="268" t="s">
        <v>208</v>
      </c>
      <c r="Y812" s="267">
        <v>43312</v>
      </c>
    </row>
    <row r="813" spans="1:25">
      <c r="A813" s="280" t="s">
        <v>46</v>
      </c>
      <c r="B813" s="279" t="s">
        <v>1320</v>
      </c>
      <c r="C813" s="278" t="s">
        <v>901</v>
      </c>
      <c r="D813" s="277" t="s">
        <v>3013</v>
      </c>
      <c r="E813" s="276" t="s">
        <v>1429</v>
      </c>
      <c r="F813" s="277" t="s">
        <v>1388</v>
      </c>
      <c r="G813" s="276" t="s">
        <v>3014</v>
      </c>
      <c r="H813" s="275">
        <v>1</v>
      </c>
      <c r="I813" s="276"/>
      <c r="J813" s="275">
        <v>55</v>
      </c>
      <c r="K813" s="274"/>
      <c r="L813" s="275">
        <v>55</v>
      </c>
      <c r="M813" s="276" t="s">
        <v>2125</v>
      </c>
      <c r="N813" s="273"/>
      <c r="O813" s="276" t="s">
        <v>55</v>
      </c>
      <c r="P813" s="277" t="s">
        <v>1407</v>
      </c>
      <c r="Q813" s="272"/>
      <c r="R813" s="271" t="s">
        <v>1484</v>
      </c>
      <c r="S813" s="270"/>
      <c r="T813" s="277" t="s">
        <v>25</v>
      </c>
      <c r="U813" s="276" t="s">
        <v>1388</v>
      </c>
      <c r="V813" s="277">
        <v>1402</v>
      </c>
      <c r="W813" s="269"/>
      <c r="X813" s="268" t="s">
        <v>1363</v>
      </c>
      <c r="Y813" s="267">
        <v>44671.438090277778</v>
      </c>
    </row>
    <row r="814" spans="1:25">
      <c r="A814" s="280" t="s">
        <v>80</v>
      </c>
      <c r="B814" s="279" t="s">
        <v>1320</v>
      </c>
      <c r="C814" s="278" t="s">
        <v>3015</v>
      </c>
      <c r="D814" s="277" t="s">
        <v>3016</v>
      </c>
      <c r="E814" s="276" t="s">
        <v>1359</v>
      </c>
      <c r="F814" s="277" t="s">
        <v>21</v>
      </c>
      <c r="G814" s="276" t="s">
        <v>208</v>
      </c>
      <c r="H814" s="275">
        <v>3</v>
      </c>
      <c r="I814" s="276"/>
      <c r="J814" s="275">
        <v>1.03</v>
      </c>
      <c r="K814" s="274"/>
      <c r="L814" s="275">
        <v>3.09</v>
      </c>
      <c r="M814" s="276" t="s">
        <v>2704</v>
      </c>
      <c r="N814" s="273"/>
      <c r="O814" s="276" t="s">
        <v>55</v>
      </c>
      <c r="P814" s="277" t="s">
        <v>1362</v>
      </c>
      <c r="Q814" s="272"/>
      <c r="R814" s="271"/>
      <c r="S814" s="270"/>
      <c r="T814" s="277" t="s">
        <v>25</v>
      </c>
      <c r="U814" s="276" t="s">
        <v>21</v>
      </c>
      <c r="V814" s="277">
        <v>1157</v>
      </c>
      <c r="W814" s="269"/>
      <c r="X814" s="268" t="s">
        <v>1400</v>
      </c>
      <c r="Y814" s="267">
        <v>43769.416655092595</v>
      </c>
    </row>
    <row r="815" spans="1:25">
      <c r="A815" s="280" t="s">
        <v>80</v>
      </c>
      <c r="B815" s="279" t="s">
        <v>1320</v>
      </c>
      <c r="C815" s="278" t="s">
        <v>697</v>
      </c>
      <c r="D815" s="277" t="s">
        <v>3017</v>
      </c>
      <c r="E815" s="276" t="s">
        <v>1980</v>
      </c>
      <c r="F815" s="277" t="s">
        <v>1360</v>
      </c>
      <c r="G815" s="276" t="s">
        <v>3018</v>
      </c>
      <c r="H815" s="275">
        <v>1</v>
      </c>
      <c r="I815" s="276"/>
      <c r="J815" s="275">
        <v>171</v>
      </c>
      <c r="K815" s="274"/>
      <c r="L815" s="275">
        <v>171</v>
      </c>
      <c r="M815" s="276" t="s">
        <v>3019</v>
      </c>
      <c r="N815" s="273"/>
      <c r="O815" s="276" t="s">
        <v>55</v>
      </c>
      <c r="P815" s="277" t="s">
        <v>1403</v>
      </c>
      <c r="Q815" s="272"/>
      <c r="R815" s="271" t="s">
        <v>1424</v>
      </c>
      <c r="S815" s="270"/>
      <c r="T815" s="277" t="s">
        <v>25</v>
      </c>
      <c r="U815" s="276" t="s">
        <v>13</v>
      </c>
      <c r="V815" s="277">
        <v>1158</v>
      </c>
      <c r="W815" s="269"/>
      <c r="X815" s="268" t="s">
        <v>1363</v>
      </c>
      <c r="Y815" s="267">
        <v>44670.477824074071</v>
      </c>
    </row>
    <row r="816" spans="1:25">
      <c r="A816" s="280" t="s">
        <v>80</v>
      </c>
      <c r="B816" s="279" t="s">
        <v>1320</v>
      </c>
      <c r="C816" s="278" t="s">
        <v>697</v>
      </c>
      <c r="D816" s="277" t="s">
        <v>3017</v>
      </c>
      <c r="E816" s="276" t="s">
        <v>1980</v>
      </c>
      <c r="F816" s="277" t="s">
        <v>1360</v>
      </c>
      <c r="G816" s="276" t="s">
        <v>3018</v>
      </c>
      <c r="H816" s="275">
        <v>2</v>
      </c>
      <c r="I816" s="276"/>
      <c r="J816" s="275">
        <v>179</v>
      </c>
      <c r="K816" s="274"/>
      <c r="L816" s="275">
        <v>358</v>
      </c>
      <c r="M816" s="276" t="s">
        <v>3020</v>
      </c>
      <c r="N816" s="273"/>
      <c r="O816" s="276" t="s">
        <v>55</v>
      </c>
      <c r="P816" s="277" t="s">
        <v>1403</v>
      </c>
      <c r="Q816" s="272"/>
      <c r="R816" s="271" t="s">
        <v>1424</v>
      </c>
      <c r="S816" s="270"/>
      <c r="T816" s="277" t="s">
        <v>25</v>
      </c>
      <c r="U816" s="276" t="s">
        <v>13</v>
      </c>
      <c r="V816" s="277">
        <v>1158</v>
      </c>
      <c r="W816" s="269"/>
      <c r="X816" s="268" t="s">
        <v>1363</v>
      </c>
      <c r="Y816" s="267">
        <v>44670.477824074071</v>
      </c>
    </row>
    <row r="817" spans="1:25">
      <c r="A817" s="280" t="s">
        <v>80</v>
      </c>
      <c r="B817" s="279" t="s">
        <v>1385</v>
      </c>
      <c r="C817" s="278" t="s">
        <v>3021</v>
      </c>
      <c r="D817" s="277" t="s">
        <v>3017</v>
      </c>
      <c r="E817" s="276" t="s">
        <v>1493</v>
      </c>
      <c r="F817" s="277" t="s">
        <v>1360</v>
      </c>
      <c r="G817" s="276" t="s">
        <v>208</v>
      </c>
      <c r="H817" s="275">
        <v>1</v>
      </c>
      <c r="I817" s="276"/>
      <c r="J817" s="275">
        <v>320</v>
      </c>
      <c r="K817" s="274"/>
      <c r="L817" s="275">
        <v>320</v>
      </c>
      <c r="M817" s="276" t="s">
        <v>3022</v>
      </c>
      <c r="N817" s="273"/>
      <c r="O817" s="276" t="s">
        <v>1285</v>
      </c>
      <c r="P817" s="277" t="s">
        <v>1403</v>
      </c>
      <c r="Q817" s="272"/>
      <c r="R817" s="271"/>
      <c r="S817" s="270"/>
      <c r="T817" s="277" t="s">
        <v>29</v>
      </c>
      <c r="U817" s="276" t="s">
        <v>14</v>
      </c>
      <c r="V817" s="277">
        <v>1399</v>
      </c>
      <c r="W817" s="269"/>
      <c r="X817" s="268" t="s">
        <v>1363</v>
      </c>
      <c r="Y817" s="267">
        <v>43965.713437500002</v>
      </c>
    </row>
    <row r="818" spans="1:25">
      <c r="A818" s="280" t="s">
        <v>80</v>
      </c>
      <c r="B818" s="279" t="s">
        <v>1385</v>
      </c>
      <c r="C818" s="278" t="s">
        <v>3023</v>
      </c>
      <c r="D818" s="277" t="s">
        <v>3024</v>
      </c>
      <c r="E818" s="276" t="s">
        <v>1391</v>
      </c>
      <c r="F818" s="277" t="s">
        <v>21</v>
      </c>
      <c r="G818" s="276" t="s">
        <v>208</v>
      </c>
      <c r="H818" s="275">
        <v>1</v>
      </c>
      <c r="I818" s="276"/>
      <c r="J818" s="275">
        <v>20</v>
      </c>
      <c r="K818" s="274"/>
      <c r="L818" s="275">
        <v>20</v>
      </c>
      <c r="M818" s="276" t="s">
        <v>1433</v>
      </c>
      <c r="N818" s="273">
        <v>40</v>
      </c>
      <c r="O818" s="276" t="s">
        <v>1285</v>
      </c>
      <c r="P818" s="277" t="s">
        <v>1403</v>
      </c>
      <c r="Q818" s="272"/>
      <c r="R818" s="271" t="s">
        <v>1424</v>
      </c>
      <c r="S818" s="270"/>
      <c r="T818" s="277" t="s">
        <v>29</v>
      </c>
      <c r="U818" s="276" t="s">
        <v>20</v>
      </c>
      <c r="V818" s="277">
        <v>1930</v>
      </c>
      <c r="W818" s="269"/>
      <c r="X818" s="268" t="s">
        <v>1395</v>
      </c>
      <c r="Y818" s="267">
        <v>44488.353634259256</v>
      </c>
    </row>
    <row r="819" spans="1:25">
      <c r="A819" s="280" t="s">
        <v>46</v>
      </c>
      <c r="B819" s="279" t="s">
        <v>1320</v>
      </c>
      <c r="C819" s="278" t="s">
        <v>3025</v>
      </c>
      <c r="D819" s="277" t="s">
        <v>1393</v>
      </c>
      <c r="E819" s="276" t="s">
        <v>1398</v>
      </c>
      <c r="F819" s="277" t="s">
        <v>1388</v>
      </c>
      <c r="G819" s="276" t="s">
        <v>208</v>
      </c>
      <c r="H819" s="275">
        <v>1</v>
      </c>
      <c r="I819" s="276"/>
      <c r="J819" s="275">
        <v>0.2</v>
      </c>
      <c r="K819" s="274"/>
      <c r="L819" s="275">
        <v>0.19989999999999999</v>
      </c>
      <c r="M819" s="276" t="s">
        <v>3026</v>
      </c>
      <c r="N819" s="273"/>
      <c r="O819" s="276" t="s">
        <v>55</v>
      </c>
      <c r="P819" s="277" t="s">
        <v>1362</v>
      </c>
      <c r="Q819" s="272"/>
      <c r="R819" s="271"/>
      <c r="S819" s="270"/>
      <c r="T819" s="277" t="s">
        <v>25</v>
      </c>
      <c r="U819" s="276" t="s">
        <v>1388</v>
      </c>
      <c r="V819" s="277">
        <v>18</v>
      </c>
      <c r="W819" s="269"/>
      <c r="X819" s="268" t="s">
        <v>208</v>
      </c>
      <c r="Y819" s="267">
        <v>43312</v>
      </c>
    </row>
    <row r="820" spans="1:25">
      <c r="A820" s="280" t="s">
        <v>100</v>
      </c>
      <c r="B820" s="279" t="s">
        <v>1385</v>
      </c>
      <c r="C820" s="278" t="s">
        <v>3027</v>
      </c>
      <c r="D820" s="277" t="s">
        <v>2047</v>
      </c>
      <c r="E820" s="276" t="s">
        <v>1419</v>
      </c>
      <c r="F820" s="277" t="s">
        <v>17</v>
      </c>
      <c r="G820" s="276" t="s">
        <v>208</v>
      </c>
      <c r="H820" s="275">
        <v>134</v>
      </c>
      <c r="I820" s="276"/>
      <c r="J820" s="275">
        <v>1.478</v>
      </c>
      <c r="K820" s="274"/>
      <c r="L820" s="275">
        <v>198.05199999999999</v>
      </c>
      <c r="M820" s="276" t="s">
        <v>3028</v>
      </c>
      <c r="N820" s="273"/>
      <c r="O820" s="276" t="s">
        <v>1285</v>
      </c>
      <c r="P820" s="277" t="s">
        <v>1407</v>
      </c>
      <c r="Q820" s="272"/>
      <c r="R820" s="271"/>
      <c r="S820" s="270"/>
      <c r="T820" s="277" t="s">
        <v>29</v>
      </c>
      <c r="U820" s="276" t="s">
        <v>17</v>
      </c>
      <c r="V820" s="277">
        <v>1272</v>
      </c>
      <c r="W820" s="269"/>
      <c r="X820" s="268" t="s">
        <v>208</v>
      </c>
      <c r="Y820" s="267">
        <v>43769.416655092595</v>
      </c>
    </row>
    <row r="821" spans="1:25">
      <c r="A821" s="280" t="s">
        <v>100</v>
      </c>
      <c r="B821" s="279" t="s">
        <v>1385</v>
      </c>
      <c r="C821" s="278" t="s">
        <v>3029</v>
      </c>
      <c r="D821" s="277" t="s">
        <v>3030</v>
      </c>
      <c r="E821" s="276" t="s">
        <v>1429</v>
      </c>
      <c r="F821" s="277" t="s">
        <v>1388</v>
      </c>
      <c r="G821" s="276" t="s">
        <v>208</v>
      </c>
      <c r="H821" s="275">
        <v>1</v>
      </c>
      <c r="I821" s="276"/>
      <c r="J821" s="275">
        <v>60</v>
      </c>
      <c r="K821" s="274"/>
      <c r="L821" s="275">
        <v>60</v>
      </c>
      <c r="M821" s="276" t="s">
        <v>1651</v>
      </c>
      <c r="N821" s="273">
        <v>0</v>
      </c>
      <c r="O821" s="276" t="s">
        <v>1285</v>
      </c>
      <c r="P821" s="277" t="s">
        <v>1407</v>
      </c>
      <c r="Q821" s="272"/>
      <c r="R821" s="271"/>
      <c r="S821" s="270"/>
      <c r="T821" s="277" t="s">
        <v>29</v>
      </c>
      <c r="U821" s="276" t="s">
        <v>1388</v>
      </c>
      <c r="V821" s="277">
        <v>1976</v>
      </c>
      <c r="W821" s="269"/>
      <c r="X821" s="268" t="s">
        <v>208</v>
      </c>
      <c r="Y821" s="267">
        <v>44732.488634259258</v>
      </c>
    </row>
    <row r="822" spans="1:25">
      <c r="A822" s="280" t="s">
        <v>80</v>
      </c>
      <c r="B822" s="279" t="s">
        <v>1320</v>
      </c>
      <c r="C822" s="278" t="s">
        <v>3031</v>
      </c>
      <c r="D822" s="277" t="s">
        <v>3032</v>
      </c>
      <c r="E822" s="276" t="s">
        <v>1429</v>
      </c>
      <c r="F822" s="277" t="s">
        <v>1388</v>
      </c>
      <c r="G822" s="276" t="s">
        <v>208</v>
      </c>
      <c r="H822" s="275">
        <v>2</v>
      </c>
      <c r="I822" s="276"/>
      <c r="J822" s="275">
        <v>2.4500000000000002</v>
      </c>
      <c r="K822" s="274"/>
      <c r="L822" s="275">
        <v>4.9000000000000004</v>
      </c>
      <c r="M822" s="276" t="s">
        <v>3033</v>
      </c>
      <c r="N822" s="273"/>
      <c r="O822" s="276" t="s">
        <v>55</v>
      </c>
      <c r="P822" s="277" t="s">
        <v>1362</v>
      </c>
      <c r="Q822" s="272"/>
      <c r="R822" s="271"/>
      <c r="S822" s="270"/>
      <c r="T822" s="277" t="s">
        <v>25</v>
      </c>
      <c r="U822" s="276" t="s">
        <v>1388</v>
      </c>
      <c r="V822" s="277">
        <v>1535</v>
      </c>
      <c r="W822" s="269"/>
      <c r="X822" s="268" t="s">
        <v>1400</v>
      </c>
      <c r="Y822" s="267">
        <v>43769.416655092595</v>
      </c>
    </row>
    <row r="823" spans="1:25">
      <c r="A823" s="280" t="s">
        <v>46</v>
      </c>
      <c r="B823" s="279" t="s">
        <v>1385</v>
      </c>
      <c r="C823" s="278" t="s">
        <v>3034</v>
      </c>
      <c r="D823" s="277" t="s">
        <v>3034</v>
      </c>
      <c r="E823" s="276" t="s">
        <v>1735</v>
      </c>
      <c r="F823" s="277" t="s">
        <v>1388</v>
      </c>
      <c r="G823" s="276" t="s">
        <v>208</v>
      </c>
      <c r="H823" s="275">
        <v>1</v>
      </c>
      <c r="I823" s="276"/>
      <c r="J823" s="275">
        <v>22</v>
      </c>
      <c r="K823" s="274"/>
      <c r="L823" s="275">
        <v>22</v>
      </c>
      <c r="M823" s="276" t="s">
        <v>2456</v>
      </c>
      <c r="N823" s="273"/>
      <c r="O823" s="276" t="s">
        <v>1285</v>
      </c>
      <c r="P823" s="277" t="s">
        <v>1362</v>
      </c>
      <c r="Q823" s="272"/>
      <c r="R823" s="271"/>
      <c r="S823" s="270"/>
      <c r="T823" s="277" t="s">
        <v>29</v>
      </c>
      <c r="U823" s="276" t="s">
        <v>1388</v>
      </c>
      <c r="V823" s="277">
        <v>1584</v>
      </c>
      <c r="W823" s="269"/>
      <c r="X823" s="268" t="s">
        <v>208</v>
      </c>
      <c r="Y823" s="267">
        <v>43769.416655092595</v>
      </c>
    </row>
    <row r="824" spans="1:25">
      <c r="A824" s="280" t="s">
        <v>46</v>
      </c>
      <c r="B824" s="279" t="s">
        <v>1320</v>
      </c>
      <c r="C824" s="278" t="s">
        <v>3035</v>
      </c>
      <c r="D824" s="277" t="s">
        <v>49</v>
      </c>
      <c r="E824" s="276" t="s">
        <v>1539</v>
      </c>
      <c r="F824" s="277" t="s">
        <v>18</v>
      </c>
      <c r="G824" s="276" t="s">
        <v>3036</v>
      </c>
      <c r="H824" s="275">
        <v>1</v>
      </c>
      <c r="I824" s="276"/>
      <c r="J824" s="275">
        <v>5.7720000000000002</v>
      </c>
      <c r="K824" s="274"/>
      <c r="L824" s="275">
        <v>5.7720000000000002</v>
      </c>
      <c r="M824" s="276" t="s">
        <v>3037</v>
      </c>
      <c r="N824" s="273"/>
      <c r="O824" s="276" t="s">
        <v>55</v>
      </c>
      <c r="P824" s="277" t="s">
        <v>1362</v>
      </c>
      <c r="Q824" s="272"/>
      <c r="R824" s="271"/>
      <c r="S824" s="270"/>
      <c r="T824" s="277" t="s">
        <v>25</v>
      </c>
      <c r="U824" s="276" t="s">
        <v>18</v>
      </c>
      <c r="V824" s="277">
        <v>1159</v>
      </c>
      <c r="W824" s="269"/>
      <c r="X824" s="268" t="s">
        <v>1363</v>
      </c>
      <c r="Y824" s="267">
        <v>44670.479803240742</v>
      </c>
    </row>
    <row r="825" spans="1:25">
      <c r="A825" s="280" t="s">
        <v>100</v>
      </c>
      <c r="B825" s="279" t="s">
        <v>1385</v>
      </c>
      <c r="C825" s="278" t="s">
        <v>3038</v>
      </c>
      <c r="D825" s="277" t="s">
        <v>3039</v>
      </c>
      <c r="E825" s="276" t="s">
        <v>1391</v>
      </c>
      <c r="F825" s="277" t="s">
        <v>21</v>
      </c>
      <c r="G825" s="276" t="s">
        <v>208</v>
      </c>
      <c r="H825" s="275">
        <v>1</v>
      </c>
      <c r="I825" s="276"/>
      <c r="J825" s="275">
        <v>250</v>
      </c>
      <c r="K825" s="274"/>
      <c r="L825" s="275">
        <v>250</v>
      </c>
      <c r="M825" s="276" t="s">
        <v>1564</v>
      </c>
      <c r="N825" s="273">
        <v>250</v>
      </c>
      <c r="O825" s="276" t="s">
        <v>1285</v>
      </c>
      <c r="P825" s="277" t="s">
        <v>1393</v>
      </c>
      <c r="Q825" s="272"/>
      <c r="R825" s="271"/>
      <c r="S825" s="270"/>
      <c r="T825" s="277" t="s">
        <v>29</v>
      </c>
      <c r="U825" s="276" t="s">
        <v>20</v>
      </c>
      <c r="V825" s="277">
        <v>1997</v>
      </c>
      <c r="W825" s="269" t="s">
        <v>3988</v>
      </c>
      <c r="X825" s="268" t="s">
        <v>208</v>
      </c>
      <c r="Y825" s="267">
        <v>44641.408368055556</v>
      </c>
    </row>
    <row r="826" spans="1:25">
      <c r="A826" s="280" t="s">
        <v>62</v>
      </c>
      <c r="B826" s="279" t="s">
        <v>1320</v>
      </c>
      <c r="C826" s="278" t="s">
        <v>3040</v>
      </c>
      <c r="D826" s="277" t="s">
        <v>3041</v>
      </c>
      <c r="E826" s="276" t="s">
        <v>1596</v>
      </c>
      <c r="F826" s="277" t="s">
        <v>1856</v>
      </c>
      <c r="G826" s="276" t="s">
        <v>208</v>
      </c>
      <c r="H826" s="275">
        <v>1</v>
      </c>
      <c r="I826" s="276"/>
      <c r="J826" s="275">
        <v>30.9</v>
      </c>
      <c r="K826" s="274"/>
      <c r="L826" s="275">
        <v>30.9</v>
      </c>
      <c r="M826" s="276" t="s">
        <v>3042</v>
      </c>
      <c r="N826" s="273"/>
      <c r="O826" s="276" t="s">
        <v>55</v>
      </c>
      <c r="P826" s="277" t="s">
        <v>1362</v>
      </c>
      <c r="Q826" s="272"/>
      <c r="R826" s="271"/>
      <c r="S826" s="270"/>
      <c r="T826" s="277" t="s">
        <v>25</v>
      </c>
      <c r="U826" s="276" t="s">
        <v>19</v>
      </c>
      <c r="V826" s="277">
        <v>1160</v>
      </c>
      <c r="W826" s="269"/>
      <c r="X826" s="268" t="s">
        <v>1363</v>
      </c>
      <c r="Y826" s="267">
        <v>44670.481620370374</v>
      </c>
    </row>
    <row r="827" spans="1:25">
      <c r="A827" s="280" t="s">
        <v>62</v>
      </c>
      <c r="B827" s="279" t="s">
        <v>1320</v>
      </c>
      <c r="C827" s="278" t="s">
        <v>3040</v>
      </c>
      <c r="D827" s="277" t="s">
        <v>3041</v>
      </c>
      <c r="E827" s="276" t="s">
        <v>1596</v>
      </c>
      <c r="F827" s="277" t="s">
        <v>1856</v>
      </c>
      <c r="G827" s="276" t="s">
        <v>208</v>
      </c>
      <c r="H827" s="275">
        <v>1</v>
      </c>
      <c r="I827" s="276"/>
      <c r="J827" s="275">
        <v>36.9</v>
      </c>
      <c r="K827" s="274"/>
      <c r="L827" s="275">
        <v>36.9</v>
      </c>
      <c r="M827" s="276" t="s">
        <v>3043</v>
      </c>
      <c r="N827" s="273"/>
      <c r="O827" s="276" t="s">
        <v>55</v>
      </c>
      <c r="P827" s="277" t="s">
        <v>1362</v>
      </c>
      <c r="Q827" s="272"/>
      <c r="R827" s="271"/>
      <c r="S827" s="270"/>
      <c r="T827" s="277" t="s">
        <v>25</v>
      </c>
      <c r="U827" s="276" t="s">
        <v>19</v>
      </c>
      <c r="V827" s="277">
        <v>1160</v>
      </c>
      <c r="W827" s="269"/>
      <c r="X827" s="268" t="s">
        <v>1363</v>
      </c>
      <c r="Y827" s="267">
        <v>44670.481620370374</v>
      </c>
    </row>
    <row r="828" spans="1:25">
      <c r="A828" s="280" t="s">
        <v>62</v>
      </c>
      <c r="B828" s="279" t="s">
        <v>1320</v>
      </c>
      <c r="C828" s="278" t="s">
        <v>3044</v>
      </c>
      <c r="D828" s="277" t="s">
        <v>2452</v>
      </c>
      <c r="E828" s="276" t="s">
        <v>1596</v>
      </c>
      <c r="F828" s="277" t="s">
        <v>1856</v>
      </c>
      <c r="G828" s="276" t="s">
        <v>208</v>
      </c>
      <c r="H828" s="275">
        <v>1</v>
      </c>
      <c r="I828" s="276"/>
      <c r="J828" s="275">
        <v>4</v>
      </c>
      <c r="K828" s="274"/>
      <c r="L828" s="275">
        <v>4</v>
      </c>
      <c r="M828" s="276" t="s">
        <v>2738</v>
      </c>
      <c r="N828" s="273"/>
      <c r="O828" s="276" t="s">
        <v>55</v>
      </c>
      <c r="P828" s="277" t="s">
        <v>1362</v>
      </c>
      <c r="Q828" s="272"/>
      <c r="R828" s="271"/>
      <c r="S828" s="270"/>
      <c r="T828" s="277" t="s">
        <v>25</v>
      </c>
      <c r="U828" s="276" t="s">
        <v>19</v>
      </c>
      <c r="V828" s="277">
        <v>1161</v>
      </c>
      <c r="W828" s="269"/>
      <c r="X828" s="268" t="s">
        <v>1363</v>
      </c>
      <c r="Y828" s="267">
        <v>44670.610243055555</v>
      </c>
    </row>
    <row r="829" spans="1:25">
      <c r="A829" s="280" t="s">
        <v>62</v>
      </c>
      <c r="B829" s="279" t="s">
        <v>1320</v>
      </c>
      <c r="C829" s="278" t="s">
        <v>3044</v>
      </c>
      <c r="D829" s="277" t="s">
        <v>2452</v>
      </c>
      <c r="E829" s="276" t="s">
        <v>1596</v>
      </c>
      <c r="F829" s="277" t="s">
        <v>1856</v>
      </c>
      <c r="G829" s="276" t="s">
        <v>208</v>
      </c>
      <c r="H829" s="275">
        <v>1</v>
      </c>
      <c r="I829" s="276"/>
      <c r="J829" s="275">
        <v>10</v>
      </c>
      <c r="K829" s="274"/>
      <c r="L829" s="275">
        <v>10</v>
      </c>
      <c r="M829" s="276" t="s">
        <v>1543</v>
      </c>
      <c r="N829" s="273"/>
      <c r="O829" s="276" t="s">
        <v>55</v>
      </c>
      <c r="P829" s="277" t="s">
        <v>1362</v>
      </c>
      <c r="Q829" s="272"/>
      <c r="R829" s="271"/>
      <c r="S829" s="270"/>
      <c r="T829" s="277" t="s">
        <v>25</v>
      </c>
      <c r="U829" s="276" t="s">
        <v>19</v>
      </c>
      <c r="V829" s="277">
        <v>1161</v>
      </c>
      <c r="W829" s="269"/>
      <c r="X829" s="268" t="s">
        <v>1363</v>
      </c>
      <c r="Y829" s="267">
        <v>44670.610243055555</v>
      </c>
    </row>
    <row r="830" spans="1:25" ht="22.5">
      <c r="A830" s="280" t="s">
        <v>80</v>
      </c>
      <c r="B830" s="279" t="s">
        <v>1385</v>
      </c>
      <c r="C830" s="278" t="s">
        <v>3045</v>
      </c>
      <c r="D830" s="277" t="s">
        <v>3046</v>
      </c>
      <c r="E830" s="276" t="s">
        <v>1398</v>
      </c>
      <c r="F830" s="277" t="s">
        <v>1388</v>
      </c>
      <c r="G830" s="276" t="s">
        <v>208</v>
      </c>
      <c r="H830" s="275">
        <v>2</v>
      </c>
      <c r="I830" s="276"/>
      <c r="J830" s="275">
        <v>1</v>
      </c>
      <c r="K830" s="274"/>
      <c r="L830" s="275">
        <v>2</v>
      </c>
      <c r="M830" s="276" t="s">
        <v>1846</v>
      </c>
      <c r="N830" s="273">
        <v>2</v>
      </c>
      <c r="O830" s="276" t="s">
        <v>1285</v>
      </c>
      <c r="P830" s="277" t="s">
        <v>1362</v>
      </c>
      <c r="Q830" s="272"/>
      <c r="R830" s="271"/>
      <c r="S830" s="270"/>
      <c r="T830" s="277" t="s">
        <v>29</v>
      </c>
      <c r="U830" s="276" t="s">
        <v>1388</v>
      </c>
      <c r="V830" s="277">
        <v>1665</v>
      </c>
      <c r="W830" s="269"/>
      <c r="X830" s="268" t="s">
        <v>1400</v>
      </c>
      <c r="Y830" s="267">
        <v>43769.416655092595</v>
      </c>
    </row>
    <row r="831" spans="1:25">
      <c r="A831" s="280" t="s">
        <v>95</v>
      </c>
      <c r="B831" s="279" t="s">
        <v>1320</v>
      </c>
      <c r="C831" s="278" t="s">
        <v>3047</v>
      </c>
      <c r="D831" s="277" t="s">
        <v>1585</v>
      </c>
      <c r="E831" s="276" t="s">
        <v>1539</v>
      </c>
      <c r="F831" s="277" t="s">
        <v>18</v>
      </c>
      <c r="G831" s="276" t="s">
        <v>3048</v>
      </c>
      <c r="H831" s="275">
        <v>2</v>
      </c>
      <c r="I831" s="276"/>
      <c r="J831" s="275">
        <v>50</v>
      </c>
      <c r="K831" s="274"/>
      <c r="L831" s="275">
        <v>100</v>
      </c>
      <c r="M831" s="276" t="s">
        <v>1546</v>
      </c>
      <c r="N831" s="273"/>
      <c r="O831" s="276" t="s">
        <v>55</v>
      </c>
      <c r="P831" s="277" t="s">
        <v>1403</v>
      </c>
      <c r="Q831" s="272"/>
      <c r="R831" s="271" t="s">
        <v>1588</v>
      </c>
      <c r="S831" s="270"/>
      <c r="T831" s="277" t="s">
        <v>25</v>
      </c>
      <c r="U831" s="276" t="s">
        <v>18</v>
      </c>
      <c r="V831" s="277">
        <v>1162</v>
      </c>
      <c r="W831" s="269"/>
      <c r="X831" s="268" t="s">
        <v>1363</v>
      </c>
      <c r="Y831" s="267">
        <v>44672.652638888889</v>
      </c>
    </row>
    <row r="832" spans="1:25">
      <c r="A832" s="280" t="s">
        <v>95</v>
      </c>
      <c r="B832" s="279" t="s">
        <v>1320</v>
      </c>
      <c r="C832" s="278" t="s">
        <v>3047</v>
      </c>
      <c r="D832" s="277" t="s">
        <v>1585</v>
      </c>
      <c r="E832" s="276" t="s">
        <v>1539</v>
      </c>
      <c r="F832" s="277" t="s">
        <v>18</v>
      </c>
      <c r="G832" s="276" t="s">
        <v>3049</v>
      </c>
      <c r="H832" s="275">
        <v>4</v>
      </c>
      <c r="I832" s="276"/>
      <c r="J832" s="275">
        <v>50</v>
      </c>
      <c r="K832" s="274"/>
      <c r="L832" s="275">
        <v>200</v>
      </c>
      <c r="M832" s="276" t="s">
        <v>1615</v>
      </c>
      <c r="N832" s="273"/>
      <c r="O832" s="276" t="s">
        <v>55</v>
      </c>
      <c r="P832" s="277" t="s">
        <v>1403</v>
      </c>
      <c r="Q832" s="272"/>
      <c r="R832" s="271" t="s">
        <v>1588</v>
      </c>
      <c r="S832" s="270"/>
      <c r="T832" s="277" t="s">
        <v>25</v>
      </c>
      <c r="U832" s="276" t="s">
        <v>18</v>
      </c>
      <c r="V832" s="277">
        <v>1162</v>
      </c>
      <c r="W832" s="269"/>
      <c r="X832" s="268" t="s">
        <v>1363</v>
      </c>
      <c r="Y832" s="267">
        <v>44672.652638888889</v>
      </c>
    </row>
    <row r="833" spans="1:25" ht="22.5">
      <c r="A833" s="280" t="s">
        <v>80</v>
      </c>
      <c r="B833" s="279" t="s">
        <v>1385</v>
      </c>
      <c r="C833" s="278" t="s">
        <v>198</v>
      </c>
      <c r="D833" s="277" t="s">
        <v>199</v>
      </c>
      <c r="E833" s="276" t="s">
        <v>1398</v>
      </c>
      <c r="F833" s="277" t="s">
        <v>1388</v>
      </c>
      <c r="G833" s="276" t="s">
        <v>208</v>
      </c>
      <c r="H833" s="275">
        <v>36</v>
      </c>
      <c r="I833" s="276"/>
      <c r="J833" s="275">
        <v>2.2000000000000002</v>
      </c>
      <c r="K833" s="274"/>
      <c r="L833" s="275">
        <v>79.2</v>
      </c>
      <c r="M833" s="276" t="s">
        <v>3050</v>
      </c>
      <c r="N833" s="273"/>
      <c r="O833" s="276" t="s">
        <v>27</v>
      </c>
      <c r="P833" s="277" t="s">
        <v>1407</v>
      </c>
      <c r="Q833" s="272" t="s">
        <v>1537</v>
      </c>
      <c r="R833" s="271" t="s">
        <v>1457</v>
      </c>
      <c r="S833" s="270"/>
      <c r="T833" s="277" t="s">
        <v>27</v>
      </c>
      <c r="U833" s="276" t="s">
        <v>1388</v>
      </c>
      <c r="V833" s="277">
        <v>1392</v>
      </c>
      <c r="W833" s="269" t="s">
        <v>3970</v>
      </c>
      <c r="X833" s="268" t="s">
        <v>1453</v>
      </c>
      <c r="Y833" s="267">
        <v>44743.458368055559</v>
      </c>
    </row>
    <row r="834" spans="1:25" ht="22.5">
      <c r="A834" s="280" t="s">
        <v>80</v>
      </c>
      <c r="B834" s="279" t="s">
        <v>1385</v>
      </c>
      <c r="C834" s="278" t="s">
        <v>200</v>
      </c>
      <c r="D834" s="277" t="s">
        <v>199</v>
      </c>
      <c r="E834" s="276" t="s">
        <v>1419</v>
      </c>
      <c r="F834" s="277" t="s">
        <v>17</v>
      </c>
      <c r="G834" s="276" t="s">
        <v>208</v>
      </c>
      <c r="H834" s="275">
        <v>50</v>
      </c>
      <c r="I834" s="276"/>
      <c r="J834" s="275">
        <v>4.2</v>
      </c>
      <c r="K834" s="274"/>
      <c r="L834" s="275">
        <v>210</v>
      </c>
      <c r="M834" s="276" t="s">
        <v>1557</v>
      </c>
      <c r="N834" s="273">
        <v>0</v>
      </c>
      <c r="O834" s="276" t="s">
        <v>27</v>
      </c>
      <c r="P834" s="277" t="s">
        <v>1407</v>
      </c>
      <c r="Q834" s="272" t="s">
        <v>1409</v>
      </c>
      <c r="R834" s="271" t="s">
        <v>1474</v>
      </c>
      <c r="S834" s="270"/>
      <c r="T834" s="277" t="s">
        <v>27</v>
      </c>
      <c r="U834" s="276" t="s">
        <v>17</v>
      </c>
      <c r="V834" s="277">
        <v>1375</v>
      </c>
      <c r="W834" s="269"/>
      <c r="X834" s="268" t="s">
        <v>1453</v>
      </c>
      <c r="Y834" s="267">
        <v>44743.456388888888</v>
      </c>
    </row>
    <row r="835" spans="1:25">
      <c r="A835" s="280" t="s">
        <v>46</v>
      </c>
      <c r="B835" s="279" t="s">
        <v>1385</v>
      </c>
      <c r="C835" s="278" t="s">
        <v>56</v>
      </c>
      <c r="D835" s="277" t="s">
        <v>57</v>
      </c>
      <c r="E835" s="276"/>
      <c r="F835" s="277" t="s">
        <v>21</v>
      </c>
      <c r="G835" s="276"/>
      <c r="H835" s="275">
        <v>1</v>
      </c>
      <c r="I835" s="276"/>
      <c r="J835" s="275"/>
      <c r="K835" s="274"/>
      <c r="L835" s="275">
        <v>660</v>
      </c>
      <c r="M835" s="276">
        <v>660</v>
      </c>
      <c r="N835" s="273"/>
      <c r="O835" s="276" t="s">
        <v>1285</v>
      </c>
      <c r="P835" s="277"/>
      <c r="Q835" s="272"/>
      <c r="R835" s="271"/>
      <c r="S835" s="270"/>
      <c r="T835" s="277" t="s">
        <v>29</v>
      </c>
      <c r="U835" s="276" t="s">
        <v>21</v>
      </c>
      <c r="V835" s="277"/>
      <c r="W835" s="269" t="s">
        <v>4026</v>
      </c>
      <c r="X835" s="268"/>
      <c r="Y835" s="267"/>
    </row>
    <row r="836" spans="1:25" ht="22.5">
      <c r="A836" s="280" t="s">
        <v>46</v>
      </c>
      <c r="B836" s="279" t="s">
        <v>1385</v>
      </c>
      <c r="C836" s="278" t="s">
        <v>3051</v>
      </c>
      <c r="D836" s="277" t="s">
        <v>1580</v>
      </c>
      <c r="E836" s="276" t="s">
        <v>1581</v>
      </c>
      <c r="F836" s="277" t="s">
        <v>17</v>
      </c>
      <c r="G836" s="276" t="s">
        <v>208</v>
      </c>
      <c r="H836" s="275">
        <v>150</v>
      </c>
      <c r="I836" s="276"/>
      <c r="J836" s="275">
        <v>20</v>
      </c>
      <c r="K836" s="274"/>
      <c r="L836" s="275">
        <v>3000</v>
      </c>
      <c r="M836" s="276" t="s">
        <v>3052</v>
      </c>
      <c r="N836" s="273">
        <v>0</v>
      </c>
      <c r="O836" s="276" t="s">
        <v>1285</v>
      </c>
      <c r="P836" s="277" t="s">
        <v>1407</v>
      </c>
      <c r="Q836" s="272"/>
      <c r="R836" s="271"/>
      <c r="S836" s="270"/>
      <c r="T836" s="277" t="s">
        <v>29</v>
      </c>
      <c r="U836" s="276" t="s">
        <v>17</v>
      </c>
      <c r="V836" s="277">
        <v>1915</v>
      </c>
      <c r="W836" s="269"/>
      <c r="X836" s="268" t="s">
        <v>1583</v>
      </c>
      <c r="Y836" s="267">
        <v>44684.610682870371</v>
      </c>
    </row>
    <row r="837" spans="1:25">
      <c r="A837" s="280" t="s">
        <v>95</v>
      </c>
      <c r="B837" s="279" t="s">
        <v>1385</v>
      </c>
      <c r="C837" s="278" t="s">
        <v>3053</v>
      </c>
      <c r="D837" s="277" t="s">
        <v>3054</v>
      </c>
      <c r="E837" s="276"/>
      <c r="F837" s="277" t="s">
        <v>17</v>
      </c>
      <c r="G837" s="276"/>
      <c r="H837" s="275"/>
      <c r="I837" s="276"/>
      <c r="J837" s="275"/>
      <c r="K837" s="274"/>
      <c r="L837" s="275">
        <v>21</v>
      </c>
      <c r="M837" s="276"/>
      <c r="N837" s="273"/>
      <c r="O837" s="276" t="s">
        <v>1285</v>
      </c>
      <c r="P837" s="277"/>
      <c r="Q837" s="272"/>
      <c r="R837" s="271" t="s">
        <v>208</v>
      </c>
      <c r="S837" s="270"/>
      <c r="T837" s="277" t="s">
        <v>29</v>
      </c>
      <c r="U837" s="276" t="s">
        <v>17</v>
      </c>
      <c r="V837" s="277" t="s">
        <v>208</v>
      </c>
      <c r="W837" s="269" t="s">
        <v>3055</v>
      </c>
      <c r="X837" s="275"/>
      <c r="Y837" s="267" t="s">
        <v>208</v>
      </c>
    </row>
    <row r="838" spans="1:25">
      <c r="A838" s="280" t="s">
        <v>80</v>
      </c>
      <c r="B838" s="279" t="s">
        <v>1320</v>
      </c>
      <c r="C838" s="278" t="s">
        <v>3056</v>
      </c>
      <c r="D838" s="277" t="s">
        <v>2103</v>
      </c>
      <c r="E838" s="276" t="s">
        <v>1493</v>
      </c>
      <c r="F838" s="277" t="s">
        <v>1431</v>
      </c>
      <c r="G838" s="276" t="s">
        <v>3057</v>
      </c>
      <c r="H838" s="275">
        <v>2</v>
      </c>
      <c r="I838" s="276"/>
      <c r="J838" s="275">
        <v>25</v>
      </c>
      <c r="K838" s="274"/>
      <c r="L838" s="275">
        <v>50</v>
      </c>
      <c r="M838" s="276" t="s">
        <v>1489</v>
      </c>
      <c r="N838" s="273"/>
      <c r="O838" s="276" t="s">
        <v>55</v>
      </c>
      <c r="P838" s="277" t="s">
        <v>1403</v>
      </c>
      <c r="Q838" s="272"/>
      <c r="R838" s="271" t="s">
        <v>1655</v>
      </c>
      <c r="S838" s="270"/>
      <c r="T838" s="277" t="s">
        <v>25</v>
      </c>
      <c r="U838" s="276" t="s">
        <v>14</v>
      </c>
      <c r="V838" s="277">
        <v>1163</v>
      </c>
      <c r="W838" s="269"/>
      <c r="X838" s="268" t="s">
        <v>1363</v>
      </c>
      <c r="Y838" s="267">
        <v>44670.482361111113</v>
      </c>
    </row>
    <row r="839" spans="1:25">
      <c r="A839" s="280" t="s">
        <v>80</v>
      </c>
      <c r="B839" s="279" t="s">
        <v>1320</v>
      </c>
      <c r="C839" s="278" t="s">
        <v>3056</v>
      </c>
      <c r="D839" s="277" t="s">
        <v>2103</v>
      </c>
      <c r="E839" s="276" t="s">
        <v>1493</v>
      </c>
      <c r="F839" s="277" t="s">
        <v>1431</v>
      </c>
      <c r="G839" s="276" t="s">
        <v>3058</v>
      </c>
      <c r="H839" s="275">
        <v>1</v>
      </c>
      <c r="I839" s="276"/>
      <c r="J839" s="275">
        <v>23.5</v>
      </c>
      <c r="K839" s="274"/>
      <c r="L839" s="275">
        <v>23.5</v>
      </c>
      <c r="M839" s="276" t="s">
        <v>3059</v>
      </c>
      <c r="N839" s="273"/>
      <c r="O839" s="276" t="s">
        <v>55</v>
      </c>
      <c r="P839" s="277" t="s">
        <v>1403</v>
      </c>
      <c r="Q839" s="272"/>
      <c r="R839" s="271" t="s">
        <v>1655</v>
      </c>
      <c r="S839" s="270"/>
      <c r="T839" s="277" t="s">
        <v>25</v>
      </c>
      <c r="U839" s="276" t="s">
        <v>14</v>
      </c>
      <c r="V839" s="277">
        <v>1163</v>
      </c>
      <c r="W839" s="269"/>
      <c r="X839" s="268" t="s">
        <v>1363</v>
      </c>
      <c r="Y839" s="267">
        <v>44670.482361111113</v>
      </c>
    </row>
    <row r="840" spans="1:25">
      <c r="A840" s="280" t="s">
        <v>80</v>
      </c>
      <c r="B840" s="279" t="s">
        <v>1385</v>
      </c>
      <c r="C840" s="278" t="s">
        <v>4014</v>
      </c>
      <c r="D840" s="277" t="s">
        <v>4015</v>
      </c>
      <c r="E840" s="276"/>
      <c r="F840" s="277" t="s">
        <v>1527</v>
      </c>
      <c r="G840" s="276"/>
      <c r="H840" s="275"/>
      <c r="I840" s="276"/>
      <c r="J840" s="275"/>
      <c r="K840" s="274"/>
      <c r="L840" s="281">
        <v>300</v>
      </c>
      <c r="M840" s="276">
        <v>300</v>
      </c>
      <c r="N840" s="273"/>
      <c r="O840" s="276" t="s">
        <v>1285</v>
      </c>
      <c r="P840" s="277"/>
      <c r="Q840" s="272"/>
      <c r="R840" s="271"/>
      <c r="S840" s="270"/>
      <c r="T840" s="277" t="s">
        <v>29</v>
      </c>
      <c r="U840" s="276" t="s">
        <v>1388</v>
      </c>
      <c r="V840" s="277"/>
      <c r="W840" s="269" t="s">
        <v>4043</v>
      </c>
      <c r="X840" s="268"/>
      <c r="Y840" s="267"/>
    </row>
    <row r="841" spans="1:25">
      <c r="A841" s="280" t="s">
        <v>80</v>
      </c>
      <c r="B841" s="279" t="s">
        <v>1320</v>
      </c>
      <c r="C841" s="278" t="s">
        <v>3060</v>
      </c>
      <c r="D841" s="277" t="s">
        <v>558</v>
      </c>
      <c r="E841" s="276" t="s">
        <v>1365</v>
      </c>
      <c r="F841" s="277" t="s">
        <v>1431</v>
      </c>
      <c r="G841" s="276" t="s">
        <v>3061</v>
      </c>
      <c r="H841" s="275">
        <v>36</v>
      </c>
      <c r="I841" s="276"/>
      <c r="J841" s="275">
        <v>1.6</v>
      </c>
      <c r="K841" s="274"/>
      <c r="L841" s="275">
        <v>57.6</v>
      </c>
      <c r="M841" s="276" t="s">
        <v>1905</v>
      </c>
      <c r="N841" s="273"/>
      <c r="O841" s="276" t="s">
        <v>55</v>
      </c>
      <c r="P841" s="277" t="s">
        <v>1403</v>
      </c>
      <c r="Q841" s="272"/>
      <c r="R841" s="271" t="s">
        <v>1434</v>
      </c>
      <c r="S841" s="270"/>
      <c r="T841" s="277" t="s">
        <v>25</v>
      </c>
      <c r="U841" s="276" t="s">
        <v>21</v>
      </c>
      <c r="V841" s="277">
        <v>1391</v>
      </c>
      <c r="W841" s="269"/>
      <c r="X841" s="268" t="s">
        <v>1363</v>
      </c>
      <c r="Y841" s="267">
        <v>44671.434247685182</v>
      </c>
    </row>
    <row r="842" spans="1:25">
      <c r="A842" s="280" t="s">
        <v>100</v>
      </c>
      <c r="B842" s="279" t="s">
        <v>1320</v>
      </c>
      <c r="C842" s="278" t="s">
        <v>3062</v>
      </c>
      <c r="D842" s="277" t="s">
        <v>3063</v>
      </c>
      <c r="E842" s="276" t="s">
        <v>1419</v>
      </c>
      <c r="F842" s="277" t="s">
        <v>17</v>
      </c>
      <c r="G842" s="276" t="s">
        <v>4099</v>
      </c>
      <c r="H842" s="275">
        <v>29</v>
      </c>
      <c r="I842" s="276"/>
      <c r="J842" s="275">
        <v>2.0499999999999998</v>
      </c>
      <c r="K842" s="274"/>
      <c r="L842" s="275">
        <v>59.449999999999996</v>
      </c>
      <c r="M842" s="276" t="s">
        <v>3064</v>
      </c>
      <c r="N842" s="273"/>
      <c r="O842" s="276" t="s">
        <v>55</v>
      </c>
      <c r="P842" s="277" t="s">
        <v>1362</v>
      </c>
      <c r="Q842" s="272"/>
      <c r="R842" s="271" t="s">
        <v>1511</v>
      </c>
      <c r="S842" s="270"/>
      <c r="T842" s="277" t="s">
        <v>25</v>
      </c>
      <c r="U842" s="276" t="s">
        <v>17</v>
      </c>
      <c r="V842" s="277">
        <v>1165</v>
      </c>
      <c r="W842" s="269"/>
      <c r="X842" s="268" t="s">
        <v>1363</v>
      </c>
      <c r="Y842" s="267">
        <v>44670.557303240741</v>
      </c>
    </row>
    <row r="843" spans="1:25">
      <c r="A843" s="280" t="s">
        <v>100</v>
      </c>
      <c r="B843" s="279" t="s">
        <v>1320</v>
      </c>
      <c r="C843" s="278" t="s">
        <v>3062</v>
      </c>
      <c r="D843" s="277" t="s">
        <v>3063</v>
      </c>
      <c r="E843" s="276" t="s">
        <v>1419</v>
      </c>
      <c r="F843" s="277" t="s">
        <v>17</v>
      </c>
      <c r="G843" s="276" t="s">
        <v>4099</v>
      </c>
      <c r="H843" s="275">
        <v>45</v>
      </c>
      <c r="I843" s="276"/>
      <c r="J843" s="275">
        <v>2.0499999999999998</v>
      </c>
      <c r="K843" s="274"/>
      <c r="L843" s="275">
        <v>92.25</v>
      </c>
      <c r="M843" s="276" t="s">
        <v>3065</v>
      </c>
      <c r="N843" s="273"/>
      <c r="O843" s="276" t="s">
        <v>55</v>
      </c>
      <c r="P843" s="277" t="s">
        <v>1362</v>
      </c>
      <c r="Q843" s="272"/>
      <c r="R843" s="271"/>
      <c r="S843" s="270"/>
      <c r="T843" s="277" t="s">
        <v>25</v>
      </c>
      <c r="U843" s="276" t="s">
        <v>17</v>
      </c>
      <c r="V843" s="277">
        <v>1165</v>
      </c>
      <c r="W843" s="269"/>
      <c r="X843" s="268" t="s">
        <v>1363</v>
      </c>
      <c r="Y843" s="267">
        <v>44670.557303240741</v>
      </c>
    </row>
    <row r="844" spans="1:25">
      <c r="A844" s="280" t="s">
        <v>100</v>
      </c>
      <c r="B844" s="279" t="s">
        <v>1385</v>
      </c>
      <c r="C844" s="278" t="s">
        <v>3062</v>
      </c>
      <c r="D844" s="277" t="s">
        <v>4060</v>
      </c>
      <c r="E844" s="276"/>
      <c r="F844" s="277" t="s">
        <v>3990</v>
      </c>
      <c r="G844" s="276"/>
      <c r="H844" s="275">
        <v>33</v>
      </c>
      <c r="I844" s="276"/>
      <c r="J844" s="275">
        <v>495</v>
      </c>
      <c r="K844" s="274"/>
      <c r="L844" s="275">
        <v>495</v>
      </c>
      <c r="M844" s="276"/>
      <c r="N844" s="273"/>
      <c r="O844" s="276" t="s">
        <v>1285</v>
      </c>
      <c r="P844" s="277"/>
      <c r="Q844" s="272"/>
      <c r="R844" s="271"/>
      <c r="S844" s="270"/>
      <c r="T844" s="277" t="s">
        <v>29</v>
      </c>
      <c r="U844" s="276" t="s">
        <v>17</v>
      </c>
      <c r="V844" s="277"/>
      <c r="W844" s="269" t="s">
        <v>4067</v>
      </c>
      <c r="X844" s="268"/>
      <c r="Y844" s="267"/>
    </row>
    <row r="845" spans="1:25">
      <c r="A845" s="280" t="s">
        <v>62</v>
      </c>
      <c r="B845" s="279" t="s">
        <v>1385</v>
      </c>
      <c r="C845" s="278" t="s">
        <v>3066</v>
      </c>
      <c r="D845" s="277" t="s">
        <v>3067</v>
      </c>
      <c r="E845" s="276"/>
      <c r="F845" s="277" t="s">
        <v>1388</v>
      </c>
      <c r="G845" s="276"/>
      <c r="H845" s="275"/>
      <c r="I845" s="276"/>
      <c r="J845" s="275"/>
      <c r="K845" s="274"/>
      <c r="L845" s="275">
        <v>250</v>
      </c>
      <c r="M845" s="276"/>
      <c r="N845" s="273"/>
      <c r="O845" s="276" t="s">
        <v>1285</v>
      </c>
      <c r="P845" s="277"/>
      <c r="Q845" s="272"/>
      <c r="R845" s="271" t="s">
        <v>208</v>
      </c>
      <c r="S845" s="270"/>
      <c r="T845" s="277" t="s">
        <v>29</v>
      </c>
      <c r="U845" s="276" t="s">
        <v>1388</v>
      </c>
      <c r="V845" s="277" t="s">
        <v>208</v>
      </c>
      <c r="W845" s="269" t="s">
        <v>3068</v>
      </c>
      <c r="X845" s="268"/>
      <c r="Y845" s="267" t="s">
        <v>208</v>
      </c>
    </row>
    <row r="846" spans="1:25">
      <c r="A846" s="280" t="s">
        <v>100</v>
      </c>
      <c r="B846" s="279" t="s">
        <v>1385</v>
      </c>
      <c r="C846" s="278" t="s">
        <v>3069</v>
      </c>
      <c r="D846" s="277" t="s">
        <v>2069</v>
      </c>
      <c r="E846" s="276" t="s">
        <v>1429</v>
      </c>
      <c r="F846" s="277" t="s">
        <v>1388</v>
      </c>
      <c r="G846" s="276" t="s">
        <v>208</v>
      </c>
      <c r="H846" s="275">
        <v>40</v>
      </c>
      <c r="I846" s="276">
        <v>2.5</v>
      </c>
      <c r="J846" s="275">
        <v>6.25</v>
      </c>
      <c r="K846" s="274">
        <v>100</v>
      </c>
      <c r="L846" s="275">
        <v>250</v>
      </c>
      <c r="M846" s="276" t="s">
        <v>3070</v>
      </c>
      <c r="N846" s="273">
        <v>0</v>
      </c>
      <c r="O846" s="276" t="s">
        <v>1285</v>
      </c>
      <c r="P846" s="277" t="s">
        <v>1407</v>
      </c>
      <c r="Q846" s="272"/>
      <c r="R846" s="271"/>
      <c r="S846" s="270"/>
      <c r="T846" s="277" t="s">
        <v>29</v>
      </c>
      <c r="U846" s="276" t="s">
        <v>1388</v>
      </c>
      <c r="V846" s="277">
        <v>1569</v>
      </c>
      <c r="W846" s="269"/>
      <c r="X846" s="268" t="s">
        <v>1400</v>
      </c>
      <c r="Y846" s="267">
        <v>44679.637025462966</v>
      </c>
    </row>
    <row r="847" spans="1:25">
      <c r="A847" s="280" t="s">
        <v>62</v>
      </c>
      <c r="B847" s="279" t="s">
        <v>1320</v>
      </c>
      <c r="C847" s="278" t="s">
        <v>3071</v>
      </c>
      <c r="D847" s="277" t="s">
        <v>3072</v>
      </c>
      <c r="E847" s="276" t="s">
        <v>1596</v>
      </c>
      <c r="F847" s="277" t="s">
        <v>1856</v>
      </c>
      <c r="G847" s="276" t="s">
        <v>208</v>
      </c>
      <c r="H847" s="275">
        <v>1</v>
      </c>
      <c r="I847" s="276"/>
      <c r="J847" s="275">
        <v>6</v>
      </c>
      <c r="K847" s="274"/>
      <c r="L847" s="275">
        <v>6</v>
      </c>
      <c r="M847" s="276" t="s">
        <v>2781</v>
      </c>
      <c r="N847" s="273"/>
      <c r="O847" s="276" t="s">
        <v>55</v>
      </c>
      <c r="P847" s="277" t="s">
        <v>1362</v>
      </c>
      <c r="Q847" s="272"/>
      <c r="R847" s="271"/>
      <c r="S847" s="270"/>
      <c r="T847" s="277" t="s">
        <v>25</v>
      </c>
      <c r="U847" s="276" t="s">
        <v>19</v>
      </c>
      <c r="V847" s="277">
        <v>1301</v>
      </c>
      <c r="W847" s="269"/>
      <c r="X847" s="268" t="s">
        <v>1363</v>
      </c>
      <c r="Y847" s="267">
        <v>44671.376805555556</v>
      </c>
    </row>
    <row r="848" spans="1:25">
      <c r="A848" s="280" t="s">
        <v>62</v>
      </c>
      <c r="B848" s="279" t="s">
        <v>1320</v>
      </c>
      <c r="C848" s="278" t="s">
        <v>3071</v>
      </c>
      <c r="D848" s="277" t="s">
        <v>3072</v>
      </c>
      <c r="E848" s="276" t="s">
        <v>1596</v>
      </c>
      <c r="F848" s="277" t="s">
        <v>1856</v>
      </c>
      <c r="G848" s="276" t="s">
        <v>208</v>
      </c>
      <c r="H848" s="275">
        <v>1</v>
      </c>
      <c r="I848" s="276"/>
      <c r="J848" s="275">
        <v>11</v>
      </c>
      <c r="K848" s="274"/>
      <c r="L848" s="275">
        <v>11</v>
      </c>
      <c r="M848" s="276" t="s">
        <v>1406</v>
      </c>
      <c r="N848" s="273"/>
      <c r="O848" s="276" t="s">
        <v>55</v>
      </c>
      <c r="P848" s="277" t="s">
        <v>1362</v>
      </c>
      <c r="Q848" s="272"/>
      <c r="R848" s="271"/>
      <c r="S848" s="270"/>
      <c r="T848" s="277" t="s">
        <v>25</v>
      </c>
      <c r="U848" s="276" t="s">
        <v>19</v>
      </c>
      <c r="V848" s="277">
        <v>1301</v>
      </c>
      <c r="W848" s="269"/>
      <c r="X848" s="268" t="s">
        <v>1363</v>
      </c>
      <c r="Y848" s="267">
        <v>44671.376805555556</v>
      </c>
    </row>
    <row r="849" spans="1:25">
      <c r="A849" s="280" t="s">
        <v>46</v>
      </c>
      <c r="B849" s="279" t="s">
        <v>1320</v>
      </c>
      <c r="C849" s="278" t="s">
        <v>3073</v>
      </c>
      <c r="D849" s="277" t="s">
        <v>1393</v>
      </c>
      <c r="E849" s="276" t="s">
        <v>1398</v>
      </c>
      <c r="F849" s="277" t="s">
        <v>1388</v>
      </c>
      <c r="G849" s="276" t="s">
        <v>208</v>
      </c>
      <c r="H849" s="275">
        <v>1</v>
      </c>
      <c r="I849" s="276"/>
      <c r="J849" s="275">
        <v>0.35899999999999999</v>
      </c>
      <c r="K849" s="274"/>
      <c r="L849" s="275">
        <v>0.35880000000000001</v>
      </c>
      <c r="M849" s="276" t="s">
        <v>3074</v>
      </c>
      <c r="N849" s="273"/>
      <c r="O849" s="276" t="s">
        <v>55</v>
      </c>
      <c r="P849" s="277" t="s">
        <v>1362</v>
      </c>
      <c r="Q849" s="272"/>
      <c r="R849" s="271"/>
      <c r="S849" s="270"/>
      <c r="T849" s="277" t="s">
        <v>25</v>
      </c>
      <c r="U849" s="276" t="s">
        <v>1388</v>
      </c>
      <c r="V849" s="277">
        <v>44</v>
      </c>
      <c r="W849" s="269"/>
      <c r="X849" s="268" t="s">
        <v>208</v>
      </c>
      <c r="Y849" s="267">
        <v>43312</v>
      </c>
    </row>
    <row r="850" spans="1:25">
      <c r="A850" s="280" t="s">
        <v>46</v>
      </c>
      <c r="B850" s="279" t="s">
        <v>1320</v>
      </c>
      <c r="C850" s="278" t="s">
        <v>3075</v>
      </c>
      <c r="D850" s="277" t="s">
        <v>1393</v>
      </c>
      <c r="E850" s="276" t="s">
        <v>1398</v>
      </c>
      <c r="F850" s="277" t="s">
        <v>1388</v>
      </c>
      <c r="G850" s="276" t="s">
        <v>208</v>
      </c>
      <c r="H850" s="275">
        <v>1</v>
      </c>
      <c r="I850" s="276"/>
      <c r="J850" s="275">
        <v>0.35699999999999998</v>
      </c>
      <c r="K850" s="274"/>
      <c r="L850" s="275">
        <v>0.35670000000000002</v>
      </c>
      <c r="M850" s="276" t="s">
        <v>3076</v>
      </c>
      <c r="N850" s="273"/>
      <c r="O850" s="276" t="s">
        <v>55</v>
      </c>
      <c r="P850" s="277" t="s">
        <v>1362</v>
      </c>
      <c r="Q850" s="272"/>
      <c r="R850" s="271"/>
      <c r="S850" s="270"/>
      <c r="T850" s="277" t="s">
        <v>25</v>
      </c>
      <c r="U850" s="276" t="s">
        <v>1388</v>
      </c>
      <c r="V850" s="277">
        <v>45</v>
      </c>
      <c r="W850" s="269"/>
      <c r="X850" s="268" t="s">
        <v>208</v>
      </c>
      <c r="Y850" s="267">
        <v>43312</v>
      </c>
    </row>
    <row r="851" spans="1:25">
      <c r="A851" s="280" t="s">
        <v>46</v>
      </c>
      <c r="B851" s="279" t="s">
        <v>1320</v>
      </c>
      <c r="C851" s="278" t="s">
        <v>3077</v>
      </c>
      <c r="D851" s="277" t="s">
        <v>1393</v>
      </c>
      <c r="E851" s="276" t="s">
        <v>1398</v>
      </c>
      <c r="F851" s="277" t="s">
        <v>1388</v>
      </c>
      <c r="G851" s="276" t="s">
        <v>208</v>
      </c>
      <c r="H851" s="275">
        <v>1</v>
      </c>
      <c r="I851" s="276"/>
      <c r="J851" s="275">
        <v>0.25</v>
      </c>
      <c r="K851" s="274"/>
      <c r="L851" s="275">
        <v>0.24990000000000001</v>
      </c>
      <c r="M851" s="276" t="s">
        <v>3078</v>
      </c>
      <c r="N851" s="273"/>
      <c r="O851" s="276" t="s">
        <v>55</v>
      </c>
      <c r="P851" s="277" t="s">
        <v>1362</v>
      </c>
      <c r="Q851" s="272"/>
      <c r="R851" s="271"/>
      <c r="S851" s="270"/>
      <c r="T851" s="277" t="s">
        <v>25</v>
      </c>
      <c r="U851" s="276" t="s">
        <v>1388</v>
      </c>
      <c r="V851" s="277">
        <v>19</v>
      </c>
      <c r="W851" s="269"/>
      <c r="X851" s="268" t="s">
        <v>208</v>
      </c>
      <c r="Y851" s="267">
        <v>43312</v>
      </c>
    </row>
    <row r="852" spans="1:25">
      <c r="A852" s="280" t="s">
        <v>46</v>
      </c>
      <c r="B852" s="279" t="s">
        <v>1320</v>
      </c>
      <c r="C852" s="278" t="s">
        <v>3079</v>
      </c>
      <c r="D852" s="277" t="s">
        <v>1393</v>
      </c>
      <c r="E852" s="276" t="s">
        <v>1398</v>
      </c>
      <c r="F852" s="277" t="s">
        <v>1388</v>
      </c>
      <c r="G852" s="276" t="s">
        <v>208</v>
      </c>
      <c r="H852" s="275">
        <v>1</v>
      </c>
      <c r="I852" s="276"/>
      <c r="J852" s="275">
        <v>1.2110000000000001</v>
      </c>
      <c r="K852" s="274"/>
      <c r="L852" s="275">
        <v>1.2110000000000001</v>
      </c>
      <c r="M852" s="276" t="s">
        <v>3080</v>
      </c>
      <c r="N852" s="273"/>
      <c r="O852" s="276" t="s">
        <v>55</v>
      </c>
      <c r="P852" s="277" t="s">
        <v>1362</v>
      </c>
      <c r="Q852" s="272"/>
      <c r="R852" s="271"/>
      <c r="S852" s="270"/>
      <c r="T852" s="277" t="s">
        <v>25</v>
      </c>
      <c r="U852" s="276" t="s">
        <v>1388</v>
      </c>
      <c r="V852" s="277">
        <v>46</v>
      </c>
      <c r="W852" s="269"/>
      <c r="X852" s="268" t="s">
        <v>208</v>
      </c>
      <c r="Y852" s="267">
        <v>43312</v>
      </c>
    </row>
    <row r="853" spans="1:25">
      <c r="A853" s="280" t="s">
        <v>100</v>
      </c>
      <c r="B853" s="279" t="s">
        <v>1320</v>
      </c>
      <c r="C853" s="278" t="s">
        <v>1168</v>
      </c>
      <c r="D853" s="277" t="s">
        <v>3081</v>
      </c>
      <c r="E853" s="276" t="s">
        <v>1980</v>
      </c>
      <c r="F853" s="277" t="s">
        <v>1360</v>
      </c>
      <c r="G853" s="276" t="s">
        <v>208</v>
      </c>
      <c r="H853" s="275">
        <v>1</v>
      </c>
      <c r="I853" s="276"/>
      <c r="J853" s="275">
        <v>21</v>
      </c>
      <c r="K853" s="274"/>
      <c r="L853" s="275">
        <v>21</v>
      </c>
      <c r="M853" s="276" t="s">
        <v>2324</v>
      </c>
      <c r="N853" s="273"/>
      <c r="O853" s="276" t="s">
        <v>55</v>
      </c>
      <c r="P853" s="277" t="s">
        <v>1362</v>
      </c>
      <c r="Q853" s="272"/>
      <c r="R853" s="271"/>
      <c r="S853" s="270"/>
      <c r="T853" s="277" t="s">
        <v>25</v>
      </c>
      <c r="U853" s="276" t="s">
        <v>13</v>
      </c>
      <c r="V853" s="277">
        <v>1317</v>
      </c>
      <c r="W853" s="269"/>
      <c r="X853" s="268" t="s">
        <v>1363</v>
      </c>
      <c r="Y853" s="267">
        <v>44671.3827662037</v>
      </c>
    </row>
    <row r="854" spans="1:25">
      <c r="A854" s="280" t="s">
        <v>62</v>
      </c>
      <c r="B854" s="279" t="s">
        <v>1385</v>
      </c>
      <c r="C854" s="278" t="s">
        <v>3082</v>
      </c>
      <c r="D854" s="277" t="s">
        <v>1580</v>
      </c>
      <c r="E854" s="276" t="s">
        <v>1581</v>
      </c>
      <c r="F854" s="277" t="s">
        <v>17</v>
      </c>
      <c r="G854" s="276" t="s">
        <v>208</v>
      </c>
      <c r="H854" s="275">
        <v>75</v>
      </c>
      <c r="I854" s="276"/>
      <c r="J854" s="275">
        <v>20</v>
      </c>
      <c r="K854" s="274"/>
      <c r="L854" s="275">
        <v>1500</v>
      </c>
      <c r="M854" s="276" t="s">
        <v>1706</v>
      </c>
      <c r="N854" s="273"/>
      <c r="O854" s="276" t="s">
        <v>1285</v>
      </c>
      <c r="P854" s="277" t="s">
        <v>1407</v>
      </c>
      <c r="Q854" s="272"/>
      <c r="R854" s="271"/>
      <c r="S854" s="270"/>
      <c r="T854" s="277" t="s">
        <v>29</v>
      </c>
      <c r="U854" s="276" t="s">
        <v>17</v>
      </c>
      <c r="V854" s="277">
        <v>1919</v>
      </c>
      <c r="W854" s="269"/>
      <c r="X854" s="268" t="s">
        <v>1583</v>
      </c>
      <c r="Y854" s="267">
        <v>44684.611203703702</v>
      </c>
    </row>
    <row r="855" spans="1:25">
      <c r="A855" s="280" t="s">
        <v>80</v>
      </c>
      <c r="B855" s="279" t="s">
        <v>1385</v>
      </c>
      <c r="C855" s="278" t="s">
        <v>495</v>
      </c>
      <c r="D855" s="277" t="s">
        <v>465</v>
      </c>
      <c r="E855" s="276" t="s">
        <v>1493</v>
      </c>
      <c r="F855" s="277" t="s">
        <v>1360</v>
      </c>
      <c r="G855" s="276" t="s">
        <v>208</v>
      </c>
      <c r="H855" s="275">
        <v>1</v>
      </c>
      <c r="I855" s="276"/>
      <c r="J855" s="275">
        <v>165</v>
      </c>
      <c r="K855" s="274"/>
      <c r="L855" s="275">
        <v>165</v>
      </c>
      <c r="M855" s="276" t="s">
        <v>3083</v>
      </c>
      <c r="N855" s="273"/>
      <c r="O855" s="276" t="s">
        <v>3084</v>
      </c>
      <c r="P855" s="277" t="s">
        <v>1403</v>
      </c>
      <c r="Q855" s="272"/>
      <c r="R855" s="271"/>
      <c r="S855" s="270"/>
      <c r="T855" s="277" t="s">
        <v>26</v>
      </c>
      <c r="U855" s="276" t="s">
        <v>14</v>
      </c>
      <c r="V855" s="277">
        <v>1166</v>
      </c>
      <c r="W855" s="269"/>
      <c r="X855" s="268" t="s">
        <v>1363</v>
      </c>
      <c r="Y855" s="267">
        <v>44670.483252314814</v>
      </c>
    </row>
    <row r="856" spans="1:25">
      <c r="A856" s="280" t="s">
        <v>80</v>
      </c>
      <c r="B856" s="279" t="s">
        <v>1320</v>
      </c>
      <c r="C856" s="278" t="s">
        <v>495</v>
      </c>
      <c r="D856" s="277" t="s">
        <v>465</v>
      </c>
      <c r="E856" s="276" t="s">
        <v>1493</v>
      </c>
      <c r="F856" s="277" t="s">
        <v>1360</v>
      </c>
      <c r="G856" s="276" t="s">
        <v>3085</v>
      </c>
      <c r="H856" s="275">
        <v>1</v>
      </c>
      <c r="I856" s="276"/>
      <c r="J856" s="275">
        <v>29</v>
      </c>
      <c r="K856" s="274"/>
      <c r="L856" s="275">
        <v>29</v>
      </c>
      <c r="M856" s="276" t="s">
        <v>1760</v>
      </c>
      <c r="N856" s="273"/>
      <c r="O856" s="276" t="s">
        <v>55</v>
      </c>
      <c r="P856" s="277" t="s">
        <v>1403</v>
      </c>
      <c r="Q856" s="272"/>
      <c r="R856" s="271" t="s">
        <v>1700</v>
      </c>
      <c r="S856" s="270"/>
      <c r="T856" s="277" t="s">
        <v>25</v>
      </c>
      <c r="U856" s="276" t="s">
        <v>14</v>
      </c>
      <c r="V856" s="277">
        <v>1166</v>
      </c>
      <c r="W856" s="269"/>
      <c r="X856" s="268" t="s">
        <v>1363</v>
      </c>
      <c r="Y856" s="267">
        <v>44670.483252314814</v>
      </c>
    </row>
    <row r="857" spans="1:25">
      <c r="A857" s="280" t="s">
        <v>80</v>
      </c>
      <c r="B857" s="279" t="s">
        <v>1320</v>
      </c>
      <c r="C857" s="278" t="s">
        <v>495</v>
      </c>
      <c r="D857" s="277" t="s">
        <v>465</v>
      </c>
      <c r="E857" s="276" t="s">
        <v>1493</v>
      </c>
      <c r="F857" s="277" t="s">
        <v>1360</v>
      </c>
      <c r="G857" s="276" t="s">
        <v>3086</v>
      </c>
      <c r="H857" s="275">
        <v>1</v>
      </c>
      <c r="I857" s="276"/>
      <c r="J857" s="275">
        <v>24</v>
      </c>
      <c r="K857" s="274"/>
      <c r="L857" s="275">
        <v>24</v>
      </c>
      <c r="M857" s="276" t="s">
        <v>1871</v>
      </c>
      <c r="N857" s="273"/>
      <c r="O857" s="276" t="s">
        <v>55</v>
      </c>
      <c r="P857" s="277" t="s">
        <v>1403</v>
      </c>
      <c r="Q857" s="272"/>
      <c r="R857" s="271" t="s">
        <v>1832</v>
      </c>
      <c r="S857" s="270"/>
      <c r="T857" s="277" t="s">
        <v>25</v>
      </c>
      <c r="U857" s="276" t="s">
        <v>14</v>
      </c>
      <c r="V857" s="277">
        <v>1166</v>
      </c>
      <c r="W857" s="269"/>
      <c r="X857" s="268" t="s">
        <v>1363</v>
      </c>
      <c r="Y857" s="267">
        <v>44670.483252314814</v>
      </c>
    </row>
    <row r="858" spans="1:25">
      <c r="A858" s="280" t="s">
        <v>80</v>
      </c>
      <c r="B858" s="279" t="s">
        <v>1320</v>
      </c>
      <c r="C858" s="278" t="s">
        <v>495</v>
      </c>
      <c r="D858" s="277" t="s">
        <v>465</v>
      </c>
      <c r="E858" s="276" t="s">
        <v>1493</v>
      </c>
      <c r="F858" s="277" t="s">
        <v>1360</v>
      </c>
      <c r="G858" s="276" t="s">
        <v>3087</v>
      </c>
      <c r="H858" s="275">
        <v>1</v>
      </c>
      <c r="I858" s="276"/>
      <c r="J858" s="275">
        <v>29</v>
      </c>
      <c r="K858" s="274"/>
      <c r="L858" s="275">
        <v>29</v>
      </c>
      <c r="M858" s="276" t="s">
        <v>1760</v>
      </c>
      <c r="N858" s="273"/>
      <c r="O858" s="276" t="s">
        <v>55</v>
      </c>
      <c r="P858" s="277" t="s">
        <v>1403</v>
      </c>
      <c r="Q858" s="272"/>
      <c r="R858" s="271" t="s">
        <v>1832</v>
      </c>
      <c r="S858" s="270"/>
      <c r="T858" s="277" t="s">
        <v>25</v>
      </c>
      <c r="U858" s="276" t="s">
        <v>14</v>
      </c>
      <c r="V858" s="277">
        <v>1166</v>
      </c>
      <c r="W858" s="269"/>
      <c r="X858" s="268" t="s">
        <v>1363</v>
      </c>
      <c r="Y858" s="267">
        <v>44670.483252314814</v>
      </c>
    </row>
    <row r="859" spans="1:25">
      <c r="A859" s="280" t="s">
        <v>80</v>
      </c>
      <c r="B859" s="279" t="s">
        <v>1320</v>
      </c>
      <c r="C859" s="278" t="s">
        <v>495</v>
      </c>
      <c r="D859" s="277" t="s">
        <v>465</v>
      </c>
      <c r="E859" s="276" t="s">
        <v>1493</v>
      </c>
      <c r="F859" s="277" t="s">
        <v>1360</v>
      </c>
      <c r="G859" s="276" t="s">
        <v>3088</v>
      </c>
      <c r="H859" s="275">
        <v>1</v>
      </c>
      <c r="I859" s="276"/>
      <c r="J859" s="275">
        <v>24</v>
      </c>
      <c r="K859" s="274"/>
      <c r="L859" s="275">
        <v>24</v>
      </c>
      <c r="M859" s="276" t="s">
        <v>1871</v>
      </c>
      <c r="N859" s="273"/>
      <c r="O859" s="276" t="s">
        <v>55</v>
      </c>
      <c r="P859" s="277" t="s">
        <v>1403</v>
      </c>
      <c r="Q859" s="272"/>
      <c r="R859" s="271" t="s">
        <v>2065</v>
      </c>
      <c r="S859" s="270"/>
      <c r="T859" s="277" t="s">
        <v>25</v>
      </c>
      <c r="U859" s="276" t="s">
        <v>14</v>
      </c>
      <c r="V859" s="277">
        <v>1166</v>
      </c>
      <c r="W859" s="269"/>
      <c r="X859" s="268" t="s">
        <v>1363</v>
      </c>
      <c r="Y859" s="267">
        <v>44670.483252314814</v>
      </c>
    </row>
    <row r="860" spans="1:25">
      <c r="A860" s="280" t="s">
        <v>80</v>
      </c>
      <c r="B860" s="279" t="s">
        <v>1320</v>
      </c>
      <c r="C860" s="278" t="s">
        <v>495</v>
      </c>
      <c r="D860" s="277" t="s">
        <v>465</v>
      </c>
      <c r="E860" s="276" t="s">
        <v>1493</v>
      </c>
      <c r="F860" s="277" t="s">
        <v>1360</v>
      </c>
      <c r="G860" s="276" t="s">
        <v>3089</v>
      </c>
      <c r="H860" s="275">
        <v>1</v>
      </c>
      <c r="I860" s="276"/>
      <c r="J860" s="275">
        <v>128</v>
      </c>
      <c r="K860" s="274"/>
      <c r="L860" s="275">
        <v>128</v>
      </c>
      <c r="M860" s="276" t="s">
        <v>3090</v>
      </c>
      <c r="N860" s="273"/>
      <c r="O860" s="276" t="s">
        <v>55</v>
      </c>
      <c r="P860" s="277" t="s">
        <v>1403</v>
      </c>
      <c r="Q860" s="272"/>
      <c r="R860" s="271" t="s">
        <v>1558</v>
      </c>
      <c r="S860" s="270"/>
      <c r="T860" s="277" t="s">
        <v>25</v>
      </c>
      <c r="U860" s="276" t="s">
        <v>14</v>
      </c>
      <c r="V860" s="277">
        <v>1166</v>
      </c>
      <c r="W860" s="269"/>
      <c r="X860" s="268" t="s">
        <v>1363</v>
      </c>
      <c r="Y860" s="267">
        <v>44670.483252314814</v>
      </c>
    </row>
    <row r="861" spans="1:25">
      <c r="A861" s="280" t="s">
        <v>46</v>
      </c>
      <c r="B861" s="279" t="s">
        <v>1385</v>
      </c>
      <c r="C861" s="278" t="s">
        <v>3091</v>
      </c>
      <c r="D861" s="277" t="s">
        <v>2067</v>
      </c>
      <c r="E861" s="276"/>
      <c r="F861" s="277" t="s">
        <v>21</v>
      </c>
      <c r="G861" s="276"/>
      <c r="H861" s="275"/>
      <c r="I861" s="276"/>
      <c r="J861" s="275"/>
      <c r="K861" s="274"/>
      <c r="L861" s="275">
        <v>10</v>
      </c>
      <c r="M861" s="276"/>
      <c r="N861" s="273"/>
      <c r="O861" s="276" t="s">
        <v>1285</v>
      </c>
      <c r="P861" s="277"/>
      <c r="Q861" s="272"/>
      <c r="R861" s="271" t="s">
        <v>208</v>
      </c>
      <c r="S861" s="270"/>
      <c r="T861" s="277" t="s">
        <v>29</v>
      </c>
      <c r="U861" s="276" t="s">
        <v>20</v>
      </c>
      <c r="V861" s="277" t="s">
        <v>208</v>
      </c>
      <c r="W861" s="269" t="s">
        <v>1394</v>
      </c>
      <c r="X861" s="268"/>
      <c r="Y861" s="267" t="s">
        <v>208</v>
      </c>
    </row>
    <row r="862" spans="1:25">
      <c r="A862" s="280" t="s">
        <v>46</v>
      </c>
      <c r="B862" s="279" t="s">
        <v>1385</v>
      </c>
      <c r="C862" s="278" t="s">
        <v>177</v>
      </c>
      <c r="D862" s="277" t="s">
        <v>178</v>
      </c>
      <c r="E862" s="276" t="s">
        <v>1429</v>
      </c>
      <c r="F862" s="277" t="s">
        <v>1388</v>
      </c>
      <c r="G862" s="276" t="s">
        <v>208</v>
      </c>
      <c r="H862" s="275">
        <v>1</v>
      </c>
      <c r="I862" s="276"/>
      <c r="J862" s="275">
        <v>80</v>
      </c>
      <c r="K862" s="274"/>
      <c r="L862" s="275">
        <v>80</v>
      </c>
      <c r="M862" s="276" t="s">
        <v>1665</v>
      </c>
      <c r="N862" s="273"/>
      <c r="O862" s="276" t="s">
        <v>28</v>
      </c>
      <c r="P862" s="277" t="s">
        <v>1407</v>
      </c>
      <c r="Q862" s="272" t="s">
        <v>3092</v>
      </c>
      <c r="R862" s="271"/>
      <c r="S862" s="270"/>
      <c r="T862" s="277" t="s">
        <v>28</v>
      </c>
      <c r="U862" s="276" t="s">
        <v>1388</v>
      </c>
      <c r="V862" s="277">
        <v>1857</v>
      </c>
      <c r="W862" s="269"/>
      <c r="X862" s="268" t="s">
        <v>1453</v>
      </c>
      <c r="Y862" s="267">
        <v>44693.554664351854</v>
      </c>
    </row>
    <row r="863" spans="1:25">
      <c r="A863" s="280" t="s">
        <v>62</v>
      </c>
      <c r="B863" s="279" t="s">
        <v>1320</v>
      </c>
      <c r="C863" s="278" t="s">
        <v>3093</v>
      </c>
      <c r="D863" s="277" t="s">
        <v>3094</v>
      </c>
      <c r="E863" s="276" t="s">
        <v>1596</v>
      </c>
      <c r="F863" s="277" t="s">
        <v>19</v>
      </c>
      <c r="G863" s="276" t="s">
        <v>3095</v>
      </c>
      <c r="H863" s="275">
        <v>1</v>
      </c>
      <c r="I863" s="276"/>
      <c r="J863" s="275">
        <v>3.5</v>
      </c>
      <c r="K863" s="274"/>
      <c r="L863" s="275">
        <v>3.5</v>
      </c>
      <c r="M863" s="276" t="s">
        <v>2737</v>
      </c>
      <c r="N863" s="273"/>
      <c r="O863" s="276" t="s">
        <v>55</v>
      </c>
      <c r="P863" s="277" t="s">
        <v>1362</v>
      </c>
      <c r="Q863" s="272"/>
      <c r="R863" s="271"/>
      <c r="S863" s="270"/>
      <c r="T863" s="277" t="s">
        <v>25</v>
      </c>
      <c r="U863" s="276" t="s">
        <v>19</v>
      </c>
      <c r="V863" s="277">
        <v>1305</v>
      </c>
      <c r="W863" s="269"/>
      <c r="X863" s="268" t="s">
        <v>1400</v>
      </c>
      <c r="Y863" s="267">
        <v>43769.416655092595</v>
      </c>
    </row>
    <row r="864" spans="1:25">
      <c r="A864" s="280" t="s">
        <v>62</v>
      </c>
      <c r="B864" s="279" t="s">
        <v>1320</v>
      </c>
      <c r="C864" s="278" t="s">
        <v>3093</v>
      </c>
      <c r="D864" s="277" t="s">
        <v>3094</v>
      </c>
      <c r="E864" s="276" t="s">
        <v>1596</v>
      </c>
      <c r="F864" s="277" t="s">
        <v>19</v>
      </c>
      <c r="G864" s="276" t="s">
        <v>3095</v>
      </c>
      <c r="H864" s="275">
        <v>1</v>
      </c>
      <c r="I864" s="276"/>
      <c r="J864" s="275">
        <v>7</v>
      </c>
      <c r="K864" s="274"/>
      <c r="L864" s="275">
        <v>7</v>
      </c>
      <c r="M864" s="276" t="s">
        <v>2525</v>
      </c>
      <c r="N864" s="273"/>
      <c r="O864" s="276" t="s">
        <v>55</v>
      </c>
      <c r="P864" s="277" t="s">
        <v>1362</v>
      </c>
      <c r="Q864" s="272"/>
      <c r="R864" s="271"/>
      <c r="S864" s="270"/>
      <c r="T864" s="277" t="s">
        <v>25</v>
      </c>
      <c r="U864" s="276" t="s">
        <v>19</v>
      </c>
      <c r="V864" s="277">
        <v>1305</v>
      </c>
      <c r="W864" s="269"/>
      <c r="X864" s="268" t="s">
        <v>1400</v>
      </c>
      <c r="Y864" s="267">
        <v>43769.416655092595</v>
      </c>
    </row>
    <row r="865" spans="1:25">
      <c r="A865" s="280" t="s">
        <v>62</v>
      </c>
      <c r="B865" s="279" t="s">
        <v>1320</v>
      </c>
      <c r="C865" s="278" t="s">
        <v>3093</v>
      </c>
      <c r="D865" s="277" t="s">
        <v>3094</v>
      </c>
      <c r="E865" s="276" t="s">
        <v>1596</v>
      </c>
      <c r="F865" s="277" t="s">
        <v>19</v>
      </c>
      <c r="G865" s="276" t="s">
        <v>3095</v>
      </c>
      <c r="H865" s="275">
        <v>1</v>
      </c>
      <c r="I865" s="276"/>
      <c r="J865" s="275">
        <v>37.25</v>
      </c>
      <c r="K865" s="274"/>
      <c r="L865" s="275">
        <v>37.25</v>
      </c>
      <c r="M865" s="276" t="s">
        <v>3096</v>
      </c>
      <c r="N865" s="273"/>
      <c r="O865" s="276" t="s">
        <v>55</v>
      </c>
      <c r="P865" s="277" t="s">
        <v>1362</v>
      </c>
      <c r="Q865" s="272"/>
      <c r="R865" s="271"/>
      <c r="S865" s="270"/>
      <c r="T865" s="277" t="s">
        <v>25</v>
      </c>
      <c r="U865" s="276" t="s">
        <v>19</v>
      </c>
      <c r="V865" s="277">
        <v>1305</v>
      </c>
      <c r="W865" s="269"/>
      <c r="X865" s="268" t="s">
        <v>1400</v>
      </c>
      <c r="Y865" s="267">
        <v>43769.416655092595</v>
      </c>
    </row>
    <row r="866" spans="1:25">
      <c r="A866" s="280" t="s">
        <v>62</v>
      </c>
      <c r="B866" s="279" t="s">
        <v>1385</v>
      </c>
      <c r="C866" s="278" t="s">
        <v>3097</v>
      </c>
      <c r="D866" s="277" t="s">
        <v>1714</v>
      </c>
      <c r="E866" s="276" t="s">
        <v>1429</v>
      </c>
      <c r="F866" s="277" t="s">
        <v>1388</v>
      </c>
      <c r="G866" s="276" t="s">
        <v>208</v>
      </c>
      <c r="H866" s="275">
        <v>1</v>
      </c>
      <c r="I866" s="276"/>
      <c r="J866" s="275">
        <v>234</v>
      </c>
      <c r="K866" s="274"/>
      <c r="L866" s="275">
        <v>234</v>
      </c>
      <c r="M866" s="276" t="s">
        <v>3098</v>
      </c>
      <c r="N866" s="273">
        <v>0</v>
      </c>
      <c r="O866" s="276" t="s">
        <v>1285</v>
      </c>
      <c r="P866" s="277" t="s">
        <v>1407</v>
      </c>
      <c r="Q866" s="272"/>
      <c r="R866" s="271"/>
      <c r="S866" s="270"/>
      <c r="T866" s="277" t="s">
        <v>29</v>
      </c>
      <c r="U866" s="276" t="s">
        <v>1388</v>
      </c>
      <c r="V866" s="277">
        <v>1474</v>
      </c>
      <c r="W866" s="269" t="s">
        <v>3963</v>
      </c>
      <c r="X866" s="268" t="s">
        <v>1395</v>
      </c>
      <c r="Y866" s="267">
        <v>44679.722037037034</v>
      </c>
    </row>
    <row r="867" spans="1:25">
      <c r="A867" s="280" t="s">
        <v>46</v>
      </c>
      <c r="B867" s="279" t="s">
        <v>1385</v>
      </c>
      <c r="C867" s="278" t="s">
        <v>3099</v>
      </c>
      <c r="D867" s="277" t="s">
        <v>3100</v>
      </c>
      <c r="E867" s="276" t="s">
        <v>1419</v>
      </c>
      <c r="F867" s="277" t="s">
        <v>17</v>
      </c>
      <c r="G867" s="276" t="s">
        <v>208</v>
      </c>
      <c r="H867" s="275">
        <v>19</v>
      </c>
      <c r="I867" s="276"/>
      <c r="J867" s="275">
        <v>6</v>
      </c>
      <c r="K867" s="274"/>
      <c r="L867" s="275">
        <v>114</v>
      </c>
      <c r="M867" s="276" t="s">
        <v>3101</v>
      </c>
      <c r="N867" s="273">
        <v>0</v>
      </c>
      <c r="O867" s="276" t="s">
        <v>1285</v>
      </c>
      <c r="P867" s="277" t="s">
        <v>1407</v>
      </c>
      <c r="Q867" s="272"/>
      <c r="R867" s="271" t="s">
        <v>2065</v>
      </c>
      <c r="S867" s="270"/>
      <c r="T867" s="277" t="s">
        <v>29</v>
      </c>
      <c r="U867" s="276" t="s">
        <v>17</v>
      </c>
      <c r="V867" s="277">
        <v>1877</v>
      </c>
      <c r="W867" s="269"/>
      <c r="X867" s="268" t="s">
        <v>1400</v>
      </c>
      <c r="Y867" s="267">
        <v>44679.711168981485</v>
      </c>
    </row>
    <row r="868" spans="1:25">
      <c r="A868" s="280" t="s">
        <v>46</v>
      </c>
      <c r="B868" s="279" t="s">
        <v>1385</v>
      </c>
      <c r="C868" s="278" t="s">
        <v>3102</v>
      </c>
      <c r="D868" s="277" t="s">
        <v>3103</v>
      </c>
      <c r="E868" s="276" t="s">
        <v>1596</v>
      </c>
      <c r="F868" s="277" t="s">
        <v>2862</v>
      </c>
      <c r="G868" s="276" t="s">
        <v>3104</v>
      </c>
      <c r="H868" s="275">
        <v>1</v>
      </c>
      <c r="I868" s="276">
        <v>128</v>
      </c>
      <c r="J868" s="275">
        <v>151</v>
      </c>
      <c r="K868" s="274">
        <v>128</v>
      </c>
      <c r="L868" s="275">
        <v>151</v>
      </c>
      <c r="M868" s="276" t="s">
        <v>3105</v>
      </c>
      <c r="N868" s="273"/>
      <c r="O868" s="276" t="s">
        <v>1285</v>
      </c>
      <c r="P868" s="277" t="s">
        <v>1403</v>
      </c>
      <c r="Q868" s="272"/>
      <c r="R868" s="271" t="s">
        <v>1769</v>
      </c>
      <c r="S868" s="270"/>
      <c r="T868" s="277" t="s">
        <v>29</v>
      </c>
      <c r="U868" s="276" t="s">
        <v>19</v>
      </c>
      <c r="V868" s="277">
        <v>1167</v>
      </c>
      <c r="W868" s="269"/>
      <c r="X868" s="268" t="s">
        <v>1404</v>
      </c>
      <c r="Y868" s="267">
        <v>44726.48909722222</v>
      </c>
    </row>
    <row r="869" spans="1:25">
      <c r="A869" s="280" t="s">
        <v>100</v>
      </c>
      <c r="B869" s="279" t="s">
        <v>1385</v>
      </c>
      <c r="C869" s="278" t="s">
        <v>3106</v>
      </c>
      <c r="D869" s="277" t="s">
        <v>3107</v>
      </c>
      <c r="E869" s="276"/>
      <c r="F869" s="277" t="s">
        <v>21</v>
      </c>
      <c r="G869" s="276"/>
      <c r="H869" s="275"/>
      <c r="I869" s="276"/>
      <c r="J869" s="275"/>
      <c r="K869" s="274"/>
      <c r="L869" s="275">
        <v>60</v>
      </c>
      <c r="M869" s="276"/>
      <c r="N869" s="273"/>
      <c r="O869" s="276" t="s">
        <v>1285</v>
      </c>
      <c r="P869" s="277"/>
      <c r="Q869" s="272"/>
      <c r="R869" s="271"/>
      <c r="S869" s="270"/>
      <c r="T869" s="277" t="s">
        <v>29</v>
      </c>
      <c r="U869" s="276" t="s">
        <v>20</v>
      </c>
      <c r="V869" s="277" t="s">
        <v>208</v>
      </c>
      <c r="W869" s="269" t="s">
        <v>3108</v>
      </c>
      <c r="X869" s="268"/>
      <c r="Y869" s="267" t="s">
        <v>208</v>
      </c>
    </row>
    <row r="870" spans="1:25">
      <c r="A870" s="280" t="s">
        <v>80</v>
      </c>
      <c r="B870" s="279" t="s">
        <v>1320</v>
      </c>
      <c r="C870" s="278" t="s">
        <v>3109</v>
      </c>
      <c r="D870" s="277" t="s">
        <v>1393</v>
      </c>
      <c r="E870" s="276" t="s">
        <v>1398</v>
      </c>
      <c r="F870" s="277" t="s">
        <v>1388</v>
      </c>
      <c r="G870" s="276" t="s">
        <v>208</v>
      </c>
      <c r="H870" s="275">
        <v>1</v>
      </c>
      <c r="I870" s="276"/>
      <c r="J870" s="275">
        <v>0.21199999999999999</v>
      </c>
      <c r="K870" s="274"/>
      <c r="L870" s="275">
        <v>0.21199999999999999</v>
      </c>
      <c r="M870" s="276" t="s">
        <v>3110</v>
      </c>
      <c r="N870" s="273"/>
      <c r="O870" s="276" t="s">
        <v>55</v>
      </c>
      <c r="P870" s="277" t="s">
        <v>1362</v>
      </c>
      <c r="Q870" s="272"/>
      <c r="R870" s="271"/>
      <c r="S870" s="270"/>
      <c r="T870" s="277" t="s">
        <v>25</v>
      </c>
      <c r="U870" s="276" t="s">
        <v>1388</v>
      </c>
      <c r="V870" s="277">
        <v>30</v>
      </c>
      <c r="W870" s="269"/>
      <c r="X870" s="268" t="s">
        <v>208</v>
      </c>
      <c r="Y870" s="267">
        <v>43312</v>
      </c>
    </row>
    <row r="871" spans="1:25">
      <c r="A871" s="280" t="s">
        <v>80</v>
      </c>
      <c r="B871" s="279" t="s">
        <v>1320</v>
      </c>
      <c r="C871" s="278" t="s">
        <v>3111</v>
      </c>
      <c r="D871" s="277" t="s">
        <v>1393</v>
      </c>
      <c r="E871" s="276" t="s">
        <v>1398</v>
      </c>
      <c r="F871" s="277" t="s">
        <v>1388</v>
      </c>
      <c r="G871" s="276" t="s">
        <v>208</v>
      </c>
      <c r="H871" s="275">
        <v>1</v>
      </c>
      <c r="I871" s="276"/>
      <c r="J871" s="275">
        <v>0.21199999999999999</v>
      </c>
      <c r="K871" s="274"/>
      <c r="L871" s="275">
        <v>0.21199999999999999</v>
      </c>
      <c r="M871" s="276" t="s">
        <v>3110</v>
      </c>
      <c r="N871" s="273"/>
      <c r="O871" s="276" t="s">
        <v>55</v>
      </c>
      <c r="P871" s="277" t="s">
        <v>1362</v>
      </c>
      <c r="Q871" s="272"/>
      <c r="R871" s="271"/>
      <c r="S871" s="270"/>
      <c r="T871" s="277" t="s">
        <v>25</v>
      </c>
      <c r="U871" s="276" t="s">
        <v>1388</v>
      </c>
      <c r="V871" s="277">
        <v>31</v>
      </c>
      <c r="W871" s="269"/>
      <c r="X871" s="268" t="s">
        <v>208</v>
      </c>
      <c r="Y871" s="267">
        <v>43312</v>
      </c>
    </row>
    <row r="872" spans="1:25">
      <c r="A872" s="280" t="s">
        <v>80</v>
      </c>
      <c r="B872" s="279" t="s">
        <v>1320</v>
      </c>
      <c r="C872" s="278" t="s">
        <v>3112</v>
      </c>
      <c r="D872" s="277" t="s">
        <v>1393</v>
      </c>
      <c r="E872" s="276" t="s">
        <v>1398</v>
      </c>
      <c r="F872" s="277" t="s">
        <v>1388</v>
      </c>
      <c r="G872" s="276" t="s">
        <v>208</v>
      </c>
      <c r="H872" s="275">
        <v>1</v>
      </c>
      <c r="I872" s="276"/>
      <c r="J872" s="275">
        <v>0.21199999999999999</v>
      </c>
      <c r="K872" s="274"/>
      <c r="L872" s="275">
        <v>0.21199999999999999</v>
      </c>
      <c r="M872" s="276" t="s">
        <v>3110</v>
      </c>
      <c r="N872" s="273"/>
      <c r="O872" s="276" t="s">
        <v>55</v>
      </c>
      <c r="P872" s="277" t="s">
        <v>1362</v>
      </c>
      <c r="Q872" s="272"/>
      <c r="R872" s="271"/>
      <c r="S872" s="270"/>
      <c r="T872" s="277" t="s">
        <v>25</v>
      </c>
      <c r="U872" s="276" t="s">
        <v>1388</v>
      </c>
      <c r="V872" s="277">
        <v>32</v>
      </c>
      <c r="W872" s="269"/>
      <c r="X872" s="268" t="s">
        <v>208</v>
      </c>
      <c r="Y872" s="267">
        <v>43312</v>
      </c>
    </row>
    <row r="873" spans="1:25">
      <c r="A873" s="280" t="s">
        <v>80</v>
      </c>
      <c r="B873" s="279" t="s">
        <v>1320</v>
      </c>
      <c r="C873" s="278" t="s">
        <v>3113</v>
      </c>
      <c r="D873" s="277" t="s">
        <v>1393</v>
      </c>
      <c r="E873" s="276" t="s">
        <v>1398</v>
      </c>
      <c r="F873" s="277" t="s">
        <v>1388</v>
      </c>
      <c r="G873" s="276" t="s">
        <v>208</v>
      </c>
      <c r="H873" s="275">
        <v>1</v>
      </c>
      <c r="I873" s="276"/>
      <c r="J873" s="275">
        <v>0.21199999999999999</v>
      </c>
      <c r="K873" s="274"/>
      <c r="L873" s="275">
        <v>0.21199999999999999</v>
      </c>
      <c r="M873" s="276" t="s">
        <v>3110</v>
      </c>
      <c r="N873" s="273"/>
      <c r="O873" s="276" t="s">
        <v>55</v>
      </c>
      <c r="P873" s="277" t="s">
        <v>1362</v>
      </c>
      <c r="Q873" s="272"/>
      <c r="R873" s="271"/>
      <c r="S873" s="270"/>
      <c r="T873" s="277" t="s">
        <v>25</v>
      </c>
      <c r="U873" s="276" t="s">
        <v>1388</v>
      </c>
      <c r="V873" s="277">
        <v>33</v>
      </c>
      <c r="W873" s="269"/>
      <c r="X873" s="268" t="s">
        <v>208</v>
      </c>
      <c r="Y873" s="267">
        <v>43312</v>
      </c>
    </row>
    <row r="874" spans="1:25">
      <c r="A874" s="280" t="s">
        <v>80</v>
      </c>
      <c r="B874" s="279" t="s">
        <v>1320</v>
      </c>
      <c r="C874" s="278" t="s">
        <v>3114</v>
      </c>
      <c r="D874" s="277" t="s">
        <v>1393</v>
      </c>
      <c r="E874" s="276" t="s">
        <v>1398</v>
      </c>
      <c r="F874" s="277" t="s">
        <v>1388</v>
      </c>
      <c r="G874" s="276" t="s">
        <v>208</v>
      </c>
      <c r="H874" s="275">
        <v>1</v>
      </c>
      <c r="I874" s="276"/>
      <c r="J874" s="275">
        <v>0.21199999999999999</v>
      </c>
      <c r="K874" s="274"/>
      <c r="L874" s="275">
        <v>0.21199999999999999</v>
      </c>
      <c r="M874" s="276" t="s">
        <v>3110</v>
      </c>
      <c r="N874" s="273"/>
      <c r="O874" s="276" t="s">
        <v>55</v>
      </c>
      <c r="P874" s="277" t="s">
        <v>1362</v>
      </c>
      <c r="Q874" s="272"/>
      <c r="R874" s="271"/>
      <c r="S874" s="270"/>
      <c r="T874" s="277" t="s">
        <v>25</v>
      </c>
      <c r="U874" s="276" t="s">
        <v>1388</v>
      </c>
      <c r="V874" s="277">
        <v>34</v>
      </c>
      <c r="W874" s="269"/>
      <c r="X874" s="268" t="s">
        <v>208</v>
      </c>
      <c r="Y874" s="267">
        <v>43312</v>
      </c>
    </row>
    <row r="875" spans="1:25">
      <c r="A875" s="280" t="s">
        <v>80</v>
      </c>
      <c r="B875" s="279" t="s">
        <v>1320</v>
      </c>
      <c r="C875" s="278" t="s">
        <v>3115</v>
      </c>
      <c r="D875" s="277" t="s">
        <v>1393</v>
      </c>
      <c r="E875" s="276" t="s">
        <v>1398</v>
      </c>
      <c r="F875" s="277" t="s">
        <v>1388</v>
      </c>
      <c r="G875" s="276" t="s">
        <v>208</v>
      </c>
      <c r="H875" s="275">
        <v>1</v>
      </c>
      <c r="I875" s="276"/>
      <c r="J875" s="275">
        <v>0.6</v>
      </c>
      <c r="K875" s="274"/>
      <c r="L875" s="275">
        <v>0.6</v>
      </c>
      <c r="M875" s="276" t="s">
        <v>1368</v>
      </c>
      <c r="N875" s="273"/>
      <c r="O875" s="276" t="s">
        <v>55</v>
      </c>
      <c r="P875" s="277" t="s">
        <v>1362</v>
      </c>
      <c r="Q875" s="272"/>
      <c r="R875" s="271"/>
      <c r="S875" s="270"/>
      <c r="T875" s="277" t="s">
        <v>25</v>
      </c>
      <c r="U875" s="276" t="s">
        <v>1388</v>
      </c>
      <c r="V875" s="277">
        <v>35</v>
      </c>
      <c r="W875" s="269"/>
      <c r="X875" s="268" t="s">
        <v>208</v>
      </c>
      <c r="Y875" s="267">
        <v>43312</v>
      </c>
    </row>
    <row r="876" spans="1:25">
      <c r="A876" s="280" t="s">
        <v>80</v>
      </c>
      <c r="B876" s="279" t="s">
        <v>1320</v>
      </c>
      <c r="C876" s="278" t="s">
        <v>3116</v>
      </c>
      <c r="D876" s="277" t="s">
        <v>1393</v>
      </c>
      <c r="E876" s="276" t="s">
        <v>1398</v>
      </c>
      <c r="F876" s="277" t="s">
        <v>1388</v>
      </c>
      <c r="G876" s="276" t="s">
        <v>208</v>
      </c>
      <c r="H876" s="275">
        <v>1</v>
      </c>
      <c r="I876" s="276"/>
      <c r="J876" s="275">
        <v>0.21199999999999999</v>
      </c>
      <c r="K876" s="274"/>
      <c r="L876" s="275">
        <v>0.21199999999999999</v>
      </c>
      <c r="M876" s="276" t="s">
        <v>3110</v>
      </c>
      <c r="N876" s="273"/>
      <c r="O876" s="276" t="s">
        <v>55</v>
      </c>
      <c r="P876" s="277" t="s">
        <v>1362</v>
      </c>
      <c r="Q876" s="272"/>
      <c r="R876" s="271"/>
      <c r="S876" s="270"/>
      <c r="T876" s="277" t="s">
        <v>25</v>
      </c>
      <c r="U876" s="276" t="s">
        <v>1388</v>
      </c>
      <c r="V876" s="277">
        <v>36</v>
      </c>
      <c r="W876" s="269"/>
      <c r="X876" s="268" t="s">
        <v>208</v>
      </c>
      <c r="Y876" s="267">
        <v>43312</v>
      </c>
    </row>
    <row r="877" spans="1:25">
      <c r="A877" s="280" t="s">
        <v>80</v>
      </c>
      <c r="B877" s="279" t="s">
        <v>1320</v>
      </c>
      <c r="C877" s="278" t="s">
        <v>3117</v>
      </c>
      <c r="D877" s="277" t="s">
        <v>1393</v>
      </c>
      <c r="E877" s="276" t="s">
        <v>1398</v>
      </c>
      <c r="F877" s="277" t="s">
        <v>1388</v>
      </c>
      <c r="G877" s="276" t="s">
        <v>208</v>
      </c>
      <c r="H877" s="275">
        <v>1</v>
      </c>
      <c r="I877" s="276"/>
      <c r="J877" s="275">
        <v>0.21199999999999999</v>
      </c>
      <c r="K877" s="274"/>
      <c r="L877" s="275">
        <v>0.21199999999999999</v>
      </c>
      <c r="M877" s="276" t="s">
        <v>3110</v>
      </c>
      <c r="N877" s="273"/>
      <c r="O877" s="276" t="s">
        <v>55</v>
      </c>
      <c r="P877" s="277" t="s">
        <v>1362</v>
      </c>
      <c r="Q877" s="272"/>
      <c r="R877" s="271"/>
      <c r="S877" s="270"/>
      <c r="T877" s="277" t="s">
        <v>25</v>
      </c>
      <c r="U877" s="276" t="s">
        <v>1388</v>
      </c>
      <c r="V877" s="277">
        <v>37</v>
      </c>
      <c r="W877" s="269"/>
      <c r="X877" s="268" t="s">
        <v>208</v>
      </c>
      <c r="Y877" s="267">
        <v>43312</v>
      </c>
    </row>
    <row r="878" spans="1:25">
      <c r="A878" s="280" t="s">
        <v>80</v>
      </c>
      <c r="B878" s="279" t="s">
        <v>1320</v>
      </c>
      <c r="C878" s="278" t="s">
        <v>3118</v>
      </c>
      <c r="D878" s="277" t="s">
        <v>1393</v>
      </c>
      <c r="E878" s="276" t="s">
        <v>1398</v>
      </c>
      <c r="F878" s="277" t="s">
        <v>1388</v>
      </c>
      <c r="G878" s="276" t="s">
        <v>208</v>
      </c>
      <c r="H878" s="275">
        <v>1</v>
      </c>
      <c r="I878" s="276"/>
      <c r="J878" s="275">
        <v>0.21199999999999999</v>
      </c>
      <c r="K878" s="274"/>
      <c r="L878" s="275">
        <v>0.21199999999999999</v>
      </c>
      <c r="M878" s="276" t="s">
        <v>3110</v>
      </c>
      <c r="N878" s="273"/>
      <c r="O878" s="276" t="s">
        <v>55</v>
      </c>
      <c r="P878" s="277" t="s">
        <v>1362</v>
      </c>
      <c r="Q878" s="272"/>
      <c r="R878" s="271"/>
      <c r="S878" s="270"/>
      <c r="T878" s="277" t="s">
        <v>25</v>
      </c>
      <c r="U878" s="276" t="s">
        <v>1388</v>
      </c>
      <c r="V878" s="277">
        <v>38</v>
      </c>
      <c r="W878" s="269"/>
      <c r="X878" s="268" t="s">
        <v>208</v>
      </c>
      <c r="Y878" s="267">
        <v>43312</v>
      </c>
    </row>
    <row r="879" spans="1:25">
      <c r="A879" s="280" t="s">
        <v>80</v>
      </c>
      <c r="B879" s="279" t="s">
        <v>1320</v>
      </c>
      <c r="C879" s="278" t="s">
        <v>3119</v>
      </c>
      <c r="D879" s="277" t="s">
        <v>1393</v>
      </c>
      <c r="E879" s="276" t="s">
        <v>1398</v>
      </c>
      <c r="F879" s="277" t="s">
        <v>1388</v>
      </c>
      <c r="G879" s="276" t="s">
        <v>208</v>
      </c>
      <c r="H879" s="275">
        <v>1</v>
      </c>
      <c r="I879" s="276"/>
      <c r="J879" s="275">
        <v>0.21199999999999999</v>
      </c>
      <c r="K879" s="274"/>
      <c r="L879" s="275">
        <v>0.21199999999999999</v>
      </c>
      <c r="M879" s="276" t="s">
        <v>3110</v>
      </c>
      <c r="N879" s="273"/>
      <c r="O879" s="276" t="s">
        <v>55</v>
      </c>
      <c r="P879" s="277" t="s">
        <v>1362</v>
      </c>
      <c r="Q879" s="272"/>
      <c r="R879" s="271"/>
      <c r="S879" s="270"/>
      <c r="T879" s="277" t="s">
        <v>25</v>
      </c>
      <c r="U879" s="276" t="s">
        <v>1388</v>
      </c>
      <c r="V879" s="277">
        <v>39</v>
      </c>
      <c r="W879" s="269"/>
      <c r="X879" s="268" t="s">
        <v>208</v>
      </c>
      <c r="Y879" s="267">
        <v>43312</v>
      </c>
    </row>
    <row r="880" spans="1:25">
      <c r="A880" s="280" t="s">
        <v>80</v>
      </c>
      <c r="B880" s="279" t="s">
        <v>1320</v>
      </c>
      <c r="C880" s="278" t="s">
        <v>3120</v>
      </c>
      <c r="D880" s="277" t="s">
        <v>1393</v>
      </c>
      <c r="E880" s="276" t="s">
        <v>1398</v>
      </c>
      <c r="F880" s="277" t="s">
        <v>1388</v>
      </c>
      <c r="G880" s="276" t="s">
        <v>208</v>
      </c>
      <c r="H880" s="275">
        <v>1</v>
      </c>
      <c r="I880" s="276"/>
      <c r="J880" s="275">
        <v>0.21199999999999999</v>
      </c>
      <c r="K880" s="274"/>
      <c r="L880" s="275">
        <v>0.21199999999999999</v>
      </c>
      <c r="M880" s="276" t="s">
        <v>3110</v>
      </c>
      <c r="N880" s="273"/>
      <c r="O880" s="276" t="s">
        <v>55</v>
      </c>
      <c r="P880" s="277" t="s">
        <v>1362</v>
      </c>
      <c r="Q880" s="272"/>
      <c r="R880" s="271"/>
      <c r="S880" s="270"/>
      <c r="T880" s="277" t="s">
        <v>25</v>
      </c>
      <c r="U880" s="276" t="s">
        <v>1388</v>
      </c>
      <c r="V880" s="277">
        <v>40</v>
      </c>
      <c r="W880" s="269"/>
      <c r="X880" s="268" t="s">
        <v>208</v>
      </c>
      <c r="Y880" s="267">
        <v>43312</v>
      </c>
    </row>
    <row r="881" spans="1:25">
      <c r="A881" s="280" t="s">
        <v>95</v>
      </c>
      <c r="B881" s="279" t="s">
        <v>1320</v>
      </c>
      <c r="C881" s="278" t="s">
        <v>3121</v>
      </c>
      <c r="D881" s="277" t="s">
        <v>1585</v>
      </c>
      <c r="E881" s="276" t="s">
        <v>1539</v>
      </c>
      <c r="F881" s="277" t="s">
        <v>18</v>
      </c>
      <c r="G881" s="276" t="s">
        <v>3122</v>
      </c>
      <c r="H881" s="275">
        <v>1</v>
      </c>
      <c r="I881" s="276"/>
      <c r="J881" s="275">
        <v>115.6</v>
      </c>
      <c r="K881" s="274"/>
      <c r="L881" s="275">
        <v>115.6</v>
      </c>
      <c r="M881" s="276" t="s">
        <v>3123</v>
      </c>
      <c r="N881" s="273"/>
      <c r="O881" s="276" t="s">
        <v>55</v>
      </c>
      <c r="P881" s="277" t="s">
        <v>1403</v>
      </c>
      <c r="Q881" s="272"/>
      <c r="R881" s="271" t="s">
        <v>1588</v>
      </c>
      <c r="S881" s="270"/>
      <c r="T881" s="277" t="s">
        <v>25</v>
      </c>
      <c r="U881" s="276" t="s">
        <v>18</v>
      </c>
      <c r="V881" s="277">
        <v>1168</v>
      </c>
      <c r="W881" s="269"/>
      <c r="X881" s="268" t="s">
        <v>1363</v>
      </c>
      <c r="Y881" s="267">
        <v>44670.611400462964</v>
      </c>
    </row>
    <row r="882" spans="1:25">
      <c r="A882" s="280" t="s">
        <v>95</v>
      </c>
      <c r="B882" s="279" t="s">
        <v>1320</v>
      </c>
      <c r="C882" s="278" t="s">
        <v>3121</v>
      </c>
      <c r="D882" s="277" t="s">
        <v>1585</v>
      </c>
      <c r="E882" s="276" t="s">
        <v>1539</v>
      </c>
      <c r="F882" s="277" t="s">
        <v>18</v>
      </c>
      <c r="G882" s="276" t="s">
        <v>3124</v>
      </c>
      <c r="H882" s="275">
        <v>1</v>
      </c>
      <c r="I882" s="276"/>
      <c r="J882" s="275">
        <v>115.6</v>
      </c>
      <c r="K882" s="274"/>
      <c r="L882" s="275">
        <v>115.6</v>
      </c>
      <c r="M882" s="276" t="s">
        <v>3123</v>
      </c>
      <c r="N882" s="273"/>
      <c r="O882" s="276" t="s">
        <v>55</v>
      </c>
      <c r="P882" s="277" t="s">
        <v>1403</v>
      </c>
      <c r="Q882" s="272"/>
      <c r="R882" s="271" t="s">
        <v>1588</v>
      </c>
      <c r="S882" s="270"/>
      <c r="T882" s="277" t="s">
        <v>25</v>
      </c>
      <c r="U882" s="276" t="s">
        <v>18</v>
      </c>
      <c r="V882" s="277">
        <v>1168</v>
      </c>
      <c r="W882" s="269"/>
      <c r="X882" s="268" t="s">
        <v>1363</v>
      </c>
      <c r="Y882" s="267">
        <v>44670.611400462964</v>
      </c>
    </row>
    <row r="883" spans="1:25">
      <c r="A883" s="280" t="s">
        <v>80</v>
      </c>
      <c r="B883" s="279" t="s">
        <v>1385</v>
      </c>
      <c r="C883" s="278" t="s">
        <v>3125</v>
      </c>
      <c r="D883" s="277" t="s">
        <v>3126</v>
      </c>
      <c r="E883" s="276" t="s">
        <v>1493</v>
      </c>
      <c r="F883" s="277" t="s">
        <v>1360</v>
      </c>
      <c r="G883" s="276" t="s">
        <v>208</v>
      </c>
      <c r="H883" s="275">
        <v>1</v>
      </c>
      <c r="I883" s="276"/>
      <c r="J883" s="275">
        <v>150</v>
      </c>
      <c r="K883" s="274"/>
      <c r="L883" s="275">
        <v>150</v>
      </c>
      <c r="M883" s="276" t="s">
        <v>1480</v>
      </c>
      <c r="N883" s="273"/>
      <c r="O883" s="276" t="s">
        <v>1285</v>
      </c>
      <c r="P883" s="277" t="s">
        <v>1403</v>
      </c>
      <c r="Q883" s="272"/>
      <c r="R883" s="271"/>
      <c r="S883" s="270"/>
      <c r="T883" s="277" t="s">
        <v>29</v>
      </c>
      <c r="U883" s="276" t="s">
        <v>14</v>
      </c>
      <c r="V883" s="277">
        <v>1522</v>
      </c>
      <c r="W883" s="269"/>
      <c r="X883" s="268" t="s">
        <v>1363</v>
      </c>
      <c r="Y883" s="267">
        <v>44672.658402777779</v>
      </c>
    </row>
    <row r="884" spans="1:25">
      <c r="A884" s="280" t="s">
        <v>80</v>
      </c>
      <c r="B884" s="279" t="s">
        <v>1385</v>
      </c>
      <c r="C884" s="278" t="s">
        <v>3127</v>
      </c>
      <c r="D884" s="277" t="s">
        <v>3126</v>
      </c>
      <c r="E884" s="276" t="s">
        <v>1493</v>
      </c>
      <c r="F884" s="277" t="s">
        <v>1360</v>
      </c>
      <c r="G884" s="276" t="s">
        <v>208</v>
      </c>
      <c r="H884" s="275">
        <v>1</v>
      </c>
      <c r="I884" s="276"/>
      <c r="J884" s="275">
        <v>150</v>
      </c>
      <c r="K884" s="274"/>
      <c r="L884" s="275">
        <v>150</v>
      </c>
      <c r="M884" s="276" t="s">
        <v>1480</v>
      </c>
      <c r="N884" s="273"/>
      <c r="O884" s="276" t="s">
        <v>1285</v>
      </c>
      <c r="P884" s="277" t="s">
        <v>1403</v>
      </c>
      <c r="Q884" s="272"/>
      <c r="R884" s="271"/>
      <c r="S884" s="270"/>
      <c r="T884" s="277" t="s">
        <v>29</v>
      </c>
      <c r="U884" s="276" t="s">
        <v>14</v>
      </c>
      <c r="V884" s="277">
        <v>1523</v>
      </c>
      <c r="W884" s="269"/>
      <c r="X884" s="268" t="s">
        <v>1363</v>
      </c>
      <c r="Y884" s="267">
        <v>44671.474131944444</v>
      </c>
    </row>
    <row r="885" spans="1:25">
      <c r="A885" s="280" t="s">
        <v>95</v>
      </c>
      <c r="B885" s="279" t="s">
        <v>1320</v>
      </c>
      <c r="C885" s="278" t="s">
        <v>3128</v>
      </c>
      <c r="D885" s="277" t="s">
        <v>75</v>
      </c>
      <c r="E885" s="276" t="s">
        <v>1359</v>
      </c>
      <c r="F885" s="277" t="s">
        <v>1422</v>
      </c>
      <c r="G885" s="276" t="s">
        <v>3129</v>
      </c>
      <c r="H885" s="275">
        <v>1</v>
      </c>
      <c r="I885" s="276"/>
      <c r="J885" s="275">
        <v>1.123</v>
      </c>
      <c r="K885" s="274"/>
      <c r="L885" s="275">
        <v>1.123</v>
      </c>
      <c r="M885" s="276" t="s">
        <v>1423</v>
      </c>
      <c r="N885" s="273">
        <v>0</v>
      </c>
      <c r="O885" s="276" t="s">
        <v>55</v>
      </c>
      <c r="P885" s="277" t="s">
        <v>1362</v>
      </c>
      <c r="Q885" s="272"/>
      <c r="R885" s="271"/>
      <c r="S885" s="270"/>
      <c r="T885" s="277" t="s">
        <v>25</v>
      </c>
      <c r="U885" s="276" t="s">
        <v>19</v>
      </c>
      <c r="V885" s="277">
        <v>1169</v>
      </c>
      <c r="W885" s="269"/>
      <c r="X885" s="268" t="s">
        <v>1400</v>
      </c>
      <c r="Y885" s="267">
        <v>44340.683009259257</v>
      </c>
    </row>
    <row r="886" spans="1:25">
      <c r="A886" s="280" t="s">
        <v>62</v>
      </c>
      <c r="B886" s="279" t="s">
        <v>1320</v>
      </c>
      <c r="C886" s="278" t="s">
        <v>3130</v>
      </c>
      <c r="D886" s="277" t="s">
        <v>3131</v>
      </c>
      <c r="E886" s="276" t="s">
        <v>1596</v>
      </c>
      <c r="F886" s="277" t="s">
        <v>2204</v>
      </c>
      <c r="G886" s="276" t="s">
        <v>3132</v>
      </c>
      <c r="H886" s="275">
        <v>1</v>
      </c>
      <c r="I886" s="276"/>
      <c r="J886" s="275">
        <v>30</v>
      </c>
      <c r="K886" s="274"/>
      <c r="L886" s="275">
        <v>30</v>
      </c>
      <c r="M886" s="276" t="s">
        <v>1435</v>
      </c>
      <c r="N886" s="273"/>
      <c r="O886" s="276" t="s">
        <v>55</v>
      </c>
      <c r="P886" s="277" t="s">
        <v>1362</v>
      </c>
      <c r="Q886" s="272"/>
      <c r="R886" s="271"/>
      <c r="S886" s="270"/>
      <c r="T886" s="277" t="s">
        <v>25</v>
      </c>
      <c r="U886" s="276" t="s">
        <v>19</v>
      </c>
      <c r="V886" s="277">
        <v>1172</v>
      </c>
      <c r="W886" s="269"/>
      <c r="X886" s="268" t="s">
        <v>1400</v>
      </c>
      <c r="Y886" s="267">
        <v>43769.416655092595</v>
      </c>
    </row>
    <row r="887" spans="1:25">
      <c r="A887" s="280" t="s">
        <v>95</v>
      </c>
      <c r="B887" s="279" t="s">
        <v>1320</v>
      </c>
      <c r="C887" s="278" t="s">
        <v>3133</v>
      </c>
      <c r="D887" s="277" t="s">
        <v>1585</v>
      </c>
      <c r="E887" s="276" t="s">
        <v>1539</v>
      </c>
      <c r="F887" s="277" t="s">
        <v>18</v>
      </c>
      <c r="G887" s="276" t="s">
        <v>3134</v>
      </c>
      <c r="H887" s="275">
        <v>1</v>
      </c>
      <c r="I887" s="276"/>
      <c r="J887" s="275">
        <v>28</v>
      </c>
      <c r="K887" s="274"/>
      <c r="L887" s="275">
        <v>28</v>
      </c>
      <c r="M887" s="276" t="s">
        <v>3007</v>
      </c>
      <c r="N887" s="273"/>
      <c r="O887" s="276" t="s">
        <v>55</v>
      </c>
      <c r="P887" s="277" t="s">
        <v>1362</v>
      </c>
      <c r="Q887" s="272"/>
      <c r="R887" s="271" t="s">
        <v>1588</v>
      </c>
      <c r="S887" s="270"/>
      <c r="T887" s="277" t="s">
        <v>25</v>
      </c>
      <c r="U887" s="276" t="s">
        <v>18</v>
      </c>
      <c r="V887" s="277">
        <v>1170</v>
      </c>
      <c r="W887" s="269"/>
      <c r="X887" s="268" t="s">
        <v>1363</v>
      </c>
      <c r="Y887" s="267">
        <v>44670.612210648149</v>
      </c>
    </row>
    <row r="888" spans="1:25">
      <c r="A888" s="280" t="s">
        <v>46</v>
      </c>
      <c r="B888" s="279" t="s">
        <v>1320</v>
      </c>
      <c r="C888" s="278" t="s">
        <v>3135</v>
      </c>
      <c r="D888" s="277" t="s">
        <v>3135</v>
      </c>
      <c r="E888" s="276" t="s">
        <v>1365</v>
      </c>
      <c r="F888" s="277" t="s">
        <v>1431</v>
      </c>
      <c r="G888" s="276" t="s">
        <v>208</v>
      </c>
      <c r="H888" s="275">
        <v>2</v>
      </c>
      <c r="I888" s="276"/>
      <c r="J888" s="275">
        <v>0</v>
      </c>
      <c r="K888" s="274"/>
      <c r="L888" s="275">
        <v>0</v>
      </c>
      <c r="M888" s="276" t="s">
        <v>1600</v>
      </c>
      <c r="N888" s="273"/>
      <c r="O888" s="276" t="s">
        <v>55</v>
      </c>
      <c r="P888" s="277" t="s">
        <v>1362</v>
      </c>
      <c r="Q888" s="272"/>
      <c r="R888" s="271"/>
      <c r="S888" s="270"/>
      <c r="T888" s="277" t="s">
        <v>25</v>
      </c>
      <c r="U888" s="276" t="s">
        <v>21</v>
      </c>
      <c r="V888" s="277">
        <v>1296</v>
      </c>
      <c r="W888" s="269"/>
      <c r="X888" s="268" t="s">
        <v>208</v>
      </c>
      <c r="Y888" s="267">
        <v>43769.416655092595</v>
      </c>
    </row>
    <row r="889" spans="1:25">
      <c r="A889" s="280" t="s">
        <v>100</v>
      </c>
      <c r="B889" s="279" t="s">
        <v>1320</v>
      </c>
      <c r="C889" s="278" t="s">
        <v>3136</v>
      </c>
      <c r="D889" s="277" t="s">
        <v>1393</v>
      </c>
      <c r="E889" s="276" t="s">
        <v>3137</v>
      </c>
      <c r="F889" s="277" t="s">
        <v>1486</v>
      </c>
      <c r="G889" s="276" t="s">
        <v>208</v>
      </c>
      <c r="H889" s="275">
        <v>1</v>
      </c>
      <c r="I889" s="276"/>
      <c r="J889" s="275">
        <v>1.06</v>
      </c>
      <c r="K889" s="274"/>
      <c r="L889" s="275">
        <v>1.06</v>
      </c>
      <c r="M889" s="276" t="s">
        <v>3138</v>
      </c>
      <c r="N889" s="273"/>
      <c r="O889" s="276" t="s">
        <v>55</v>
      </c>
      <c r="P889" s="277" t="s">
        <v>1362</v>
      </c>
      <c r="Q889" s="272"/>
      <c r="R889" s="271"/>
      <c r="S889" s="270"/>
      <c r="T889" s="277" t="s">
        <v>25</v>
      </c>
      <c r="U889" s="276" t="s">
        <v>19</v>
      </c>
      <c r="V889" s="277">
        <v>57</v>
      </c>
      <c r="W889" s="269"/>
      <c r="X889" s="268" t="s">
        <v>208</v>
      </c>
      <c r="Y889" s="267">
        <v>43312</v>
      </c>
    </row>
    <row r="890" spans="1:25">
      <c r="A890" s="280" t="s">
        <v>46</v>
      </c>
      <c r="B890" s="279" t="s">
        <v>1385</v>
      </c>
      <c r="C890" s="278" t="s">
        <v>3993</v>
      </c>
      <c r="D890" s="277" t="s">
        <v>3994</v>
      </c>
      <c r="E890" s="276"/>
      <c r="F890" s="277" t="s">
        <v>1529</v>
      </c>
      <c r="G890" s="276"/>
      <c r="H890" s="275"/>
      <c r="I890" s="276"/>
      <c r="J890" s="275"/>
      <c r="K890" s="274"/>
      <c r="L890" s="275">
        <v>130</v>
      </c>
      <c r="M890" s="276"/>
      <c r="N890" s="273"/>
      <c r="O890" s="276" t="s">
        <v>1285</v>
      </c>
      <c r="P890" s="277"/>
      <c r="Q890" s="272"/>
      <c r="R890" s="271"/>
      <c r="S890" s="270"/>
      <c r="T890" s="277" t="s">
        <v>29</v>
      </c>
      <c r="U890" s="276" t="s">
        <v>20</v>
      </c>
      <c r="V890" s="277"/>
      <c r="W890" s="269" t="s">
        <v>4029</v>
      </c>
      <c r="X890" s="268"/>
      <c r="Y890" s="267"/>
    </row>
    <row r="891" spans="1:25">
      <c r="A891" s="280" t="s">
        <v>100</v>
      </c>
      <c r="B891" s="279" t="s">
        <v>1385</v>
      </c>
      <c r="C891" s="278" t="s">
        <v>3139</v>
      </c>
      <c r="D891" s="277" t="s">
        <v>3140</v>
      </c>
      <c r="E891" s="276" t="s">
        <v>2236</v>
      </c>
      <c r="F891" s="277" t="s">
        <v>17</v>
      </c>
      <c r="G891" s="276" t="s">
        <v>208</v>
      </c>
      <c r="H891" s="275">
        <v>1</v>
      </c>
      <c r="I891" s="276"/>
      <c r="J891" s="275">
        <v>40</v>
      </c>
      <c r="K891" s="274"/>
      <c r="L891" s="275">
        <v>40</v>
      </c>
      <c r="M891" s="276" t="s">
        <v>1618</v>
      </c>
      <c r="N891" s="273"/>
      <c r="O891" s="276" t="s">
        <v>1285</v>
      </c>
      <c r="P891" s="277" t="s">
        <v>1407</v>
      </c>
      <c r="Q891" s="272"/>
      <c r="R891" s="271"/>
      <c r="S891" s="270"/>
      <c r="T891" s="277" t="s">
        <v>29</v>
      </c>
      <c r="U891" s="276" t="s">
        <v>17</v>
      </c>
      <c r="V891" s="277">
        <v>128</v>
      </c>
      <c r="W891" s="269"/>
      <c r="X891" s="268" t="s">
        <v>208</v>
      </c>
      <c r="Y891" s="267">
        <v>43312</v>
      </c>
    </row>
    <row r="892" spans="1:25">
      <c r="A892" s="280" t="s">
        <v>46</v>
      </c>
      <c r="B892" s="279" t="s">
        <v>1385</v>
      </c>
      <c r="C892" s="278" t="s">
        <v>3141</v>
      </c>
      <c r="D892" s="277" t="s">
        <v>1741</v>
      </c>
      <c r="E892" s="276" t="s">
        <v>1391</v>
      </c>
      <c r="F892" s="277" t="s">
        <v>21</v>
      </c>
      <c r="G892" s="276" t="s">
        <v>208</v>
      </c>
      <c r="H892" s="275">
        <v>1</v>
      </c>
      <c r="I892" s="276"/>
      <c r="J892" s="275">
        <v>60</v>
      </c>
      <c r="K892" s="274"/>
      <c r="L892" s="275">
        <v>60</v>
      </c>
      <c r="M892" s="276" t="s">
        <v>1651</v>
      </c>
      <c r="N892" s="273">
        <v>120</v>
      </c>
      <c r="O892" s="276" t="s">
        <v>28</v>
      </c>
      <c r="P892" s="277" t="s">
        <v>1403</v>
      </c>
      <c r="Q892" s="272" t="s">
        <v>2937</v>
      </c>
      <c r="R892" s="271" t="s">
        <v>1744</v>
      </c>
      <c r="S892" s="270"/>
      <c r="T892" s="277" t="s">
        <v>28</v>
      </c>
      <c r="U892" s="276" t="s">
        <v>20</v>
      </c>
      <c r="V892" s="277">
        <v>1936</v>
      </c>
      <c r="W892" s="269" t="s">
        <v>3926</v>
      </c>
      <c r="X892" s="268" t="s">
        <v>1453</v>
      </c>
      <c r="Y892" s="267">
        <v>44741.68167824074</v>
      </c>
    </row>
    <row r="893" spans="1:25">
      <c r="A893" s="280" t="s">
        <v>46</v>
      </c>
      <c r="B893" s="279" t="s">
        <v>1385</v>
      </c>
      <c r="C893" s="278" t="s">
        <v>3142</v>
      </c>
      <c r="D893" s="277" t="s">
        <v>1741</v>
      </c>
      <c r="E893" s="276" t="s">
        <v>1391</v>
      </c>
      <c r="F893" s="277" t="s">
        <v>21</v>
      </c>
      <c r="G893" s="276" t="s">
        <v>208</v>
      </c>
      <c r="H893" s="275">
        <v>1</v>
      </c>
      <c r="I893" s="276"/>
      <c r="J893" s="275">
        <v>65</v>
      </c>
      <c r="K893" s="274"/>
      <c r="L893" s="275">
        <v>65</v>
      </c>
      <c r="M893" s="276" t="s">
        <v>3143</v>
      </c>
      <c r="N893" s="273">
        <v>130</v>
      </c>
      <c r="O893" s="276" t="s">
        <v>28</v>
      </c>
      <c r="P893" s="277" t="s">
        <v>1403</v>
      </c>
      <c r="Q893" s="272" t="s">
        <v>2063</v>
      </c>
      <c r="R893" s="271" t="s">
        <v>1744</v>
      </c>
      <c r="S893" s="270"/>
      <c r="T893" s="277" t="s">
        <v>28</v>
      </c>
      <c r="U893" s="276" t="s">
        <v>20</v>
      </c>
      <c r="V893" s="277">
        <v>2018</v>
      </c>
      <c r="W893" s="269" t="s">
        <v>3926</v>
      </c>
      <c r="X893" s="268" t="s">
        <v>1453</v>
      </c>
      <c r="Y893" s="267">
        <v>44742.48541666667</v>
      </c>
    </row>
    <row r="894" spans="1:25">
      <c r="A894" s="280" t="s">
        <v>46</v>
      </c>
      <c r="B894" s="279" t="s">
        <v>1385</v>
      </c>
      <c r="C894" s="278" t="s">
        <v>286</v>
      </c>
      <c r="D894" s="277" t="s">
        <v>287</v>
      </c>
      <c r="E894" s="276" t="s">
        <v>1429</v>
      </c>
      <c r="F894" s="277" t="s">
        <v>1388</v>
      </c>
      <c r="G894" s="276" t="s">
        <v>208</v>
      </c>
      <c r="H894" s="275">
        <v>360</v>
      </c>
      <c r="I894" s="276"/>
      <c r="J894" s="275">
        <v>0.09</v>
      </c>
      <c r="K894" s="274"/>
      <c r="L894" s="275">
        <v>32.4</v>
      </c>
      <c r="M894" s="276" t="s">
        <v>2593</v>
      </c>
      <c r="N894" s="273"/>
      <c r="O894" s="276" t="s">
        <v>27</v>
      </c>
      <c r="P894" s="277" t="s">
        <v>1407</v>
      </c>
      <c r="Q894" s="272" t="s">
        <v>3144</v>
      </c>
      <c r="R894" s="271" t="s">
        <v>1681</v>
      </c>
      <c r="S894" s="270"/>
      <c r="T894" s="277" t="s">
        <v>27</v>
      </c>
      <c r="U894" s="276" t="s">
        <v>1388</v>
      </c>
      <c r="V894" s="277">
        <v>1415</v>
      </c>
      <c r="W894" s="269"/>
      <c r="X894" s="268" t="s">
        <v>1453</v>
      </c>
      <c r="Y894" s="267">
        <v>44742.449699074074</v>
      </c>
    </row>
    <row r="895" spans="1:25">
      <c r="A895" s="280" t="s">
        <v>80</v>
      </c>
      <c r="B895" s="279" t="s">
        <v>1385</v>
      </c>
      <c r="C895" s="278" t="s">
        <v>3145</v>
      </c>
      <c r="D895" s="277" t="s">
        <v>377</v>
      </c>
      <c r="E895" s="276" t="s">
        <v>1429</v>
      </c>
      <c r="F895" s="277" t="s">
        <v>1388</v>
      </c>
      <c r="G895" s="276" t="s">
        <v>208</v>
      </c>
      <c r="H895" s="275">
        <v>153</v>
      </c>
      <c r="I895" s="276"/>
      <c r="J895" s="275">
        <v>1.6539999999999999</v>
      </c>
      <c r="K895" s="274"/>
      <c r="L895" s="275">
        <v>253.06199999999998</v>
      </c>
      <c r="M895" s="276" t="s">
        <v>3146</v>
      </c>
      <c r="N895" s="273"/>
      <c r="O895" s="276" t="s">
        <v>1285</v>
      </c>
      <c r="P895" s="277" t="s">
        <v>1407</v>
      </c>
      <c r="Q895" s="272"/>
      <c r="R895" s="271" t="s">
        <v>1681</v>
      </c>
      <c r="S895" s="270"/>
      <c r="T895" s="277" t="s">
        <v>29</v>
      </c>
      <c r="U895" s="276" t="s">
        <v>1388</v>
      </c>
      <c r="V895" s="277">
        <v>1410</v>
      </c>
      <c r="W895" s="269"/>
      <c r="X895" s="268" t="s">
        <v>208</v>
      </c>
      <c r="Y895" s="267">
        <v>43769.416655092595</v>
      </c>
    </row>
    <row r="896" spans="1:25">
      <c r="A896" s="280" t="s">
        <v>80</v>
      </c>
      <c r="B896" s="279" t="s">
        <v>1385</v>
      </c>
      <c r="C896" s="278" t="s">
        <v>3147</v>
      </c>
      <c r="D896" s="277" t="s">
        <v>377</v>
      </c>
      <c r="E896" s="276" t="s">
        <v>1391</v>
      </c>
      <c r="F896" s="277" t="s">
        <v>21</v>
      </c>
      <c r="G896" s="276" t="s">
        <v>208</v>
      </c>
      <c r="H896" s="275">
        <v>1</v>
      </c>
      <c r="I896" s="276"/>
      <c r="J896" s="275">
        <v>100</v>
      </c>
      <c r="K896" s="274"/>
      <c r="L896" s="275">
        <v>100</v>
      </c>
      <c r="M896" s="276" t="s">
        <v>1546</v>
      </c>
      <c r="N896" s="273"/>
      <c r="O896" s="276" t="s">
        <v>1285</v>
      </c>
      <c r="P896" s="277" t="s">
        <v>1403</v>
      </c>
      <c r="Q896" s="272"/>
      <c r="R896" s="271"/>
      <c r="S896" s="270"/>
      <c r="T896" s="277" t="s">
        <v>29</v>
      </c>
      <c r="U896" s="276" t="s">
        <v>20</v>
      </c>
      <c r="V896" s="277">
        <v>115</v>
      </c>
      <c r="W896" s="269"/>
      <c r="X896" s="268" t="s">
        <v>208</v>
      </c>
      <c r="Y896" s="267">
        <v>43312</v>
      </c>
    </row>
    <row r="897" spans="1:25">
      <c r="A897" s="280" t="s">
        <v>95</v>
      </c>
      <c r="B897" s="279" t="s">
        <v>1385</v>
      </c>
      <c r="C897" s="278" t="s">
        <v>3148</v>
      </c>
      <c r="D897" s="277" t="s">
        <v>1468</v>
      </c>
      <c r="E897" s="276" t="s">
        <v>1419</v>
      </c>
      <c r="F897" s="277" t="s">
        <v>17</v>
      </c>
      <c r="G897" s="276" t="s">
        <v>208</v>
      </c>
      <c r="H897" s="275">
        <v>1</v>
      </c>
      <c r="I897" s="276"/>
      <c r="J897" s="275">
        <v>1000</v>
      </c>
      <c r="K897" s="274"/>
      <c r="L897" s="275">
        <v>1000</v>
      </c>
      <c r="M897" s="276" t="s">
        <v>2356</v>
      </c>
      <c r="N897" s="273"/>
      <c r="O897" s="276" t="s">
        <v>1285</v>
      </c>
      <c r="P897" s="277" t="s">
        <v>1407</v>
      </c>
      <c r="Q897" s="272"/>
      <c r="R897" s="271"/>
      <c r="S897" s="270"/>
      <c r="T897" s="277" t="s">
        <v>29</v>
      </c>
      <c r="U897" s="276" t="s">
        <v>17</v>
      </c>
      <c r="V897" s="277">
        <v>121</v>
      </c>
      <c r="W897" s="269"/>
      <c r="X897" s="268" t="s">
        <v>208</v>
      </c>
      <c r="Y897" s="267">
        <v>43312</v>
      </c>
    </row>
    <row r="898" spans="1:25">
      <c r="A898" s="280" t="s">
        <v>62</v>
      </c>
      <c r="B898" s="279" t="s">
        <v>1320</v>
      </c>
      <c r="C898" s="278" t="s">
        <v>76</v>
      </c>
      <c r="D898" s="277" t="s">
        <v>75</v>
      </c>
      <c r="E898" s="276" t="s">
        <v>1359</v>
      </c>
      <c r="F898" s="277" t="s">
        <v>1422</v>
      </c>
      <c r="G898" s="276" t="s">
        <v>77</v>
      </c>
      <c r="H898" s="275">
        <v>4</v>
      </c>
      <c r="I898" s="276"/>
      <c r="J898" s="275">
        <v>1.123</v>
      </c>
      <c r="K898" s="274"/>
      <c r="L898" s="275">
        <v>4.492</v>
      </c>
      <c r="M898" s="276" t="s">
        <v>3149</v>
      </c>
      <c r="N898" s="273"/>
      <c r="O898" s="276" t="s">
        <v>55</v>
      </c>
      <c r="P898" s="277" t="s">
        <v>1362</v>
      </c>
      <c r="Q898" s="272"/>
      <c r="R898" s="271" t="s">
        <v>1496</v>
      </c>
      <c r="S898" s="270"/>
      <c r="T898" s="277" t="s">
        <v>25</v>
      </c>
      <c r="U898" s="276" t="s">
        <v>19</v>
      </c>
      <c r="V898" s="277">
        <v>1171</v>
      </c>
      <c r="W898" s="269"/>
      <c r="X898" s="268" t="s">
        <v>1400</v>
      </c>
      <c r="Y898" s="267">
        <v>44732.47</v>
      </c>
    </row>
    <row r="899" spans="1:25">
      <c r="A899" s="280" t="s">
        <v>62</v>
      </c>
      <c r="B899" s="279" t="s">
        <v>1385</v>
      </c>
      <c r="C899" s="278" t="s">
        <v>251</v>
      </c>
      <c r="D899" s="277" t="s">
        <v>3150</v>
      </c>
      <c r="E899" s="276" t="s">
        <v>1429</v>
      </c>
      <c r="F899" s="277" t="s">
        <v>1388</v>
      </c>
      <c r="G899" s="276" t="s">
        <v>208</v>
      </c>
      <c r="H899" s="275">
        <v>181</v>
      </c>
      <c r="I899" s="276">
        <v>2.2730000000000001</v>
      </c>
      <c r="J899" s="275">
        <v>2.75</v>
      </c>
      <c r="K899" s="274">
        <v>411.41300000000001</v>
      </c>
      <c r="L899" s="275">
        <v>497.75</v>
      </c>
      <c r="M899" s="276" t="s">
        <v>3151</v>
      </c>
      <c r="N899" s="273"/>
      <c r="O899" s="276" t="s">
        <v>1285</v>
      </c>
      <c r="P899" s="277" t="s">
        <v>1407</v>
      </c>
      <c r="Q899" s="272"/>
      <c r="R899" s="271"/>
      <c r="S899" s="270"/>
      <c r="T899" s="277" t="s">
        <v>29</v>
      </c>
      <c r="U899" s="276" t="s">
        <v>1388</v>
      </c>
      <c r="V899" s="277">
        <v>1561</v>
      </c>
      <c r="W899" s="269"/>
      <c r="X899" s="268" t="s">
        <v>1453</v>
      </c>
      <c r="Y899" s="267">
        <v>44748.394583333335</v>
      </c>
    </row>
    <row r="900" spans="1:25">
      <c r="A900" s="280" t="s">
        <v>62</v>
      </c>
      <c r="B900" s="279" t="s">
        <v>1385</v>
      </c>
      <c r="C900" s="278" t="s">
        <v>3152</v>
      </c>
      <c r="D900" s="277" t="s">
        <v>2047</v>
      </c>
      <c r="E900" s="276" t="s">
        <v>1398</v>
      </c>
      <c r="F900" s="277" t="s">
        <v>1388</v>
      </c>
      <c r="G900" s="276" t="s">
        <v>208</v>
      </c>
      <c r="H900" s="275">
        <v>1</v>
      </c>
      <c r="I900" s="276"/>
      <c r="J900" s="275">
        <v>90</v>
      </c>
      <c r="K900" s="274"/>
      <c r="L900" s="275">
        <v>90</v>
      </c>
      <c r="M900" s="276" t="s">
        <v>1747</v>
      </c>
      <c r="N900" s="273"/>
      <c r="O900" s="276" t="s">
        <v>1285</v>
      </c>
      <c r="P900" s="277" t="s">
        <v>1407</v>
      </c>
      <c r="Q900" s="272"/>
      <c r="R900" s="271"/>
      <c r="S900" s="270"/>
      <c r="T900" s="277" t="s">
        <v>29</v>
      </c>
      <c r="U900" s="276" t="s">
        <v>1388</v>
      </c>
      <c r="V900" s="277">
        <v>105</v>
      </c>
      <c r="W900" s="269"/>
      <c r="X900" s="268" t="s">
        <v>208</v>
      </c>
      <c r="Y900" s="267">
        <v>43312</v>
      </c>
    </row>
    <row r="901" spans="1:25">
      <c r="A901" s="280" t="s">
        <v>62</v>
      </c>
      <c r="B901" s="279" t="s">
        <v>1385</v>
      </c>
      <c r="C901" s="278" t="s">
        <v>3153</v>
      </c>
      <c r="D901" s="277" t="s">
        <v>2099</v>
      </c>
      <c r="E901" s="276" t="s">
        <v>1398</v>
      </c>
      <c r="F901" s="277" t="s">
        <v>1388</v>
      </c>
      <c r="G901" s="276" t="s">
        <v>208</v>
      </c>
      <c r="H901" s="275">
        <v>1</v>
      </c>
      <c r="I901" s="276"/>
      <c r="J901" s="275">
        <v>117.4</v>
      </c>
      <c r="K901" s="274"/>
      <c r="L901" s="275">
        <v>117.4</v>
      </c>
      <c r="M901" s="276" t="s">
        <v>3154</v>
      </c>
      <c r="N901" s="273"/>
      <c r="O901" s="276" t="s">
        <v>1285</v>
      </c>
      <c r="P901" s="277" t="s">
        <v>1407</v>
      </c>
      <c r="Q901" s="272"/>
      <c r="R901" s="271"/>
      <c r="S901" s="270"/>
      <c r="T901" s="277" t="s">
        <v>29</v>
      </c>
      <c r="U901" s="276" t="s">
        <v>1388</v>
      </c>
      <c r="V901" s="277">
        <v>1442</v>
      </c>
      <c r="W901" s="269"/>
      <c r="X901" s="268" t="s">
        <v>1400</v>
      </c>
      <c r="Y901" s="267">
        <v>43769.416655092595</v>
      </c>
    </row>
    <row r="902" spans="1:25">
      <c r="A902" s="280" t="s">
        <v>62</v>
      </c>
      <c r="B902" s="279" t="s">
        <v>1320</v>
      </c>
      <c r="C902" s="278" t="s">
        <v>3155</v>
      </c>
      <c r="D902" s="277" t="s">
        <v>465</v>
      </c>
      <c r="E902" s="276" t="s">
        <v>1493</v>
      </c>
      <c r="F902" s="277" t="s">
        <v>1360</v>
      </c>
      <c r="G902" s="276" t="s">
        <v>3156</v>
      </c>
      <c r="H902" s="275">
        <v>1</v>
      </c>
      <c r="I902" s="276"/>
      <c r="J902" s="275">
        <v>40</v>
      </c>
      <c r="K902" s="274"/>
      <c r="L902" s="275">
        <v>40</v>
      </c>
      <c r="M902" s="276" t="s">
        <v>1618</v>
      </c>
      <c r="N902" s="273"/>
      <c r="O902" s="276" t="s">
        <v>55</v>
      </c>
      <c r="P902" s="277" t="s">
        <v>1403</v>
      </c>
      <c r="Q902" s="272"/>
      <c r="R902" s="271" t="s">
        <v>1554</v>
      </c>
      <c r="S902" s="270"/>
      <c r="T902" s="277" t="s">
        <v>25</v>
      </c>
      <c r="U902" s="276" t="s">
        <v>14</v>
      </c>
      <c r="V902" s="277">
        <v>1173</v>
      </c>
      <c r="W902" s="269"/>
      <c r="X902" s="268" t="s">
        <v>1363</v>
      </c>
      <c r="Y902" s="267">
        <v>44670.484074074076</v>
      </c>
    </row>
    <row r="903" spans="1:25">
      <c r="A903" s="280" t="s">
        <v>62</v>
      </c>
      <c r="B903" s="279" t="s">
        <v>1320</v>
      </c>
      <c r="C903" s="278" t="s">
        <v>3155</v>
      </c>
      <c r="D903" s="277" t="s">
        <v>465</v>
      </c>
      <c r="E903" s="276" t="s">
        <v>1493</v>
      </c>
      <c r="F903" s="277" t="s">
        <v>1360</v>
      </c>
      <c r="G903" s="276" t="s">
        <v>3157</v>
      </c>
      <c r="H903" s="275">
        <v>1</v>
      </c>
      <c r="I903" s="276"/>
      <c r="J903" s="275">
        <v>40</v>
      </c>
      <c r="K903" s="274"/>
      <c r="L903" s="275">
        <v>40</v>
      </c>
      <c r="M903" s="276" t="s">
        <v>1618</v>
      </c>
      <c r="N903" s="273"/>
      <c r="O903" s="276" t="s">
        <v>55</v>
      </c>
      <c r="P903" s="277" t="s">
        <v>1403</v>
      </c>
      <c r="Q903" s="272"/>
      <c r="R903" s="271" t="s">
        <v>1554</v>
      </c>
      <c r="S903" s="270"/>
      <c r="T903" s="277" t="s">
        <v>25</v>
      </c>
      <c r="U903" s="276" t="s">
        <v>14</v>
      </c>
      <c r="V903" s="277">
        <v>1173</v>
      </c>
      <c r="W903" s="269"/>
      <c r="X903" s="268" t="s">
        <v>1363</v>
      </c>
      <c r="Y903" s="267">
        <v>44670.484074074076</v>
      </c>
    </row>
    <row r="904" spans="1:25">
      <c r="A904" s="280" t="s">
        <v>46</v>
      </c>
      <c r="B904" s="279" t="s">
        <v>1385</v>
      </c>
      <c r="C904" s="278" t="s">
        <v>3158</v>
      </c>
      <c r="D904" s="277" t="s">
        <v>3159</v>
      </c>
      <c r="E904" s="276"/>
      <c r="F904" s="277" t="s">
        <v>1388</v>
      </c>
      <c r="G904" s="276"/>
      <c r="H904" s="275"/>
      <c r="I904" s="276"/>
      <c r="J904" s="275"/>
      <c r="K904" s="274"/>
      <c r="L904" s="275">
        <v>500</v>
      </c>
      <c r="M904" s="276"/>
      <c r="N904" s="273"/>
      <c r="O904" s="276" t="s">
        <v>1285</v>
      </c>
      <c r="P904" s="277"/>
      <c r="Q904" s="272"/>
      <c r="R904" s="271" t="s">
        <v>208</v>
      </c>
      <c r="S904" s="270"/>
      <c r="T904" s="277" t="s">
        <v>29</v>
      </c>
      <c r="U904" s="276" t="s">
        <v>1388</v>
      </c>
      <c r="V904" s="277" t="s">
        <v>208</v>
      </c>
      <c r="W904" s="269" t="s">
        <v>3160</v>
      </c>
      <c r="X904" s="268"/>
      <c r="Y904" s="267" t="s">
        <v>208</v>
      </c>
    </row>
    <row r="905" spans="1:25">
      <c r="A905" s="280" t="s">
        <v>62</v>
      </c>
      <c r="B905" s="279" t="s">
        <v>1320</v>
      </c>
      <c r="C905" s="278" t="s">
        <v>735</v>
      </c>
      <c r="D905" s="277" t="s">
        <v>3161</v>
      </c>
      <c r="E905" s="276" t="s">
        <v>1429</v>
      </c>
      <c r="F905" s="277" t="s">
        <v>1388</v>
      </c>
      <c r="G905" s="276" t="s">
        <v>3162</v>
      </c>
      <c r="H905" s="275">
        <v>64</v>
      </c>
      <c r="I905" s="276"/>
      <c r="J905" s="275">
        <v>2</v>
      </c>
      <c r="K905" s="274"/>
      <c r="L905" s="275">
        <v>128</v>
      </c>
      <c r="M905" s="276" t="s">
        <v>3090</v>
      </c>
      <c r="N905" s="273"/>
      <c r="O905" s="276" t="s">
        <v>55</v>
      </c>
      <c r="P905" s="277" t="s">
        <v>1407</v>
      </c>
      <c r="Q905" s="272"/>
      <c r="R905" s="271" t="s">
        <v>1769</v>
      </c>
      <c r="S905" s="270"/>
      <c r="T905" s="277" t="s">
        <v>25</v>
      </c>
      <c r="U905" s="276" t="s">
        <v>1388</v>
      </c>
      <c r="V905" s="277">
        <v>1401</v>
      </c>
      <c r="W905" s="269"/>
      <c r="X905" s="268" t="s">
        <v>1363</v>
      </c>
      <c r="Y905" s="267">
        <v>44658.643136574072</v>
      </c>
    </row>
    <row r="906" spans="1:25">
      <c r="A906" s="280" t="s">
        <v>95</v>
      </c>
      <c r="B906" s="279" t="s">
        <v>1320</v>
      </c>
      <c r="C906" s="278" t="s">
        <v>3163</v>
      </c>
      <c r="D906" s="277" t="s">
        <v>1585</v>
      </c>
      <c r="E906" s="276" t="s">
        <v>1539</v>
      </c>
      <c r="F906" s="277" t="s">
        <v>18</v>
      </c>
      <c r="G906" s="276" t="s">
        <v>3164</v>
      </c>
      <c r="H906" s="275">
        <v>1</v>
      </c>
      <c r="I906" s="276"/>
      <c r="J906" s="275">
        <v>10.5</v>
      </c>
      <c r="K906" s="274"/>
      <c r="L906" s="275">
        <v>10.5</v>
      </c>
      <c r="M906" s="276" t="s">
        <v>3165</v>
      </c>
      <c r="N906" s="273"/>
      <c r="O906" s="276" t="s">
        <v>55</v>
      </c>
      <c r="P906" s="277" t="s">
        <v>1362</v>
      </c>
      <c r="Q906" s="272"/>
      <c r="R906" s="271" t="s">
        <v>1588</v>
      </c>
      <c r="S906" s="270"/>
      <c r="T906" s="277" t="s">
        <v>25</v>
      </c>
      <c r="U906" s="276" t="s">
        <v>18</v>
      </c>
      <c r="V906" s="277">
        <v>1174</v>
      </c>
      <c r="W906" s="269"/>
      <c r="X906" s="268" t="s">
        <v>1363</v>
      </c>
      <c r="Y906" s="267">
        <v>44670.613391203704</v>
      </c>
    </row>
    <row r="907" spans="1:25">
      <c r="A907" s="280" t="s">
        <v>95</v>
      </c>
      <c r="B907" s="279" t="s">
        <v>1385</v>
      </c>
      <c r="C907" s="278" t="s">
        <v>3166</v>
      </c>
      <c r="D907" s="277" t="s">
        <v>1590</v>
      </c>
      <c r="E907" s="276"/>
      <c r="F907" s="277" t="s">
        <v>18</v>
      </c>
      <c r="G907" s="276"/>
      <c r="H907" s="275"/>
      <c r="I907" s="276"/>
      <c r="J907" s="275"/>
      <c r="K907" s="274"/>
      <c r="L907" s="275">
        <v>750</v>
      </c>
      <c r="M907" s="276"/>
      <c r="N907" s="273"/>
      <c r="O907" s="276" t="s">
        <v>1285</v>
      </c>
      <c r="P907" s="277"/>
      <c r="Q907" s="272"/>
      <c r="R907" s="271"/>
      <c r="S907" s="270"/>
      <c r="T907" s="277" t="s">
        <v>29</v>
      </c>
      <c r="U907" s="276" t="s">
        <v>18</v>
      </c>
      <c r="V907" s="277" t="s">
        <v>208</v>
      </c>
      <c r="W907" s="269" t="s">
        <v>3167</v>
      </c>
      <c r="X907" s="268"/>
      <c r="Y907" s="267" t="s">
        <v>208</v>
      </c>
    </row>
    <row r="908" spans="1:25">
      <c r="A908" s="280" t="s">
        <v>46</v>
      </c>
      <c r="B908" s="279" t="s">
        <v>1320</v>
      </c>
      <c r="C908" s="278" t="s">
        <v>1033</v>
      </c>
      <c r="D908" s="277" t="s">
        <v>3168</v>
      </c>
      <c r="E908" s="276" t="s">
        <v>1398</v>
      </c>
      <c r="F908" s="277" t="s">
        <v>1388</v>
      </c>
      <c r="G908" s="276" t="s">
        <v>3169</v>
      </c>
      <c r="H908" s="275">
        <v>20</v>
      </c>
      <c r="I908" s="276"/>
      <c r="J908" s="275">
        <v>1</v>
      </c>
      <c r="K908" s="274"/>
      <c r="L908" s="275">
        <v>20</v>
      </c>
      <c r="M908" s="276" t="s">
        <v>1433</v>
      </c>
      <c r="N908" s="273"/>
      <c r="O908" s="276" t="s">
        <v>55</v>
      </c>
      <c r="P908" s="277" t="s">
        <v>1362</v>
      </c>
      <c r="Q908" s="272"/>
      <c r="R908" s="271" t="s">
        <v>1534</v>
      </c>
      <c r="S908" s="270"/>
      <c r="T908" s="277" t="s">
        <v>25</v>
      </c>
      <c r="U908" s="276" t="s">
        <v>1388</v>
      </c>
      <c r="V908" s="277">
        <v>1336</v>
      </c>
      <c r="W908" s="269"/>
      <c r="X908" s="268" t="s">
        <v>1363</v>
      </c>
      <c r="Y908" s="267">
        <v>44671.389965277776</v>
      </c>
    </row>
    <row r="909" spans="1:25">
      <c r="A909" s="280" t="s">
        <v>100</v>
      </c>
      <c r="B909" s="279" t="s">
        <v>1320</v>
      </c>
      <c r="C909" s="278" t="s">
        <v>3170</v>
      </c>
      <c r="D909" s="277" t="s">
        <v>49</v>
      </c>
      <c r="E909" s="276" t="s">
        <v>1539</v>
      </c>
      <c r="F909" s="277" t="s">
        <v>18</v>
      </c>
      <c r="G909" s="276" t="s">
        <v>3171</v>
      </c>
      <c r="H909" s="275">
        <v>5</v>
      </c>
      <c r="I909" s="276"/>
      <c r="J909" s="275">
        <v>2.7</v>
      </c>
      <c r="K909" s="274"/>
      <c r="L909" s="275">
        <v>13.5</v>
      </c>
      <c r="M909" s="276" t="s">
        <v>3172</v>
      </c>
      <c r="N909" s="273"/>
      <c r="O909" s="276" t="s">
        <v>55</v>
      </c>
      <c r="P909" s="277" t="s">
        <v>1362</v>
      </c>
      <c r="Q909" s="272"/>
      <c r="R909" s="271"/>
      <c r="S909" s="270"/>
      <c r="T909" s="277" t="s">
        <v>25</v>
      </c>
      <c r="U909" s="276" t="s">
        <v>18</v>
      </c>
      <c r="V909" s="277">
        <v>1175</v>
      </c>
      <c r="W909" s="269"/>
      <c r="X909" s="268" t="s">
        <v>1363</v>
      </c>
      <c r="Y909" s="267">
        <v>44670.489641203705</v>
      </c>
    </row>
    <row r="910" spans="1:25">
      <c r="A910" s="280" t="s">
        <v>46</v>
      </c>
      <c r="B910" s="279" t="s">
        <v>1385</v>
      </c>
      <c r="C910" s="278" t="s">
        <v>3173</v>
      </c>
      <c r="D910" s="277" t="s">
        <v>343</v>
      </c>
      <c r="E910" s="276" t="s">
        <v>1419</v>
      </c>
      <c r="F910" s="277" t="s">
        <v>17</v>
      </c>
      <c r="G910" s="276" t="s">
        <v>208</v>
      </c>
      <c r="H910" s="275">
        <v>1</v>
      </c>
      <c r="I910" s="276"/>
      <c r="J910" s="275">
        <v>700</v>
      </c>
      <c r="K910" s="274"/>
      <c r="L910" s="275">
        <v>700</v>
      </c>
      <c r="M910" s="276" t="s">
        <v>3174</v>
      </c>
      <c r="N910" s="273">
        <v>0</v>
      </c>
      <c r="O910" s="276" t="s">
        <v>1285</v>
      </c>
      <c r="P910" s="277" t="s">
        <v>1407</v>
      </c>
      <c r="Q910" s="272"/>
      <c r="R910" s="271"/>
      <c r="S910" s="270"/>
      <c r="T910" s="277" t="s">
        <v>29</v>
      </c>
      <c r="U910" s="276" t="s">
        <v>17</v>
      </c>
      <c r="V910" s="277">
        <v>1676</v>
      </c>
      <c r="W910" s="269"/>
      <c r="X910" s="268" t="s">
        <v>1400</v>
      </c>
      <c r="Y910" s="267">
        <v>44679.631585648145</v>
      </c>
    </row>
    <row r="911" spans="1:25">
      <c r="A911" s="280" t="s">
        <v>62</v>
      </c>
      <c r="B911" s="279" t="s">
        <v>1320</v>
      </c>
      <c r="C911" s="278" t="s">
        <v>737</v>
      </c>
      <c r="D911" s="277" t="s">
        <v>3175</v>
      </c>
      <c r="E911" s="276" t="s">
        <v>1429</v>
      </c>
      <c r="F911" s="277" t="s">
        <v>1388</v>
      </c>
      <c r="G911" s="276" t="s">
        <v>3176</v>
      </c>
      <c r="H911" s="275">
        <v>1</v>
      </c>
      <c r="I911" s="276"/>
      <c r="J911" s="275">
        <v>65</v>
      </c>
      <c r="K911" s="274"/>
      <c r="L911" s="275">
        <v>65</v>
      </c>
      <c r="M911" s="276" t="s">
        <v>3143</v>
      </c>
      <c r="N911" s="273"/>
      <c r="O911" s="276" t="s">
        <v>55</v>
      </c>
      <c r="P911" s="277" t="s">
        <v>1407</v>
      </c>
      <c r="Q911" s="272"/>
      <c r="R911" s="271" t="s">
        <v>1547</v>
      </c>
      <c r="S911" s="270"/>
      <c r="T911" s="277" t="s">
        <v>25</v>
      </c>
      <c r="U911" s="276" t="s">
        <v>1388</v>
      </c>
      <c r="V911" s="277">
        <v>1493</v>
      </c>
      <c r="W911" s="269"/>
      <c r="X911" s="268" t="s">
        <v>1363</v>
      </c>
      <c r="Y911" s="267">
        <v>44671.466249999998</v>
      </c>
    </row>
    <row r="912" spans="1:25">
      <c r="A912" s="280" t="s">
        <v>100</v>
      </c>
      <c r="B912" s="279" t="s">
        <v>1385</v>
      </c>
      <c r="C912" s="278" t="s">
        <v>3177</v>
      </c>
      <c r="D912" s="277" t="s">
        <v>2400</v>
      </c>
      <c r="E912" s="276" t="s">
        <v>1419</v>
      </c>
      <c r="F912" s="277" t="s">
        <v>17</v>
      </c>
      <c r="G912" s="276" t="s">
        <v>208</v>
      </c>
      <c r="H912" s="275">
        <v>56</v>
      </c>
      <c r="I912" s="276"/>
      <c r="J912" s="275">
        <v>4.2</v>
      </c>
      <c r="K912" s="274"/>
      <c r="L912" s="275">
        <v>235.20000000000002</v>
      </c>
      <c r="M912" s="276" t="s">
        <v>3178</v>
      </c>
      <c r="N912" s="273">
        <v>0</v>
      </c>
      <c r="O912" s="276" t="s">
        <v>1285</v>
      </c>
      <c r="P912" s="277" t="s">
        <v>1407</v>
      </c>
      <c r="Q912" s="272"/>
      <c r="R912" s="271"/>
      <c r="S912" s="270"/>
      <c r="T912" s="277" t="s">
        <v>29</v>
      </c>
      <c r="U912" s="276" t="s">
        <v>17</v>
      </c>
      <c r="V912" s="277">
        <v>1176</v>
      </c>
      <c r="W912" s="269" t="s">
        <v>3977</v>
      </c>
      <c r="X912" s="268" t="s">
        <v>1400</v>
      </c>
      <c r="Y912" s="267">
        <v>44679.716550925928</v>
      </c>
    </row>
    <row r="913" spans="1:25">
      <c r="A913" s="280" t="s">
        <v>46</v>
      </c>
      <c r="B913" s="279" t="s">
        <v>1385</v>
      </c>
      <c r="C913" s="278" t="s">
        <v>220</v>
      </c>
      <c r="D913" s="277" t="s">
        <v>221</v>
      </c>
      <c r="E913" s="276" t="s">
        <v>1419</v>
      </c>
      <c r="F913" s="277" t="s">
        <v>17</v>
      </c>
      <c r="G913" s="276" t="s">
        <v>208</v>
      </c>
      <c r="H913" s="275">
        <v>66</v>
      </c>
      <c r="I913" s="276"/>
      <c r="J913" s="275">
        <v>6</v>
      </c>
      <c r="K913" s="274"/>
      <c r="L913" s="275">
        <v>396</v>
      </c>
      <c r="M913" s="276" t="s">
        <v>3179</v>
      </c>
      <c r="N913" s="273"/>
      <c r="O913" s="276" t="s">
        <v>27</v>
      </c>
      <c r="P913" s="277" t="s">
        <v>1407</v>
      </c>
      <c r="Q913" s="272" t="s">
        <v>3180</v>
      </c>
      <c r="R913" s="271" t="s">
        <v>1452</v>
      </c>
      <c r="S913" s="270"/>
      <c r="T913" s="277" t="s">
        <v>27</v>
      </c>
      <c r="U913" s="276" t="s">
        <v>17</v>
      </c>
      <c r="V913" s="277">
        <v>1353</v>
      </c>
      <c r="W913" s="269" t="s">
        <v>4109</v>
      </c>
      <c r="X913" s="268" t="s">
        <v>1453</v>
      </c>
      <c r="Y913" s="267">
        <v>44671.68644675926</v>
      </c>
    </row>
    <row r="914" spans="1:25">
      <c r="A914" s="280" t="s">
        <v>80</v>
      </c>
      <c r="B914" s="279" t="s">
        <v>1320</v>
      </c>
      <c r="C914" s="278" t="s">
        <v>3181</v>
      </c>
      <c r="D914" s="277" t="s">
        <v>1393</v>
      </c>
      <c r="E914" s="276" t="s">
        <v>1398</v>
      </c>
      <c r="F914" s="277" t="s">
        <v>1388</v>
      </c>
      <c r="G914" s="276" t="s">
        <v>208</v>
      </c>
      <c r="H914" s="275">
        <v>1</v>
      </c>
      <c r="I914" s="276"/>
      <c r="J914" s="275">
        <v>0.51200000000000001</v>
      </c>
      <c r="K914" s="274"/>
      <c r="L914" s="275">
        <v>0.51200000000000001</v>
      </c>
      <c r="M914" s="276" t="s">
        <v>3182</v>
      </c>
      <c r="N914" s="273"/>
      <c r="O914" s="276" t="s">
        <v>55</v>
      </c>
      <c r="P914" s="277" t="s">
        <v>1362</v>
      </c>
      <c r="Q914" s="272"/>
      <c r="R914" s="271"/>
      <c r="S914" s="270"/>
      <c r="T914" s="277" t="s">
        <v>25</v>
      </c>
      <c r="U914" s="276" t="s">
        <v>1388</v>
      </c>
      <c r="V914" s="277">
        <v>41</v>
      </c>
      <c r="W914" s="269"/>
      <c r="X914" s="268" t="s">
        <v>208</v>
      </c>
      <c r="Y914" s="267">
        <v>43312</v>
      </c>
    </row>
    <row r="915" spans="1:25" ht="22.5">
      <c r="A915" s="280" t="s">
        <v>80</v>
      </c>
      <c r="B915" s="279" t="s">
        <v>1320</v>
      </c>
      <c r="C915" s="278" t="s">
        <v>3183</v>
      </c>
      <c r="D915" s="277" t="s">
        <v>621</v>
      </c>
      <c r="E915" s="276" t="s">
        <v>1391</v>
      </c>
      <c r="F915" s="277" t="s">
        <v>21</v>
      </c>
      <c r="G915" s="276" t="s">
        <v>208</v>
      </c>
      <c r="H915" s="275">
        <v>1</v>
      </c>
      <c r="I915" s="276"/>
      <c r="J915" s="275">
        <v>0.5</v>
      </c>
      <c r="K915" s="274"/>
      <c r="L915" s="275">
        <v>0.5</v>
      </c>
      <c r="M915" s="276" t="s">
        <v>1623</v>
      </c>
      <c r="N915" s="273"/>
      <c r="O915" s="276" t="s">
        <v>55</v>
      </c>
      <c r="P915" s="277" t="s">
        <v>1362</v>
      </c>
      <c r="Q915" s="272"/>
      <c r="R915" s="271"/>
      <c r="S915" s="270"/>
      <c r="T915" s="277" t="s">
        <v>25</v>
      </c>
      <c r="U915" s="276" t="s">
        <v>20</v>
      </c>
      <c r="V915" s="277">
        <v>1607</v>
      </c>
      <c r="W915" s="269"/>
      <c r="X915" s="268" t="s">
        <v>1400</v>
      </c>
      <c r="Y915" s="267">
        <v>43769.416655092595</v>
      </c>
    </row>
    <row r="916" spans="1:25" ht="22.5">
      <c r="A916" s="280" t="s">
        <v>80</v>
      </c>
      <c r="B916" s="279" t="s">
        <v>1385</v>
      </c>
      <c r="C916" s="278" t="s">
        <v>620</v>
      </c>
      <c r="D916" s="277" t="s">
        <v>621</v>
      </c>
      <c r="E916" s="276" t="s">
        <v>1391</v>
      </c>
      <c r="F916" s="277" t="s">
        <v>21</v>
      </c>
      <c r="G916" s="276" t="s">
        <v>208</v>
      </c>
      <c r="H916" s="275">
        <v>1</v>
      </c>
      <c r="I916" s="276"/>
      <c r="J916" s="275">
        <v>5</v>
      </c>
      <c r="K916" s="274"/>
      <c r="L916" s="275">
        <v>5</v>
      </c>
      <c r="M916" s="276" t="s">
        <v>1416</v>
      </c>
      <c r="N916" s="273"/>
      <c r="O916" s="276" t="s">
        <v>94</v>
      </c>
      <c r="P916" s="277" t="s">
        <v>1362</v>
      </c>
      <c r="Q916" s="272"/>
      <c r="R916" s="271"/>
      <c r="S916" s="270"/>
      <c r="T916" s="277" t="s">
        <v>27</v>
      </c>
      <c r="U916" s="276" t="s">
        <v>20</v>
      </c>
      <c r="V916" s="277">
        <v>1608</v>
      </c>
      <c r="W916" s="269"/>
      <c r="X916" s="268" t="s">
        <v>1400</v>
      </c>
      <c r="Y916" s="267">
        <v>43769.416655092595</v>
      </c>
    </row>
    <row r="917" spans="1:25" ht="22.5">
      <c r="A917" s="280" t="s">
        <v>80</v>
      </c>
      <c r="B917" s="279" t="s">
        <v>1385</v>
      </c>
      <c r="C917" s="278" t="s">
        <v>3184</v>
      </c>
      <c r="D917" s="277" t="s">
        <v>621</v>
      </c>
      <c r="E917" s="276" t="s">
        <v>1391</v>
      </c>
      <c r="F917" s="277" t="s">
        <v>21</v>
      </c>
      <c r="G917" s="276" t="s">
        <v>208</v>
      </c>
      <c r="H917" s="275">
        <v>1</v>
      </c>
      <c r="I917" s="276"/>
      <c r="J917" s="275">
        <v>245</v>
      </c>
      <c r="K917" s="274"/>
      <c r="L917" s="275">
        <v>245</v>
      </c>
      <c r="M917" s="276" t="s">
        <v>3185</v>
      </c>
      <c r="N917" s="273"/>
      <c r="O917" s="276" t="s">
        <v>1285</v>
      </c>
      <c r="P917" s="277" t="s">
        <v>1393</v>
      </c>
      <c r="Q917" s="272"/>
      <c r="R917" s="271"/>
      <c r="S917" s="270"/>
      <c r="T917" s="277" t="s">
        <v>29</v>
      </c>
      <c r="U917" s="276" t="s">
        <v>20</v>
      </c>
      <c r="V917" s="277">
        <v>1609</v>
      </c>
      <c r="W917" s="269"/>
      <c r="X917" s="268" t="s">
        <v>1400</v>
      </c>
      <c r="Y917" s="267">
        <v>43769.416655092595</v>
      </c>
    </row>
    <row r="918" spans="1:25">
      <c r="A918" s="280" t="s">
        <v>100</v>
      </c>
      <c r="B918" s="279" t="s">
        <v>1320</v>
      </c>
      <c r="C918" s="278" t="s">
        <v>3186</v>
      </c>
      <c r="D918" s="277" t="s">
        <v>1393</v>
      </c>
      <c r="E918" s="276" t="s">
        <v>1398</v>
      </c>
      <c r="F918" s="277" t="s">
        <v>1388</v>
      </c>
      <c r="G918" s="276" t="s">
        <v>208</v>
      </c>
      <c r="H918" s="275">
        <v>1</v>
      </c>
      <c r="I918" s="276"/>
      <c r="J918" s="275">
        <v>0.26400000000000001</v>
      </c>
      <c r="K918" s="274"/>
      <c r="L918" s="275">
        <v>0.2636</v>
      </c>
      <c r="M918" s="276" t="s">
        <v>3187</v>
      </c>
      <c r="N918" s="273"/>
      <c r="O918" s="276" t="s">
        <v>55</v>
      </c>
      <c r="P918" s="277" t="s">
        <v>1362</v>
      </c>
      <c r="Q918" s="272"/>
      <c r="R918" s="271"/>
      <c r="S918" s="270"/>
      <c r="T918" s="277" t="s">
        <v>25</v>
      </c>
      <c r="U918" s="276" t="s">
        <v>1388</v>
      </c>
      <c r="V918" s="277">
        <v>58</v>
      </c>
      <c r="W918" s="269"/>
      <c r="X918" s="268" t="s">
        <v>208</v>
      </c>
      <c r="Y918" s="267">
        <v>43312</v>
      </c>
    </row>
    <row r="919" spans="1:25">
      <c r="A919" s="280" t="s">
        <v>46</v>
      </c>
      <c r="B919" s="279" t="s">
        <v>1385</v>
      </c>
      <c r="C919" s="278" t="s">
        <v>3188</v>
      </c>
      <c r="D919" s="277" t="s">
        <v>343</v>
      </c>
      <c r="E919" s="276" t="s">
        <v>1391</v>
      </c>
      <c r="F919" s="277" t="s">
        <v>21</v>
      </c>
      <c r="G919" s="276" t="s">
        <v>208</v>
      </c>
      <c r="H919" s="275">
        <v>2</v>
      </c>
      <c r="I919" s="276"/>
      <c r="J919" s="275">
        <v>0</v>
      </c>
      <c r="K919" s="274"/>
      <c r="L919" s="275">
        <v>0</v>
      </c>
      <c r="M919" s="276" t="s">
        <v>1600</v>
      </c>
      <c r="N919" s="273">
        <v>150</v>
      </c>
      <c r="O919" s="276" t="s">
        <v>1285</v>
      </c>
      <c r="P919" s="277" t="s">
        <v>1407</v>
      </c>
      <c r="Q919" s="272" t="s">
        <v>1671</v>
      </c>
      <c r="R919" s="271"/>
      <c r="S919" s="270"/>
      <c r="T919" s="277" t="s">
        <v>29</v>
      </c>
      <c r="U919" s="276" t="s">
        <v>20</v>
      </c>
      <c r="V919" s="277">
        <v>1678</v>
      </c>
      <c r="W919" s="269"/>
      <c r="X919" s="268" t="s">
        <v>1400</v>
      </c>
      <c r="Y919" s="267">
        <v>44721.602175925924</v>
      </c>
    </row>
    <row r="920" spans="1:25">
      <c r="A920" s="280" t="s">
        <v>46</v>
      </c>
      <c r="B920" s="279" t="s">
        <v>1385</v>
      </c>
      <c r="C920" s="278" t="s">
        <v>3189</v>
      </c>
      <c r="D920" s="277" t="s">
        <v>343</v>
      </c>
      <c r="E920" s="276" t="s">
        <v>1429</v>
      </c>
      <c r="F920" s="277" t="s">
        <v>1388</v>
      </c>
      <c r="G920" s="276" t="s">
        <v>208</v>
      </c>
      <c r="H920" s="275">
        <v>1</v>
      </c>
      <c r="I920" s="276"/>
      <c r="J920" s="275">
        <v>350</v>
      </c>
      <c r="K920" s="274"/>
      <c r="L920" s="275">
        <v>350</v>
      </c>
      <c r="M920" s="276" t="s">
        <v>1819</v>
      </c>
      <c r="N920" s="273">
        <v>0</v>
      </c>
      <c r="O920" s="276" t="s">
        <v>1285</v>
      </c>
      <c r="P920" s="277" t="s">
        <v>1407</v>
      </c>
      <c r="Q920" s="272"/>
      <c r="R920" s="271"/>
      <c r="S920" s="270"/>
      <c r="T920" s="277" t="s">
        <v>29</v>
      </c>
      <c r="U920" s="276" t="s">
        <v>1388</v>
      </c>
      <c r="V920" s="277">
        <v>1677</v>
      </c>
      <c r="W920" s="269"/>
      <c r="X920" s="268"/>
      <c r="Y920" s="267">
        <v>44679.633391203701</v>
      </c>
    </row>
    <row r="921" spans="1:25">
      <c r="A921" s="280" t="s">
        <v>46</v>
      </c>
      <c r="B921" s="279" t="s">
        <v>1385</v>
      </c>
      <c r="C921" s="278" t="s">
        <v>3190</v>
      </c>
      <c r="D921" s="277" t="s">
        <v>343</v>
      </c>
      <c r="E921" s="276" t="s">
        <v>1429</v>
      </c>
      <c r="F921" s="277" t="s">
        <v>1388</v>
      </c>
      <c r="G921" s="276" t="s">
        <v>208</v>
      </c>
      <c r="H921" s="275">
        <v>1</v>
      </c>
      <c r="I921" s="276"/>
      <c r="J921" s="275">
        <v>350</v>
      </c>
      <c r="K921" s="274"/>
      <c r="L921" s="275">
        <v>350</v>
      </c>
      <c r="M921" s="276" t="s">
        <v>1819</v>
      </c>
      <c r="N921" s="273">
        <v>0</v>
      </c>
      <c r="O921" s="276" t="s">
        <v>1285</v>
      </c>
      <c r="P921" s="277" t="s">
        <v>1407</v>
      </c>
      <c r="Q921" s="272"/>
      <c r="R921" s="271"/>
      <c r="S921" s="270"/>
      <c r="T921" s="277" t="s">
        <v>29</v>
      </c>
      <c r="U921" s="276" t="s">
        <v>1388</v>
      </c>
      <c r="V921" s="277">
        <v>1925</v>
      </c>
      <c r="W921" s="269"/>
      <c r="X921" s="268" t="s">
        <v>208</v>
      </c>
      <c r="Y921" s="267">
        <v>44721.601956018516</v>
      </c>
    </row>
    <row r="922" spans="1:25">
      <c r="A922" s="280" t="s">
        <v>100</v>
      </c>
      <c r="B922" s="279" t="s">
        <v>1320</v>
      </c>
      <c r="C922" s="278" t="s">
        <v>784</v>
      </c>
      <c r="D922" s="277" t="s">
        <v>3191</v>
      </c>
      <c r="E922" s="276" t="s">
        <v>1419</v>
      </c>
      <c r="F922" s="277" t="s">
        <v>17</v>
      </c>
      <c r="G922" s="276" t="s">
        <v>3192</v>
      </c>
      <c r="H922" s="275">
        <v>15</v>
      </c>
      <c r="I922" s="276"/>
      <c r="J922" s="275">
        <v>3.6</v>
      </c>
      <c r="K922" s="274"/>
      <c r="L922" s="275">
        <v>54</v>
      </c>
      <c r="M922" s="276" t="s">
        <v>3193</v>
      </c>
      <c r="N922" s="273"/>
      <c r="O922" s="276" t="s">
        <v>55</v>
      </c>
      <c r="P922" s="277" t="s">
        <v>1407</v>
      </c>
      <c r="Q922" s="272"/>
      <c r="R922" s="271" t="s">
        <v>1769</v>
      </c>
      <c r="S922" s="270"/>
      <c r="T922" s="277" t="s">
        <v>25</v>
      </c>
      <c r="U922" s="276" t="s">
        <v>17</v>
      </c>
      <c r="V922" s="277">
        <v>1244</v>
      </c>
      <c r="W922" s="269"/>
      <c r="X922" s="268" t="s">
        <v>1363</v>
      </c>
      <c r="Y922" s="267">
        <v>44673.327326388891</v>
      </c>
    </row>
    <row r="923" spans="1:25">
      <c r="A923" s="280" t="s">
        <v>46</v>
      </c>
      <c r="B923" s="279" t="s">
        <v>1385</v>
      </c>
      <c r="C923" s="278" t="s">
        <v>3194</v>
      </c>
      <c r="D923" s="277" t="s">
        <v>2099</v>
      </c>
      <c r="E923" s="276" t="s">
        <v>1429</v>
      </c>
      <c r="F923" s="277" t="s">
        <v>1388</v>
      </c>
      <c r="G923" s="276" t="s">
        <v>208</v>
      </c>
      <c r="H923" s="275">
        <v>1</v>
      </c>
      <c r="I923" s="276">
        <v>1</v>
      </c>
      <c r="J923" s="275">
        <v>500</v>
      </c>
      <c r="K923" s="274">
        <v>1</v>
      </c>
      <c r="L923" s="275">
        <v>500</v>
      </c>
      <c r="M923" s="276" t="s">
        <v>3195</v>
      </c>
      <c r="N923" s="273"/>
      <c r="O923" s="276" t="s">
        <v>1285</v>
      </c>
      <c r="P923" s="277" t="s">
        <v>1407</v>
      </c>
      <c r="Q923" s="272"/>
      <c r="R923" s="271"/>
      <c r="S923" s="270"/>
      <c r="T923" s="277" t="s">
        <v>29</v>
      </c>
      <c r="U923" s="276" t="s">
        <v>1388</v>
      </c>
      <c r="V923" s="277">
        <v>1618</v>
      </c>
      <c r="W923" s="269" t="s">
        <v>3196</v>
      </c>
      <c r="X923" s="268" t="s">
        <v>1400</v>
      </c>
      <c r="Y923" s="267">
        <v>43769.416655092595</v>
      </c>
    </row>
    <row r="924" spans="1:25">
      <c r="A924" s="280" t="s">
        <v>46</v>
      </c>
      <c r="B924" s="279" t="s">
        <v>1385</v>
      </c>
      <c r="C924" s="278" t="s">
        <v>3197</v>
      </c>
      <c r="D924" s="277" t="s">
        <v>3198</v>
      </c>
      <c r="E924" s="276" t="s">
        <v>1398</v>
      </c>
      <c r="F924" s="277" t="s">
        <v>1388</v>
      </c>
      <c r="G924" s="276" t="s">
        <v>208</v>
      </c>
      <c r="H924" s="275">
        <v>1</v>
      </c>
      <c r="I924" s="276"/>
      <c r="J924" s="275">
        <v>200</v>
      </c>
      <c r="K924" s="274"/>
      <c r="L924" s="275">
        <v>200</v>
      </c>
      <c r="M924" s="276" t="s">
        <v>1615</v>
      </c>
      <c r="N924" s="273"/>
      <c r="O924" s="276" t="s">
        <v>1285</v>
      </c>
      <c r="P924" s="277" t="s">
        <v>1407</v>
      </c>
      <c r="Q924" s="272"/>
      <c r="R924" s="271"/>
      <c r="S924" s="270"/>
      <c r="T924" s="277" t="s">
        <v>29</v>
      </c>
      <c r="U924" s="276" t="s">
        <v>1388</v>
      </c>
      <c r="V924" s="277">
        <v>1681</v>
      </c>
      <c r="W924" s="269"/>
      <c r="X924" s="268" t="s">
        <v>1400</v>
      </c>
      <c r="Y924" s="267">
        <v>44273.503923611112</v>
      </c>
    </row>
    <row r="925" spans="1:25">
      <c r="A925" s="280" t="s">
        <v>46</v>
      </c>
      <c r="B925" s="279" t="s">
        <v>1385</v>
      </c>
      <c r="C925" s="278" t="s">
        <v>3199</v>
      </c>
      <c r="D925" s="277" t="s">
        <v>3200</v>
      </c>
      <c r="E925" s="276" t="s">
        <v>1391</v>
      </c>
      <c r="F925" s="277" t="s">
        <v>21</v>
      </c>
      <c r="G925" s="276" t="s">
        <v>208</v>
      </c>
      <c r="H925" s="275">
        <v>1</v>
      </c>
      <c r="I925" s="276"/>
      <c r="J925" s="275">
        <v>30</v>
      </c>
      <c r="K925" s="274"/>
      <c r="L925" s="275">
        <v>30</v>
      </c>
      <c r="M925" s="276" t="s">
        <v>1435</v>
      </c>
      <c r="N925" s="273">
        <v>38</v>
      </c>
      <c r="O925" s="276" t="s">
        <v>1285</v>
      </c>
      <c r="P925" s="277" t="s">
        <v>1393</v>
      </c>
      <c r="Q925" s="272" t="s">
        <v>1602</v>
      </c>
      <c r="R925" s="271" t="s">
        <v>1521</v>
      </c>
      <c r="S925" s="270"/>
      <c r="T925" s="277" t="s">
        <v>29</v>
      </c>
      <c r="U925" s="276" t="s">
        <v>20</v>
      </c>
      <c r="V925" s="277">
        <v>1270</v>
      </c>
      <c r="W925" s="269"/>
      <c r="X925" s="268" t="s">
        <v>1453</v>
      </c>
      <c r="Y925" s="267">
        <v>44747.515706018516</v>
      </c>
    </row>
    <row r="926" spans="1:25">
      <c r="A926" s="280" t="s">
        <v>46</v>
      </c>
      <c r="B926" s="279" t="s">
        <v>1320</v>
      </c>
      <c r="C926" s="278" t="s">
        <v>3199</v>
      </c>
      <c r="D926" s="277" t="s">
        <v>3200</v>
      </c>
      <c r="E926" s="276" t="s">
        <v>1419</v>
      </c>
      <c r="F926" s="277" t="s">
        <v>17</v>
      </c>
      <c r="G926" s="276" t="s">
        <v>3201</v>
      </c>
      <c r="H926" s="275">
        <v>75</v>
      </c>
      <c r="I926" s="276"/>
      <c r="J926" s="275">
        <v>3.6</v>
      </c>
      <c r="K926" s="274"/>
      <c r="L926" s="275">
        <v>270</v>
      </c>
      <c r="M926" s="276" t="s">
        <v>2559</v>
      </c>
      <c r="N926" s="273"/>
      <c r="O926" s="276" t="s">
        <v>55</v>
      </c>
      <c r="P926" s="277" t="s">
        <v>1407</v>
      </c>
      <c r="Q926" s="272"/>
      <c r="R926" s="271" t="s">
        <v>1769</v>
      </c>
      <c r="S926" s="270"/>
      <c r="T926" s="277" t="s">
        <v>25</v>
      </c>
      <c r="U926" s="276" t="s">
        <v>17</v>
      </c>
      <c r="V926" s="277">
        <v>1270</v>
      </c>
      <c r="W926" s="269"/>
      <c r="X926" s="268" t="s">
        <v>1453</v>
      </c>
      <c r="Y926" s="267">
        <v>44747.515706018516</v>
      </c>
    </row>
    <row r="927" spans="1:25">
      <c r="A927" s="280" t="s">
        <v>100</v>
      </c>
      <c r="B927" s="279" t="s">
        <v>1320</v>
      </c>
      <c r="C927" s="278" t="s">
        <v>3202</v>
      </c>
      <c r="D927" s="277" t="s">
        <v>1393</v>
      </c>
      <c r="E927" s="276" t="s">
        <v>1398</v>
      </c>
      <c r="F927" s="277" t="s">
        <v>1388</v>
      </c>
      <c r="G927" s="276" t="s">
        <v>208</v>
      </c>
      <c r="H927" s="275">
        <v>1</v>
      </c>
      <c r="I927" s="276"/>
      <c r="J927" s="275">
        <v>0.3</v>
      </c>
      <c r="K927" s="274"/>
      <c r="L927" s="275">
        <v>0.3</v>
      </c>
      <c r="M927" s="276" t="s">
        <v>3203</v>
      </c>
      <c r="N927" s="273"/>
      <c r="O927" s="276" t="s">
        <v>55</v>
      </c>
      <c r="P927" s="277" t="s">
        <v>1362</v>
      </c>
      <c r="Q927" s="272"/>
      <c r="R927" s="271"/>
      <c r="S927" s="270"/>
      <c r="T927" s="277" t="s">
        <v>25</v>
      </c>
      <c r="U927" s="276" t="s">
        <v>1388</v>
      </c>
      <c r="V927" s="277">
        <v>59</v>
      </c>
      <c r="W927" s="269"/>
      <c r="X927" s="268" t="s">
        <v>208</v>
      </c>
      <c r="Y927" s="267">
        <v>43312</v>
      </c>
    </row>
    <row r="928" spans="1:25">
      <c r="A928" s="280" t="s">
        <v>80</v>
      </c>
      <c r="B928" s="279" t="s">
        <v>1320</v>
      </c>
      <c r="C928" s="278" t="s">
        <v>3204</v>
      </c>
      <c r="D928" s="277" t="s">
        <v>445</v>
      </c>
      <c r="E928" s="276" t="s">
        <v>1539</v>
      </c>
      <c r="F928" s="277" t="s">
        <v>18</v>
      </c>
      <c r="G928" s="276" t="s">
        <v>208</v>
      </c>
      <c r="H928" s="275">
        <v>1</v>
      </c>
      <c r="I928" s="276"/>
      <c r="J928" s="275">
        <v>1.35</v>
      </c>
      <c r="K928" s="274"/>
      <c r="L928" s="275">
        <v>1.35</v>
      </c>
      <c r="M928" s="276" t="s">
        <v>3205</v>
      </c>
      <c r="N928" s="273"/>
      <c r="O928" s="276" t="s">
        <v>55</v>
      </c>
      <c r="P928" s="277" t="s">
        <v>1362</v>
      </c>
      <c r="Q928" s="272"/>
      <c r="R928" s="271"/>
      <c r="S928" s="270"/>
      <c r="T928" s="277" t="s">
        <v>25</v>
      </c>
      <c r="U928" s="276" t="s">
        <v>18</v>
      </c>
      <c r="V928" s="277">
        <v>1546</v>
      </c>
      <c r="W928" s="269"/>
      <c r="X928" s="268" t="s">
        <v>1400</v>
      </c>
      <c r="Y928" s="267">
        <v>43769.416655092595</v>
      </c>
    </row>
    <row r="929" spans="1:25">
      <c r="A929" s="280" t="s">
        <v>46</v>
      </c>
      <c r="B929" s="279" t="s">
        <v>1385</v>
      </c>
      <c r="C929" s="278" t="s">
        <v>393</v>
      </c>
      <c r="D929" s="277" t="s">
        <v>394</v>
      </c>
      <c r="E929" s="276" t="s">
        <v>1429</v>
      </c>
      <c r="F929" s="277" t="s">
        <v>1388</v>
      </c>
      <c r="G929" s="276" t="s">
        <v>3206</v>
      </c>
      <c r="H929" s="275">
        <v>40</v>
      </c>
      <c r="I929" s="276"/>
      <c r="J929" s="275">
        <v>2.25</v>
      </c>
      <c r="K929" s="274"/>
      <c r="L929" s="275">
        <v>90</v>
      </c>
      <c r="M929" s="276" t="s">
        <v>1747</v>
      </c>
      <c r="N929" s="273">
        <v>0</v>
      </c>
      <c r="O929" s="276" t="s">
        <v>27</v>
      </c>
      <c r="P929" s="277" t="s">
        <v>1407</v>
      </c>
      <c r="Q929" s="272" t="s">
        <v>2003</v>
      </c>
      <c r="R929" s="271" t="s">
        <v>1474</v>
      </c>
      <c r="S929" s="270"/>
      <c r="T929" s="277" t="s">
        <v>27</v>
      </c>
      <c r="U929" s="276" t="s">
        <v>1388</v>
      </c>
      <c r="V929" s="277">
        <v>1927</v>
      </c>
      <c r="W929" s="269"/>
      <c r="X929" s="268" t="s">
        <v>1453</v>
      </c>
      <c r="Y929" s="267">
        <v>44748.36209490741</v>
      </c>
    </row>
    <row r="930" spans="1:25">
      <c r="A930" s="280" t="s">
        <v>100</v>
      </c>
      <c r="B930" s="279" t="s">
        <v>1385</v>
      </c>
      <c r="C930" s="278" t="s">
        <v>3207</v>
      </c>
      <c r="D930" s="277" t="s">
        <v>3208</v>
      </c>
      <c r="E930" s="276"/>
      <c r="F930" s="277" t="s">
        <v>17</v>
      </c>
      <c r="G930" s="276"/>
      <c r="H930" s="275">
        <v>1</v>
      </c>
      <c r="I930" s="276"/>
      <c r="J930" s="275">
        <v>600</v>
      </c>
      <c r="K930" s="274"/>
      <c r="L930" s="275">
        <v>600</v>
      </c>
      <c r="M930" s="276">
        <v>600</v>
      </c>
      <c r="N930" s="273"/>
      <c r="O930" s="276" t="s">
        <v>1285</v>
      </c>
      <c r="P930" s="277"/>
      <c r="Q930" s="272"/>
      <c r="R930" s="271"/>
      <c r="S930" s="270"/>
      <c r="T930" s="277" t="s">
        <v>29</v>
      </c>
      <c r="U930" s="276" t="s">
        <v>17</v>
      </c>
      <c r="V930" s="277" t="s">
        <v>208</v>
      </c>
      <c r="W930" s="269" t="s">
        <v>3209</v>
      </c>
      <c r="X930" s="268"/>
      <c r="Y930" s="267" t="s">
        <v>208</v>
      </c>
    </row>
    <row r="931" spans="1:25">
      <c r="A931" s="280" t="s">
        <v>100</v>
      </c>
      <c r="B931" s="279" t="s">
        <v>1320</v>
      </c>
      <c r="C931" s="278" t="s">
        <v>3210</v>
      </c>
      <c r="D931" s="277" t="s">
        <v>1393</v>
      </c>
      <c r="E931" s="276" t="s">
        <v>1398</v>
      </c>
      <c r="F931" s="277" t="s">
        <v>1388</v>
      </c>
      <c r="G931" s="276" t="s">
        <v>208</v>
      </c>
      <c r="H931" s="275">
        <v>1</v>
      </c>
      <c r="I931" s="276"/>
      <c r="J931" s="275">
        <v>0.30499999999999999</v>
      </c>
      <c r="K931" s="274"/>
      <c r="L931" s="275">
        <v>0.30520000000000003</v>
      </c>
      <c r="M931" s="276" t="s">
        <v>3211</v>
      </c>
      <c r="N931" s="273"/>
      <c r="O931" s="276" t="s">
        <v>55</v>
      </c>
      <c r="P931" s="277" t="s">
        <v>1362</v>
      </c>
      <c r="Q931" s="272"/>
      <c r="R931" s="271"/>
      <c r="S931" s="270"/>
      <c r="T931" s="277" t="s">
        <v>25</v>
      </c>
      <c r="U931" s="276" t="s">
        <v>1388</v>
      </c>
      <c r="V931" s="277">
        <v>60</v>
      </c>
      <c r="W931" s="269"/>
      <c r="X931" s="268" t="s">
        <v>208</v>
      </c>
      <c r="Y931" s="267">
        <v>43312</v>
      </c>
    </row>
    <row r="932" spans="1:25">
      <c r="A932" s="280" t="s">
        <v>100</v>
      </c>
      <c r="B932" s="279" t="s">
        <v>1320</v>
      </c>
      <c r="C932" s="278" t="s">
        <v>3212</v>
      </c>
      <c r="D932" s="277" t="s">
        <v>1513</v>
      </c>
      <c r="E932" s="276" t="s">
        <v>1359</v>
      </c>
      <c r="F932" s="277" t="s">
        <v>3213</v>
      </c>
      <c r="G932" s="276" t="s">
        <v>208</v>
      </c>
      <c r="H932" s="275">
        <v>1</v>
      </c>
      <c r="I932" s="276"/>
      <c r="J932" s="275">
        <v>0.78</v>
      </c>
      <c r="K932" s="274"/>
      <c r="L932" s="275">
        <v>0.78</v>
      </c>
      <c r="M932" s="276" t="s">
        <v>3214</v>
      </c>
      <c r="N932" s="273"/>
      <c r="O932" s="276" t="s">
        <v>55</v>
      </c>
      <c r="P932" s="277" t="s">
        <v>1362</v>
      </c>
      <c r="Q932" s="272"/>
      <c r="R932" s="271"/>
      <c r="S932" s="270"/>
      <c r="T932" s="277" t="s">
        <v>25</v>
      </c>
      <c r="U932" s="276" t="s">
        <v>19</v>
      </c>
      <c r="V932" s="277">
        <v>1342</v>
      </c>
      <c r="W932" s="269"/>
      <c r="X932" s="268" t="s">
        <v>1400</v>
      </c>
      <c r="Y932" s="267">
        <v>43769.416655092595</v>
      </c>
    </row>
    <row r="933" spans="1:25" ht="22.5">
      <c r="A933" s="280" t="s">
        <v>100</v>
      </c>
      <c r="B933" s="279" t="s">
        <v>1320</v>
      </c>
      <c r="C933" s="278" t="s">
        <v>3215</v>
      </c>
      <c r="D933" s="277" t="s">
        <v>3216</v>
      </c>
      <c r="E933" s="276" t="s">
        <v>1359</v>
      </c>
      <c r="F933" s="277" t="s">
        <v>3217</v>
      </c>
      <c r="G933" s="276" t="s">
        <v>3218</v>
      </c>
      <c r="H933" s="275">
        <v>1</v>
      </c>
      <c r="I933" s="276"/>
      <c r="J933" s="275">
        <v>1.1000000000000001</v>
      </c>
      <c r="K933" s="274"/>
      <c r="L933" s="275">
        <v>1.1000000000000001</v>
      </c>
      <c r="M933" s="276" t="s">
        <v>2494</v>
      </c>
      <c r="N933" s="273"/>
      <c r="O933" s="276" t="s">
        <v>55</v>
      </c>
      <c r="P933" s="277" t="s">
        <v>1362</v>
      </c>
      <c r="Q933" s="272"/>
      <c r="R933" s="271" t="s">
        <v>1959</v>
      </c>
      <c r="S933" s="270"/>
      <c r="T933" s="277" t="s">
        <v>25</v>
      </c>
      <c r="U933" s="276" t="s">
        <v>19</v>
      </c>
      <c r="V933" s="277">
        <v>1312</v>
      </c>
      <c r="W933" s="269"/>
      <c r="X933" s="268" t="s">
        <v>1363</v>
      </c>
      <c r="Y933" s="267">
        <v>44671.379201388889</v>
      </c>
    </row>
    <row r="934" spans="1:25">
      <c r="A934" s="280" t="s">
        <v>46</v>
      </c>
      <c r="B934" s="279" t="s">
        <v>1320</v>
      </c>
      <c r="C934" s="278" t="s">
        <v>3219</v>
      </c>
      <c r="D934" s="277" t="s">
        <v>148</v>
      </c>
      <c r="E934" s="276" t="s">
        <v>1469</v>
      </c>
      <c r="F934" s="277" t="s">
        <v>18</v>
      </c>
      <c r="G934" s="276" t="s">
        <v>3220</v>
      </c>
      <c r="H934" s="275">
        <v>2</v>
      </c>
      <c r="I934" s="276"/>
      <c r="J934" s="275">
        <v>40</v>
      </c>
      <c r="K934" s="274"/>
      <c r="L934" s="275">
        <v>80</v>
      </c>
      <c r="M934" s="276" t="s">
        <v>1665</v>
      </c>
      <c r="N934" s="273">
        <v>480</v>
      </c>
      <c r="O934" s="276" t="s">
        <v>55</v>
      </c>
      <c r="P934" s="277" t="s">
        <v>1403</v>
      </c>
      <c r="Q934" s="272"/>
      <c r="R934" s="271" t="s">
        <v>1588</v>
      </c>
      <c r="S934" s="270"/>
      <c r="T934" s="277" t="s">
        <v>25</v>
      </c>
      <c r="U934" s="276" t="s">
        <v>18</v>
      </c>
      <c r="V934" s="277">
        <v>1177</v>
      </c>
      <c r="W934" s="269"/>
      <c r="X934" s="268" t="s">
        <v>1363</v>
      </c>
      <c r="Y934" s="267">
        <v>44670.494212962964</v>
      </c>
    </row>
    <row r="935" spans="1:25">
      <c r="A935" s="280" t="s">
        <v>46</v>
      </c>
      <c r="B935" s="279" t="s">
        <v>1320</v>
      </c>
      <c r="C935" s="278" t="s">
        <v>3219</v>
      </c>
      <c r="D935" s="277" t="s">
        <v>148</v>
      </c>
      <c r="E935" s="276" t="s">
        <v>1469</v>
      </c>
      <c r="F935" s="277" t="s">
        <v>18</v>
      </c>
      <c r="G935" s="276" t="s">
        <v>3220</v>
      </c>
      <c r="H935" s="275">
        <v>2</v>
      </c>
      <c r="I935" s="276"/>
      <c r="J935" s="275">
        <v>80</v>
      </c>
      <c r="K935" s="274"/>
      <c r="L935" s="275">
        <v>160</v>
      </c>
      <c r="M935" s="276" t="s">
        <v>3221</v>
      </c>
      <c r="N935" s="273">
        <v>9200</v>
      </c>
      <c r="O935" s="276" t="s">
        <v>55</v>
      </c>
      <c r="P935" s="277" t="s">
        <v>1403</v>
      </c>
      <c r="Q935" s="272"/>
      <c r="R935" s="271" t="s">
        <v>1588</v>
      </c>
      <c r="S935" s="270"/>
      <c r="T935" s="277" t="s">
        <v>25</v>
      </c>
      <c r="U935" s="276" t="s">
        <v>18</v>
      </c>
      <c r="V935" s="277">
        <v>1177</v>
      </c>
      <c r="W935" s="269"/>
      <c r="X935" s="268" t="s">
        <v>1363</v>
      </c>
      <c r="Y935" s="267">
        <v>44670.494212962964</v>
      </c>
    </row>
    <row r="936" spans="1:25">
      <c r="A936" s="280" t="s">
        <v>46</v>
      </c>
      <c r="B936" s="279" t="s">
        <v>1385</v>
      </c>
      <c r="C936" s="278" t="s">
        <v>3222</v>
      </c>
      <c r="D936" s="277" t="s">
        <v>3223</v>
      </c>
      <c r="E936" s="276" t="s">
        <v>3224</v>
      </c>
      <c r="F936" s="277" t="s">
        <v>18</v>
      </c>
      <c r="G936" s="276" t="s">
        <v>208</v>
      </c>
      <c r="H936" s="275">
        <v>1</v>
      </c>
      <c r="I936" s="276"/>
      <c r="J936" s="275">
        <v>0</v>
      </c>
      <c r="K936" s="274"/>
      <c r="L936" s="275"/>
      <c r="M936" s="276"/>
      <c r="N936" s="273">
        <v>2853</v>
      </c>
      <c r="O936" s="276" t="s">
        <v>1285</v>
      </c>
      <c r="P936" s="277" t="s">
        <v>1403</v>
      </c>
      <c r="Q936" s="272"/>
      <c r="R936" s="271"/>
      <c r="S936" s="270"/>
      <c r="T936" s="277" t="s">
        <v>29</v>
      </c>
      <c r="U936" s="276" t="s">
        <v>18</v>
      </c>
      <c r="V936" s="277">
        <v>1434</v>
      </c>
      <c r="W936" s="269"/>
      <c r="X936" s="268" t="s">
        <v>1363</v>
      </c>
      <c r="Y936" s="267">
        <v>44605.407060185185</v>
      </c>
    </row>
    <row r="937" spans="1:25" ht="22.5">
      <c r="A937" s="280" t="s">
        <v>46</v>
      </c>
      <c r="B937" s="279" t="s">
        <v>1385</v>
      </c>
      <c r="C937" s="278" t="s">
        <v>3225</v>
      </c>
      <c r="D937" s="277" t="s">
        <v>3226</v>
      </c>
      <c r="E937" s="276" t="s">
        <v>1948</v>
      </c>
      <c r="F937" s="277" t="s">
        <v>2284</v>
      </c>
      <c r="G937" s="276" t="s">
        <v>208</v>
      </c>
      <c r="H937" s="275">
        <v>2</v>
      </c>
      <c r="I937" s="276">
        <v>31</v>
      </c>
      <c r="J937" s="275">
        <v>37.4</v>
      </c>
      <c r="K937" s="274">
        <v>62</v>
      </c>
      <c r="L937" s="275">
        <v>74.8</v>
      </c>
      <c r="M937" s="276" t="s">
        <v>3227</v>
      </c>
      <c r="N937" s="273">
        <v>0</v>
      </c>
      <c r="O937" s="276" t="s">
        <v>1285</v>
      </c>
      <c r="P937" s="277" t="s">
        <v>1362</v>
      </c>
      <c r="Q937" s="272"/>
      <c r="R937" s="271"/>
      <c r="S937" s="270"/>
      <c r="T937" s="277" t="s">
        <v>29</v>
      </c>
      <c r="U937" s="276" t="s">
        <v>15</v>
      </c>
      <c r="V937" s="277">
        <v>1951</v>
      </c>
      <c r="W937" s="269"/>
      <c r="X937" s="268" t="s">
        <v>1395</v>
      </c>
      <c r="Y937" s="267">
        <v>44679.720914351848</v>
      </c>
    </row>
    <row r="938" spans="1:25">
      <c r="A938" s="280" t="s">
        <v>46</v>
      </c>
      <c r="B938" s="279" t="s">
        <v>1385</v>
      </c>
      <c r="C938" s="278" t="s">
        <v>3228</v>
      </c>
      <c r="D938" s="277" t="s">
        <v>3229</v>
      </c>
      <c r="E938" s="276" t="s">
        <v>1391</v>
      </c>
      <c r="F938" s="277" t="s">
        <v>21</v>
      </c>
      <c r="G938" s="276" t="s">
        <v>208</v>
      </c>
      <c r="H938" s="275">
        <v>2</v>
      </c>
      <c r="I938" s="276"/>
      <c r="J938" s="275">
        <v>100</v>
      </c>
      <c r="K938" s="274"/>
      <c r="L938" s="275">
        <v>200</v>
      </c>
      <c r="M938" s="276" t="s">
        <v>1615</v>
      </c>
      <c r="N938" s="273">
        <v>0</v>
      </c>
      <c r="O938" s="276" t="s">
        <v>1285</v>
      </c>
      <c r="P938" s="277" t="s">
        <v>1403</v>
      </c>
      <c r="Q938" s="272"/>
      <c r="R938" s="271"/>
      <c r="S938" s="270"/>
      <c r="T938" s="277" t="s">
        <v>29</v>
      </c>
      <c r="U938" s="276" t="s">
        <v>20</v>
      </c>
      <c r="V938" s="277">
        <v>2030</v>
      </c>
      <c r="W938" s="269"/>
      <c r="X938" s="268"/>
      <c r="Y938" s="267">
        <v>44733.668761574074</v>
      </c>
    </row>
    <row r="939" spans="1:25">
      <c r="A939" s="280" t="s">
        <v>46</v>
      </c>
      <c r="B939" s="279" t="s">
        <v>1320</v>
      </c>
      <c r="C939" s="278" t="s">
        <v>793</v>
      </c>
      <c r="D939" s="277" t="s">
        <v>3230</v>
      </c>
      <c r="E939" s="276" t="s">
        <v>1419</v>
      </c>
      <c r="F939" s="277" t="s">
        <v>17</v>
      </c>
      <c r="G939" s="276" t="s">
        <v>3231</v>
      </c>
      <c r="H939" s="275">
        <v>58</v>
      </c>
      <c r="I939" s="276"/>
      <c r="J939" s="275">
        <v>3.43</v>
      </c>
      <c r="K939" s="274"/>
      <c r="L939" s="275">
        <v>198.94</v>
      </c>
      <c r="M939" s="276" t="s">
        <v>3232</v>
      </c>
      <c r="N939" s="273"/>
      <c r="O939" s="276" t="s">
        <v>55</v>
      </c>
      <c r="P939" s="277" t="s">
        <v>1407</v>
      </c>
      <c r="Q939" s="272"/>
      <c r="R939" s="271" t="s">
        <v>1769</v>
      </c>
      <c r="S939" s="270"/>
      <c r="T939" s="277" t="s">
        <v>25</v>
      </c>
      <c r="U939" s="276" t="s">
        <v>17</v>
      </c>
      <c r="V939" s="277">
        <v>1178</v>
      </c>
      <c r="W939" s="269"/>
      <c r="X939" s="268" t="s">
        <v>1363</v>
      </c>
      <c r="Y939" s="267">
        <v>44670.494872685187</v>
      </c>
    </row>
    <row r="940" spans="1:25">
      <c r="A940" s="280" t="s">
        <v>80</v>
      </c>
      <c r="B940" s="279" t="s">
        <v>1385</v>
      </c>
      <c r="C940" s="278" t="s">
        <v>622</v>
      </c>
      <c r="D940" s="277" t="s">
        <v>623</v>
      </c>
      <c r="E940" s="276" t="s">
        <v>1415</v>
      </c>
      <c r="F940" s="277" t="s">
        <v>1529</v>
      </c>
      <c r="G940" s="276" t="s">
        <v>208</v>
      </c>
      <c r="H940" s="275">
        <v>1</v>
      </c>
      <c r="I940" s="276"/>
      <c r="J940" s="275">
        <v>6</v>
      </c>
      <c r="K940" s="274"/>
      <c r="L940" s="275">
        <v>6</v>
      </c>
      <c r="M940" s="276" t="s">
        <v>2781</v>
      </c>
      <c r="N940" s="273">
        <v>16</v>
      </c>
      <c r="O940" s="276" t="s">
        <v>94</v>
      </c>
      <c r="P940" s="277" t="s">
        <v>1362</v>
      </c>
      <c r="Q940" s="272"/>
      <c r="R940" s="271"/>
      <c r="S940" s="270"/>
      <c r="T940" s="277" t="s">
        <v>27</v>
      </c>
      <c r="U940" s="276" t="s">
        <v>20</v>
      </c>
      <c r="V940" s="277">
        <v>117</v>
      </c>
      <c r="W940" s="269"/>
      <c r="X940" s="268" t="s">
        <v>208</v>
      </c>
      <c r="Y940" s="267">
        <v>43312</v>
      </c>
    </row>
    <row r="941" spans="1:25" ht="22.5">
      <c r="A941" s="280" t="s">
        <v>62</v>
      </c>
      <c r="B941" s="279" t="s">
        <v>1320</v>
      </c>
      <c r="C941" s="278" t="s">
        <v>3233</v>
      </c>
      <c r="D941" s="277" t="s">
        <v>1393</v>
      </c>
      <c r="E941" s="276" t="s">
        <v>1398</v>
      </c>
      <c r="F941" s="277" t="s">
        <v>1388</v>
      </c>
      <c r="G941" s="276" t="s">
        <v>208</v>
      </c>
      <c r="H941" s="275">
        <v>1</v>
      </c>
      <c r="I941" s="276"/>
      <c r="J941" s="275">
        <v>0.15</v>
      </c>
      <c r="K941" s="274"/>
      <c r="L941" s="275">
        <v>0.15</v>
      </c>
      <c r="M941" s="276" t="s">
        <v>2496</v>
      </c>
      <c r="N941" s="273"/>
      <c r="O941" s="276" t="s">
        <v>55</v>
      </c>
      <c r="P941" s="277" t="s">
        <v>1362</v>
      </c>
      <c r="Q941" s="272"/>
      <c r="R941" s="271"/>
      <c r="S941" s="270"/>
      <c r="T941" s="277" t="s">
        <v>25</v>
      </c>
      <c r="U941" s="276" t="s">
        <v>1388</v>
      </c>
      <c r="V941" s="277">
        <v>76</v>
      </c>
      <c r="W941" s="269"/>
      <c r="X941" s="268" t="s">
        <v>208</v>
      </c>
      <c r="Y941" s="267">
        <v>43312</v>
      </c>
    </row>
    <row r="942" spans="1:25">
      <c r="A942" s="280" t="s">
        <v>46</v>
      </c>
      <c r="B942" s="279" t="s">
        <v>1320</v>
      </c>
      <c r="C942" s="278" t="s">
        <v>553</v>
      </c>
      <c r="D942" s="277" t="s">
        <v>554</v>
      </c>
      <c r="E942" s="276" t="s">
        <v>1493</v>
      </c>
      <c r="F942" s="277" t="s">
        <v>1360</v>
      </c>
      <c r="G942" s="276" t="s">
        <v>3234</v>
      </c>
      <c r="H942" s="275">
        <v>1</v>
      </c>
      <c r="I942" s="276"/>
      <c r="J942" s="275">
        <v>39.749000000000002</v>
      </c>
      <c r="K942" s="274"/>
      <c r="L942" s="275">
        <v>39.749000000000002</v>
      </c>
      <c r="M942" s="276" t="s">
        <v>3235</v>
      </c>
      <c r="N942" s="273"/>
      <c r="O942" s="276" t="s">
        <v>55</v>
      </c>
      <c r="P942" s="277" t="s">
        <v>1403</v>
      </c>
      <c r="Q942" s="272"/>
      <c r="R942" s="271" t="s">
        <v>1558</v>
      </c>
      <c r="S942" s="270"/>
      <c r="T942" s="277" t="s">
        <v>25</v>
      </c>
      <c r="U942" s="276" t="s">
        <v>14</v>
      </c>
      <c r="V942" s="277">
        <v>1179</v>
      </c>
      <c r="W942" s="269"/>
      <c r="X942" s="268" t="s">
        <v>1363</v>
      </c>
      <c r="Y942" s="267">
        <v>44670.495428240742</v>
      </c>
    </row>
    <row r="943" spans="1:25">
      <c r="A943" s="280" t="s">
        <v>46</v>
      </c>
      <c r="B943" s="279" t="s">
        <v>1320</v>
      </c>
      <c r="C943" s="278" t="s">
        <v>553</v>
      </c>
      <c r="D943" s="277" t="s">
        <v>554</v>
      </c>
      <c r="E943" s="276" t="s">
        <v>1493</v>
      </c>
      <c r="F943" s="277" t="s">
        <v>1360</v>
      </c>
      <c r="G943" s="276" t="s">
        <v>3234</v>
      </c>
      <c r="H943" s="275">
        <v>2</v>
      </c>
      <c r="I943" s="276"/>
      <c r="J943" s="275">
        <v>41.741999999999997</v>
      </c>
      <c r="K943" s="274"/>
      <c r="L943" s="275">
        <v>83.483999999999995</v>
      </c>
      <c r="M943" s="276" t="s">
        <v>3236</v>
      </c>
      <c r="N943" s="273"/>
      <c r="O943" s="276" t="s">
        <v>55</v>
      </c>
      <c r="P943" s="277" t="s">
        <v>1403</v>
      </c>
      <c r="Q943" s="272"/>
      <c r="R943" s="271" t="s">
        <v>1558</v>
      </c>
      <c r="S943" s="270"/>
      <c r="T943" s="277" t="s">
        <v>25</v>
      </c>
      <c r="U943" s="276" t="s">
        <v>14</v>
      </c>
      <c r="V943" s="277">
        <v>1179</v>
      </c>
      <c r="W943" s="269"/>
      <c r="X943" s="268" t="s">
        <v>1363</v>
      </c>
      <c r="Y943" s="267">
        <v>44670.495428240742</v>
      </c>
    </row>
    <row r="944" spans="1:25">
      <c r="A944" s="280" t="s">
        <v>46</v>
      </c>
      <c r="B944" s="279" t="s">
        <v>1320</v>
      </c>
      <c r="C944" s="278" t="s">
        <v>553</v>
      </c>
      <c r="D944" s="277" t="s">
        <v>554</v>
      </c>
      <c r="E944" s="276" t="s">
        <v>1980</v>
      </c>
      <c r="F944" s="277" t="s">
        <v>1360</v>
      </c>
      <c r="G944" s="276" t="s">
        <v>3237</v>
      </c>
      <c r="H944" s="275">
        <v>1</v>
      </c>
      <c r="I944" s="276"/>
      <c r="J944" s="275">
        <v>61.765999999999998</v>
      </c>
      <c r="K944" s="274"/>
      <c r="L944" s="275">
        <v>61.765999999999998</v>
      </c>
      <c r="M944" s="276" t="s">
        <v>3238</v>
      </c>
      <c r="N944" s="273"/>
      <c r="O944" s="276" t="s">
        <v>55</v>
      </c>
      <c r="P944" s="277" t="s">
        <v>1403</v>
      </c>
      <c r="Q944" s="272"/>
      <c r="R944" s="271" t="s">
        <v>1558</v>
      </c>
      <c r="S944" s="270"/>
      <c r="T944" s="277" t="s">
        <v>25</v>
      </c>
      <c r="U944" s="276" t="s">
        <v>13</v>
      </c>
      <c r="V944" s="277">
        <v>1179</v>
      </c>
      <c r="W944" s="269"/>
      <c r="X944" s="268" t="s">
        <v>1363</v>
      </c>
      <c r="Y944" s="267">
        <v>44670.495428240742</v>
      </c>
    </row>
    <row r="945" spans="1:25">
      <c r="A945" s="280" t="s">
        <v>62</v>
      </c>
      <c r="B945" s="279" t="s">
        <v>1385</v>
      </c>
      <c r="C945" s="278" t="s">
        <v>3239</v>
      </c>
      <c r="D945" s="277" t="s">
        <v>3240</v>
      </c>
      <c r="E945" s="276" t="s">
        <v>1429</v>
      </c>
      <c r="F945" s="277" t="s">
        <v>1388</v>
      </c>
      <c r="G945" s="276" t="s">
        <v>208</v>
      </c>
      <c r="H945" s="275">
        <v>1</v>
      </c>
      <c r="I945" s="276"/>
      <c r="J945" s="275">
        <v>450</v>
      </c>
      <c r="K945" s="274"/>
      <c r="L945" s="275">
        <v>450</v>
      </c>
      <c r="M945" s="276" t="s">
        <v>3241</v>
      </c>
      <c r="N945" s="273">
        <v>0</v>
      </c>
      <c r="O945" s="276" t="s">
        <v>1285</v>
      </c>
      <c r="P945" s="277" t="s">
        <v>1407</v>
      </c>
      <c r="Q945" s="272"/>
      <c r="R945" s="271"/>
      <c r="S945" s="270"/>
      <c r="T945" s="277" t="s">
        <v>29</v>
      </c>
      <c r="U945" s="276" t="s">
        <v>1388</v>
      </c>
      <c r="V945" s="277">
        <v>1708</v>
      </c>
      <c r="W945" s="269"/>
      <c r="X945" s="268" t="s">
        <v>1400</v>
      </c>
      <c r="Y945" s="267">
        <v>44679.674328703702</v>
      </c>
    </row>
    <row r="946" spans="1:25">
      <c r="A946" s="280" t="s">
        <v>80</v>
      </c>
      <c r="B946" s="279" t="s">
        <v>1320</v>
      </c>
      <c r="C946" s="278" t="s">
        <v>132</v>
      </c>
      <c r="D946" s="277" t="s">
        <v>3242</v>
      </c>
      <c r="E946" s="276" t="s">
        <v>1493</v>
      </c>
      <c r="F946" s="277" t="s">
        <v>1431</v>
      </c>
      <c r="G946" s="276" t="s">
        <v>134</v>
      </c>
      <c r="H946" s="275">
        <v>5</v>
      </c>
      <c r="I946" s="276"/>
      <c r="J946" s="275">
        <v>30.8</v>
      </c>
      <c r="K946" s="274"/>
      <c r="L946" s="275">
        <v>154</v>
      </c>
      <c r="M946" s="276">
        <v>154</v>
      </c>
      <c r="N946" s="273"/>
      <c r="O946" s="276" t="s">
        <v>131</v>
      </c>
      <c r="P946" s="277" t="s">
        <v>1403</v>
      </c>
      <c r="Q946" s="272" t="s">
        <v>1453</v>
      </c>
      <c r="R946" s="271" t="s">
        <v>1681</v>
      </c>
      <c r="S946" s="270"/>
      <c r="T946" s="277" t="s">
        <v>25</v>
      </c>
      <c r="U946" s="276" t="s">
        <v>14</v>
      </c>
      <c r="V946" s="277">
        <v>1532</v>
      </c>
      <c r="W946" s="269"/>
      <c r="X946" s="268" t="s">
        <v>1453</v>
      </c>
      <c r="Y946" s="267">
        <v>44747.501875000002</v>
      </c>
    </row>
    <row r="947" spans="1:25">
      <c r="A947" s="280" t="s">
        <v>80</v>
      </c>
      <c r="B947" s="279" t="s">
        <v>1385</v>
      </c>
      <c r="C947" s="278" t="s">
        <v>3243</v>
      </c>
      <c r="D947" s="277" t="s">
        <v>426</v>
      </c>
      <c r="E947" s="276" t="s">
        <v>1398</v>
      </c>
      <c r="F947" s="277" t="s">
        <v>1388</v>
      </c>
      <c r="G947" s="276" t="s">
        <v>208</v>
      </c>
      <c r="H947" s="275">
        <v>11</v>
      </c>
      <c r="I947" s="276"/>
      <c r="J947" s="275">
        <v>4</v>
      </c>
      <c r="K947" s="274"/>
      <c r="L947" s="275">
        <v>44</v>
      </c>
      <c r="M947" s="276" t="s">
        <v>3244</v>
      </c>
      <c r="N947" s="273">
        <v>0</v>
      </c>
      <c r="O947" s="276" t="s">
        <v>1285</v>
      </c>
      <c r="P947" s="277" t="s">
        <v>1407</v>
      </c>
      <c r="Q947" s="272"/>
      <c r="R947" s="271"/>
      <c r="S947" s="270"/>
      <c r="T947" s="277" t="s">
        <v>29</v>
      </c>
      <c r="U947" s="276" t="s">
        <v>1388</v>
      </c>
      <c r="V947" s="277">
        <v>1486</v>
      </c>
      <c r="W947" s="269"/>
      <c r="X947" s="268" t="s">
        <v>1400</v>
      </c>
      <c r="Y947" s="267">
        <v>44679.622812499998</v>
      </c>
    </row>
    <row r="948" spans="1:25">
      <c r="A948" s="280" t="s">
        <v>80</v>
      </c>
      <c r="B948" s="279" t="s">
        <v>1385</v>
      </c>
      <c r="C948" s="278" t="s">
        <v>3245</v>
      </c>
      <c r="D948" s="277" t="s">
        <v>426</v>
      </c>
      <c r="E948" s="276" t="s">
        <v>1391</v>
      </c>
      <c r="F948" s="277" t="s">
        <v>21</v>
      </c>
      <c r="G948" s="276" t="s">
        <v>208</v>
      </c>
      <c r="H948" s="275">
        <v>1</v>
      </c>
      <c r="I948" s="276"/>
      <c r="J948" s="275">
        <v>20</v>
      </c>
      <c r="K948" s="274"/>
      <c r="L948" s="275">
        <v>20</v>
      </c>
      <c r="M948" s="276" t="s">
        <v>1433</v>
      </c>
      <c r="N948" s="273"/>
      <c r="O948" s="276" t="s">
        <v>1285</v>
      </c>
      <c r="P948" s="277" t="s">
        <v>1403</v>
      </c>
      <c r="Q948" s="272"/>
      <c r="R948" s="271"/>
      <c r="S948" s="270"/>
      <c r="T948" s="277" t="s">
        <v>29</v>
      </c>
      <c r="U948" s="276" t="s">
        <v>20</v>
      </c>
      <c r="V948" s="277">
        <v>1600</v>
      </c>
      <c r="W948" s="269"/>
      <c r="X948" s="268" t="s">
        <v>1400</v>
      </c>
      <c r="Y948" s="267">
        <v>43966.493125000001</v>
      </c>
    </row>
    <row r="949" spans="1:25">
      <c r="A949" s="280" t="s">
        <v>80</v>
      </c>
      <c r="B949" s="279" t="s">
        <v>1320</v>
      </c>
      <c r="C949" s="278" t="s">
        <v>3246</v>
      </c>
      <c r="D949" s="277" t="s">
        <v>3247</v>
      </c>
      <c r="E949" s="276" t="s">
        <v>1419</v>
      </c>
      <c r="F949" s="277" t="s">
        <v>17</v>
      </c>
      <c r="G949" s="276" t="s">
        <v>3248</v>
      </c>
      <c r="H949" s="275">
        <v>48</v>
      </c>
      <c r="I949" s="276"/>
      <c r="J949" s="275">
        <v>3</v>
      </c>
      <c r="K949" s="274"/>
      <c r="L949" s="275">
        <v>144</v>
      </c>
      <c r="M949" s="276" t="s">
        <v>1865</v>
      </c>
      <c r="N949" s="273"/>
      <c r="O949" s="276" t="s">
        <v>55</v>
      </c>
      <c r="P949" s="277" t="s">
        <v>1407</v>
      </c>
      <c r="Q949" s="272"/>
      <c r="R949" s="271" t="s">
        <v>1943</v>
      </c>
      <c r="S949" s="270"/>
      <c r="T949" s="277" t="s">
        <v>25</v>
      </c>
      <c r="U949" s="276" t="s">
        <v>17</v>
      </c>
      <c r="V949" s="277">
        <v>1181</v>
      </c>
      <c r="W949" s="269"/>
      <c r="X949" s="268" t="s">
        <v>1363</v>
      </c>
      <c r="Y949" s="267">
        <v>44670.496087962965</v>
      </c>
    </row>
    <row r="950" spans="1:25">
      <c r="A950" s="280" t="s">
        <v>80</v>
      </c>
      <c r="B950" s="279" t="s">
        <v>1320</v>
      </c>
      <c r="C950" s="278" t="s">
        <v>3246</v>
      </c>
      <c r="D950" s="277" t="s">
        <v>3247</v>
      </c>
      <c r="E950" s="276" t="s">
        <v>1419</v>
      </c>
      <c r="F950" s="277" t="s">
        <v>17</v>
      </c>
      <c r="G950" s="276" t="s">
        <v>3249</v>
      </c>
      <c r="H950" s="275">
        <v>42</v>
      </c>
      <c r="I950" s="276"/>
      <c r="J950" s="275">
        <v>3</v>
      </c>
      <c r="K950" s="274"/>
      <c r="L950" s="275">
        <v>126</v>
      </c>
      <c r="M950" s="276" t="s">
        <v>1550</v>
      </c>
      <c r="N950" s="273"/>
      <c r="O950" s="276" t="s">
        <v>55</v>
      </c>
      <c r="P950" s="277" t="s">
        <v>1407</v>
      </c>
      <c r="Q950" s="272"/>
      <c r="R950" s="271" t="s">
        <v>1943</v>
      </c>
      <c r="S950" s="270"/>
      <c r="T950" s="277" t="s">
        <v>25</v>
      </c>
      <c r="U950" s="276" t="s">
        <v>17</v>
      </c>
      <c r="V950" s="277">
        <v>1181</v>
      </c>
      <c r="W950" s="269"/>
      <c r="X950" s="268" t="s">
        <v>1363</v>
      </c>
      <c r="Y950" s="267">
        <v>44670.496087962965</v>
      </c>
    </row>
    <row r="951" spans="1:25">
      <c r="A951" s="280" t="s">
        <v>80</v>
      </c>
      <c r="B951" s="279" t="s">
        <v>1320</v>
      </c>
      <c r="C951" s="278" t="s">
        <v>3250</v>
      </c>
      <c r="D951" s="277" t="s">
        <v>3251</v>
      </c>
      <c r="E951" s="276" t="s">
        <v>1419</v>
      </c>
      <c r="F951" s="277" t="s">
        <v>17</v>
      </c>
      <c r="G951" s="276" t="s">
        <v>3252</v>
      </c>
      <c r="H951" s="275">
        <v>47</v>
      </c>
      <c r="I951" s="276"/>
      <c r="J951" s="275">
        <v>2.1</v>
      </c>
      <c r="K951" s="274"/>
      <c r="L951" s="275">
        <v>98.7</v>
      </c>
      <c r="M951" s="276" t="s">
        <v>3253</v>
      </c>
      <c r="N951" s="273"/>
      <c r="O951" s="276" t="s">
        <v>55</v>
      </c>
      <c r="P951" s="277" t="s">
        <v>1407</v>
      </c>
      <c r="Q951" s="272"/>
      <c r="R951" s="271" t="s">
        <v>1521</v>
      </c>
      <c r="S951" s="270"/>
      <c r="T951" s="277" t="s">
        <v>25</v>
      </c>
      <c r="U951" s="276" t="s">
        <v>17</v>
      </c>
      <c r="V951" s="277">
        <v>1180</v>
      </c>
      <c r="W951" s="269"/>
      <c r="X951" s="268" t="s">
        <v>1363</v>
      </c>
      <c r="Y951" s="267">
        <v>44672.499409722222</v>
      </c>
    </row>
    <row r="952" spans="1:25">
      <c r="A952" s="280" t="s">
        <v>46</v>
      </c>
      <c r="B952" s="279" t="s">
        <v>1385</v>
      </c>
      <c r="C952" s="278" t="s">
        <v>557</v>
      </c>
      <c r="D952" s="277" t="s">
        <v>558</v>
      </c>
      <c r="E952" s="276" t="s">
        <v>1469</v>
      </c>
      <c r="F952" s="277" t="s">
        <v>18</v>
      </c>
      <c r="G952" s="276" t="s">
        <v>208</v>
      </c>
      <c r="H952" s="275">
        <v>6</v>
      </c>
      <c r="I952" s="276"/>
      <c r="J952" s="275">
        <v>340</v>
      </c>
      <c r="K952" s="274"/>
      <c r="L952" s="275">
        <v>2040</v>
      </c>
      <c r="M952" s="276" t="s">
        <v>1511</v>
      </c>
      <c r="N952" s="273">
        <v>349999.98000000004</v>
      </c>
      <c r="O952" s="276" t="s">
        <v>2577</v>
      </c>
      <c r="P952" s="277" t="s">
        <v>1403</v>
      </c>
      <c r="Q952" s="272" t="s">
        <v>3254</v>
      </c>
      <c r="R952" s="271"/>
      <c r="S952" s="270"/>
      <c r="T952" s="277" t="s">
        <v>27</v>
      </c>
      <c r="U952" s="276" t="s">
        <v>18</v>
      </c>
      <c r="V952" s="277">
        <v>1752</v>
      </c>
      <c r="W952" s="269"/>
      <c r="X952" s="268" t="s">
        <v>1453</v>
      </c>
      <c r="Y952" s="267">
        <v>44747.475497685184</v>
      </c>
    </row>
    <row r="953" spans="1:25">
      <c r="A953" s="280" t="s">
        <v>80</v>
      </c>
      <c r="B953" s="279" t="s">
        <v>1320</v>
      </c>
      <c r="C953" s="278" t="s">
        <v>3255</v>
      </c>
      <c r="D953" s="277" t="s">
        <v>2103</v>
      </c>
      <c r="E953" s="276" t="s">
        <v>1493</v>
      </c>
      <c r="F953" s="277" t="s">
        <v>1431</v>
      </c>
      <c r="G953" s="276" t="s">
        <v>3256</v>
      </c>
      <c r="H953" s="275">
        <v>3</v>
      </c>
      <c r="I953" s="276"/>
      <c r="J953" s="275">
        <v>21</v>
      </c>
      <c r="K953" s="274"/>
      <c r="L953" s="275">
        <v>63</v>
      </c>
      <c r="M953" s="276" t="s">
        <v>3257</v>
      </c>
      <c r="N953" s="273"/>
      <c r="O953" s="276" t="s">
        <v>55</v>
      </c>
      <c r="P953" s="277" t="s">
        <v>1403</v>
      </c>
      <c r="Q953" s="272"/>
      <c r="R953" s="271" t="s">
        <v>1655</v>
      </c>
      <c r="S953" s="270"/>
      <c r="T953" s="277" t="s">
        <v>25</v>
      </c>
      <c r="U953" s="276" t="s">
        <v>14</v>
      </c>
      <c r="V953" s="277">
        <v>1182</v>
      </c>
      <c r="W953" s="269"/>
      <c r="X953" s="268" t="s">
        <v>1363</v>
      </c>
      <c r="Y953" s="267">
        <v>44670.496574074074</v>
      </c>
    </row>
    <row r="954" spans="1:25">
      <c r="A954" s="280" t="s">
        <v>80</v>
      </c>
      <c r="B954" s="279" t="s">
        <v>1320</v>
      </c>
      <c r="C954" s="278" t="s">
        <v>3255</v>
      </c>
      <c r="D954" s="277" t="s">
        <v>2103</v>
      </c>
      <c r="E954" s="276" t="s">
        <v>1493</v>
      </c>
      <c r="F954" s="277" t="s">
        <v>1431</v>
      </c>
      <c r="G954" s="276" t="s">
        <v>3258</v>
      </c>
      <c r="H954" s="275">
        <v>1</v>
      </c>
      <c r="I954" s="276"/>
      <c r="J954" s="275">
        <v>21</v>
      </c>
      <c r="K954" s="274"/>
      <c r="L954" s="275">
        <v>21</v>
      </c>
      <c r="M954" s="276" t="s">
        <v>2324</v>
      </c>
      <c r="N954" s="273"/>
      <c r="O954" s="276" t="s">
        <v>55</v>
      </c>
      <c r="P954" s="277" t="s">
        <v>1362</v>
      </c>
      <c r="Q954" s="272"/>
      <c r="R954" s="271" t="s">
        <v>1655</v>
      </c>
      <c r="S954" s="270"/>
      <c r="T954" s="277" t="s">
        <v>25</v>
      </c>
      <c r="U954" s="276" t="s">
        <v>14</v>
      </c>
      <c r="V954" s="277">
        <v>1182</v>
      </c>
      <c r="W954" s="269"/>
      <c r="X954" s="268" t="s">
        <v>1363</v>
      </c>
      <c r="Y954" s="267">
        <v>44670.496574074074</v>
      </c>
    </row>
    <row r="955" spans="1:25">
      <c r="A955" s="280" t="s">
        <v>62</v>
      </c>
      <c r="B955" s="279" t="s">
        <v>1320</v>
      </c>
      <c r="C955" s="278" t="s">
        <v>3259</v>
      </c>
      <c r="D955" s="277" t="s">
        <v>2596</v>
      </c>
      <c r="E955" s="276" t="s">
        <v>1398</v>
      </c>
      <c r="F955" s="277" t="s">
        <v>1388</v>
      </c>
      <c r="G955" s="276" t="s">
        <v>208</v>
      </c>
      <c r="H955" s="275">
        <v>1</v>
      </c>
      <c r="I955" s="276"/>
      <c r="J955" s="275">
        <v>3.2</v>
      </c>
      <c r="K955" s="274"/>
      <c r="L955" s="275">
        <v>3.2</v>
      </c>
      <c r="M955" s="276" t="s">
        <v>2681</v>
      </c>
      <c r="N955" s="273"/>
      <c r="O955" s="276" t="s">
        <v>55</v>
      </c>
      <c r="P955" s="277" t="s">
        <v>1362</v>
      </c>
      <c r="Q955" s="272"/>
      <c r="R955" s="271"/>
      <c r="S955" s="270"/>
      <c r="T955" s="277" t="s">
        <v>25</v>
      </c>
      <c r="U955" s="276" t="s">
        <v>1388</v>
      </c>
      <c r="V955" s="277">
        <v>90</v>
      </c>
      <c r="W955" s="269"/>
      <c r="X955" s="268" t="s">
        <v>208</v>
      </c>
      <c r="Y955" s="267">
        <v>43312</v>
      </c>
    </row>
    <row r="956" spans="1:25">
      <c r="A956" s="280" t="s">
        <v>100</v>
      </c>
      <c r="B956" s="279" t="s">
        <v>1320</v>
      </c>
      <c r="C956" s="278" t="s">
        <v>648</v>
      </c>
      <c r="D956" s="277" t="s">
        <v>649</v>
      </c>
      <c r="E956" s="276" t="s">
        <v>1493</v>
      </c>
      <c r="F956" s="277" t="s">
        <v>1360</v>
      </c>
      <c r="G956" s="276" t="s">
        <v>3260</v>
      </c>
      <c r="H956" s="275">
        <v>4</v>
      </c>
      <c r="I956" s="276"/>
      <c r="J956" s="275">
        <v>42.5</v>
      </c>
      <c r="K956" s="274"/>
      <c r="L956" s="275">
        <v>170</v>
      </c>
      <c r="M956" s="276" t="s">
        <v>3261</v>
      </c>
      <c r="N956" s="273"/>
      <c r="O956" s="276" t="s">
        <v>55</v>
      </c>
      <c r="P956" s="277" t="s">
        <v>1403</v>
      </c>
      <c r="Q956" s="272"/>
      <c r="R956" s="271" t="s">
        <v>1521</v>
      </c>
      <c r="S956" s="270"/>
      <c r="T956" s="277" t="s">
        <v>25</v>
      </c>
      <c r="U956" s="276" t="s">
        <v>14</v>
      </c>
      <c r="V956" s="277">
        <v>1183</v>
      </c>
      <c r="W956" s="269"/>
      <c r="X956" s="268" t="s">
        <v>1363</v>
      </c>
      <c r="Y956" s="267">
        <v>44670.497187499997</v>
      </c>
    </row>
    <row r="957" spans="1:25">
      <c r="A957" s="280" t="s">
        <v>62</v>
      </c>
      <c r="B957" s="279" t="s">
        <v>1320</v>
      </c>
      <c r="C957" s="278" t="s">
        <v>515</v>
      </c>
      <c r="D957" s="277" t="s">
        <v>516</v>
      </c>
      <c r="E957" s="276" t="s">
        <v>1596</v>
      </c>
      <c r="F957" s="277" t="s">
        <v>1856</v>
      </c>
      <c r="G957" s="276" t="s">
        <v>208</v>
      </c>
      <c r="H957" s="275">
        <v>1</v>
      </c>
      <c r="I957" s="276"/>
      <c r="J957" s="275">
        <v>2</v>
      </c>
      <c r="K957" s="274"/>
      <c r="L957" s="275">
        <v>2</v>
      </c>
      <c r="M957" s="276" t="s">
        <v>1846</v>
      </c>
      <c r="N957" s="273"/>
      <c r="O957" s="276" t="s">
        <v>55</v>
      </c>
      <c r="P957" s="277" t="s">
        <v>1362</v>
      </c>
      <c r="Q957" s="272"/>
      <c r="R957" s="271"/>
      <c r="S957" s="270"/>
      <c r="T957" s="277" t="s">
        <v>25</v>
      </c>
      <c r="U957" s="276" t="s">
        <v>19</v>
      </c>
      <c r="V957" s="277">
        <v>1307</v>
      </c>
      <c r="W957" s="269"/>
      <c r="X957" s="268" t="s">
        <v>1400</v>
      </c>
      <c r="Y957" s="267">
        <v>44679.644097222219</v>
      </c>
    </row>
    <row r="958" spans="1:25">
      <c r="A958" s="280" t="s">
        <v>62</v>
      </c>
      <c r="B958" s="279" t="s">
        <v>1320</v>
      </c>
      <c r="C958" s="278" t="s">
        <v>515</v>
      </c>
      <c r="D958" s="277" t="s">
        <v>516</v>
      </c>
      <c r="E958" s="276" t="s">
        <v>1596</v>
      </c>
      <c r="F958" s="277" t="s">
        <v>1856</v>
      </c>
      <c r="G958" s="276" t="s">
        <v>208</v>
      </c>
      <c r="H958" s="275">
        <v>1</v>
      </c>
      <c r="I958" s="276"/>
      <c r="J958" s="275">
        <v>7.8</v>
      </c>
      <c r="K958" s="274"/>
      <c r="L958" s="275">
        <v>7.8</v>
      </c>
      <c r="M958" s="276" t="s">
        <v>3262</v>
      </c>
      <c r="N958" s="273"/>
      <c r="O958" s="276" t="s">
        <v>55</v>
      </c>
      <c r="P958" s="277" t="s">
        <v>1362</v>
      </c>
      <c r="Q958" s="272"/>
      <c r="R958" s="271"/>
      <c r="S958" s="270"/>
      <c r="T958" s="277" t="s">
        <v>25</v>
      </c>
      <c r="U958" s="276" t="s">
        <v>19</v>
      </c>
      <c r="V958" s="277">
        <v>1307</v>
      </c>
      <c r="W958" s="269"/>
      <c r="X958" s="268" t="s">
        <v>1400</v>
      </c>
      <c r="Y958" s="267">
        <v>44679.644097222219</v>
      </c>
    </row>
    <row r="959" spans="1:25">
      <c r="A959" s="280" t="s">
        <v>62</v>
      </c>
      <c r="B959" s="279" t="s">
        <v>1320</v>
      </c>
      <c r="C959" s="278" t="s">
        <v>515</v>
      </c>
      <c r="D959" s="277" t="s">
        <v>516</v>
      </c>
      <c r="E959" s="276" t="s">
        <v>1596</v>
      </c>
      <c r="F959" s="277" t="s">
        <v>1856</v>
      </c>
      <c r="G959" s="276" t="s">
        <v>208</v>
      </c>
      <c r="H959" s="275">
        <v>3</v>
      </c>
      <c r="I959" s="276"/>
      <c r="J959" s="275">
        <v>9.5</v>
      </c>
      <c r="K959" s="274"/>
      <c r="L959" s="275">
        <v>28.5</v>
      </c>
      <c r="M959" s="276" t="s">
        <v>3263</v>
      </c>
      <c r="N959" s="273">
        <v>0</v>
      </c>
      <c r="O959" s="276" t="s">
        <v>55</v>
      </c>
      <c r="P959" s="277" t="s">
        <v>1362</v>
      </c>
      <c r="Q959" s="272"/>
      <c r="R959" s="271"/>
      <c r="S959" s="270"/>
      <c r="T959" s="277" t="s">
        <v>25</v>
      </c>
      <c r="U959" s="276" t="s">
        <v>19</v>
      </c>
      <c r="V959" s="277">
        <v>1307</v>
      </c>
      <c r="W959" s="269"/>
      <c r="X959" s="268" t="s">
        <v>1400</v>
      </c>
      <c r="Y959" s="267">
        <v>44679.644097222219</v>
      </c>
    </row>
    <row r="960" spans="1:25">
      <c r="A960" s="280" t="s">
        <v>62</v>
      </c>
      <c r="B960" s="279" t="s">
        <v>1385</v>
      </c>
      <c r="C960" s="278" t="s">
        <v>3264</v>
      </c>
      <c r="D960" s="277" t="s">
        <v>516</v>
      </c>
      <c r="E960" s="276" t="s">
        <v>1596</v>
      </c>
      <c r="F960" s="277" t="s">
        <v>1856</v>
      </c>
      <c r="G960" s="276" t="s">
        <v>208</v>
      </c>
      <c r="H960" s="275">
        <v>1</v>
      </c>
      <c r="I960" s="276"/>
      <c r="J960" s="275">
        <v>32</v>
      </c>
      <c r="K960" s="274"/>
      <c r="L960" s="275">
        <v>32</v>
      </c>
      <c r="M960" s="276" t="s">
        <v>3265</v>
      </c>
      <c r="N960" s="273"/>
      <c r="O960" s="276" t="s">
        <v>1285</v>
      </c>
      <c r="P960" s="277" t="s">
        <v>1362</v>
      </c>
      <c r="Q960" s="272"/>
      <c r="R960" s="271"/>
      <c r="S960" s="270"/>
      <c r="T960" s="277" t="s">
        <v>29</v>
      </c>
      <c r="U960" s="276" t="s">
        <v>19</v>
      </c>
      <c r="V960" s="277">
        <v>106</v>
      </c>
      <c r="W960" s="269"/>
      <c r="X960" s="268" t="s">
        <v>208</v>
      </c>
      <c r="Y960" s="267">
        <v>43312</v>
      </c>
    </row>
    <row r="961" spans="1:25">
      <c r="A961" s="280" t="s">
        <v>46</v>
      </c>
      <c r="B961" s="279" t="s">
        <v>1320</v>
      </c>
      <c r="C961" s="278" t="s">
        <v>3266</v>
      </c>
      <c r="D961" s="277" t="s">
        <v>2922</v>
      </c>
      <c r="E961" s="276" t="s">
        <v>1429</v>
      </c>
      <c r="F961" s="277" t="s">
        <v>1388</v>
      </c>
      <c r="G961" s="276" t="s">
        <v>3267</v>
      </c>
      <c r="H961" s="275">
        <v>1</v>
      </c>
      <c r="I961" s="276"/>
      <c r="J961" s="275">
        <v>15</v>
      </c>
      <c r="K961" s="274"/>
      <c r="L961" s="275">
        <v>15</v>
      </c>
      <c r="M961" s="276" t="s">
        <v>1696</v>
      </c>
      <c r="N961" s="273"/>
      <c r="O961" s="276" t="s">
        <v>55</v>
      </c>
      <c r="P961" s="277" t="s">
        <v>1362</v>
      </c>
      <c r="Q961" s="272"/>
      <c r="R961" s="271" t="s">
        <v>1484</v>
      </c>
      <c r="S961" s="270"/>
      <c r="T961" s="277" t="s">
        <v>25</v>
      </c>
      <c r="U961" s="276" t="s">
        <v>1388</v>
      </c>
      <c r="V961" s="277">
        <v>1377</v>
      </c>
      <c r="W961" s="269"/>
      <c r="X961" s="268" t="s">
        <v>1363</v>
      </c>
      <c r="Y961" s="267">
        <v>44671.426504629628</v>
      </c>
    </row>
    <row r="962" spans="1:25" ht="22.5">
      <c r="A962" s="280" t="s">
        <v>100</v>
      </c>
      <c r="B962" s="279" t="s">
        <v>1385</v>
      </c>
      <c r="C962" s="278" t="s">
        <v>3268</v>
      </c>
      <c r="D962" s="277" t="s">
        <v>2017</v>
      </c>
      <c r="E962" s="276"/>
      <c r="F962" s="277" t="s">
        <v>21</v>
      </c>
      <c r="G962" s="276"/>
      <c r="H962" s="275"/>
      <c r="I962" s="276"/>
      <c r="J962" s="275"/>
      <c r="K962" s="274"/>
      <c r="L962" s="275">
        <v>156</v>
      </c>
      <c r="M962" s="276"/>
      <c r="N962" s="273"/>
      <c r="O962" s="276" t="s">
        <v>1285</v>
      </c>
      <c r="P962" s="277"/>
      <c r="Q962" s="272"/>
      <c r="R962" s="271" t="s">
        <v>208</v>
      </c>
      <c r="S962" s="270"/>
      <c r="T962" s="277" t="s">
        <v>29</v>
      </c>
      <c r="U962" s="276" t="s">
        <v>20</v>
      </c>
      <c r="V962" s="277" t="s">
        <v>208</v>
      </c>
      <c r="W962" s="269" t="s">
        <v>3269</v>
      </c>
      <c r="X962" s="268"/>
      <c r="Y962" s="267" t="s">
        <v>208</v>
      </c>
    </row>
    <row r="963" spans="1:25" ht="22.5">
      <c r="A963" s="280" t="s">
        <v>62</v>
      </c>
      <c r="B963" s="279" t="s">
        <v>1385</v>
      </c>
      <c r="C963" s="278" t="s">
        <v>3270</v>
      </c>
      <c r="D963" s="277" t="s">
        <v>1676</v>
      </c>
      <c r="E963" s="276" t="s">
        <v>1391</v>
      </c>
      <c r="F963" s="277" t="s">
        <v>21</v>
      </c>
      <c r="G963" s="276"/>
      <c r="H963" s="275"/>
      <c r="I963" s="276"/>
      <c r="J963" s="275"/>
      <c r="K963" s="274"/>
      <c r="L963" s="275">
        <v>400</v>
      </c>
      <c r="M963" s="276"/>
      <c r="N963" s="273"/>
      <c r="O963" s="276" t="s">
        <v>1285</v>
      </c>
      <c r="P963" s="277"/>
      <c r="Q963" s="272"/>
      <c r="R963" s="271"/>
      <c r="S963" s="270"/>
      <c r="T963" s="277" t="s">
        <v>29</v>
      </c>
      <c r="U963" s="276" t="s">
        <v>20</v>
      </c>
      <c r="V963" s="277" t="s">
        <v>208</v>
      </c>
      <c r="W963" s="269" t="s">
        <v>3271</v>
      </c>
      <c r="X963" s="268"/>
      <c r="Y963" s="267" t="s">
        <v>208</v>
      </c>
    </row>
    <row r="964" spans="1:25" ht="22.5">
      <c r="A964" s="280" t="s">
        <v>62</v>
      </c>
      <c r="B964" s="279" t="s">
        <v>1320</v>
      </c>
      <c r="C964" s="278" t="s">
        <v>3272</v>
      </c>
      <c r="D964" s="277" t="s">
        <v>3273</v>
      </c>
      <c r="E964" s="276" t="s">
        <v>1365</v>
      </c>
      <c r="F964" s="277" t="s">
        <v>1431</v>
      </c>
      <c r="G964" s="276" t="s">
        <v>3274</v>
      </c>
      <c r="H964" s="275">
        <v>1</v>
      </c>
      <c r="I964" s="276"/>
      <c r="J964" s="275">
        <v>1</v>
      </c>
      <c r="K964" s="274"/>
      <c r="L964" s="275">
        <v>1</v>
      </c>
      <c r="M964" s="276" t="s">
        <v>1366</v>
      </c>
      <c r="N964" s="273"/>
      <c r="O964" s="276" t="s">
        <v>55</v>
      </c>
      <c r="P964" s="277" t="s">
        <v>1362</v>
      </c>
      <c r="Q964" s="272"/>
      <c r="R964" s="271"/>
      <c r="S964" s="270"/>
      <c r="T964" s="277" t="s">
        <v>25</v>
      </c>
      <c r="U964" s="276" t="s">
        <v>21</v>
      </c>
      <c r="V964" s="277">
        <v>1251</v>
      </c>
      <c r="W964" s="269"/>
      <c r="X964" s="268" t="s">
        <v>208</v>
      </c>
      <c r="Y964" s="267">
        <v>43769.416655092595</v>
      </c>
    </row>
    <row r="965" spans="1:25">
      <c r="A965" s="280" t="s">
        <v>100</v>
      </c>
      <c r="B965" s="279" t="s">
        <v>1385</v>
      </c>
      <c r="C965" s="278" t="s">
        <v>3275</v>
      </c>
      <c r="D965" s="277" t="s">
        <v>1580</v>
      </c>
      <c r="E965" s="276" t="s">
        <v>1581</v>
      </c>
      <c r="F965" s="277" t="s">
        <v>17</v>
      </c>
      <c r="G965" s="276" t="s">
        <v>208</v>
      </c>
      <c r="H965" s="275">
        <v>100</v>
      </c>
      <c r="I965" s="276"/>
      <c r="J965" s="275">
        <v>15</v>
      </c>
      <c r="K965" s="274"/>
      <c r="L965" s="275">
        <v>1500</v>
      </c>
      <c r="M965" s="276" t="s">
        <v>1706</v>
      </c>
      <c r="N965" s="273"/>
      <c r="O965" s="276" t="s">
        <v>1285</v>
      </c>
      <c r="P965" s="277" t="s">
        <v>1407</v>
      </c>
      <c r="Q965" s="272"/>
      <c r="R965" s="271"/>
      <c r="S965" s="270"/>
      <c r="T965" s="277" t="s">
        <v>29</v>
      </c>
      <c r="U965" s="276" t="s">
        <v>17</v>
      </c>
      <c r="V965" s="277">
        <v>1920</v>
      </c>
      <c r="W965" s="269"/>
      <c r="X965" s="268" t="s">
        <v>1583</v>
      </c>
      <c r="Y965" s="267">
        <v>44370.558333333334</v>
      </c>
    </row>
    <row r="966" spans="1:25">
      <c r="A966" s="280" t="s">
        <v>62</v>
      </c>
      <c r="B966" s="279" t="s">
        <v>1385</v>
      </c>
      <c r="C966" s="278" t="s">
        <v>3276</v>
      </c>
      <c r="D966" s="277" t="s">
        <v>1709</v>
      </c>
      <c r="E966" s="276" t="s">
        <v>1419</v>
      </c>
      <c r="F966" s="277" t="s">
        <v>17</v>
      </c>
      <c r="G966" s="276" t="s">
        <v>208</v>
      </c>
      <c r="H966" s="275">
        <v>56</v>
      </c>
      <c r="I966" s="276"/>
      <c r="J966" s="275">
        <v>6</v>
      </c>
      <c r="K966" s="274"/>
      <c r="L966" s="275">
        <v>336</v>
      </c>
      <c r="M966" s="276" t="s">
        <v>3277</v>
      </c>
      <c r="N966" s="273"/>
      <c r="O966" s="276" t="s">
        <v>1285</v>
      </c>
      <c r="P966" s="277" t="s">
        <v>1393</v>
      </c>
      <c r="Q966" s="272"/>
      <c r="R966" s="271"/>
      <c r="S966" s="270"/>
      <c r="T966" s="277" t="s">
        <v>29</v>
      </c>
      <c r="U966" s="276" t="s">
        <v>17</v>
      </c>
      <c r="V966" s="277">
        <v>2004</v>
      </c>
      <c r="W966" s="269"/>
      <c r="X966" s="268"/>
      <c r="Y966" s="267">
        <v>44726.652245370373</v>
      </c>
    </row>
    <row r="967" spans="1:25">
      <c r="A967" s="280" t="s">
        <v>46</v>
      </c>
      <c r="B967" s="279" t="s">
        <v>1385</v>
      </c>
      <c r="C967" s="278" t="s">
        <v>3278</v>
      </c>
      <c r="D967" s="277" t="s">
        <v>3279</v>
      </c>
      <c r="E967" s="276" t="s">
        <v>1429</v>
      </c>
      <c r="F967" s="277" t="s">
        <v>1388</v>
      </c>
      <c r="G967" s="276" t="s">
        <v>208</v>
      </c>
      <c r="H967" s="275">
        <v>44</v>
      </c>
      <c r="I967" s="276">
        <v>2.5</v>
      </c>
      <c r="J967" s="275">
        <v>2.75</v>
      </c>
      <c r="K967" s="274">
        <v>110</v>
      </c>
      <c r="L967" s="275">
        <v>121</v>
      </c>
      <c r="M967" s="276" t="s">
        <v>3280</v>
      </c>
      <c r="N967" s="273"/>
      <c r="O967" s="276" t="s">
        <v>1285</v>
      </c>
      <c r="P967" s="277" t="s">
        <v>1362</v>
      </c>
      <c r="Q967" s="272"/>
      <c r="R967" s="271"/>
      <c r="S967" s="270"/>
      <c r="T967" s="277" t="s">
        <v>29</v>
      </c>
      <c r="U967" s="276" t="s">
        <v>1388</v>
      </c>
      <c r="V967" s="277">
        <v>1560</v>
      </c>
      <c r="W967" s="269"/>
      <c r="X967" s="268" t="s">
        <v>1400</v>
      </c>
      <c r="Y967" s="267">
        <v>43769.416655092595</v>
      </c>
    </row>
    <row r="968" spans="1:25">
      <c r="A968" s="280" t="s">
        <v>62</v>
      </c>
      <c r="B968" s="279" t="s">
        <v>1385</v>
      </c>
      <c r="C968" s="278" t="s">
        <v>3281</v>
      </c>
      <c r="D968" s="277" t="s">
        <v>102</v>
      </c>
      <c r="E968" s="276"/>
      <c r="F968" s="277" t="s">
        <v>17</v>
      </c>
      <c r="G968" s="276" t="s">
        <v>208</v>
      </c>
      <c r="H968" s="275">
        <v>1</v>
      </c>
      <c r="I968" s="276"/>
      <c r="J968" s="275">
        <v>480</v>
      </c>
      <c r="K968" s="274"/>
      <c r="L968" s="275">
        <v>480</v>
      </c>
      <c r="M968" s="276">
        <v>480</v>
      </c>
      <c r="N968" s="273"/>
      <c r="O968" s="276" t="s">
        <v>1285</v>
      </c>
      <c r="P968" s="277"/>
      <c r="Q968" s="272"/>
      <c r="R968" s="271"/>
      <c r="S968" s="270"/>
      <c r="T968" s="277" t="s">
        <v>29</v>
      </c>
      <c r="U968" s="276" t="s">
        <v>17</v>
      </c>
      <c r="V968" s="277" t="s">
        <v>208</v>
      </c>
      <c r="W968" s="269" t="s">
        <v>3282</v>
      </c>
      <c r="X968" s="268"/>
      <c r="Y968" s="267" t="s">
        <v>208</v>
      </c>
    </row>
    <row r="969" spans="1:25">
      <c r="A969" s="280" t="s">
        <v>100</v>
      </c>
      <c r="B969" s="279" t="s">
        <v>1320</v>
      </c>
      <c r="C969" s="278" t="s">
        <v>3283</v>
      </c>
      <c r="D969" s="277" t="s">
        <v>1631</v>
      </c>
      <c r="E969" s="276" t="s">
        <v>1359</v>
      </c>
      <c r="F969" s="277" t="s">
        <v>1422</v>
      </c>
      <c r="G969" s="276" t="s">
        <v>3284</v>
      </c>
      <c r="H969" s="275">
        <v>4</v>
      </c>
      <c r="I969" s="276"/>
      <c r="J969" s="275">
        <v>1.05</v>
      </c>
      <c r="K969" s="274"/>
      <c r="L969" s="275">
        <v>4.2</v>
      </c>
      <c r="M969" s="276" t="s">
        <v>3285</v>
      </c>
      <c r="N969" s="273"/>
      <c r="O969" s="276" t="s">
        <v>55</v>
      </c>
      <c r="P969" s="277" t="s">
        <v>1362</v>
      </c>
      <c r="Q969" s="272"/>
      <c r="R969" s="271" t="s">
        <v>1382</v>
      </c>
      <c r="S969" s="270"/>
      <c r="T969" s="277" t="s">
        <v>25</v>
      </c>
      <c r="U969" s="276" t="s">
        <v>19</v>
      </c>
      <c r="V969" s="277">
        <v>1184</v>
      </c>
      <c r="W969" s="269"/>
      <c r="X969" s="268" t="s">
        <v>1363</v>
      </c>
      <c r="Y969" s="267">
        <v>44670.614814814813</v>
      </c>
    </row>
    <row r="970" spans="1:25">
      <c r="A970" s="280" t="s">
        <v>80</v>
      </c>
      <c r="B970" s="279" t="s">
        <v>1385</v>
      </c>
      <c r="C970" s="278" t="s">
        <v>3286</v>
      </c>
      <c r="D970" s="277" t="s">
        <v>3287</v>
      </c>
      <c r="E970" s="276" t="s">
        <v>1429</v>
      </c>
      <c r="F970" s="277" t="s">
        <v>1388</v>
      </c>
      <c r="G970" s="276" t="s">
        <v>208</v>
      </c>
      <c r="H970" s="275">
        <v>180</v>
      </c>
      <c r="I970" s="276"/>
      <c r="J970" s="275"/>
      <c r="K970" s="274"/>
      <c r="L970" s="275"/>
      <c r="M970" s="276"/>
      <c r="N970" s="273">
        <v>0</v>
      </c>
      <c r="O970" s="276" t="s">
        <v>1285</v>
      </c>
      <c r="P970" s="277" t="s">
        <v>1362</v>
      </c>
      <c r="Q970" s="272"/>
      <c r="R970" s="271"/>
      <c r="S970" s="270"/>
      <c r="T970" s="277" t="s">
        <v>29</v>
      </c>
      <c r="U970" s="276" t="s">
        <v>1388</v>
      </c>
      <c r="V970" s="277">
        <v>1558</v>
      </c>
      <c r="W970" s="269"/>
      <c r="X970" s="268" t="s">
        <v>1400</v>
      </c>
      <c r="Y970" s="267">
        <v>44679.664490740739</v>
      </c>
    </row>
    <row r="971" spans="1:25" ht="22.5">
      <c r="A971" s="280" t="s">
        <v>46</v>
      </c>
      <c r="B971" s="279" t="s">
        <v>1320</v>
      </c>
      <c r="C971" s="278" t="s">
        <v>3288</v>
      </c>
      <c r="D971" s="277" t="s">
        <v>3289</v>
      </c>
      <c r="E971" s="276" t="s">
        <v>1365</v>
      </c>
      <c r="F971" s="277" t="s">
        <v>1431</v>
      </c>
      <c r="G971" s="276" t="s">
        <v>208</v>
      </c>
      <c r="H971" s="275">
        <v>1</v>
      </c>
      <c r="I971" s="276"/>
      <c r="J971" s="275">
        <v>1.48</v>
      </c>
      <c r="K971" s="274"/>
      <c r="L971" s="275">
        <v>1.48</v>
      </c>
      <c r="M971" s="276" t="s">
        <v>3290</v>
      </c>
      <c r="N971" s="273"/>
      <c r="O971" s="276" t="s">
        <v>55</v>
      </c>
      <c r="P971" s="277" t="s">
        <v>1362</v>
      </c>
      <c r="Q971" s="272"/>
      <c r="R971" s="271"/>
      <c r="S971" s="270"/>
      <c r="T971" s="277" t="s">
        <v>25</v>
      </c>
      <c r="U971" s="276" t="s">
        <v>21</v>
      </c>
      <c r="V971" s="277">
        <v>1294</v>
      </c>
      <c r="W971" s="269"/>
      <c r="X971" s="268" t="s">
        <v>1400</v>
      </c>
      <c r="Y971" s="267">
        <v>44341.580185185187</v>
      </c>
    </row>
    <row r="972" spans="1:25">
      <c r="A972" s="280" t="s">
        <v>95</v>
      </c>
      <c r="B972" s="279" t="s">
        <v>1320</v>
      </c>
      <c r="C972" s="278" t="s">
        <v>3291</v>
      </c>
      <c r="D972" s="277" t="s">
        <v>1393</v>
      </c>
      <c r="E972" s="276" t="s">
        <v>1398</v>
      </c>
      <c r="F972" s="277" t="s">
        <v>1388</v>
      </c>
      <c r="G972" s="276" t="s">
        <v>208</v>
      </c>
      <c r="H972" s="275">
        <v>1</v>
      </c>
      <c r="I972" s="276"/>
      <c r="J972" s="275">
        <v>0.26500000000000001</v>
      </c>
      <c r="K972" s="274"/>
      <c r="L972" s="275">
        <v>0.2646</v>
      </c>
      <c r="M972" s="276" t="s">
        <v>3292</v>
      </c>
      <c r="N972" s="273"/>
      <c r="O972" s="276" t="s">
        <v>55</v>
      </c>
      <c r="P972" s="277" t="s">
        <v>1362</v>
      </c>
      <c r="Q972" s="272"/>
      <c r="R972" s="271"/>
      <c r="S972" s="270"/>
      <c r="T972" s="277" t="s">
        <v>25</v>
      </c>
      <c r="U972" s="276" t="s">
        <v>1388</v>
      </c>
      <c r="V972" s="277">
        <v>27</v>
      </c>
      <c r="W972" s="269"/>
      <c r="X972" s="268" t="s">
        <v>208</v>
      </c>
      <c r="Y972" s="267">
        <v>43312</v>
      </c>
    </row>
    <row r="973" spans="1:25">
      <c r="A973" s="280" t="s">
        <v>95</v>
      </c>
      <c r="B973" s="279" t="s">
        <v>1385</v>
      </c>
      <c r="C973" s="278" t="s">
        <v>3293</v>
      </c>
      <c r="D973" s="277" t="s">
        <v>3294</v>
      </c>
      <c r="E973" s="276" t="s">
        <v>1419</v>
      </c>
      <c r="F973" s="277" t="s">
        <v>17</v>
      </c>
      <c r="G973" s="276" t="s">
        <v>208</v>
      </c>
      <c r="H973" s="275">
        <v>1</v>
      </c>
      <c r="I973" s="276"/>
      <c r="J973" s="275">
        <v>300</v>
      </c>
      <c r="K973" s="274"/>
      <c r="L973" s="275">
        <v>300</v>
      </c>
      <c r="M973" s="276" t="s">
        <v>1661</v>
      </c>
      <c r="N973" s="273"/>
      <c r="O973" s="276" t="s">
        <v>1285</v>
      </c>
      <c r="P973" s="277" t="s">
        <v>1407</v>
      </c>
      <c r="Q973" s="272"/>
      <c r="R973" s="271"/>
      <c r="S973" s="270"/>
      <c r="T973" s="277" t="s">
        <v>29</v>
      </c>
      <c r="U973" s="276" t="s">
        <v>17</v>
      </c>
      <c r="V973" s="277">
        <v>136</v>
      </c>
      <c r="W973" s="269" t="s">
        <v>3944</v>
      </c>
      <c r="X973" s="268" t="s">
        <v>208</v>
      </c>
      <c r="Y973" s="267">
        <v>43769.416655092595</v>
      </c>
    </row>
    <row r="974" spans="1:25">
      <c r="A974" s="280" t="s">
        <v>62</v>
      </c>
      <c r="B974" s="279" t="s">
        <v>1320</v>
      </c>
      <c r="C974" s="278" t="s">
        <v>3295</v>
      </c>
      <c r="D974" s="277" t="s">
        <v>1393</v>
      </c>
      <c r="E974" s="276" t="s">
        <v>1398</v>
      </c>
      <c r="F974" s="277" t="s">
        <v>1388</v>
      </c>
      <c r="G974" s="276" t="s">
        <v>208</v>
      </c>
      <c r="H974" s="275">
        <v>1</v>
      </c>
      <c r="I974" s="276"/>
      <c r="J974" s="275">
        <v>0.17399999999999999</v>
      </c>
      <c r="K974" s="274"/>
      <c r="L974" s="275">
        <v>0.17380000000000001</v>
      </c>
      <c r="M974" s="276" t="s">
        <v>3296</v>
      </c>
      <c r="N974" s="273"/>
      <c r="O974" s="276" t="s">
        <v>55</v>
      </c>
      <c r="P974" s="277" t="s">
        <v>1362</v>
      </c>
      <c r="Q974" s="272"/>
      <c r="R974" s="271"/>
      <c r="S974" s="270"/>
      <c r="T974" s="277" t="s">
        <v>25</v>
      </c>
      <c r="U974" s="276" t="s">
        <v>1388</v>
      </c>
      <c r="V974" s="277">
        <v>77</v>
      </c>
      <c r="W974" s="269"/>
      <c r="X974" s="268" t="s">
        <v>208</v>
      </c>
      <c r="Y974" s="267">
        <v>43312</v>
      </c>
    </row>
    <row r="975" spans="1:25">
      <c r="A975" s="280" t="s">
        <v>100</v>
      </c>
      <c r="B975" s="279" t="s">
        <v>1385</v>
      </c>
      <c r="C975" s="278" t="s">
        <v>3297</v>
      </c>
      <c r="D975" s="277" t="s">
        <v>3298</v>
      </c>
      <c r="E975" s="276" t="s">
        <v>1391</v>
      </c>
      <c r="F975" s="277" t="s">
        <v>21</v>
      </c>
      <c r="G975" s="276" t="s">
        <v>208</v>
      </c>
      <c r="H975" s="275">
        <v>1</v>
      </c>
      <c r="I975" s="276"/>
      <c r="J975" s="275">
        <v>30</v>
      </c>
      <c r="K975" s="274"/>
      <c r="L975" s="275">
        <v>30</v>
      </c>
      <c r="M975" s="276" t="s">
        <v>1435</v>
      </c>
      <c r="N975" s="273">
        <v>40</v>
      </c>
      <c r="O975" s="276" t="s">
        <v>1285</v>
      </c>
      <c r="P975" s="277" t="s">
        <v>1403</v>
      </c>
      <c r="Q975" s="272"/>
      <c r="R975" s="271"/>
      <c r="S975" s="270"/>
      <c r="T975" s="277" t="s">
        <v>29</v>
      </c>
      <c r="U975" s="276" t="s">
        <v>20</v>
      </c>
      <c r="V975" s="277">
        <v>1970</v>
      </c>
      <c r="W975" s="269"/>
      <c r="X975" s="268" t="s">
        <v>1481</v>
      </c>
      <c r="Y975" s="267">
        <v>44537.596354166664</v>
      </c>
    </row>
    <row r="976" spans="1:25">
      <c r="A976" s="280" t="s">
        <v>62</v>
      </c>
      <c r="B976" s="279" t="s">
        <v>1320</v>
      </c>
      <c r="C976" s="278" t="s">
        <v>3299</v>
      </c>
      <c r="D976" s="277" t="s">
        <v>301</v>
      </c>
      <c r="E976" s="276" t="s">
        <v>1596</v>
      </c>
      <c r="F976" s="277" t="s">
        <v>1597</v>
      </c>
      <c r="G976" s="276" t="s">
        <v>3300</v>
      </c>
      <c r="H976" s="275">
        <v>1</v>
      </c>
      <c r="I976" s="276"/>
      <c r="J976" s="275">
        <v>365</v>
      </c>
      <c r="K976" s="274"/>
      <c r="L976" s="275">
        <v>365</v>
      </c>
      <c r="M976" s="276" t="s">
        <v>3301</v>
      </c>
      <c r="N976" s="273"/>
      <c r="O976" s="276" t="s">
        <v>55</v>
      </c>
      <c r="P976" s="277" t="s">
        <v>1403</v>
      </c>
      <c r="Q976" s="272"/>
      <c r="R976" s="271" t="s">
        <v>1769</v>
      </c>
      <c r="S976" s="270"/>
      <c r="T976" s="277" t="s">
        <v>25</v>
      </c>
      <c r="U976" s="276" t="s">
        <v>12</v>
      </c>
      <c r="V976" s="277">
        <v>1185</v>
      </c>
      <c r="W976" s="269"/>
      <c r="X976" s="268" t="s">
        <v>1363</v>
      </c>
      <c r="Y976" s="267">
        <v>44670.616030092591</v>
      </c>
    </row>
    <row r="977" spans="1:25">
      <c r="A977" s="280" t="s">
        <v>62</v>
      </c>
      <c r="B977" s="279" t="s">
        <v>1320</v>
      </c>
      <c r="C977" s="278" t="s">
        <v>3299</v>
      </c>
      <c r="D977" s="277" t="s">
        <v>301</v>
      </c>
      <c r="E977" s="276" t="s">
        <v>1596</v>
      </c>
      <c r="F977" s="277" t="s">
        <v>1597</v>
      </c>
      <c r="G977" s="276" t="s">
        <v>3302</v>
      </c>
      <c r="H977" s="275">
        <v>1</v>
      </c>
      <c r="I977" s="276"/>
      <c r="J977" s="275">
        <v>365</v>
      </c>
      <c r="K977" s="274"/>
      <c r="L977" s="275">
        <v>365</v>
      </c>
      <c r="M977" s="276" t="s">
        <v>3301</v>
      </c>
      <c r="N977" s="273"/>
      <c r="O977" s="276" t="s">
        <v>55</v>
      </c>
      <c r="P977" s="277" t="s">
        <v>1403</v>
      </c>
      <c r="Q977" s="272"/>
      <c r="R977" s="271" t="s">
        <v>1558</v>
      </c>
      <c r="S977" s="270"/>
      <c r="T977" s="277" t="s">
        <v>25</v>
      </c>
      <c r="U977" s="276" t="s">
        <v>12</v>
      </c>
      <c r="V977" s="277">
        <v>1185</v>
      </c>
      <c r="W977" s="269"/>
      <c r="X977" s="268" t="s">
        <v>1363</v>
      </c>
      <c r="Y977" s="267">
        <v>44670.616030092591</v>
      </c>
    </row>
    <row r="978" spans="1:25">
      <c r="A978" s="280" t="s">
        <v>62</v>
      </c>
      <c r="B978" s="279" t="s">
        <v>1320</v>
      </c>
      <c r="C978" s="278" t="s">
        <v>3299</v>
      </c>
      <c r="D978" s="277" t="s">
        <v>301</v>
      </c>
      <c r="E978" s="276" t="s">
        <v>1596</v>
      </c>
      <c r="F978" s="277" t="s">
        <v>1597</v>
      </c>
      <c r="G978" s="276" t="s">
        <v>3303</v>
      </c>
      <c r="H978" s="275">
        <v>1</v>
      </c>
      <c r="I978" s="276"/>
      <c r="J978" s="275">
        <v>365</v>
      </c>
      <c r="K978" s="274"/>
      <c r="L978" s="275">
        <v>365</v>
      </c>
      <c r="M978" s="276" t="s">
        <v>3301</v>
      </c>
      <c r="N978" s="273"/>
      <c r="O978" s="276" t="s">
        <v>55</v>
      </c>
      <c r="P978" s="277" t="s">
        <v>1403</v>
      </c>
      <c r="Q978" s="272"/>
      <c r="R978" s="271" t="s">
        <v>1534</v>
      </c>
      <c r="S978" s="270"/>
      <c r="T978" s="277" t="s">
        <v>25</v>
      </c>
      <c r="U978" s="276" t="s">
        <v>12</v>
      </c>
      <c r="V978" s="277">
        <v>1185</v>
      </c>
      <c r="W978" s="269"/>
      <c r="X978" s="268" t="s">
        <v>1363</v>
      </c>
      <c r="Y978" s="267">
        <v>44670.616030092591</v>
      </c>
    </row>
    <row r="979" spans="1:25">
      <c r="A979" s="280" t="s">
        <v>62</v>
      </c>
      <c r="B979" s="279" t="s">
        <v>1320</v>
      </c>
      <c r="C979" s="278" t="s">
        <v>3299</v>
      </c>
      <c r="D979" s="277" t="s">
        <v>301</v>
      </c>
      <c r="E979" s="276" t="s">
        <v>1596</v>
      </c>
      <c r="F979" s="277" t="s">
        <v>1597</v>
      </c>
      <c r="G979" s="276" t="s">
        <v>3304</v>
      </c>
      <c r="H979" s="275">
        <v>1</v>
      </c>
      <c r="I979" s="276"/>
      <c r="J979" s="275">
        <v>365</v>
      </c>
      <c r="K979" s="274"/>
      <c r="L979" s="275">
        <v>365</v>
      </c>
      <c r="M979" s="276" t="s">
        <v>3301</v>
      </c>
      <c r="N979" s="273"/>
      <c r="O979" s="276" t="s">
        <v>55</v>
      </c>
      <c r="P979" s="277" t="s">
        <v>1403</v>
      </c>
      <c r="Q979" s="272"/>
      <c r="R979" s="271" t="s">
        <v>1681</v>
      </c>
      <c r="S979" s="270"/>
      <c r="T979" s="277" t="s">
        <v>25</v>
      </c>
      <c r="U979" s="276" t="s">
        <v>12</v>
      </c>
      <c r="V979" s="277">
        <v>1185</v>
      </c>
      <c r="W979" s="269"/>
      <c r="X979" s="268" t="s">
        <v>1363</v>
      </c>
      <c r="Y979" s="267">
        <v>44670.616030092591</v>
      </c>
    </row>
    <row r="980" spans="1:25" ht="22.5">
      <c r="A980" s="280" t="s">
        <v>62</v>
      </c>
      <c r="B980" s="279" t="s">
        <v>1385</v>
      </c>
      <c r="C980" s="278" t="s">
        <v>3305</v>
      </c>
      <c r="D980" s="277" t="s">
        <v>1884</v>
      </c>
      <c r="E980" s="276"/>
      <c r="F980" s="277" t="s">
        <v>21</v>
      </c>
      <c r="G980" s="276"/>
      <c r="H980" s="275"/>
      <c r="I980" s="276"/>
      <c r="J980" s="275"/>
      <c r="K980" s="274"/>
      <c r="L980" s="275">
        <v>350</v>
      </c>
      <c r="M980" s="276"/>
      <c r="N980" s="273"/>
      <c r="O980" s="276" t="s">
        <v>1285</v>
      </c>
      <c r="P980" s="277"/>
      <c r="Q980" s="272"/>
      <c r="R980" s="271" t="s">
        <v>208</v>
      </c>
      <c r="S980" s="270"/>
      <c r="T980" s="277" t="s">
        <v>29</v>
      </c>
      <c r="U980" s="276" t="s">
        <v>20</v>
      </c>
      <c r="V980" s="277" t="s">
        <v>208</v>
      </c>
      <c r="W980" s="269" t="s">
        <v>3306</v>
      </c>
      <c r="X980" s="268"/>
      <c r="Y980" s="267" t="s">
        <v>208</v>
      </c>
    </row>
    <row r="981" spans="1:25" ht="22.5">
      <c r="A981" s="280" t="s">
        <v>62</v>
      </c>
      <c r="B981" s="279" t="s">
        <v>1385</v>
      </c>
      <c r="C981" s="278" t="s">
        <v>4103</v>
      </c>
      <c r="D981" s="277" t="s">
        <v>1884</v>
      </c>
      <c r="E981" s="276"/>
      <c r="F981" s="277" t="s">
        <v>21</v>
      </c>
      <c r="G981" s="276"/>
      <c r="H981" s="275"/>
      <c r="I981" s="276"/>
      <c r="J981" s="275"/>
      <c r="K981" s="274"/>
      <c r="L981" s="275">
        <v>350</v>
      </c>
      <c r="M981" s="276"/>
      <c r="N981" s="273"/>
      <c r="O981" s="276" t="s">
        <v>1285</v>
      </c>
      <c r="P981" s="277"/>
      <c r="Q981" s="272"/>
      <c r="R981" s="271" t="s">
        <v>208</v>
      </c>
      <c r="S981" s="270"/>
      <c r="T981" s="277" t="s">
        <v>29</v>
      </c>
      <c r="U981" s="276" t="s">
        <v>20</v>
      </c>
      <c r="V981" s="277">
        <v>1935</v>
      </c>
      <c r="W981" s="269" t="s">
        <v>4104</v>
      </c>
      <c r="X981" s="268" t="s">
        <v>1363</v>
      </c>
      <c r="Y981" s="267"/>
    </row>
    <row r="982" spans="1:25">
      <c r="A982" s="280" t="s">
        <v>62</v>
      </c>
      <c r="B982" s="279" t="s">
        <v>1320</v>
      </c>
      <c r="C982" s="278" t="s">
        <v>3307</v>
      </c>
      <c r="D982" s="277" t="s">
        <v>75</v>
      </c>
      <c r="E982" s="276" t="s">
        <v>1359</v>
      </c>
      <c r="F982" s="277" t="s">
        <v>1422</v>
      </c>
      <c r="G982" s="276" t="s">
        <v>208</v>
      </c>
      <c r="H982" s="275">
        <v>4</v>
      </c>
      <c r="I982" s="276"/>
      <c r="J982" s="275">
        <v>1.06</v>
      </c>
      <c r="K982" s="274"/>
      <c r="L982" s="275">
        <v>4.24</v>
      </c>
      <c r="M982" s="276" t="s">
        <v>3308</v>
      </c>
      <c r="N982" s="273"/>
      <c r="O982" s="276" t="s">
        <v>55</v>
      </c>
      <c r="P982" s="277" t="s">
        <v>1362</v>
      </c>
      <c r="Q982" s="272"/>
      <c r="R982" s="271" t="s">
        <v>1496</v>
      </c>
      <c r="S982" s="270"/>
      <c r="T982" s="277" t="s">
        <v>25</v>
      </c>
      <c r="U982" s="276" t="s">
        <v>19</v>
      </c>
      <c r="V982" s="277">
        <v>1358</v>
      </c>
      <c r="W982" s="269"/>
      <c r="X982" s="268" t="s">
        <v>1400</v>
      </c>
      <c r="Y982" s="267">
        <v>44677.670347222222</v>
      </c>
    </row>
    <row r="983" spans="1:25">
      <c r="A983" s="280" t="s">
        <v>100</v>
      </c>
      <c r="B983" s="279" t="s">
        <v>1385</v>
      </c>
      <c r="C983" s="278" t="s">
        <v>3309</v>
      </c>
      <c r="D983" s="277" t="s">
        <v>3310</v>
      </c>
      <c r="E983" s="276" t="s">
        <v>1581</v>
      </c>
      <c r="F983" s="277" t="s">
        <v>17</v>
      </c>
      <c r="G983" s="276" t="s">
        <v>208</v>
      </c>
      <c r="H983" s="275">
        <v>1</v>
      </c>
      <c r="I983" s="276"/>
      <c r="J983" s="275">
        <v>2000</v>
      </c>
      <c r="K983" s="274"/>
      <c r="L983" s="275">
        <v>2000</v>
      </c>
      <c r="M983" s="276" t="s">
        <v>2139</v>
      </c>
      <c r="N983" s="273">
        <v>0</v>
      </c>
      <c r="O983" s="276" t="s">
        <v>1285</v>
      </c>
      <c r="P983" s="277" t="s">
        <v>1407</v>
      </c>
      <c r="Q983" s="272"/>
      <c r="R983" s="271"/>
      <c r="S983" s="270"/>
      <c r="T983" s="277" t="s">
        <v>29</v>
      </c>
      <c r="U983" s="276" t="s">
        <v>17</v>
      </c>
      <c r="V983" s="277">
        <v>1613</v>
      </c>
      <c r="W983" s="269" t="s">
        <v>3985</v>
      </c>
      <c r="X983" s="268" t="s">
        <v>1400</v>
      </c>
      <c r="Y983" s="267">
        <v>44679.624131944445</v>
      </c>
    </row>
    <row r="984" spans="1:25">
      <c r="A984" s="280" t="s">
        <v>80</v>
      </c>
      <c r="B984" s="279" t="s">
        <v>1320</v>
      </c>
      <c r="C984" s="278" t="s">
        <v>3311</v>
      </c>
      <c r="D984" s="277" t="s">
        <v>102</v>
      </c>
      <c r="E984" s="276" t="s">
        <v>1419</v>
      </c>
      <c r="F984" s="277" t="s">
        <v>17</v>
      </c>
      <c r="G984" s="276" t="s">
        <v>3312</v>
      </c>
      <c r="H984" s="275">
        <v>22</v>
      </c>
      <c r="I984" s="276"/>
      <c r="J984" s="275">
        <v>1.5</v>
      </c>
      <c r="K984" s="274"/>
      <c r="L984" s="275">
        <v>33</v>
      </c>
      <c r="M984" s="276" t="s">
        <v>1571</v>
      </c>
      <c r="N984" s="273"/>
      <c r="O984" s="276" t="s">
        <v>55</v>
      </c>
      <c r="P984" s="277" t="s">
        <v>1362</v>
      </c>
      <c r="Q984" s="272"/>
      <c r="R984" s="271" t="s">
        <v>1384</v>
      </c>
      <c r="S984" s="270"/>
      <c r="T984" s="277" t="s">
        <v>25</v>
      </c>
      <c r="U984" s="276" t="s">
        <v>17</v>
      </c>
      <c r="V984" s="277">
        <v>1186</v>
      </c>
      <c r="W984" s="269"/>
      <c r="X984" s="268" t="s">
        <v>1363</v>
      </c>
      <c r="Y984" s="267">
        <v>44670.616620370369</v>
      </c>
    </row>
    <row r="985" spans="1:25">
      <c r="A985" s="280" t="s">
        <v>46</v>
      </c>
      <c r="B985" s="279" t="s">
        <v>1320</v>
      </c>
      <c r="C985" s="278" t="s">
        <v>3313</v>
      </c>
      <c r="D985" s="277" t="s">
        <v>1393</v>
      </c>
      <c r="E985" s="276" t="s">
        <v>1398</v>
      </c>
      <c r="F985" s="277" t="s">
        <v>1388</v>
      </c>
      <c r="G985" s="276" t="s">
        <v>208</v>
      </c>
      <c r="H985" s="275">
        <v>1</v>
      </c>
      <c r="I985" s="276"/>
      <c r="J985" s="275">
        <v>0.92500000000000004</v>
      </c>
      <c r="K985" s="274"/>
      <c r="L985" s="275">
        <v>0.92479999999999996</v>
      </c>
      <c r="M985" s="276" t="s">
        <v>3314</v>
      </c>
      <c r="N985" s="273"/>
      <c r="O985" s="276" t="s">
        <v>55</v>
      </c>
      <c r="P985" s="277" t="s">
        <v>1362</v>
      </c>
      <c r="Q985" s="272"/>
      <c r="R985" s="271"/>
      <c r="S985" s="270"/>
      <c r="T985" s="277" t="s">
        <v>25</v>
      </c>
      <c r="U985" s="276" t="s">
        <v>1388</v>
      </c>
      <c r="V985" s="277">
        <v>20</v>
      </c>
      <c r="W985" s="269"/>
      <c r="X985" s="268" t="s">
        <v>208</v>
      </c>
      <c r="Y985" s="267">
        <v>43312</v>
      </c>
    </row>
    <row r="986" spans="1:25">
      <c r="A986" s="280" t="s">
        <v>100</v>
      </c>
      <c r="B986" s="279" t="s">
        <v>1320</v>
      </c>
      <c r="C986" s="278" t="s">
        <v>271</v>
      </c>
      <c r="D986" s="277" t="s">
        <v>272</v>
      </c>
      <c r="E986" s="276" t="s">
        <v>1419</v>
      </c>
      <c r="F986" s="277" t="s">
        <v>17</v>
      </c>
      <c r="G986" s="276" t="s">
        <v>273</v>
      </c>
      <c r="H986" s="275">
        <v>2</v>
      </c>
      <c r="I986" s="276"/>
      <c r="J986" s="275">
        <v>3</v>
      </c>
      <c r="K986" s="274"/>
      <c r="L986" s="275">
        <v>6</v>
      </c>
      <c r="M986" s="276" t="s">
        <v>2781</v>
      </c>
      <c r="N986" s="273"/>
      <c r="O986" s="276" t="s">
        <v>131</v>
      </c>
      <c r="P986" s="277" t="s">
        <v>1407</v>
      </c>
      <c r="Q986" s="272" t="s">
        <v>1404</v>
      </c>
      <c r="R986" s="271" t="s">
        <v>1534</v>
      </c>
      <c r="S986" s="270"/>
      <c r="T986" s="277" t="s">
        <v>25</v>
      </c>
      <c r="U986" s="276" t="s">
        <v>17</v>
      </c>
      <c r="V986" s="277">
        <v>1187</v>
      </c>
      <c r="W986" s="269"/>
      <c r="X986" s="268" t="s">
        <v>1453</v>
      </c>
      <c r="Y986" s="267">
        <v>44684.609247685185</v>
      </c>
    </row>
    <row r="987" spans="1:25">
      <c r="A987" s="280" t="s">
        <v>100</v>
      </c>
      <c r="B987" s="279" t="s">
        <v>1320</v>
      </c>
      <c r="C987" s="278" t="s">
        <v>271</v>
      </c>
      <c r="D987" s="277" t="s">
        <v>272</v>
      </c>
      <c r="E987" s="276" t="s">
        <v>1419</v>
      </c>
      <c r="F987" s="277" t="s">
        <v>17</v>
      </c>
      <c r="G987" s="276" t="s">
        <v>273</v>
      </c>
      <c r="H987" s="275">
        <v>19</v>
      </c>
      <c r="I987" s="276"/>
      <c r="J987" s="275">
        <v>3.4</v>
      </c>
      <c r="K987" s="274"/>
      <c r="L987" s="275">
        <v>64.599999999999994</v>
      </c>
      <c r="M987" s="276" t="s">
        <v>3315</v>
      </c>
      <c r="N987" s="273"/>
      <c r="O987" s="276" t="s">
        <v>131</v>
      </c>
      <c r="P987" s="277" t="s">
        <v>1407</v>
      </c>
      <c r="Q987" s="272" t="s">
        <v>1404</v>
      </c>
      <c r="R987" s="271" t="s">
        <v>1534</v>
      </c>
      <c r="S987" s="270"/>
      <c r="T987" s="277" t="s">
        <v>25</v>
      </c>
      <c r="U987" s="276" t="s">
        <v>17</v>
      </c>
      <c r="V987" s="277">
        <v>1187</v>
      </c>
      <c r="W987" s="269"/>
      <c r="X987" s="268" t="s">
        <v>1453</v>
      </c>
      <c r="Y987" s="267">
        <v>44684.609247685185</v>
      </c>
    </row>
    <row r="988" spans="1:25">
      <c r="A988" s="280" t="s">
        <v>100</v>
      </c>
      <c r="B988" s="279" t="s">
        <v>1320</v>
      </c>
      <c r="C988" s="278" t="s">
        <v>271</v>
      </c>
      <c r="D988" s="277" t="s">
        <v>272</v>
      </c>
      <c r="E988" s="276" t="s">
        <v>1419</v>
      </c>
      <c r="F988" s="277" t="s">
        <v>17</v>
      </c>
      <c r="G988" s="276" t="s">
        <v>273</v>
      </c>
      <c r="H988" s="275">
        <v>128</v>
      </c>
      <c r="I988" s="276"/>
      <c r="J988" s="275">
        <v>3.57</v>
      </c>
      <c r="K988" s="274"/>
      <c r="L988" s="275">
        <v>456.96</v>
      </c>
      <c r="M988" s="276" t="s">
        <v>3316</v>
      </c>
      <c r="N988" s="273">
        <v>0</v>
      </c>
      <c r="O988" s="276" t="s">
        <v>131</v>
      </c>
      <c r="P988" s="277" t="s">
        <v>1407</v>
      </c>
      <c r="Q988" s="272" t="s">
        <v>1404</v>
      </c>
      <c r="R988" s="271" t="s">
        <v>1534</v>
      </c>
      <c r="S988" s="270"/>
      <c r="T988" s="277" t="s">
        <v>25</v>
      </c>
      <c r="U988" s="276" t="s">
        <v>17</v>
      </c>
      <c r="V988" s="277">
        <v>1187</v>
      </c>
      <c r="W988" s="269"/>
      <c r="X988" s="268" t="s">
        <v>1453</v>
      </c>
      <c r="Y988" s="267">
        <v>44684.609247685185</v>
      </c>
    </row>
    <row r="989" spans="1:25">
      <c r="A989" s="280" t="s">
        <v>100</v>
      </c>
      <c r="B989" s="279" t="s">
        <v>1385</v>
      </c>
      <c r="C989" s="278" t="s">
        <v>3317</v>
      </c>
      <c r="D989" s="277" t="s">
        <v>3318</v>
      </c>
      <c r="E989" s="276"/>
      <c r="F989" s="277" t="s">
        <v>3319</v>
      </c>
      <c r="G989" s="276"/>
      <c r="H989" s="275"/>
      <c r="I989" s="276"/>
      <c r="J989" s="275"/>
      <c r="K989" s="274"/>
      <c r="L989" s="275">
        <v>220</v>
      </c>
      <c r="M989" s="276"/>
      <c r="N989" s="273"/>
      <c r="O989" s="276" t="s">
        <v>1285</v>
      </c>
      <c r="P989" s="277"/>
      <c r="Q989" s="272"/>
      <c r="R989" s="271" t="s">
        <v>208</v>
      </c>
      <c r="S989" s="270"/>
      <c r="T989" s="277" t="s">
        <v>29</v>
      </c>
      <c r="U989" s="276" t="s">
        <v>14</v>
      </c>
      <c r="V989" s="277" t="s">
        <v>208</v>
      </c>
      <c r="W989" s="269" t="s">
        <v>3320</v>
      </c>
      <c r="X989" s="268"/>
      <c r="Y989" s="267" t="s">
        <v>208</v>
      </c>
    </row>
    <row r="990" spans="1:25">
      <c r="A990" s="280" t="s">
        <v>80</v>
      </c>
      <c r="B990" s="279" t="s">
        <v>1385</v>
      </c>
      <c r="C990" s="278" t="s">
        <v>3321</v>
      </c>
      <c r="D990" s="277" t="s">
        <v>3322</v>
      </c>
      <c r="E990" s="276" t="s">
        <v>1419</v>
      </c>
      <c r="F990" s="277" t="s">
        <v>17</v>
      </c>
      <c r="G990" s="276" t="s">
        <v>208</v>
      </c>
      <c r="H990" s="275">
        <v>35</v>
      </c>
      <c r="I990" s="276"/>
      <c r="J990" s="275">
        <v>3.4</v>
      </c>
      <c r="K990" s="274"/>
      <c r="L990" s="275">
        <v>119</v>
      </c>
      <c r="M990" s="276" t="s">
        <v>3323</v>
      </c>
      <c r="N990" s="273"/>
      <c r="O990" s="276" t="s">
        <v>1285</v>
      </c>
      <c r="P990" s="277" t="s">
        <v>1407</v>
      </c>
      <c r="Q990" s="272"/>
      <c r="R990" s="271"/>
      <c r="S990" s="270"/>
      <c r="T990" s="277" t="s">
        <v>29</v>
      </c>
      <c r="U990" s="276" t="s">
        <v>17</v>
      </c>
      <c r="V990" s="277">
        <v>1188</v>
      </c>
      <c r="W990" s="269"/>
      <c r="X990" s="268" t="s">
        <v>1400</v>
      </c>
      <c r="Y990" s="267">
        <v>44739.708275462966</v>
      </c>
    </row>
    <row r="991" spans="1:25">
      <c r="A991" s="280" t="s">
        <v>46</v>
      </c>
      <c r="B991" s="279" t="s">
        <v>1385</v>
      </c>
      <c r="C991" s="278" t="s">
        <v>3324</v>
      </c>
      <c r="D991" s="277" t="s">
        <v>1563</v>
      </c>
      <c r="E991" s="276" t="s">
        <v>1429</v>
      </c>
      <c r="F991" s="277" t="s">
        <v>1388</v>
      </c>
      <c r="G991" s="276" t="s">
        <v>208</v>
      </c>
      <c r="H991" s="275">
        <v>2</v>
      </c>
      <c r="I991" s="276"/>
      <c r="J991" s="275">
        <v>200</v>
      </c>
      <c r="K991" s="274"/>
      <c r="L991" s="275">
        <v>400</v>
      </c>
      <c r="M991" s="276" t="s">
        <v>1639</v>
      </c>
      <c r="N991" s="273"/>
      <c r="O991" s="276" t="s">
        <v>1285</v>
      </c>
      <c r="P991" s="277" t="s">
        <v>1407</v>
      </c>
      <c r="Q991" s="272"/>
      <c r="R991" s="271" t="s">
        <v>3325</v>
      </c>
      <c r="S991" s="270"/>
      <c r="T991" s="277" t="s">
        <v>29</v>
      </c>
      <c r="U991" s="276" t="s">
        <v>1388</v>
      </c>
      <c r="V991" s="277">
        <v>1894</v>
      </c>
      <c r="W991" s="269" t="s">
        <v>3923</v>
      </c>
      <c r="X991" s="268" t="s">
        <v>1583</v>
      </c>
      <c r="Y991" s="267">
        <v>44743.689641203702</v>
      </c>
    </row>
    <row r="992" spans="1:25">
      <c r="A992" s="280" t="s">
        <v>46</v>
      </c>
      <c r="B992" s="279" t="s">
        <v>1320</v>
      </c>
      <c r="C992" s="278" t="s">
        <v>3326</v>
      </c>
      <c r="D992" s="277" t="s">
        <v>75</v>
      </c>
      <c r="E992" s="276" t="s">
        <v>1359</v>
      </c>
      <c r="F992" s="277" t="s">
        <v>1486</v>
      </c>
      <c r="G992" s="276" t="s">
        <v>208</v>
      </c>
      <c r="H992" s="275">
        <v>2</v>
      </c>
      <c r="I992" s="276"/>
      <c r="J992" s="275">
        <v>1.123</v>
      </c>
      <c r="K992" s="274"/>
      <c r="L992" s="275">
        <v>2.246</v>
      </c>
      <c r="M992" s="276" t="s">
        <v>3327</v>
      </c>
      <c r="N992" s="273"/>
      <c r="O992" s="276" t="s">
        <v>55</v>
      </c>
      <c r="P992" s="277" t="s">
        <v>1362</v>
      </c>
      <c r="Q992" s="272"/>
      <c r="R992" s="271"/>
      <c r="S992" s="270"/>
      <c r="T992" s="277" t="s">
        <v>25</v>
      </c>
      <c r="U992" s="276" t="s">
        <v>19</v>
      </c>
      <c r="V992" s="277">
        <v>1189</v>
      </c>
      <c r="W992" s="269"/>
      <c r="X992" s="268" t="s">
        <v>1400</v>
      </c>
      <c r="Y992" s="267">
        <v>43769.416655092595</v>
      </c>
    </row>
    <row r="993" spans="1:25">
      <c r="A993" s="280" t="s">
        <v>80</v>
      </c>
      <c r="B993" s="279" t="s">
        <v>1385</v>
      </c>
      <c r="C993" s="278" t="s">
        <v>3328</v>
      </c>
      <c r="D993" s="277" t="s">
        <v>3329</v>
      </c>
      <c r="E993" s="276" t="s">
        <v>1529</v>
      </c>
      <c r="F993" s="277" t="s">
        <v>21</v>
      </c>
      <c r="G993" s="276"/>
      <c r="H993" s="275"/>
      <c r="I993" s="276"/>
      <c r="J993" s="275"/>
      <c r="K993" s="274"/>
      <c r="L993" s="275">
        <v>300</v>
      </c>
      <c r="M993" s="276"/>
      <c r="N993" s="273"/>
      <c r="O993" s="276" t="s">
        <v>1285</v>
      </c>
      <c r="P993" s="277"/>
      <c r="Q993" s="272"/>
      <c r="R993" s="271"/>
      <c r="S993" s="270"/>
      <c r="T993" s="277" t="s">
        <v>29</v>
      </c>
      <c r="U993" s="276" t="s">
        <v>20</v>
      </c>
      <c r="V993" s="277" t="s">
        <v>208</v>
      </c>
      <c r="W993" s="269" t="s">
        <v>3330</v>
      </c>
      <c r="X993" s="268"/>
      <c r="Y993" s="267" t="s">
        <v>208</v>
      </c>
    </row>
    <row r="994" spans="1:25">
      <c r="A994" s="280" t="s">
        <v>46</v>
      </c>
      <c r="B994" s="279" t="s">
        <v>1385</v>
      </c>
      <c r="C994" s="278" t="s">
        <v>3331</v>
      </c>
      <c r="D994" s="277" t="s">
        <v>3332</v>
      </c>
      <c r="E994" s="276" t="s">
        <v>1398</v>
      </c>
      <c r="F994" s="277" t="s">
        <v>1388</v>
      </c>
      <c r="G994" s="276" t="s">
        <v>208</v>
      </c>
      <c r="H994" s="275">
        <v>1</v>
      </c>
      <c r="I994" s="276"/>
      <c r="J994" s="275"/>
      <c r="K994" s="274"/>
      <c r="L994" s="275"/>
      <c r="M994" s="276"/>
      <c r="N994" s="273"/>
      <c r="O994" s="276" t="s">
        <v>1285</v>
      </c>
      <c r="P994" s="277" t="s">
        <v>1362</v>
      </c>
      <c r="Q994" s="272"/>
      <c r="R994" s="271"/>
      <c r="S994" s="270"/>
      <c r="T994" s="277" t="s">
        <v>29</v>
      </c>
      <c r="U994" s="276" t="s">
        <v>1388</v>
      </c>
      <c r="V994" s="277">
        <v>1651</v>
      </c>
      <c r="W994" s="269"/>
      <c r="X994" s="268" t="s">
        <v>1400</v>
      </c>
      <c r="Y994" s="267">
        <v>43769.416655092595</v>
      </c>
    </row>
    <row r="995" spans="1:25">
      <c r="A995" s="280" t="s">
        <v>46</v>
      </c>
      <c r="B995" s="279" t="s">
        <v>1385</v>
      </c>
      <c r="C995" s="278" t="s">
        <v>3333</v>
      </c>
      <c r="D995" s="277" t="s">
        <v>3334</v>
      </c>
      <c r="E995" s="276" t="s">
        <v>1398</v>
      </c>
      <c r="F995" s="277" t="s">
        <v>1388</v>
      </c>
      <c r="G995" s="276" t="s">
        <v>208</v>
      </c>
      <c r="H995" s="275">
        <v>1</v>
      </c>
      <c r="I995" s="276">
        <v>4.2</v>
      </c>
      <c r="J995" s="275">
        <v>90</v>
      </c>
      <c r="K995" s="274">
        <v>4.2</v>
      </c>
      <c r="L995" s="275">
        <v>90</v>
      </c>
      <c r="M995" s="276" t="s">
        <v>3335</v>
      </c>
      <c r="N995" s="273">
        <v>0</v>
      </c>
      <c r="O995" s="276" t="s">
        <v>1285</v>
      </c>
      <c r="P995" s="277" t="s">
        <v>1407</v>
      </c>
      <c r="Q995" s="272"/>
      <c r="R995" s="271"/>
      <c r="S995" s="270"/>
      <c r="T995" s="277" t="s">
        <v>29</v>
      </c>
      <c r="U995" s="276" t="s">
        <v>1388</v>
      </c>
      <c r="V995" s="277">
        <v>1989</v>
      </c>
      <c r="W995" s="269" t="s">
        <v>3936</v>
      </c>
      <c r="X995" s="268" t="s">
        <v>208</v>
      </c>
      <c r="Y995" s="267">
        <v>44679.719930555555</v>
      </c>
    </row>
    <row r="996" spans="1:25">
      <c r="A996" s="280" t="s">
        <v>62</v>
      </c>
      <c r="B996" s="279" t="s">
        <v>1320</v>
      </c>
      <c r="C996" s="278" t="s">
        <v>3336</v>
      </c>
      <c r="D996" s="277" t="s">
        <v>3337</v>
      </c>
      <c r="E996" s="276" t="s">
        <v>1398</v>
      </c>
      <c r="F996" s="277" t="s">
        <v>1388</v>
      </c>
      <c r="G996" s="276" t="s">
        <v>3338</v>
      </c>
      <c r="H996" s="275">
        <v>52</v>
      </c>
      <c r="I996" s="276"/>
      <c r="J996" s="275">
        <v>2.75</v>
      </c>
      <c r="K996" s="274"/>
      <c r="L996" s="275">
        <v>143</v>
      </c>
      <c r="M996" s="276" t="s">
        <v>3339</v>
      </c>
      <c r="N996" s="273"/>
      <c r="O996" s="276" t="s">
        <v>55</v>
      </c>
      <c r="P996" s="277" t="s">
        <v>1407</v>
      </c>
      <c r="Q996" s="272"/>
      <c r="R996" s="271" t="s">
        <v>1496</v>
      </c>
      <c r="S996" s="270"/>
      <c r="T996" s="277" t="s">
        <v>25</v>
      </c>
      <c r="U996" s="276" t="s">
        <v>1388</v>
      </c>
      <c r="V996" s="277">
        <v>1437</v>
      </c>
      <c r="W996" s="269"/>
      <c r="X996" s="268" t="s">
        <v>1453</v>
      </c>
      <c r="Y996" s="267">
        <v>44742.563807870371</v>
      </c>
    </row>
    <row r="997" spans="1:25">
      <c r="A997" s="280" t="s">
        <v>46</v>
      </c>
      <c r="B997" s="279" t="s">
        <v>1385</v>
      </c>
      <c r="C997" s="278" t="s">
        <v>3340</v>
      </c>
      <c r="D997" s="277" t="s">
        <v>2344</v>
      </c>
      <c r="E997" s="276"/>
      <c r="F997" s="277" t="s">
        <v>1388</v>
      </c>
      <c r="G997" s="276"/>
      <c r="H997" s="275"/>
      <c r="I997" s="276"/>
      <c r="J997" s="275"/>
      <c r="K997" s="274"/>
      <c r="L997" s="275">
        <v>360</v>
      </c>
      <c r="M997" s="276"/>
      <c r="N997" s="273"/>
      <c r="O997" s="276" t="s">
        <v>1285</v>
      </c>
      <c r="P997" s="277"/>
      <c r="Q997" s="272"/>
      <c r="R997" s="271"/>
      <c r="S997" s="270"/>
      <c r="T997" s="277" t="s">
        <v>29</v>
      </c>
      <c r="U997" s="276" t="s">
        <v>1388</v>
      </c>
      <c r="V997" s="277" t="s">
        <v>208</v>
      </c>
      <c r="W997" s="269" t="s">
        <v>3341</v>
      </c>
      <c r="X997" s="268"/>
      <c r="Y997" s="267" t="s">
        <v>208</v>
      </c>
    </row>
    <row r="998" spans="1:25">
      <c r="A998" s="280" t="s">
        <v>46</v>
      </c>
      <c r="B998" s="279" t="s">
        <v>1385</v>
      </c>
      <c r="C998" s="278" t="s">
        <v>3342</v>
      </c>
      <c r="D998" s="277" t="s">
        <v>3198</v>
      </c>
      <c r="E998" s="276" t="s">
        <v>1398</v>
      </c>
      <c r="F998" s="277" t="s">
        <v>1388</v>
      </c>
      <c r="G998" s="276" t="s">
        <v>208</v>
      </c>
      <c r="H998" s="275">
        <v>600</v>
      </c>
      <c r="I998" s="276"/>
      <c r="J998" s="275">
        <v>1</v>
      </c>
      <c r="K998" s="274"/>
      <c r="L998" s="275">
        <v>600</v>
      </c>
      <c r="M998" s="276" t="s">
        <v>1470</v>
      </c>
      <c r="N998" s="273"/>
      <c r="O998" s="276" t="s">
        <v>1285</v>
      </c>
      <c r="P998" s="277" t="s">
        <v>1407</v>
      </c>
      <c r="Q998" s="272"/>
      <c r="R998" s="271"/>
      <c r="S998" s="270"/>
      <c r="T998" s="277" t="s">
        <v>29</v>
      </c>
      <c r="U998" s="276" t="s">
        <v>1388</v>
      </c>
      <c r="V998" s="277">
        <v>1616</v>
      </c>
      <c r="W998" s="269"/>
      <c r="X998" s="268" t="s">
        <v>1400</v>
      </c>
      <c r="Y998" s="267">
        <v>43769.416655092595</v>
      </c>
    </row>
    <row r="999" spans="1:25">
      <c r="A999" s="280" t="s">
        <v>46</v>
      </c>
      <c r="B999" s="279" t="s">
        <v>1320</v>
      </c>
      <c r="C999" s="278" t="s">
        <v>108</v>
      </c>
      <c r="D999" s="277" t="s">
        <v>109</v>
      </c>
      <c r="E999" s="276" t="s">
        <v>1429</v>
      </c>
      <c r="F999" s="277" t="s">
        <v>1388</v>
      </c>
      <c r="G999" s="276" t="s">
        <v>110</v>
      </c>
      <c r="H999" s="275">
        <v>104</v>
      </c>
      <c r="I999" s="276"/>
      <c r="J999" s="275">
        <v>2.2000000000000002</v>
      </c>
      <c r="K999" s="274"/>
      <c r="L999" s="275">
        <v>228.8</v>
      </c>
      <c r="M999" s="276" t="s">
        <v>3343</v>
      </c>
      <c r="N999" s="273"/>
      <c r="O999" s="276" t="s">
        <v>55</v>
      </c>
      <c r="P999" s="277" t="s">
        <v>1407</v>
      </c>
      <c r="Q999" s="272"/>
      <c r="R999" s="271" t="s">
        <v>1547</v>
      </c>
      <c r="S999" s="270"/>
      <c r="T999" s="277" t="s">
        <v>25</v>
      </c>
      <c r="U999" s="276" t="s">
        <v>1388</v>
      </c>
      <c r="V999" s="277">
        <v>1447</v>
      </c>
      <c r="W999" s="269"/>
      <c r="X999" s="268" t="s">
        <v>1363</v>
      </c>
      <c r="Y999" s="267">
        <v>44671.447233796294</v>
      </c>
    </row>
    <row r="1000" spans="1:25">
      <c r="A1000" s="280" t="s">
        <v>62</v>
      </c>
      <c r="B1000" s="279" t="s">
        <v>1320</v>
      </c>
      <c r="C1000" s="278" t="s">
        <v>828</v>
      </c>
      <c r="D1000" s="277" t="s">
        <v>3344</v>
      </c>
      <c r="E1000" s="276" t="s">
        <v>1398</v>
      </c>
      <c r="F1000" s="277" t="s">
        <v>1388</v>
      </c>
      <c r="G1000" s="276" t="s">
        <v>3345</v>
      </c>
      <c r="H1000" s="275">
        <v>1</v>
      </c>
      <c r="I1000" s="276"/>
      <c r="J1000" s="275">
        <v>15</v>
      </c>
      <c r="K1000" s="274"/>
      <c r="L1000" s="275">
        <v>15</v>
      </c>
      <c r="M1000" s="276" t="s">
        <v>1696</v>
      </c>
      <c r="N1000" s="273">
        <v>0</v>
      </c>
      <c r="O1000" s="276" t="s">
        <v>55</v>
      </c>
      <c r="P1000" s="277" t="s">
        <v>1362</v>
      </c>
      <c r="Q1000" s="272"/>
      <c r="R1000" s="271" t="s">
        <v>1452</v>
      </c>
      <c r="S1000" s="270"/>
      <c r="T1000" s="277" t="s">
        <v>25</v>
      </c>
      <c r="U1000" s="276" t="s">
        <v>1388</v>
      </c>
      <c r="V1000" s="277">
        <v>1512</v>
      </c>
      <c r="W1000" s="269"/>
      <c r="X1000" s="268" t="s">
        <v>1400</v>
      </c>
      <c r="Y1000" s="267">
        <v>44679.623599537037</v>
      </c>
    </row>
    <row r="1001" spans="1:25">
      <c r="A1001" s="280" t="s">
        <v>62</v>
      </c>
      <c r="B1001" s="279" t="s">
        <v>1385</v>
      </c>
      <c r="C1001" s="278" t="s">
        <v>3346</v>
      </c>
      <c r="D1001" s="277" t="s">
        <v>3347</v>
      </c>
      <c r="E1001" s="276" t="s">
        <v>1429</v>
      </c>
      <c r="F1001" s="277" t="s">
        <v>1388</v>
      </c>
      <c r="G1001" s="276" t="s">
        <v>208</v>
      </c>
      <c r="H1001" s="275">
        <v>1</v>
      </c>
      <c r="I1001" s="276"/>
      <c r="J1001" s="275">
        <v>1500</v>
      </c>
      <c r="K1001" s="274"/>
      <c r="L1001" s="275">
        <v>1500</v>
      </c>
      <c r="M1001" s="276" t="s">
        <v>1706</v>
      </c>
      <c r="N1001" s="273"/>
      <c r="O1001" s="276" t="s">
        <v>1285</v>
      </c>
      <c r="P1001" s="277" t="s">
        <v>1393</v>
      </c>
      <c r="Q1001" s="272"/>
      <c r="R1001" s="271"/>
      <c r="S1001" s="270"/>
      <c r="T1001" s="277" t="s">
        <v>29</v>
      </c>
      <c r="U1001" s="276" t="s">
        <v>1388</v>
      </c>
      <c r="V1001" s="277">
        <v>1703</v>
      </c>
      <c r="W1001" s="269"/>
      <c r="X1001" s="268" t="s">
        <v>208</v>
      </c>
      <c r="Y1001" s="267">
        <v>43769.416655092595</v>
      </c>
    </row>
    <row r="1002" spans="1:25">
      <c r="A1002" s="280" t="s">
        <v>46</v>
      </c>
      <c r="B1002" s="279" t="s">
        <v>1385</v>
      </c>
      <c r="C1002" s="278" t="s">
        <v>288</v>
      </c>
      <c r="D1002" s="277" t="s">
        <v>289</v>
      </c>
      <c r="E1002" s="276" t="s">
        <v>1429</v>
      </c>
      <c r="F1002" s="277" t="s">
        <v>1388</v>
      </c>
      <c r="G1002" s="276" t="s">
        <v>3348</v>
      </c>
      <c r="H1002" s="275">
        <v>1</v>
      </c>
      <c r="I1002" s="276"/>
      <c r="J1002" s="275">
        <v>150</v>
      </c>
      <c r="K1002" s="274"/>
      <c r="L1002" s="275">
        <v>150</v>
      </c>
      <c r="M1002" s="276" t="s">
        <v>1480</v>
      </c>
      <c r="N1002" s="273">
        <v>0</v>
      </c>
      <c r="O1002" s="276" t="s">
        <v>27</v>
      </c>
      <c r="P1002" s="277" t="s">
        <v>1407</v>
      </c>
      <c r="Q1002" s="272" t="s">
        <v>2503</v>
      </c>
      <c r="R1002" s="271" t="s">
        <v>2342</v>
      </c>
      <c r="S1002" s="270"/>
      <c r="T1002" s="277" t="s">
        <v>27</v>
      </c>
      <c r="U1002" s="276" t="s">
        <v>1388</v>
      </c>
      <c r="V1002" s="277">
        <v>1586</v>
      </c>
      <c r="W1002" s="269"/>
      <c r="X1002" s="268" t="s">
        <v>1453</v>
      </c>
      <c r="Y1002" s="267">
        <v>44679.577418981484</v>
      </c>
    </row>
    <row r="1003" spans="1:25">
      <c r="A1003" s="280" t="s">
        <v>62</v>
      </c>
      <c r="B1003" s="279" t="s">
        <v>1320</v>
      </c>
      <c r="C1003" s="278" t="s">
        <v>598</v>
      </c>
      <c r="D1003" s="277" t="s">
        <v>599</v>
      </c>
      <c r="E1003" s="276" t="s">
        <v>1429</v>
      </c>
      <c r="F1003" s="277" t="s">
        <v>1388</v>
      </c>
      <c r="G1003" s="276" t="s">
        <v>600</v>
      </c>
      <c r="H1003" s="275">
        <v>49</v>
      </c>
      <c r="I1003" s="276"/>
      <c r="J1003" s="275">
        <v>1.74</v>
      </c>
      <c r="K1003" s="274"/>
      <c r="L1003" s="275">
        <v>85.26</v>
      </c>
      <c r="M1003" s="276" t="s">
        <v>3349</v>
      </c>
      <c r="N1003" s="273">
        <v>0</v>
      </c>
      <c r="O1003" s="276" t="s">
        <v>55</v>
      </c>
      <c r="P1003" s="277" t="s">
        <v>1407</v>
      </c>
      <c r="Q1003" s="272"/>
      <c r="R1003" s="271" t="s">
        <v>1547</v>
      </c>
      <c r="S1003" s="270"/>
      <c r="T1003" s="277" t="s">
        <v>25</v>
      </c>
      <c r="U1003" s="276" t="s">
        <v>1388</v>
      </c>
      <c r="V1003" s="277">
        <v>1444</v>
      </c>
      <c r="W1003" s="269"/>
      <c r="X1003" s="268" t="s">
        <v>1453</v>
      </c>
      <c r="Y1003" s="267">
        <v>44679.622870370367</v>
      </c>
    </row>
    <row r="1004" spans="1:25">
      <c r="A1004" s="280" t="s">
        <v>100</v>
      </c>
      <c r="B1004" s="279" t="s">
        <v>1320</v>
      </c>
      <c r="C1004" s="278" t="s">
        <v>3350</v>
      </c>
      <c r="D1004" s="277" t="s">
        <v>3351</v>
      </c>
      <c r="E1004" s="276" t="s">
        <v>1429</v>
      </c>
      <c r="F1004" s="277" t="s">
        <v>1388</v>
      </c>
      <c r="G1004" s="276" t="s">
        <v>208</v>
      </c>
      <c r="H1004" s="275">
        <v>3</v>
      </c>
      <c r="I1004" s="276"/>
      <c r="J1004" s="275">
        <v>2.4</v>
      </c>
      <c r="K1004" s="274"/>
      <c r="L1004" s="275">
        <v>7.1999999999999993</v>
      </c>
      <c r="M1004" s="276" t="s">
        <v>2117</v>
      </c>
      <c r="N1004" s="273">
        <v>0</v>
      </c>
      <c r="O1004" s="276" t="s">
        <v>55</v>
      </c>
      <c r="P1004" s="277" t="s">
        <v>1362</v>
      </c>
      <c r="Q1004" s="272"/>
      <c r="R1004" s="271"/>
      <c r="S1004" s="270"/>
      <c r="T1004" s="277" t="s">
        <v>25</v>
      </c>
      <c r="U1004" s="276" t="s">
        <v>1388</v>
      </c>
      <c r="V1004" s="277">
        <v>1583</v>
      </c>
      <c r="W1004" s="269"/>
      <c r="X1004" s="268" t="s">
        <v>1400</v>
      </c>
      <c r="Y1004" s="267">
        <v>44679.626898148148</v>
      </c>
    </row>
    <row r="1005" spans="1:25">
      <c r="A1005" s="280" t="s">
        <v>100</v>
      </c>
      <c r="B1005" s="279" t="s">
        <v>1320</v>
      </c>
      <c r="C1005" s="278" t="s">
        <v>3352</v>
      </c>
      <c r="D1005" s="277" t="s">
        <v>3351</v>
      </c>
      <c r="E1005" s="276" t="s">
        <v>1429</v>
      </c>
      <c r="F1005" s="277" t="s">
        <v>1388</v>
      </c>
      <c r="G1005" s="276" t="s">
        <v>208</v>
      </c>
      <c r="H1005" s="275">
        <v>3</v>
      </c>
      <c r="I1005" s="276"/>
      <c r="J1005" s="275">
        <v>2.4</v>
      </c>
      <c r="K1005" s="274"/>
      <c r="L1005" s="275">
        <v>7.1999999999999993</v>
      </c>
      <c r="M1005" s="276" t="s">
        <v>2117</v>
      </c>
      <c r="N1005" s="273">
        <v>0</v>
      </c>
      <c r="O1005" s="276" t="s">
        <v>55</v>
      </c>
      <c r="P1005" s="277" t="s">
        <v>1362</v>
      </c>
      <c r="Q1005" s="272"/>
      <c r="R1005" s="271"/>
      <c r="S1005" s="270"/>
      <c r="T1005" s="277" t="s">
        <v>25</v>
      </c>
      <c r="U1005" s="276" t="s">
        <v>1388</v>
      </c>
      <c r="V1005" s="277">
        <v>1611</v>
      </c>
      <c r="W1005" s="269"/>
      <c r="X1005" s="268" t="s">
        <v>1400</v>
      </c>
      <c r="Y1005" s="267">
        <v>44679.62667824074</v>
      </c>
    </row>
    <row r="1006" spans="1:25">
      <c r="A1006" s="280" t="s">
        <v>62</v>
      </c>
      <c r="B1006" s="279" t="s">
        <v>1320</v>
      </c>
      <c r="C1006" s="278" t="s">
        <v>830</v>
      </c>
      <c r="D1006" s="277" t="s">
        <v>1568</v>
      </c>
      <c r="E1006" s="276" t="s">
        <v>1980</v>
      </c>
      <c r="F1006" s="277" t="s">
        <v>1722</v>
      </c>
      <c r="G1006" s="276" t="s">
        <v>3353</v>
      </c>
      <c r="H1006" s="275">
        <v>1</v>
      </c>
      <c r="I1006" s="276"/>
      <c r="J1006" s="275">
        <v>385</v>
      </c>
      <c r="K1006" s="274"/>
      <c r="L1006" s="275">
        <v>385</v>
      </c>
      <c r="M1006" s="276" t="s">
        <v>3354</v>
      </c>
      <c r="N1006" s="273"/>
      <c r="O1006" s="276" t="s">
        <v>55</v>
      </c>
      <c r="P1006" s="277" t="s">
        <v>1403</v>
      </c>
      <c r="Q1006" s="272"/>
      <c r="R1006" s="271" t="s">
        <v>1441</v>
      </c>
      <c r="S1006" s="270"/>
      <c r="T1006" s="277" t="s">
        <v>25</v>
      </c>
      <c r="U1006" s="276" t="s">
        <v>13</v>
      </c>
      <c r="V1006" s="277">
        <v>1190</v>
      </c>
      <c r="W1006" s="269"/>
      <c r="X1006" s="268" t="s">
        <v>1363</v>
      </c>
      <c r="Y1006" s="267">
        <v>44746.657349537039</v>
      </c>
    </row>
    <row r="1007" spans="1:25">
      <c r="A1007" s="280" t="s">
        <v>62</v>
      </c>
      <c r="B1007" s="279" t="s">
        <v>1320</v>
      </c>
      <c r="C1007" s="278" t="s">
        <v>3355</v>
      </c>
      <c r="D1007" s="277" t="s">
        <v>1513</v>
      </c>
      <c r="E1007" s="276" t="s">
        <v>1359</v>
      </c>
      <c r="F1007" s="277" t="s">
        <v>1486</v>
      </c>
      <c r="G1007" s="276" t="s">
        <v>208</v>
      </c>
      <c r="H1007" s="275">
        <v>1</v>
      </c>
      <c r="I1007" s="276"/>
      <c r="J1007" s="275">
        <v>0.36399999999999999</v>
      </c>
      <c r="K1007" s="274"/>
      <c r="L1007" s="275">
        <v>0.36399999999999999</v>
      </c>
      <c r="M1007" s="276" t="s">
        <v>3356</v>
      </c>
      <c r="N1007" s="273"/>
      <c r="O1007" s="276" t="s">
        <v>55</v>
      </c>
      <c r="P1007" s="277" t="s">
        <v>1362</v>
      </c>
      <c r="Q1007" s="272"/>
      <c r="R1007" s="271"/>
      <c r="S1007" s="270"/>
      <c r="T1007" s="277" t="s">
        <v>25</v>
      </c>
      <c r="U1007" s="276" t="s">
        <v>19</v>
      </c>
      <c r="V1007" s="277">
        <v>1344</v>
      </c>
      <c r="W1007" s="269"/>
      <c r="X1007" s="268" t="s">
        <v>1400</v>
      </c>
      <c r="Y1007" s="267">
        <v>43769.416655092595</v>
      </c>
    </row>
    <row r="1008" spans="1:25">
      <c r="A1008" s="280" t="s">
        <v>62</v>
      </c>
      <c r="B1008" s="279" t="s">
        <v>1320</v>
      </c>
      <c r="C1008" s="278" t="s">
        <v>3355</v>
      </c>
      <c r="D1008" s="277" t="s">
        <v>1513</v>
      </c>
      <c r="E1008" s="276" t="s">
        <v>1359</v>
      </c>
      <c r="F1008" s="277" t="s">
        <v>1486</v>
      </c>
      <c r="G1008" s="276" t="s">
        <v>208</v>
      </c>
      <c r="H1008" s="275">
        <v>1</v>
      </c>
      <c r="I1008" s="276"/>
      <c r="J1008" s="275">
        <v>1.123</v>
      </c>
      <c r="K1008" s="274"/>
      <c r="L1008" s="275">
        <v>1.123</v>
      </c>
      <c r="M1008" s="276" t="s">
        <v>1423</v>
      </c>
      <c r="N1008" s="273"/>
      <c r="O1008" s="276" t="s">
        <v>55</v>
      </c>
      <c r="P1008" s="277" t="s">
        <v>1362</v>
      </c>
      <c r="Q1008" s="272"/>
      <c r="R1008" s="271"/>
      <c r="S1008" s="270"/>
      <c r="T1008" s="277" t="s">
        <v>25</v>
      </c>
      <c r="U1008" s="276" t="s">
        <v>19</v>
      </c>
      <c r="V1008" s="277">
        <v>1344</v>
      </c>
      <c r="W1008" s="269"/>
      <c r="X1008" s="268" t="s">
        <v>1400</v>
      </c>
      <c r="Y1008" s="267">
        <v>43769.416655092595</v>
      </c>
    </row>
    <row r="1009" spans="1:25">
      <c r="A1009" s="280" t="s">
        <v>100</v>
      </c>
      <c r="B1009" s="279" t="s">
        <v>1320</v>
      </c>
      <c r="C1009" s="278" t="s">
        <v>3357</v>
      </c>
      <c r="D1009" s="277" t="s">
        <v>3358</v>
      </c>
      <c r="E1009" s="276" t="s">
        <v>1493</v>
      </c>
      <c r="F1009" s="277" t="s">
        <v>1360</v>
      </c>
      <c r="G1009" s="276" t="s">
        <v>208</v>
      </c>
      <c r="H1009" s="275">
        <v>1</v>
      </c>
      <c r="I1009" s="276"/>
      <c r="J1009" s="275">
        <v>0</v>
      </c>
      <c r="K1009" s="274"/>
      <c r="L1009" s="275">
        <v>0</v>
      </c>
      <c r="M1009" s="276" t="s">
        <v>1600</v>
      </c>
      <c r="N1009" s="273"/>
      <c r="O1009" s="276" t="s">
        <v>55</v>
      </c>
      <c r="P1009" s="277" t="s">
        <v>1362</v>
      </c>
      <c r="Q1009" s="272"/>
      <c r="R1009" s="271"/>
      <c r="S1009" s="270"/>
      <c r="T1009" s="277" t="s">
        <v>25</v>
      </c>
      <c r="U1009" s="276" t="s">
        <v>14</v>
      </c>
      <c r="V1009" s="277">
        <v>1191</v>
      </c>
      <c r="W1009" s="269"/>
      <c r="X1009" s="268" t="s">
        <v>208</v>
      </c>
      <c r="Y1009" s="267">
        <v>43769.416655092595</v>
      </c>
    </row>
    <row r="1010" spans="1:25">
      <c r="A1010" s="280" t="s">
        <v>62</v>
      </c>
      <c r="B1010" s="279" t="s">
        <v>1320</v>
      </c>
      <c r="C1010" s="278" t="s">
        <v>832</v>
      </c>
      <c r="D1010" s="277" t="s">
        <v>516</v>
      </c>
      <c r="E1010" s="276" t="s">
        <v>1596</v>
      </c>
      <c r="F1010" s="277" t="s">
        <v>21</v>
      </c>
      <c r="G1010" s="276" t="s">
        <v>208</v>
      </c>
      <c r="H1010" s="275">
        <v>1</v>
      </c>
      <c r="I1010" s="276"/>
      <c r="J1010" s="275">
        <v>24</v>
      </c>
      <c r="K1010" s="274"/>
      <c r="L1010" s="275">
        <v>24</v>
      </c>
      <c r="M1010" s="276" t="s">
        <v>1871</v>
      </c>
      <c r="N1010" s="273"/>
      <c r="O1010" s="276" t="s">
        <v>55</v>
      </c>
      <c r="P1010" s="277" t="s">
        <v>1362</v>
      </c>
      <c r="Q1010" s="272"/>
      <c r="R1010" s="271" t="s">
        <v>1511</v>
      </c>
      <c r="S1010" s="270"/>
      <c r="T1010" s="277" t="s">
        <v>25</v>
      </c>
      <c r="U1010" s="276" t="s">
        <v>21</v>
      </c>
      <c r="V1010" s="277">
        <v>1298</v>
      </c>
      <c r="W1010" s="269"/>
      <c r="X1010" s="268" t="s">
        <v>1453</v>
      </c>
      <c r="Y1010" s="267">
        <v>44747.579085648147</v>
      </c>
    </row>
    <row r="1011" spans="1:25">
      <c r="A1011" s="280" t="s">
        <v>46</v>
      </c>
      <c r="B1011" s="279" t="s">
        <v>1320</v>
      </c>
      <c r="C1011" s="278" t="s">
        <v>3359</v>
      </c>
      <c r="D1011" s="277" t="s">
        <v>3360</v>
      </c>
      <c r="E1011" s="276" t="s">
        <v>1359</v>
      </c>
      <c r="F1011" s="277" t="s">
        <v>1438</v>
      </c>
      <c r="G1011" s="276" t="s">
        <v>3361</v>
      </c>
      <c r="H1011" s="275">
        <v>7</v>
      </c>
      <c r="I1011" s="276"/>
      <c r="J1011" s="275">
        <v>1.0649999999999999</v>
      </c>
      <c r="K1011" s="274"/>
      <c r="L1011" s="275">
        <v>7.4550000000000001</v>
      </c>
      <c r="M1011" s="276" t="s">
        <v>3362</v>
      </c>
      <c r="N1011" s="273"/>
      <c r="O1011" s="276" t="s">
        <v>55</v>
      </c>
      <c r="P1011" s="277" t="s">
        <v>1362</v>
      </c>
      <c r="Q1011" s="272"/>
      <c r="R1011" s="271" t="s">
        <v>1837</v>
      </c>
      <c r="S1011" s="270"/>
      <c r="T1011" s="277" t="s">
        <v>25</v>
      </c>
      <c r="U1011" s="276" t="s">
        <v>15</v>
      </c>
      <c r="V1011" s="277">
        <v>1361</v>
      </c>
      <c r="W1011" s="269"/>
      <c r="X1011" s="268" t="s">
        <v>1363</v>
      </c>
      <c r="Y1011" s="267">
        <v>44671.400081018517</v>
      </c>
    </row>
    <row r="1012" spans="1:25">
      <c r="A1012" s="280" t="s">
        <v>80</v>
      </c>
      <c r="B1012" s="279" t="s">
        <v>1320</v>
      </c>
      <c r="C1012" s="278" t="s">
        <v>664</v>
      </c>
      <c r="D1012" s="277" t="s">
        <v>69</v>
      </c>
      <c r="E1012" s="276" t="s">
        <v>1398</v>
      </c>
      <c r="F1012" s="277" t="s">
        <v>1388</v>
      </c>
      <c r="G1012" s="276" t="s">
        <v>3363</v>
      </c>
      <c r="H1012" s="275">
        <v>54</v>
      </c>
      <c r="I1012" s="276"/>
      <c r="J1012" s="275">
        <v>2</v>
      </c>
      <c r="K1012" s="274"/>
      <c r="L1012" s="275">
        <v>108</v>
      </c>
      <c r="M1012" s="276" t="s">
        <v>3364</v>
      </c>
      <c r="N1012" s="273"/>
      <c r="O1012" s="276" t="s">
        <v>55</v>
      </c>
      <c r="P1012" s="277" t="s">
        <v>1407</v>
      </c>
      <c r="Q1012" s="272"/>
      <c r="R1012" s="271" t="s">
        <v>1547</v>
      </c>
      <c r="S1012" s="270"/>
      <c r="T1012" s="277" t="s">
        <v>25</v>
      </c>
      <c r="U1012" s="276" t="s">
        <v>1388</v>
      </c>
      <c r="V1012" s="277">
        <v>1397</v>
      </c>
      <c r="W1012" s="269"/>
      <c r="X1012" s="268" t="s">
        <v>1363</v>
      </c>
      <c r="Y1012" s="267">
        <v>44678.402604166666</v>
      </c>
    </row>
    <row r="1013" spans="1:25">
      <c r="A1013" s="280" t="s">
        <v>80</v>
      </c>
      <c r="B1013" s="279" t="s">
        <v>1385</v>
      </c>
      <c r="C1013" s="278" t="s">
        <v>135</v>
      </c>
      <c r="D1013" s="277" t="s">
        <v>69</v>
      </c>
      <c r="E1013" s="276" t="s">
        <v>1391</v>
      </c>
      <c r="F1013" s="277" t="s">
        <v>21</v>
      </c>
      <c r="G1013" s="276" t="s">
        <v>208</v>
      </c>
      <c r="H1013" s="275">
        <v>1</v>
      </c>
      <c r="I1013" s="276"/>
      <c r="J1013" s="275">
        <v>50.8</v>
      </c>
      <c r="K1013" s="274"/>
      <c r="L1013" s="275">
        <v>50.8</v>
      </c>
      <c r="M1013" s="276" t="s">
        <v>3365</v>
      </c>
      <c r="N1013" s="273">
        <v>84</v>
      </c>
      <c r="O1013" s="276" t="s">
        <v>28</v>
      </c>
      <c r="P1013" s="277" t="s">
        <v>1393</v>
      </c>
      <c r="Q1013" s="272" t="s">
        <v>2895</v>
      </c>
      <c r="R1013" s="271" t="s">
        <v>1452</v>
      </c>
      <c r="S1013" s="270"/>
      <c r="T1013" s="277" t="s">
        <v>28</v>
      </c>
      <c r="U1013" s="276" t="s">
        <v>20</v>
      </c>
      <c r="V1013" s="277">
        <v>1735</v>
      </c>
      <c r="W1013" s="269" t="s">
        <v>3954</v>
      </c>
      <c r="X1013" s="268" t="s">
        <v>1453</v>
      </c>
      <c r="Y1013" s="267">
        <v>44748.458287037036</v>
      </c>
    </row>
    <row r="1014" spans="1:25">
      <c r="A1014" s="280" t="s">
        <v>80</v>
      </c>
      <c r="B1014" s="279" t="s">
        <v>1385</v>
      </c>
      <c r="C1014" s="278" t="s">
        <v>136</v>
      </c>
      <c r="D1014" s="277" t="s">
        <v>69</v>
      </c>
      <c r="E1014" s="276" t="s">
        <v>1429</v>
      </c>
      <c r="F1014" s="277" t="s">
        <v>1388</v>
      </c>
      <c r="G1014" s="276" t="s">
        <v>208</v>
      </c>
      <c r="H1014" s="275">
        <v>1</v>
      </c>
      <c r="I1014" s="276"/>
      <c r="J1014" s="275">
        <v>105</v>
      </c>
      <c r="K1014" s="274"/>
      <c r="L1014" s="275">
        <v>105</v>
      </c>
      <c r="M1014" s="276" t="s">
        <v>3366</v>
      </c>
      <c r="N1014" s="273"/>
      <c r="O1014" s="276" t="s">
        <v>27</v>
      </c>
      <c r="P1014" s="277" t="s">
        <v>1407</v>
      </c>
      <c r="Q1014" s="272" t="s">
        <v>2063</v>
      </c>
      <c r="R1014" s="271" t="s">
        <v>1700</v>
      </c>
      <c r="S1014" s="270"/>
      <c r="T1014" s="277" t="s">
        <v>27</v>
      </c>
      <c r="U1014" s="276" t="s">
        <v>1388</v>
      </c>
      <c r="V1014" s="277">
        <v>1575</v>
      </c>
      <c r="W1014" s="269"/>
      <c r="X1014" s="268" t="s">
        <v>1453</v>
      </c>
      <c r="Y1014" s="267">
        <v>44746.592870370368</v>
      </c>
    </row>
    <row r="1015" spans="1:25">
      <c r="A1015" s="280" t="s">
        <v>46</v>
      </c>
      <c r="B1015" s="279" t="s">
        <v>1320</v>
      </c>
      <c r="C1015" s="278" t="s">
        <v>561</v>
      </c>
      <c r="D1015" s="277" t="s">
        <v>140</v>
      </c>
      <c r="E1015" s="276" t="s">
        <v>1980</v>
      </c>
      <c r="F1015" s="277" t="s">
        <v>1360</v>
      </c>
      <c r="G1015" s="276" t="s">
        <v>3367</v>
      </c>
      <c r="H1015" s="275">
        <v>1</v>
      </c>
      <c r="I1015" s="276"/>
      <c r="J1015" s="275">
        <v>440</v>
      </c>
      <c r="K1015" s="274"/>
      <c r="L1015" s="275">
        <v>440</v>
      </c>
      <c r="M1015" s="276" t="s">
        <v>3368</v>
      </c>
      <c r="N1015" s="273"/>
      <c r="O1015" s="276" t="s">
        <v>55</v>
      </c>
      <c r="P1015" s="277" t="s">
        <v>1403</v>
      </c>
      <c r="Q1015" s="272"/>
      <c r="R1015" s="271" t="s">
        <v>1769</v>
      </c>
      <c r="S1015" s="270"/>
      <c r="T1015" s="277" t="s">
        <v>25</v>
      </c>
      <c r="U1015" s="276" t="s">
        <v>13</v>
      </c>
      <c r="V1015" s="277">
        <v>1192</v>
      </c>
      <c r="W1015" s="269"/>
      <c r="X1015" s="268" t="s">
        <v>1363</v>
      </c>
      <c r="Y1015" s="267">
        <v>44746.56722222222</v>
      </c>
    </row>
    <row r="1016" spans="1:25">
      <c r="A1016" s="280" t="s">
        <v>46</v>
      </c>
      <c r="B1016" s="279" t="s">
        <v>1385</v>
      </c>
      <c r="C1016" s="278" t="s">
        <v>3369</v>
      </c>
      <c r="D1016" s="277" t="s">
        <v>3370</v>
      </c>
      <c r="E1016" s="276" t="s">
        <v>1493</v>
      </c>
      <c r="F1016" s="277" t="s">
        <v>1360</v>
      </c>
      <c r="G1016" s="276" t="s">
        <v>208</v>
      </c>
      <c r="H1016" s="275">
        <v>1</v>
      </c>
      <c r="I1016" s="276"/>
      <c r="J1016" s="275">
        <v>320</v>
      </c>
      <c r="K1016" s="274"/>
      <c r="L1016" s="275">
        <v>320</v>
      </c>
      <c r="M1016" s="276" t="s">
        <v>3022</v>
      </c>
      <c r="N1016" s="273"/>
      <c r="O1016" s="276" t="s">
        <v>94</v>
      </c>
      <c r="P1016" s="277" t="s">
        <v>1403</v>
      </c>
      <c r="Q1016" s="272" t="s">
        <v>1483</v>
      </c>
      <c r="R1016" s="271"/>
      <c r="S1016" s="270"/>
      <c r="T1016" s="277" t="s">
        <v>27</v>
      </c>
      <c r="U1016" s="276" t="s">
        <v>14</v>
      </c>
      <c r="V1016" s="277">
        <v>1193</v>
      </c>
      <c r="W1016" s="269"/>
      <c r="X1016" s="268" t="s">
        <v>1453</v>
      </c>
      <c r="Y1016" s="267">
        <v>44742.694155092591</v>
      </c>
    </row>
    <row r="1017" spans="1:25">
      <c r="A1017" s="280" t="s">
        <v>95</v>
      </c>
      <c r="B1017" s="279" t="s">
        <v>1385</v>
      </c>
      <c r="C1017" s="278" t="s">
        <v>3371</v>
      </c>
      <c r="D1017" s="277" t="s">
        <v>3372</v>
      </c>
      <c r="E1017" s="276" t="s">
        <v>1391</v>
      </c>
      <c r="F1017" s="277" t="s">
        <v>21</v>
      </c>
      <c r="G1017" s="276" t="s">
        <v>208</v>
      </c>
      <c r="H1017" s="275">
        <v>1</v>
      </c>
      <c r="I1017" s="276"/>
      <c r="J1017" s="275">
        <v>70</v>
      </c>
      <c r="K1017" s="274"/>
      <c r="L1017" s="275">
        <v>70</v>
      </c>
      <c r="M1017" s="276" t="s">
        <v>3373</v>
      </c>
      <c r="N1017" s="273">
        <v>70</v>
      </c>
      <c r="O1017" s="276" t="s">
        <v>1285</v>
      </c>
      <c r="P1017" s="277" t="s">
        <v>1403</v>
      </c>
      <c r="Q1017" s="272"/>
      <c r="R1017" s="271"/>
      <c r="S1017" s="270"/>
      <c r="T1017" s="277" t="s">
        <v>29</v>
      </c>
      <c r="U1017" s="276" t="s">
        <v>20</v>
      </c>
      <c r="V1017" s="277">
        <v>2012</v>
      </c>
      <c r="W1017" s="269"/>
      <c r="X1017" s="268" t="s">
        <v>208</v>
      </c>
      <c r="Y1017" s="267">
        <v>44670.594236111108</v>
      </c>
    </row>
    <row r="1018" spans="1:25">
      <c r="A1018" s="280" t="s">
        <v>95</v>
      </c>
      <c r="B1018" s="279" t="s">
        <v>1320</v>
      </c>
      <c r="C1018" s="278" t="s">
        <v>96</v>
      </c>
      <c r="D1018" s="277" t="s">
        <v>97</v>
      </c>
      <c r="E1018" s="276" t="s">
        <v>1980</v>
      </c>
      <c r="F1018" s="277" t="s">
        <v>1360</v>
      </c>
      <c r="G1018" s="276" t="s">
        <v>98</v>
      </c>
      <c r="H1018" s="275">
        <v>1</v>
      </c>
      <c r="I1018" s="276"/>
      <c r="J1018" s="275">
        <v>68</v>
      </c>
      <c r="K1018" s="274"/>
      <c r="L1018" s="275">
        <v>68</v>
      </c>
      <c r="M1018" s="276" t="s">
        <v>2373</v>
      </c>
      <c r="N1018" s="273"/>
      <c r="O1018" s="276" t="s">
        <v>55</v>
      </c>
      <c r="P1018" s="277" t="s">
        <v>1403</v>
      </c>
      <c r="Q1018" s="272"/>
      <c r="R1018" s="271" t="s">
        <v>1532</v>
      </c>
      <c r="S1018" s="270"/>
      <c r="T1018" s="277" t="s">
        <v>25</v>
      </c>
      <c r="U1018" s="276" t="s">
        <v>13</v>
      </c>
      <c r="V1018" s="277">
        <v>1194</v>
      </c>
      <c r="W1018" s="269"/>
      <c r="X1018" s="268" t="s">
        <v>1363</v>
      </c>
      <c r="Y1018" s="267">
        <v>44672.497916666667</v>
      </c>
    </row>
    <row r="1019" spans="1:25">
      <c r="A1019" s="280" t="s">
        <v>95</v>
      </c>
      <c r="B1019" s="279" t="s">
        <v>1320</v>
      </c>
      <c r="C1019" s="278" t="s">
        <v>96</v>
      </c>
      <c r="D1019" s="277" t="s">
        <v>97</v>
      </c>
      <c r="E1019" s="276" t="s">
        <v>1980</v>
      </c>
      <c r="F1019" s="277" t="s">
        <v>1360</v>
      </c>
      <c r="G1019" s="276" t="s">
        <v>98</v>
      </c>
      <c r="H1019" s="275">
        <v>1</v>
      </c>
      <c r="I1019" s="276"/>
      <c r="J1019" s="275">
        <v>140</v>
      </c>
      <c r="K1019" s="274"/>
      <c r="L1019" s="275">
        <v>140</v>
      </c>
      <c r="M1019" s="276" t="s">
        <v>1490</v>
      </c>
      <c r="N1019" s="273"/>
      <c r="O1019" s="276" t="s">
        <v>55</v>
      </c>
      <c r="P1019" s="277" t="s">
        <v>1403</v>
      </c>
      <c r="Q1019" s="272"/>
      <c r="R1019" s="271" t="s">
        <v>1532</v>
      </c>
      <c r="S1019" s="270"/>
      <c r="T1019" s="277" t="s">
        <v>25</v>
      </c>
      <c r="U1019" s="276" t="s">
        <v>13</v>
      </c>
      <c r="V1019" s="277">
        <v>1194</v>
      </c>
      <c r="W1019" s="269"/>
      <c r="X1019" s="268" t="s">
        <v>1363</v>
      </c>
      <c r="Y1019" s="267">
        <v>44672.497916666667</v>
      </c>
    </row>
    <row r="1020" spans="1:25">
      <c r="A1020" s="280" t="s">
        <v>95</v>
      </c>
      <c r="B1020" s="279" t="s">
        <v>1320</v>
      </c>
      <c r="C1020" s="278" t="s">
        <v>1012</v>
      </c>
      <c r="D1020" s="277" t="s">
        <v>97</v>
      </c>
      <c r="E1020" s="276" t="s">
        <v>1493</v>
      </c>
      <c r="F1020" s="277" t="s">
        <v>1360</v>
      </c>
      <c r="G1020" s="276" t="s">
        <v>3374</v>
      </c>
      <c r="H1020" s="275">
        <v>1</v>
      </c>
      <c r="I1020" s="276"/>
      <c r="J1020" s="275">
        <v>58</v>
      </c>
      <c r="K1020" s="274"/>
      <c r="L1020" s="275">
        <v>58</v>
      </c>
      <c r="M1020" s="276" t="s">
        <v>3375</v>
      </c>
      <c r="N1020" s="273"/>
      <c r="O1020" s="276" t="s">
        <v>55</v>
      </c>
      <c r="P1020" s="277" t="s">
        <v>1403</v>
      </c>
      <c r="Q1020" s="272"/>
      <c r="R1020" s="271" t="s">
        <v>1532</v>
      </c>
      <c r="S1020" s="270"/>
      <c r="T1020" s="277" t="s">
        <v>25</v>
      </c>
      <c r="U1020" s="276" t="s">
        <v>14</v>
      </c>
      <c r="V1020" s="277">
        <v>1195</v>
      </c>
      <c r="W1020" s="269"/>
      <c r="X1020" s="268" t="s">
        <v>1363</v>
      </c>
      <c r="Y1020" s="267">
        <v>44670.619016203702</v>
      </c>
    </row>
    <row r="1021" spans="1:25">
      <c r="A1021" s="280" t="s">
        <v>46</v>
      </c>
      <c r="B1021" s="279" t="s">
        <v>1385</v>
      </c>
      <c r="C1021" s="278" t="s">
        <v>3376</v>
      </c>
      <c r="D1021" s="277" t="s">
        <v>3377</v>
      </c>
      <c r="E1021" s="276"/>
      <c r="F1021" s="277" t="s">
        <v>21</v>
      </c>
      <c r="G1021" s="276"/>
      <c r="H1021" s="275"/>
      <c r="I1021" s="276"/>
      <c r="J1021" s="275"/>
      <c r="K1021" s="274"/>
      <c r="L1021" s="275">
        <v>200</v>
      </c>
      <c r="M1021" s="276"/>
      <c r="N1021" s="273"/>
      <c r="O1021" s="276" t="s">
        <v>1285</v>
      </c>
      <c r="P1021" s="277"/>
      <c r="Q1021" s="272"/>
      <c r="R1021" s="271"/>
      <c r="S1021" s="270"/>
      <c r="T1021" s="277" t="s">
        <v>29</v>
      </c>
      <c r="U1021" s="276" t="s">
        <v>20</v>
      </c>
      <c r="V1021" s="277" t="s">
        <v>208</v>
      </c>
      <c r="W1021" s="269" t="s">
        <v>3378</v>
      </c>
      <c r="X1021" s="268"/>
      <c r="Y1021" s="267" t="s">
        <v>208</v>
      </c>
    </row>
    <row r="1022" spans="1:25">
      <c r="A1022" s="280" t="s">
        <v>46</v>
      </c>
      <c r="B1022" s="279" t="s">
        <v>1385</v>
      </c>
      <c r="C1022" s="278" t="s">
        <v>3379</v>
      </c>
      <c r="D1022" s="277" t="s">
        <v>3380</v>
      </c>
      <c r="E1022" s="276" t="s">
        <v>1429</v>
      </c>
      <c r="F1022" s="277" t="s">
        <v>1388</v>
      </c>
      <c r="G1022" s="276" t="s">
        <v>208</v>
      </c>
      <c r="H1022" s="275">
        <v>1</v>
      </c>
      <c r="I1022" s="276"/>
      <c r="J1022" s="275">
        <v>65</v>
      </c>
      <c r="K1022" s="274"/>
      <c r="L1022" s="275">
        <v>65</v>
      </c>
      <c r="M1022" s="276" t="s">
        <v>3143</v>
      </c>
      <c r="N1022" s="273">
        <v>0</v>
      </c>
      <c r="O1022" s="276" t="s">
        <v>1285</v>
      </c>
      <c r="P1022" s="277" t="s">
        <v>1403</v>
      </c>
      <c r="Q1022" s="272"/>
      <c r="R1022" s="271"/>
      <c r="S1022" s="270"/>
      <c r="T1022" s="277" t="s">
        <v>29</v>
      </c>
      <c r="U1022" s="276" t="s">
        <v>1388</v>
      </c>
      <c r="V1022" s="277">
        <v>1881</v>
      </c>
      <c r="W1022" s="269" t="s">
        <v>3922</v>
      </c>
      <c r="X1022" s="268" t="s">
        <v>1453</v>
      </c>
      <c r="Y1022" s="267">
        <v>44746.526319444441</v>
      </c>
    </row>
    <row r="1023" spans="1:25">
      <c r="A1023" s="280" t="s">
        <v>46</v>
      </c>
      <c r="B1023" s="279" t="s">
        <v>1385</v>
      </c>
      <c r="C1023" s="278" t="s">
        <v>3381</v>
      </c>
      <c r="D1023" s="277" t="s">
        <v>2047</v>
      </c>
      <c r="E1023" s="276"/>
      <c r="F1023" s="277" t="s">
        <v>17</v>
      </c>
      <c r="G1023" s="276"/>
      <c r="H1023" s="275"/>
      <c r="I1023" s="276"/>
      <c r="J1023" s="275"/>
      <c r="K1023" s="274"/>
      <c r="L1023" s="275">
        <v>402</v>
      </c>
      <c r="M1023" s="276"/>
      <c r="N1023" s="273"/>
      <c r="O1023" s="276" t="s">
        <v>1285</v>
      </c>
      <c r="P1023" s="277"/>
      <c r="Q1023" s="272"/>
      <c r="R1023" s="271" t="s">
        <v>208</v>
      </c>
      <c r="S1023" s="270"/>
      <c r="T1023" s="277" t="s">
        <v>29</v>
      </c>
      <c r="U1023" s="276" t="s">
        <v>17</v>
      </c>
      <c r="V1023" s="277" t="s">
        <v>208</v>
      </c>
      <c r="W1023" s="269" t="s">
        <v>3382</v>
      </c>
      <c r="X1023" s="268"/>
      <c r="Y1023" s="267" t="s">
        <v>208</v>
      </c>
    </row>
    <row r="1024" spans="1:25">
      <c r="A1024" s="280" t="s">
        <v>46</v>
      </c>
      <c r="B1024" s="279" t="s">
        <v>1320</v>
      </c>
      <c r="C1024" s="278" t="s">
        <v>1003</v>
      </c>
      <c r="D1024" s="277" t="s">
        <v>3383</v>
      </c>
      <c r="E1024" s="276" t="s">
        <v>1419</v>
      </c>
      <c r="F1024" s="277" t="s">
        <v>17</v>
      </c>
      <c r="G1024" s="276" t="s">
        <v>3384</v>
      </c>
      <c r="H1024" s="275">
        <v>9</v>
      </c>
      <c r="I1024" s="276"/>
      <c r="J1024" s="275">
        <v>3</v>
      </c>
      <c r="K1024" s="274"/>
      <c r="L1024" s="275">
        <v>27</v>
      </c>
      <c r="M1024" s="276" t="s">
        <v>1872</v>
      </c>
      <c r="N1024" s="273"/>
      <c r="O1024" s="276" t="s">
        <v>55</v>
      </c>
      <c r="P1024" s="277" t="s">
        <v>1407</v>
      </c>
      <c r="Q1024" s="272"/>
      <c r="R1024" s="271" t="s">
        <v>1511</v>
      </c>
      <c r="S1024" s="270"/>
      <c r="T1024" s="277" t="s">
        <v>25</v>
      </c>
      <c r="U1024" s="276" t="s">
        <v>17</v>
      </c>
      <c r="V1024" s="277">
        <v>1196</v>
      </c>
      <c r="W1024" s="269"/>
      <c r="X1024" s="268" t="s">
        <v>1453</v>
      </c>
      <c r="Y1024" s="267">
        <v>44743.619525462964</v>
      </c>
    </row>
    <row r="1025" spans="1:25">
      <c r="A1025" s="280" t="s">
        <v>46</v>
      </c>
      <c r="B1025" s="279" t="s">
        <v>1320</v>
      </c>
      <c r="C1025" s="278" t="s">
        <v>1003</v>
      </c>
      <c r="D1025" s="277" t="s">
        <v>3383</v>
      </c>
      <c r="E1025" s="276" t="s">
        <v>1419</v>
      </c>
      <c r="F1025" s="277" t="s">
        <v>17</v>
      </c>
      <c r="G1025" s="276" t="s">
        <v>3384</v>
      </c>
      <c r="H1025" s="275">
        <v>21</v>
      </c>
      <c r="I1025" s="276"/>
      <c r="J1025" s="275">
        <v>1.8</v>
      </c>
      <c r="K1025" s="274"/>
      <c r="L1025" s="275">
        <v>37.800000000000004</v>
      </c>
      <c r="M1025" s="276" t="s">
        <v>2372</v>
      </c>
      <c r="N1025" s="273"/>
      <c r="O1025" s="276" t="s">
        <v>55</v>
      </c>
      <c r="P1025" s="277" t="s">
        <v>1407</v>
      </c>
      <c r="Q1025" s="272"/>
      <c r="R1025" s="271" t="s">
        <v>1511</v>
      </c>
      <c r="S1025" s="270"/>
      <c r="T1025" s="277" t="s">
        <v>25</v>
      </c>
      <c r="U1025" s="276" t="s">
        <v>17</v>
      </c>
      <c r="V1025" s="277">
        <v>1196</v>
      </c>
      <c r="W1025" s="269"/>
      <c r="X1025" s="268" t="s">
        <v>1453</v>
      </c>
      <c r="Y1025" s="267">
        <v>44743.619525462964</v>
      </c>
    </row>
    <row r="1026" spans="1:25">
      <c r="A1026" s="280" t="s">
        <v>46</v>
      </c>
      <c r="B1026" s="279" t="s">
        <v>1320</v>
      </c>
      <c r="C1026" s="278" t="s">
        <v>1003</v>
      </c>
      <c r="D1026" s="277" t="s">
        <v>3383</v>
      </c>
      <c r="E1026" s="276" t="s">
        <v>1419</v>
      </c>
      <c r="F1026" s="277" t="s">
        <v>17</v>
      </c>
      <c r="G1026" s="276" t="s">
        <v>3384</v>
      </c>
      <c r="H1026" s="275">
        <v>21</v>
      </c>
      <c r="I1026" s="276"/>
      <c r="J1026" s="275">
        <v>2</v>
      </c>
      <c r="K1026" s="274"/>
      <c r="L1026" s="275">
        <v>42</v>
      </c>
      <c r="M1026" s="276" t="s">
        <v>2679</v>
      </c>
      <c r="N1026" s="273"/>
      <c r="O1026" s="276" t="s">
        <v>55</v>
      </c>
      <c r="P1026" s="277" t="s">
        <v>1407</v>
      </c>
      <c r="Q1026" s="272"/>
      <c r="R1026" s="271" t="s">
        <v>1511</v>
      </c>
      <c r="S1026" s="270"/>
      <c r="T1026" s="277" t="s">
        <v>25</v>
      </c>
      <c r="U1026" s="276" t="s">
        <v>17</v>
      </c>
      <c r="V1026" s="277">
        <v>1196</v>
      </c>
      <c r="W1026" s="269"/>
      <c r="X1026" s="268" t="s">
        <v>1453</v>
      </c>
      <c r="Y1026" s="267">
        <v>44743.619525462964</v>
      </c>
    </row>
    <row r="1027" spans="1:25">
      <c r="A1027" s="280" t="s">
        <v>46</v>
      </c>
      <c r="B1027" s="279" t="s">
        <v>1385</v>
      </c>
      <c r="C1027" s="278" t="s">
        <v>3385</v>
      </c>
      <c r="D1027" s="277" t="s">
        <v>2047</v>
      </c>
      <c r="E1027" s="276" t="s">
        <v>1398</v>
      </c>
      <c r="F1027" s="277" t="s">
        <v>1388</v>
      </c>
      <c r="G1027" s="276" t="s">
        <v>208</v>
      </c>
      <c r="H1027" s="275">
        <v>1</v>
      </c>
      <c r="I1027" s="276"/>
      <c r="J1027" s="275">
        <v>90</v>
      </c>
      <c r="K1027" s="274"/>
      <c r="L1027" s="275">
        <v>90</v>
      </c>
      <c r="M1027" s="276" t="s">
        <v>1747</v>
      </c>
      <c r="N1027" s="273"/>
      <c r="O1027" s="276" t="s">
        <v>1285</v>
      </c>
      <c r="P1027" s="277" t="s">
        <v>1407</v>
      </c>
      <c r="Q1027" s="272"/>
      <c r="R1027" s="271"/>
      <c r="S1027" s="270"/>
      <c r="T1027" s="277" t="s">
        <v>29</v>
      </c>
      <c r="U1027" s="276" t="s">
        <v>1388</v>
      </c>
      <c r="V1027" s="277">
        <v>1630</v>
      </c>
      <c r="W1027" s="269"/>
      <c r="X1027" s="268" t="s">
        <v>1400</v>
      </c>
      <c r="Y1027" s="267">
        <v>43769.416655092595</v>
      </c>
    </row>
    <row r="1028" spans="1:25">
      <c r="A1028" s="280" t="s">
        <v>62</v>
      </c>
      <c r="B1028" s="279" t="s">
        <v>1320</v>
      </c>
      <c r="C1028" s="278" t="s">
        <v>3386</v>
      </c>
      <c r="D1028" s="277" t="s">
        <v>301</v>
      </c>
      <c r="E1028" s="276" t="s">
        <v>1596</v>
      </c>
      <c r="F1028" s="277" t="s">
        <v>1597</v>
      </c>
      <c r="G1028" s="276" t="s">
        <v>3387</v>
      </c>
      <c r="H1028" s="275">
        <v>1</v>
      </c>
      <c r="I1028" s="276"/>
      <c r="J1028" s="275">
        <v>350</v>
      </c>
      <c r="K1028" s="274"/>
      <c r="L1028" s="275">
        <v>350</v>
      </c>
      <c r="M1028" s="276" t="s">
        <v>1819</v>
      </c>
      <c r="N1028" s="273"/>
      <c r="O1028" s="276" t="s">
        <v>55</v>
      </c>
      <c r="P1028" s="277" t="s">
        <v>1403</v>
      </c>
      <c r="Q1028" s="272"/>
      <c r="R1028" s="271" t="s">
        <v>1441</v>
      </c>
      <c r="S1028" s="270"/>
      <c r="T1028" s="277" t="s">
        <v>25</v>
      </c>
      <c r="U1028" s="276" t="s">
        <v>12</v>
      </c>
      <c r="V1028" s="277">
        <v>1197</v>
      </c>
      <c r="W1028" s="269"/>
      <c r="X1028" s="268" t="s">
        <v>1363</v>
      </c>
      <c r="Y1028" s="267">
        <v>44670.621122685188</v>
      </c>
    </row>
    <row r="1029" spans="1:25">
      <c r="A1029" s="280" t="s">
        <v>62</v>
      </c>
      <c r="B1029" s="279" t="s">
        <v>1320</v>
      </c>
      <c r="C1029" s="278" t="s">
        <v>3386</v>
      </c>
      <c r="D1029" s="277" t="s">
        <v>301</v>
      </c>
      <c r="E1029" s="276" t="s">
        <v>1596</v>
      </c>
      <c r="F1029" s="277" t="s">
        <v>1597</v>
      </c>
      <c r="G1029" s="276" t="s">
        <v>3388</v>
      </c>
      <c r="H1029" s="275">
        <v>1</v>
      </c>
      <c r="I1029" s="276"/>
      <c r="J1029" s="275">
        <v>350</v>
      </c>
      <c r="K1029" s="274"/>
      <c r="L1029" s="275">
        <v>350</v>
      </c>
      <c r="M1029" s="276" t="s">
        <v>1819</v>
      </c>
      <c r="N1029" s="273"/>
      <c r="O1029" s="276" t="s">
        <v>55</v>
      </c>
      <c r="P1029" s="277" t="s">
        <v>1403</v>
      </c>
      <c r="Q1029" s="272"/>
      <c r="R1029" s="271" t="s">
        <v>1441</v>
      </c>
      <c r="S1029" s="270"/>
      <c r="T1029" s="277" t="s">
        <v>25</v>
      </c>
      <c r="U1029" s="276" t="s">
        <v>12</v>
      </c>
      <c r="V1029" s="277">
        <v>1197</v>
      </c>
      <c r="W1029" s="269"/>
      <c r="X1029" s="268" t="s">
        <v>1363</v>
      </c>
      <c r="Y1029" s="267">
        <v>44670.621122685188</v>
      </c>
    </row>
    <row r="1030" spans="1:25">
      <c r="A1030" s="280" t="s">
        <v>62</v>
      </c>
      <c r="B1030" s="279" t="s">
        <v>1320</v>
      </c>
      <c r="C1030" s="278" t="s">
        <v>3386</v>
      </c>
      <c r="D1030" s="277" t="s">
        <v>301</v>
      </c>
      <c r="E1030" s="276" t="s">
        <v>1596</v>
      </c>
      <c r="F1030" s="277" t="s">
        <v>1597</v>
      </c>
      <c r="G1030" s="276" t="s">
        <v>3389</v>
      </c>
      <c r="H1030" s="275">
        <v>1</v>
      </c>
      <c r="I1030" s="276"/>
      <c r="J1030" s="275">
        <v>350</v>
      </c>
      <c r="K1030" s="274"/>
      <c r="L1030" s="275">
        <v>350</v>
      </c>
      <c r="M1030" s="276" t="s">
        <v>1819</v>
      </c>
      <c r="N1030" s="273"/>
      <c r="O1030" s="276" t="s">
        <v>55</v>
      </c>
      <c r="P1030" s="277" t="s">
        <v>1403</v>
      </c>
      <c r="Q1030" s="272"/>
      <c r="R1030" s="271" t="s">
        <v>1424</v>
      </c>
      <c r="S1030" s="270"/>
      <c r="T1030" s="277" t="s">
        <v>25</v>
      </c>
      <c r="U1030" s="276" t="s">
        <v>12</v>
      </c>
      <c r="V1030" s="277">
        <v>1197</v>
      </c>
      <c r="W1030" s="269"/>
      <c r="X1030" s="268" t="s">
        <v>1363</v>
      </c>
      <c r="Y1030" s="267">
        <v>44670.621122685188</v>
      </c>
    </row>
    <row r="1031" spans="1:25">
      <c r="A1031" s="280" t="s">
        <v>62</v>
      </c>
      <c r="B1031" s="279" t="s">
        <v>1320</v>
      </c>
      <c r="C1031" s="278" t="s">
        <v>3386</v>
      </c>
      <c r="D1031" s="277" t="s">
        <v>301</v>
      </c>
      <c r="E1031" s="276" t="s">
        <v>1596</v>
      </c>
      <c r="F1031" s="277" t="s">
        <v>1597</v>
      </c>
      <c r="G1031" s="276" t="s">
        <v>3390</v>
      </c>
      <c r="H1031" s="275">
        <v>1</v>
      </c>
      <c r="I1031" s="276"/>
      <c r="J1031" s="275">
        <v>350</v>
      </c>
      <c r="K1031" s="274"/>
      <c r="L1031" s="275">
        <v>350</v>
      </c>
      <c r="M1031" s="276" t="s">
        <v>1819</v>
      </c>
      <c r="N1031" s="273"/>
      <c r="O1031" s="276" t="s">
        <v>55</v>
      </c>
      <c r="P1031" s="277" t="s">
        <v>1403</v>
      </c>
      <c r="Q1031" s="272"/>
      <c r="R1031" s="271" t="s">
        <v>1424</v>
      </c>
      <c r="S1031" s="270"/>
      <c r="T1031" s="277" t="s">
        <v>25</v>
      </c>
      <c r="U1031" s="276" t="s">
        <v>12</v>
      </c>
      <c r="V1031" s="277">
        <v>1197</v>
      </c>
      <c r="W1031" s="269"/>
      <c r="X1031" s="268" t="s">
        <v>1363</v>
      </c>
      <c r="Y1031" s="267">
        <v>44670.621122685188</v>
      </c>
    </row>
    <row r="1032" spans="1:25">
      <c r="A1032" s="280" t="s">
        <v>62</v>
      </c>
      <c r="B1032" s="279" t="s">
        <v>1320</v>
      </c>
      <c r="C1032" s="278" t="s">
        <v>3391</v>
      </c>
      <c r="D1032" s="277" t="s">
        <v>301</v>
      </c>
      <c r="E1032" s="276" t="s">
        <v>1493</v>
      </c>
      <c r="F1032" s="277" t="s">
        <v>3392</v>
      </c>
      <c r="G1032" s="276" t="s">
        <v>208</v>
      </c>
      <c r="H1032" s="275">
        <v>1</v>
      </c>
      <c r="I1032" s="276"/>
      <c r="J1032" s="275">
        <v>15</v>
      </c>
      <c r="K1032" s="274"/>
      <c r="L1032" s="275">
        <v>15</v>
      </c>
      <c r="M1032" s="276" t="s">
        <v>1696</v>
      </c>
      <c r="N1032" s="273"/>
      <c r="O1032" s="276" t="s">
        <v>55</v>
      </c>
      <c r="P1032" s="277" t="s">
        <v>1362</v>
      </c>
      <c r="Q1032" s="272"/>
      <c r="R1032" s="271" t="s">
        <v>1424</v>
      </c>
      <c r="S1032" s="270"/>
      <c r="T1032" s="277" t="s">
        <v>25</v>
      </c>
      <c r="U1032" s="276" t="s">
        <v>14</v>
      </c>
      <c r="V1032" s="277">
        <v>1198</v>
      </c>
      <c r="W1032" s="269"/>
      <c r="X1032" s="268" t="s">
        <v>1363</v>
      </c>
      <c r="Y1032" s="267">
        <v>44658.63721064815</v>
      </c>
    </row>
    <row r="1033" spans="1:25">
      <c r="A1033" s="280" t="s">
        <v>62</v>
      </c>
      <c r="B1033" s="279" t="s">
        <v>1320</v>
      </c>
      <c r="C1033" s="278" t="s">
        <v>3393</v>
      </c>
      <c r="D1033" s="277" t="s">
        <v>301</v>
      </c>
      <c r="E1033" s="276" t="s">
        <v>1822</v>
      </c>
      <c r="F1033" s="277" t="s">
        <v>1597</v>
      </c>
      <c r="G1033" s="276" t="s">
        <v>3394</v>
      </c>
      <c r="H1033" s="275">
        <v>1</v>
      </c>
      <c r="I1033" s="276"/>
      <c r="J1033" s="275">
        <v>450</v>
      </c>
      <c r="K1033" s="274"/>
      <c r="L1033" s="275">
        <v>450</v>
      </c>
      <c r="M1033" s="276" t="s">
        <v>3241</v>
      </c>
      <c r="N1033" s="273"/>
      <c r="O1033" s="276" t="s">
        <v>55</v>
      </c>
      <c r="P1033" s="277" t="s">
        <v>1403</v>
      </c>
      <c r="Q1033" s="272"/>
      <c r="R1033" s="271" t="s">
        <v>1424</v>
      </c>
      <c r="S1033" s="270"/>
      <c r="T1033" s="277" t="s">
        <v>25</v>
      </c>
      <c r="U1033" s="276" t="s">
        <v>12</v>
      </c>
      <c r="V1033" s="277">
        <v>1199</v>
      </c>
      <c r="W1033" s="269"/>
      <c r="X1033" s="268" t="s">
        <v>1363</v>
      </c>
      <c r="Y1033" s="267">
        <v>44670.621747685182</v>
      </c>
    </row>
    <row r="1034" spans="1:25">
      <c r="A1034" s="280" t="s">
        <v>46</v>
      </c>
      <c r="B1034" s="279" t="s">
        <v>1320</v>
      </c>
      <c r="C1034" s="278" t="s">
        <v>3395</v>
      </c>
      <c r="D1034" s="277" t="s">
        <v>1393</v>
      </c>
      <c r="E1034" s="276" t="s">
        <v>1398</v>
      </c>
      <c r="F1034" s="277" t="s">
        <v>1388</v>
      </c>
      <c r="G1034" s="276" t="s">
        <v>208</v>
      </c>
      <c r="H1034" s="275">
        <v>1</v>
      </c>
      <c r="I1034" s="276"/>
      <c r="J1034" s="275">
        <v>0.998</v>
      </c>
      <c r="K1034" s="274"/>
      <c r="L1034" s="275">
        <v>0.99760000000000004</v>
      </c>
      <c r="M1034" s="276" t="s">
        <v>3396</v>
      </c>
      <c r="N1034" s="273"/>
      <c r="O1034" s="276" t="s">
        <v>55</v>
      </c>
      <c r="P1034" s="277" t="s">
        <v>1362</v>
      </c>
      <c r="Q1034" s="272"/>
      <c r="R1034" s="271"/>
      <c r="S1034" s="270"/>
      <c r="T1034" s="277" t="s">
        <v>25</v>
      </c>
      <c r="U1034" s="276" t="s">
        <v>1388</v>
      </c>
      <c r="V1034" s="277">
        <v>21</v>
      </c>
      <c r="W1034" s="269"/>
      <c r="X1034" s="268" t="s">
        <v>208</v>
      </c>
      <c r="Y1034" s="267">
        <v>43312</v>
      </c>
    </row>
    <row r="1035" spans="1:25">
      <c r="A1035" s="280" t="s">
        <v>95</v>
      </c>
      <c r="B1035" s="279" t="s">
        <v>1320</v>
      </c>
      <c r="C1035" s="278" t="s">
        <v>3397</v>
      </c>
      <c r="D1035" s="277" t="s">
        <v>1585</v>
      </c>
      <c r="E1035" s="276" t="s">
        <v>1539</v>
      </c>
      <c r="F1035" s="277" t="s">
        <v>18</v>
      </c>
      <c r="G1035" s="276" t="s">
        <v>3398</v>
      </c>
      <c r="H1035" s="275">
        <v>6</v>
      </c>
      <c r="I1035" s="276"/>
      <c r="J1035" s="275">
        <v>15</v>
      </c>
      <c r="K1035" s="274"/>
      <c r="L1035" s="275">
        <v>90</v>
      </c>
      <c r="M1035" s="276" t="s">
        <v>1747</v>
      </c>
      <c r="N1035" s="273"/>
      <c r="O1035" s="276" t="s">
        <v>55</v>
      </c>
      <c r="P1035" s="277" t="s">
        <v>1403</v>
      </c>
      <c r="Q1035" s="272"/>
      <c r="R1035" s="271" t="s">
        <v>1588</v>
      </c>
      <c r="S1035" s="270"/>
      <c r="T1035" s="277" t="s">
        <v>25</v>
      </c>
      <c r="U1035" s="276" t="s">
        <v>18</v>
      </c>
      <c r="V1035" s="277">
        <v>1200</v>
      </c>
      <c r="W1035" s="269"/>
      <c r="X1035" s="268" t="s">
        <v>1363</v>
      </c>
      <c r="Y1035" s="267">
        <v>44670.622534722221</v>
      </c>
    </row>
    <row r="1036" spans="1:25">
      <c r="A1036" s="280" t="s">
        <v>95</v>
      </c>
      <c r="B1036" s="279" t="s">
        <v>1385</v>
      </c>
      <c r="C1036" s="278" t="s">
        <v>3399</v>
      </c>
      <c r="D1036" s="277" t="s">
        <v>3372</v>
      </c>
      <c r="E1036" s="276" t="s">
        <v>1539</v>
      </c>
      <c r="F1036" s="277" t="s">
        <v>18</v>
      </c>
      <c r="G1036" s="276"/>
      <c r="H1036" s="275">
        <v>1</v>
      </c>
      <c r="I1036" s="276"/>
      <c r="J1036" s="275">
        <v>60.665999999999997</v>
      </c>
      <c r="K1036" s="274"/>
      <c r="L1036" s="275">
        <v>60.665999999999997</v>
      </c>
      <c r="M1036" s="276" t="s">
        <v>3400</v>
      </c>
      <c r="N1036" s="273"/>
      <c r="O1036" s="276" t="s">
        <v>1285</v>
      </c>
      <c r="P1036" s="277" t="s">
        <v>1403</v>
      </c>
      <c r="Q1036" s="272"/>
      <c r="R1036" s="271"/>
      <c r="S1036" s="270"/>
      <c r="T1036" s="277" t="s">
        <v>29</v>
      </c>
      <c r="U1036" s="276" t="s">
        <v>18</v>
      </c>
      <c r="V1036" s="277">
        <v>2014</v>
      </c>
      <c r="W1036" s="269" t="s">
        <v>3945</v>
      </c>
      <c r="X1036" s="268" t="s">
        <v>208</v>
      </c>
      <c r="Y1036" s="267">
        <v>44673.383148148147</v>
      </c>
    </row>
    <row r="1037" spans="1:25">
      <c r="A1037" s="280" t="s">
        <v>95</v>
      </c>
      <c r="B1037" s="279" t="s">
        <v>1385</v>
      </c>
      <c r="C1037" s="278" t="s">
        <v>3399</v>
      </c>
      <c r="D1037" s="277" t="s">
        <v>3372</v>
      </c>
      <c r="E1037" s="276" t="s">
        <v>1539</v>
      </c>
      <c r="F1037" s="277" t="s">
        <v>18</v>
      </c>
      <c r="G1037" s="276"/>
      <c r="H1037" s="275">
        <v>2</v>
      </c>
      <c r="I1037" s="276"/>
      <c r="J1037" s="275">
        <v>60.667000000000002</v>
      </c>
      <c r="K1037" s="274"/>
      <c r="L1037" s="275">
        <v>121.334</v>
      </c>
      <c r="M1037" s="276" t="s">
        <v>3401</v>
      </c>
      <c r="N1037" s="273"/>
      <c r="O1037" s="276" t="s">
        <v>1285</v>
      </c>
      <c r="P1037" s="277" t="s">
        <v>1403</v>
      </c>
      <c r="Q1037" s="272"/>
      <c r="R1037" s="271"/>
      <c r="S1037" s="270"/>
      <c r="T1037" s="277" t="s">
        <v>29</v>
      </c>
      <c r="U1037" s="276" t="s">
        <v>18</v>
      </c>
      <c r="V1037" s="277">
        <v>2014</v>
      </c>
      <c r="W1037" s="269" t="s">
        <v>3945</v>
      </c>
      <c r="X1037" s="268" t="s">
        <v>208</v>
      </c>
      <c r="Y1037" s="267">
        <v>44673.383148148147</v>
      </c>
    </row>
    <row r="1038" spans="1:25">
      <c r="A1038" s="280" t="s">
        <v>100</v>
      </c>
      <c r="B1038" s="279" t="s">
        <v>1385</v>
      </c>
      <c r="C1038" s="278" t="s">
        <v>3402</v>
      </c>
      <c r="D1038" s="277" t="s">
        <v>469</v>
      </c>
      <c r="E1038" s="276" t="s">
        <v>1493</v>
      </c>
      <c r="F1038" s="277" t="s">
        <v>1360</v>
      </c>
      <c r="G1038" s="276" t="s">
        <v>208</v>
      </c>
      <c r="H1038" s="275">
        <v>1</v>
      </c>
      <c r="I1038" s="276">
        <v>500</v>
      </c>
      <c r="J1038" s="275">
        <v>600</v>
      </c>
      <c r="K1038" s="274">
        <v>500</v>
      </c>
      <c r="L1038" s="275">
        <v>600</v>
      </c>
      <c r="M1038" s="276" t="s">
        <v>3403</v>
      </c>
      <c r="N1038" s="273"/>
      <c r="O1038" s="276" t="s">
        <v>1285</v>
      </c>
      <c r="P1038" s="277" t="s">
        <v>1403</v>
      </c>
      <c r="Q1038" s="272"/>
      <c r="R1038" s="271"/>
      <c r="S1038" s="270"/>
      <c r="T1038" s="277" t="s">
        <v>29</v>
      </c>
      <c r="U1038" s="276" t="s">
        <v>14</v>
      </c>
      <c r="V1038" s="277">
        <v>1201</v>
      </c>
      <c r="W1038" s="269"/>
      <c r="X1038" s="268" t="s">
        <v>1363</v>
      </c>
      <c r="Y1038" s="267">
        <v>44671.285694444443</v>
      </c>
    </row>
    <row r="1039" spans="1:25">
      <c r="A1039" s="280" t="s">
        <v>100</v>
      </c>
      <c r="B1039" s="279" t="s">
        <v>1385</v>
      </c>
      <c r="C1039" s="278" t="s">
        <v>3404</v>
      </c>
      <c r="D1039" s="277" t="s">
        <v>2067</v>
      </c>
      <c r="E1039" s="276" t="s">
        <v>1419</v>
      </c>
      <c r="F1039" s="277" t="s">
        <v>21</v>
      </c>
      <c r="G1039" s="276" t="s">
        <v>208</v>
      </c>
      <c r="H1039" s="275">
        <v>17</v>
      </c>
      <c r="I1039" s="276"/>
      <c r="J1039" s="275">
        <v>0</v>
      </c>
      <c r="K1039" s="274"/>
      <c r="L1039" s="275">
        <v>0</v>
      </c>
      <c r="M1039" s="276" t="s">
        <v>1600</v>
      </c>
      <c r="N1039" s="273"/>
      <c r="O1039" s="276" t="s">
        <v>1285</v>
      </c>
      <c r="P1039" s="277" t="s">
        <v>1407</v>
      </c>
      <c r="Q1039" s="272"/>
      <c r="R1039" s="271"/>
      <c r="S1039" s="270"/>
      <c r="T1039" s="277" t="s">
        <v>29</v>
      </c>
      <c r="U1039" s="276" t="s">
        <v>17</v>
      </c>
      <c r="V1039" s="277">
        <v>1202</v>
      </c>
      <c r="W1039" s="269"/>
      <c r="X1039" s="268" t="s">
        <v>208</v>
      </c>
      <c r="Y1039" s="267">
        <v>43769.416655092595</v>
      </c>
    </row>
    <row r="1040" spans="1:25">
      <c r="A1040" s="280" t="s">
        <v>80</v>
      </c>
      <c r="B1040" s="279" t="s">
        <v>1320</v>
      </c>
      <c r="C1040" s="278" t="s">
        <v>3405</v>
      </c>
      <c r="D1040" s="277" t="s">
        <v>1667</v>
      </c>
      <c r="E1040" s="276" t="s">
        <v>1365</v>
      </c>
      <c r="F1040" s="277" t="s">
        <v>1431</v>
      </c>
      <c r="G1040" s="276" t="s">
        <v>3406</v>
      </c>
      <c r="H1040" s="275">
        <v>1</v>
      </c>
      <c r="I1040" s="276"/>
      <c r="J1040" s="275">
        <v>0.5</v>
      </c>
      <c r="K1040" s="274"/>
      <c r="L1040" s="275">
        <v>0.5</v>
      </c>
      <c r="M1040" s="276" t="s">
        <v>1623</v>
      </c>
      <c r="N1040" s="273"/>
      <c r="O1040" s="276" t="s">
        <v>55</v>
      </c>
      <c r="P1040" s="277" t="s">
        <v>1362</v>
      </c>
      <c r="Q1040" s="272"/>
      <c r="R1040" s="271"/>
      <c r="S1040" s="270"/>
      <c r="T1040" s="277" t="s">
        <v>25</v>
      </c>
      <c r="U1040" s="276" t="s">
        <v>21</v>
      </c>
      <c r="V1040" s="277">
        <v>1295</v>
      </c>
      <c r="W1040" s="269"/>
      <c r="X1040" s="268" t="s">
        <v>1363</v>
      </c>
      <c r="Y1040" s="267">
        <v>44671.363252314812</v>
      </c>
    </row>
    <row r="1041" spans="1:25">
      <c r="A1041" s="280" t="s">
        <v>100</v>
      </c>
      <c r="B1041" s="279" t="s">
        <v>1320</v>
      </c>
      <c r="C1041" s="278" t="s">
        <v>3407</v>
      </c>
      <c r="D1041" s="277" t="s">
        <v>3216</v>
      </c>
      <c r="E1041" s="276" t="s">
        <v>1359</v>
      </c>
      <c r="F1041" s="277" t="s">
        <v>3217</v>
      </c>
      <c r="G1041" s="276" t="s">
        <v>3408</v>
      </c>
      <c r="H1041" s="275">
        <v>1</v>
      </c>
      <c r="I1041" s="276"/>
      <c r="J1041" s="275">
        <v>1.1000000000000001</v>
      </c>
      <c r="K1041" s="274"/>
      <c r="L1041" s="275">
        <v>1.1000000000000001</v>
      </c>
      <c r="M1041" s="276" t="s">
        <v>2494</v>
      </c>
      <c r="N1041" s="273"/>
      <c r="O1041" s="276" t="s">
        <v>55</v>
      </c>
      <c r="P1041" s="277" t="s">
        <v>1362</v>
      </c>
      <c r="Q1041" s="272"/>
      <c r="R1041" s="271" t="s">
        <v>1959</v>
      </c>
      <c r="S1041" s="270"/>
      <c r="T1041" s="277" t="s">
        <v>25</v>
      </c>
      <c r="U1041" s="276" t="s">
        <v>19</v>
      </c>
      <c r="V1041" s="277">
        <v>1313</v>
      </c>
      <c r="W1041" s="269"/>
      <c r="X1041" s="268" t="s">
        <v>1363</v>
      </c>
      <c r="Y1041" s="267">
        <v>44671.379907407405</v>
      </c>
    </row>
    <row r="1042" spans="1:25">
      <c r="A1042" s="280" t="s">
        <v>80</v>
      </c>
      <c r="B1042" s="279" t="s">
        <v>1385</v>
      </c>
      <c r="C1042" s="278" t="s">
        <v>3409</v>
      </c>
      <c r="D1042" s="277" t="s">
        <v>3410</v>
      </c>
      <c r="E1042" s="276" t="s">
        <v>1391</v>
      </c>
      <c r="F1042" s="277" t="s">
        <v>21</v>
      </c>
      <c r="G1042" s="276" t="s">
        <v>208</v>
      </c>
      <c r="H1042" s="275">
        <v>1</v>
      </c>
      <c r="I1042" s="276"/>
      <c r="J1042" s="275">
        <v>115</v>
      </c>
      <c r="K1042" s="274"/>
      <c r="L1042" s="275">
        <v>115</v>
      </c>
      <c r="M1042" s="276" t="s">
        <v>3411</v>
      </c>
      <c r="N1042" s="273">
        <v>230</v>
      </c>
      <c r="O1042" s="276" t="s">
        <v>1285</v>
      </c>
      <c r="P1042" s="277" t="s">
        <v>1403</v>
      </c>
      <c r="Q1042" s="272"/>
      <c r="R1042" s="271"/>
      <c r="S1042" s="270"/>
      <c r="T1042" s="277" t="s">
        <v>29</v>
      </c>
      <c r="U1042" s="276" t="s">
        <v>20</v>
      </c>
      <c r="V1042" s="277">
        <v>1911</v>
      </c>
      <c r="W1042" s="269" t="s">
        <v>3952</v>
      </c>
      <c r="X1042" s="268" t="s">
        <v>1583</v>
      </c>
      <c r="Y1042" s="267">
        <v>44679.629189814812</v>
      </c>
    </row>
    <row r="1043" spans="1:25">
      <c r="A1043" s="280" t="s">
        <v>80</v>
      </c>
      <c r="B1043" s="279" t="s">
        <v>1385</v>
      </c>
      <c r="C1043" s="278" t="s">
        <v>3412</v>
      </c>
      <c r="D1043" s="277" t="s">
        <v>3413</v>
      </c>
      <c r="E1043" s="276"/>
      <c r="F1043" s="277" t="s">
        <v>21</v>
      </c>
      <c r="G1043" s="276"/>
      <c r="H1043" s="275"/>
      <c r="I1043" s="276"/>
      <c r="J1043" s="275"/>
      <c r="K1043" s="274"/>
      <c r="L1043" s="275">
        <v>200</v>
      </c>
      <c r="M1043" s="276"/>
      <c r="N1043" s="273"/>
      <c r="O1043" s="276" t="s">
        <v>1285</v>
      </c>
      <c r="P1043" s="277"/>
      <c r="Q1043" s="272"/>
      <c r="R1043" s="271" t="s">
        <v>208</v>
      </c>
      <c r="S1043" s="270"/>
      <c r="T1043" s="277" t="s">
        <v>29</v>
      </c>
      <c r="U1043" s="276" t="s">
        <v>20</v>
      </c>
      <c r="V1043" s="277" t="s">
        <v>208</v>
      </c>
      <c r="W1043" s="269" t="s">
        <v>3414</v>
      </c>
      <c r="X1043" s="268"/>
      <c r="Y1043" s="267" t="s">
        <v>208</v>
      </c>
    </row>
    <row r="1044" spans="1:25">
      <c r="A1044" s="280" t="s">
        <v>80</v>
      </c>
      <c r="B1044" s="279" t="s">
        <v>1320</v>
      </c>
      <c r="C1044" s="278" t="s">
        <v>4100</v>
      </c>
      <c r="D1044" s="277" t="s">
        <v>2567</v>
      </c>
      <c r="E1044" s="276" t="s">
        <v>1493</v>
      </c>
      <c r="F1044" s="277" t="s">
        <v>1431</v>
      </c>
      <c r="G1044" s="276" t="s">
        <v>4101</v>
      </c>
      <c r="H1044" s="275">
        <v>5</v>
      </c>
      <c r="I1044" s="276"/>
      <c r="J1044" s="275">
        <v>30.8</v>
      </c>
      <c r="K1044" s="274"/>
      <c r="L1044" s="275">
        <v>154</v>
      </c>
      <c r="M1044" s="276" t="s">
        <v>2894</v>
      </c>
      <c r="N1044" s="273"/>
      <c r="O1044" s="276" t="s">
        <v>303</v>
      </c>
      <c r="P1044" s="277" t="s">
        <v>1362</v>
      </c>
      <c r="Q1044" s="272"/>
      <c r="R1044" s="271" t="s">
        <v>4102</v>
      </c>
      <c r="S1044" s="270">
        <v>44525</v>
      </c>
      <c r="T1044" s="277" t="s">
        <v>30</v>
      </c>
      <c r="U1044" s="276" t="s">
        <v>14</v>
      </c>
      <c r="V1044" s="277">
        <v>1532</v>
      </c>
      <c r="W1044" s="269"/>
      <c r="X1044" s="268" t="s">
        <v>1404</v>
      </c>
      <c r="Y1044" s="267">
        <v>44526.358090277776</v>
      </c>
    </row>
    <row r="1045" spans="1:25">
      <c r="A1045" s="280" t="s">
        <v>80</v>
      </c>
      <c r="B1045" s="279" t="s">
        <v>1320</v>
      </c>
      <c r="C1045" s="278" t="s">
        <v>411</v>
      </c>
      <c r="D1045" s="277" t="s">
        <v>202</v>
      </c>
      <c r="E1045" s="276" t="s">
        <v>1493</v>
      </c>
      <c r="F1045" s="277" t="s">
        <v>1431</v>
      </c>
      <c r="G1045" s="276" t="s">
        <v>412</v>
      </c>
      <c r="H1045" s="275">
        <v>4</v>
      </c>
      <c r="I1045" s="276"/>
      <c r="J1045" s="275">
        <v>30.8</v>
      </c>
      <c r="K1045" s="274"/>
      <c r="L1045" s="275">
        <v>123.2</v>
      </c>
      <c r="M1045" s="276" t="s">
        <v>3415</v>
      </c>
      <c r="N1045" s="273"/>
      <c r="O1045" s="276" t="s">
        <v>303</v>
      </c>
      <c r="P1045" s="277" t="s">
        <v>1403</v>
      </c>
      <c r="Q1045" s="272"/>
      <c r="R1045" s="271" t="s">
        <v>1369</v>
      </c>
      <c r="S1045" s="270">
        <v>44682</v>
      </c>
      <c r="T1045" s="277" t="s">
        <v>30</v>
      </c>
      <c r="U1045" s="276" t="s">
        <v>14</v>
      </c>
      <c r="V1045" s="277">
        <v>1533</v>
      </c>
      <c r="W1045" s="269"/>
      <c r="X1045" s="268" t="s">
        <v>1453</v>
      </c>
      <c r="Y1045" s="267">
        <v>44747.478206018517</v>
      </c>
    </row>
    <row r="1046" spans="1:25">
      <c r="A1046" s="280" t="s">
        <v>46</v>
      </c>
      <c r="B1046" s="279" t="s">
        <v>1385</v>
      </c>
      <c r="C1046" s="278" t="s">
        <v>3416</v>
      </c>
      <c r="D1046" s="277" t="s">
        <v>1852</v>
      </c>
      <c r="E1046" s="276" t="s">
        <v>1398</v>
      </c>
      <c r="F1046" s="277" t="s">
        <v>1388</v>
      </c>
      <c r="G1046" s="276" t="s">
        <v>208</v>
      </c>
      <c r="H1046" s="275">
        <v>10</v>
      </c>
      <c r="I1046" s="276"/>
      <c r="J1046" s="275">
        <v>2.93</v>
      </c>
      <c r="K1046" s="274"/>
      <c r="L1046" s="275">
        <v>29.3</v>
      </c>
      <c r="M1046" s="276" t="s">
        <v>3417</v>
      </c>
      <c r="N1046" s="273"/>
      <c r="O1046" s="276" t="s">
        <v>1285</v>
      </c>
      <c r="P1046" s="277" t="s">
        <v>1362</v>
      </c>
      <c r="Q1046" s="272" t="s">
        <v>1453</v>
      </c>
      <c r="R1046" s="271" t="s">
        <v>1832</v>
      </c>
      <c r="S1046" s="270"/>
      <c r="T1046" s="277" t="s">
        <v>29</v>
      </c>
      <c r="U1046" s="276" t="s">
        <v>1388</v>
      </c>
      <c r="V1046" s="277">
        <v>1714</v>
      </c>
      <c r="W1046" s="269" t="s">
        <v>3928</v>
      </c>
      <c r="X1046" s="268" t="s">
        <v>1453</v>
      </c>
      <c r="Y1046" s="267">
        <v>44747.380601851852</v>
      </c>
    </row>
    <row r="1047" spans="1:25" ht="22.5">
      <c r="A1047" s="280" t="s">
        <v>100</v>
      </c>
      <c r="B1047" s="279" t="s">
        <v>1385</v>
      </c>
      <c r="C1047" s="278" t="s">
        <v>3418</v>
      </c>
      <c r="D1047" s="277" t="s">
        <v>3419</v>
      </c>
      <c r="E1047" s="276" t="s">
        <v>1391</v>
      </c>
      <c r="F1047" s="277" t="s">
        <v>21</v>
      </c>
      <c r="G1047" s="276" t="s">
        <v>208</v>
      </c>
      <c r="H1047" s="275"/>
      <c r="I1047" s="276"/>
      <c r="J1047" s="275">
        <v>2.9</v>
      </c>
      <c r="K1047" s="274"/>
      <c r="L1047" s="275">
        <v>290</v>
      </c>
      <c r="M1047" s="276" t="s">
        <v>2269</v>
      </c>
      <c r="N1047" s="273"/>
      <c r="O1047" s="276" t="s">
        <v>1285</v>
      </c>
      <c r="P1047" s="277" t="s">
        <v>1403</v>
      </c>
      <c r="Q1047" s="272"/>
      <c r="R1047" s="271"/>
      <c r="S1047" s="270"/>
      <c r="T1047" s="277" t="s">
        <v>29</v>
      </c>
      <c r="U1047" s="276" t="s">
        <v>20</v>
      </c>
      <c r="V1047" s="277">
        <v>1913</v>
      </c>
      <c r="W1047" s="269" t="s">
        <v>3420</v>
      </c>
      <c r="X1047" s="268" t="s">
        <v>1395</v>
      </c>
      <c r="Y1047" s="267">
        <v>44398.547199074077</v>
      </c>
    </row>
    <row r="1048" spans="1:25" ht="22.5">
      <c r="A1048" s="280" t="s">
        <v>100</v>
      </c>
      <c r="B1048" s="279" t="s">
        <v>1385</v>
      </c>
      <c r="C1048" s="278" t="s">
        <v>3421</v>
      </c>
      <c r="D1048" s="277" t="s">
        <v>221</v>
      </c>
      <c r="E1048" s="276" t="s">
        <v>1391</v>
      </c>
      <c r="F1048" s="277" t="s">
        <v>21</v>
      </c>
      <c r="G1048" s="276" t="s">
        <v>208</v>
      </c>
      <c r="H1048" s="275">
        <v>1</v>
      </c>
      <c r="I1048" s="276"/>
      <c r="J1048" s="275">
        <v>200</v>
      </c>
      <c r="K1048" s="274"/>
      <c r="L1048" s="275">
        <v>200</v>
      </c>
      <c r="M1048" s="276" t="s">
        <v>1615</v>
      </c>
      <c r="N1048" s="273">
        <v>400</v>
      </c>
      <c r="O1048" s="276" t="s">
        <v>1285</v>
      </c>
      <c r="P1048" s="277" t="s">
        <v>1403</v>
      </c>
      <c r="Q1048" s="272"/>
      <c r="R1048" s="271"/>
      <c r="S1048" s="270"/>
      <c r="T1048" s="277" t="s">
        <v>29</v>
      </c>
      <c r="U1048" s="276" t="s">
        <v>20</v>
      </c>
      <c r="V1048" s="277">
        <v>1931</v>
      </c>
      <c r="W1048" s="269" t="s">
        <v>3422</v>
      </c>
      <c r="X1048" s="268" t="s">
        <v>1363</v>
      </c>
      <c r="Y1048" s="267">
        <v>44670.608356481483</v>
      </c>
    </row>
    <row r="1049" spans="1:25">
      <c r="A1049" s="280" t="s">
        <v>80</v>
      </c>
      <c r="B1049" s="279" t="s">
        <v>1320</v>
      </c>
      <c r="C1049" s="278" t="s">
        <v>3423</v>
      </c>
      <c r="D1049" s="277" t="s">
        <v>3424</v>
      </c>
      <c r="E1049" s="276" t="s">
        <v>3425</v>
      </c>
      <c r="F1049" s="277" t="s">
        <v>18</v>
      </c>
      <c r="G1049" s="276" t="s">
        <v>208</v>
      </c>
      <c r="H1049" s="275">
        <v>1</v>
      </c>
      <c r="I1049" s="276"/>
      <c r="J1049" s="275">
        <v>1.86</v>
      </c>
      <c r="K1049" s="274"/>
      <c r="L1049" s="275">
        <v>1.86</v>
      </c>
      <c r="M1049" s="276" t="s">
        <v>3426</v>
      </c>
      <c r="N1049" s="273"/>
      <c r="O1049" s="276" t="s">
        <v>55</v>
      </c>
      <c r="P1049" s="277" t="s">
        <v>1362</v>
      </c>
      <c r="Q1049" s="272"/>
      <c r="R1049" s="271"/>
      <c r="S1049" s="270"/>
      <c r="T1049" s="277" t="s">
        <v>25</v>
      </c>
      <c r="U1049" s="276" t="s">
        <v>18</v>
      </c>
      <c r="V1049" s="277">
        <v>1204</v>
      </c>
      <c r="W1049" s="269"/>
      <c r="X1049" s="268" t="s">
        <v>1400</v>
      </c>
      <c r="Y1049" s="267">
        <v>43769.416655092595</v>
      </c>
    </row>
    <row r="1050" spans="1:25">
      <c r="A1050" s="280" t="s">
        <v>46</v>
      </c>
      <c r="B1050" s="279" t="s">
        <v>1385</v>
      </c>
      <c r="C1050" s="278" t="s">
        <v>4003</v>
      </c>
      <c r="D1050" s="277" t="s">
        <v>1676</v>
      </c>
      <c r="E1050" s="276"/>
      <c r="F1050" s="277" t="s">
        <v>1529</v>
      </c>
      <c r="G1050" s="276"/>
      <c r="H1050" s="275"/>
      <c r="I1050" s="276"/>
      <c r="J1050" s="275"/>
      <c r="K1050" s="274"/>
      <c r="L1050" s="275">
        <v>300</v>
      </c>
      <c r="M1050" s="276"/>
      <c r="N1050" s="273"/>
      <c r="O1050" s="276" t="s">
        <v>1285</v>
      </c>
      <c r="P1050" s="277"/>
      <c r="Q1050" s="272"/>
      <c r="R1050" s="271"/>
      <c r="S1050" s="270"/>
      <c r="T1050" s="277" t="s">
        <v>29</v>
      </c>
      <c r="U1050" s="276" t="s">
        <v>20</v>
      </c>
      <c r="V1050" s="277"/>
      <c r="W1050" s="269" t="s">
        <v>4036</v>
      </c>
      <c r="X1050" s="268"/>
      <c r="Y1050" s="267"/>
    </row>
    <row r="1051" spans="1:25">
      <c r="A1051" s="280" t="s">
        <v>46</v>
      </c>
      <c r="B1051" s="279" t="s">
        <v>1320</v>
      </c>
      <c r="C1051" s="278" t="s">
        <v>3427</v>
      </c>
      <c r="D1051" s="277" t="s">
        <v>2147</v>
      </c>
      <c r="E1051" s="276" t="s">
        <v>1569</v>
      </c>
      <c r="F1051" s="277" t="s">
        <v>18</v>
      </c>
      <c r="G1051" s="276" t="s">
        <v>3428</v>
      </c>
      <c r="H1051" s="275">
        <v>1</v>
      </c>
      <c r="I1051" s="276"/>
      <c r="J1051" s="275">
        <v>2.5</v>
      </c>
      <c r="K1051" s="274"/>
      <c r="L1051" s="275">
        <v>2.5</v>
      </c>
      <c r="M1051" s="276" t="s">
        <v>2453</v>
      </c>
      <c r="N1051" s="273"/>
      <c r="O1051" s="276" t="s">
        <v>55</v>
      </c>
      <c r="P1051" s="277" t="s">
        <v>1362</v>
      </c>
      <c r="Q1051" s="272"/>
      <c r="R1051" s="271"/>
      <c r="S1051" s="270"/>
      <c r="T1051" s="277" t="s">
        <v>25</v>
      </c>
      <c r="U1051" s="276" t="s">
        <v>18</v>
      </c>
      <c r="V1051" s="277">
        <v>1205</v>
      </c>
      <c r="W1051" s="269"/>
      <c r="X1051" s="268" t="s">
        <v>1400</v>
      </c>
      <c r="Y1051" s="267">
        <v>43999</v>
      </c>
    </row>
    <row r="1052" spans="1:25">
      <c r="A1052" s="280" t="s">
        <v>80</v>
      </c>
      <c r="B1052" s="279" t="s">
        <v>1385</v>
      </c>
      <c r="C1052" s="278" t="s">
        <v>3429</v>
      </c>
      <c r="D1052" s="277" t="s">
        <v>3430</v>
      </c>
      <c r="E1052" s="276" t="s">
        <v>1398</v>
      </c>
      <c r="F1052" s="277" t="s">
        <v>1388</v>
      </c>
      <c r="G1052" s="276" t="s">
        <v>208</v>
      </c>
      <c r="H1052" s="275">
        <v>1</v>
      </c>
      <c r="I1052" s="276"/>
      <c r="J1052" s="275">
        <v>200</v>
      </c>
      <c r="K1052" s="274"/>
      <c r="L1052" s="275">
        <v>200</v>
      </c>
      <c r="M1052" s="276" t="s">
        <v>1615</v>
      </c>
      <c r="N1052" s="273"/>
      <c r="O1052" s="276" t="s">
        <v>1285</v>
      </c>
      <c r="P1052" s="277" t="s">
        <v>1407</v>
      </c>
      <c r="Q1052" s="272"/>
      <c r="R1052" s="271"/>
      <c r="S1052" s="270"/>
      <c r="T1052" s="277" t="s">
        <v>29</v>
      </c>
      <c r="U1052" s="276" t="s">
        <v>1388</v>
      </c>
      <c r="V1052" s="277">
        <v>118</v>
      </c>
      <c r="W1052" s="269"/>
      <c r="X1052" s="268" t="s">
        <v>208</v>
      </c>
      <c r="Y1052" s="267">
        <v>43312</v>
      </c>
    </row>
    <row r="1053" spans="1:25">
      <c r="A1053" s="280" t="s">
        <v>80</v>
      </c>
      <c r="B1053" s="279" t="s">
        <v>1385</v>
      </c>
      <c r="C1053" s="278" t="s">
        <v>3431</v>
      </c>
      <c r="D1053" s="277" t="s">
        <v>3430</v>
      </c>
      <c r="E1053" s="276" t="s">
        <v>1398</v>
      </c>
      <c r="F1053" s="277" t="s">
        <v>1388</v>
      </c>
      <c r="G1053" s="276" t="s">
        <v>208</v>
      </c>
      <c r="H1053" s="275">
        <v>1</v>
      </c>
      <c r="I1053" s="276"/>
      <c r="J1053" s="275">
        <v>200</v>
      </c>
      <c r="K1053" s="274"/>
      <c r="L1053" s="275">
        <v>200</v>
      </c>
      <c r="M1053" s="276" t="s">
        <v>1615</v>
      </c>
      <c r="N1053" s="273"/>
      <c r="O1053" s="276" t="s">
        <v>1285</v>
      </c>
      <c r="P1053" s="277" t="s">
        <v>1407</v>
      </c>
      <c r="Q1053" s="272"/>
      <c r="R1053" s="271"/>
      <c r="S1053" s="270"/>
      <c r="T1053" s="277" t="s">
        <v>29</v>
      </c>
      <c r="U1053" s="276" t="s">
        <v>1388</v>
      </c>
      <c r="V1053" s="277">
        <v>119</v>
      </c>
      <c r="W1053" s="269"/>
      <c r="X1053" s="268" t="s">
        <v>208</v>
      </c>
      <c r="Y1053" s="267">
        <v>43312</v>
      </c>
    </row>
    <row r="1054" spans="1:25">
      <c r="A1054" s="280" t="s">
        <v>62</v>
      </c>
      <c r="B1054" s="279" t="s">
        <v>1385</v>
      </c>
      <c r="C1054" s="278" t="s">
        <v>3432</v>
      </c>
      <c r="D1054" s="277" t="s">
        <v>107</v>
      </c>
      <c r="E1054" s="276" t="s">
        <v>1429</v>
      </c>
      <c r="F1054" s="277" t="s">
        <v>1388</v>
      </c>
      <c r="G1054" s="276" t="s">
        <v>208</v>
      </c>
      <c r="H1054" s="275">
        <v>28</v>
      </c>
      <c r="I1054" s="276"/>
      <c r="J1054" s="275">
        <v>3</v>
      </c>
      <c r="K1054" s="274"/>
      <c r="L1054" s="275">
        <v>84</v>
      </c>
      <c r="M1054" s="276" t="s">
        <v>2109</v>
      </c>
      <c r="N1054" s="273"/>
      <c r="O1054" s="276" t="s">
        <v>1285</v>
      </c>
      <c r="P1054" s="277" t="s">
        <v>1407</v>
      </c>
      <c r="Q1054" s="272"/>
      <c r="R1054" s="271"/>
      <c r="S1054" s="270"/>
      <c r="T1054" s="277" t="s">
        <v>29</v>
      </c>
      <c r="U1054" s="276" t="s">
        <v>1388</v>
      </c>
      <c r="V1054" s="277">
        <v>1704</v>
      </c>
      <c r="W1054" s="269"/>
      <c r="X1054" s="268" t="s">
        <v>1400</v>
      </c>
      <c r="Y1054" s="267">
        <v>44341.370138888888</v>
      </c>
    </row>
    <row r="1055" spans="1:25">
      <c r="A1055" s="280" t="s">
        <v>100</v>
      </c>
      <c r="B1055" s="279" t="s">
        <v>1385</v>
      </c>
      <c r="C1055" s="278" t="s">
        <v>4020</v>
      </c>
      <c r="D1055" s="277" t="s">
        <v>4021</v>
      </c>
      <c r="E1055" s="276"/>
      <c r="F1055" s="277" t="s">
        <v>1529</v>
      </c>
      <c r="G1055" s="276"/>
      <c r="H1055" s="275">
        <v>160</v>
      </c>
      <c r="I1055" s="276"/>
      <c r="J1055" s="275"/>
      <c r="K1055" s="274"/>
      <c r="L1055" s="275">
        <v>320</v>
      </c>
      <c r="M1055" s="276">
        <v>320</v>
      </c>
      <c r="N1055" s="273"/>
      <c r="O1055" s="276" t="s">
        <v>1285</v>
      </c>
      <c r="P1055" s="277"/>
      <c r="Q1055" s="272"/>
      <c r="R1055" s="271"/>
      <c r="S1055" s="270"/>
      <c r="T1055" s="277" t="s">
        <v>29</v>
      </c>
      <c r="U1055" s="276" t="s">
        <v>20</v>
      </c>
      <c r="V1055" s="277"/>
      <c r="W1055" s="269" t="s">
        <v>4048</v>
      </c>
      <c r="X1055" s="268"/>
      <c r="Y1055" s="267"/>
    </row>
    <row r="1056" spans="1:25">
      <c r="A1056" s="280" t="s">
        <v>46</v>
      </c>
      <c r="B1056" s="279" t="s">
        <v>1385</v>
      </c>
      <c r="C1056" s="278" t="s">
        <v>3433</v>
      </c>
      <c r="D1056" s="277" t="s">
        <v>1676</v>
      </c>
      <c r="E1056" s="276"/>
      <c r="F1056" s="277" t="s">
        <v>17</v>
      </c>
      <c r="G1056" s="276"/>
      <c r="H1056" s="275"/>
      <c r="I1056" s="276"/>
      <c r="J1056" s="275"/>
      <c r="K1056" s="274"/>
      <c r="L1056" s="275">
        <v>260</v>
      </c>
      <c r="M1056" s="276"/>
      <c r="N1056" s="273"/>
      <c r="O1056" s="276" t="s">
        <v>1285</v>
      </c>
      <c r="P1056" s="277"/>
      <c r="Q1056" s="272"/>
      <c r="R1056" s="271"/>
      <c r="S1056" s="270"/>
      <c r="T1056" s="277" t="s">
        <v>29</v>
      </c>
      <c r="U1056" s="276" t="s">
        <v>17</v>
      </c>
      <c r="V1056" s="277" t="s">
        <v>208</v>
      </c>
      <c r="W1056" s="269" t="s">
        <v>3434</v>
      </c>
      <c r="X1056" s="268"/>
      <c r="Y1056" s="267" t="s">
        <v>208</v>
      </c>
    </row>
    <row r="1057" spans="1:25">
      <c r="A1057" s="280" t="s">
        <v>62</v>
      </c>
      <c r="B1057" s="279" t="s">
        <v>1320</v>
      </c>
      <c r="C1057" s="278" t="s">
        <v>3435</v>
      </c>
      <c r="D1057" s="277" t="s">
        <v>3435</v>
      </c>
      <c r="E1057" s="276" t="s">
        <v>1359</v>
      </c>
      <c r="F1057" s="277" t="s">
        <v>19</v>
      </c>
      <c r="G1057" s="276" t="s">
        <v>3436</v>
      </c>
      <c r="H1057" s="275">
        <v>4</v>
      </c>
      <c r="I1057" s="276"/>
      <c r="J1057" s="275">
        <v>1.1000000000000001</v>
      </c>
      <c r="K1057" s="274"/>
      <c r="L1057" s="275">
        <v>4.4000000000000004</v>
      </c>
      <c r="M1057" s="276" t="s">
        <v>2001</v>
      </c>
      <c r="N1057" s="273"/>
      <c r="O1057" s="276" t="s">
        <v>55</v>
      </c>
      <c r="P1057" s="277" t="s">
        <v>1362</v>
      </c>
      <c r="Q1057" s="272"/>
      <c r="R1057" s="271" t="s">
        <v>3437</v>
      </c>
      <c r="S1057" s="270"/>
      <c r="T1057" s="277" t="s">
        <v>25</v>
      </c>
      <c r="U1057" s="276" t="s">
        <v>19</v>
      </c>
      <c r="V1057" s="277">
        <v>1321</v>
      </c>
      <c r="W1057" s="269"/>
      <c r="X1057" s="268" t="s">
        <v>1400</v>
      </c>
      <c r="Y1057" s="267">
        <v>43769.416655092595</v>
      </c>
    </row>
    <row r="1058" spans="1:25">
      <c r="A1058" s="280" t="s">
        <v>62</v>
      </c>
      <c r="B1058" s="279" t="s">
        <v>1385</v>
      </c>
      <c r="C1058" s="278" t="s">
        <v>3438</v>
      </c>
      <c r="D1058" s="277" t="s">
        <v>3439</v>
      </c>
      <c r="E1058" s="276" t="s">
        <v>1398</v>
      </c>
      <c r="F1058" s="277" t="s">
        <v>1388</v>
      </c>
      <c r="G1058" s="276" t="s">
        <v>208</v>
      </c>
      <c r="H1058" s="275">
        <v>50</v>
      </c>
      <c r="I1058" s="276"/>
      <c r="J1058" s="275">
        <v>1.54</v>
      </c>
      <c r="K1058" s="274"/>
      <c r="L1058" s="275">
        <v>77</v>
      </c>
      <c r="M1058" s="276" t="s">
        <v>2212</v>
      </c>
      <c r="N1058" s="273">
        <v>0</v>
      </c>
      <c r="O1058" s="276" t="s">
        <v>1285</v>
      </c>
      <c r="P1058" s="277" t="s">
        <v>1407</v>
      </c>
      <c r="Q1058" s="272"/>
      <c r="R1058" s="271"/>
      <c r="S1058" s="270"/>
      <c r="T1058" s="277" t="s">
        <v>29</v>
      </c>
      <c r="U1058" s="276" t="s">
        <v>1388</v>
      </c>
      <c r="V1058" s="277">
        <v>1539</v>
      </c>
      <c r="W1058" s="269"/>
      <c r="X1058" s="268" t="s">
        <v>1400</v>
      </c>
      <c r="Y1058" s="267">
        <v>44679.717928240738</v>
      </c>
    </row>
    <row r="1059" spans="1:25">
      <c r="A1059" s="280" t="s">
        <v>46</v>
      </c>
      <c r="B1059" s="279" t="s">
        <v>1385</v>
      </c>
      <c r="C1059" s="278" t="s">
        <v>3440</v>
      </c>
      <c r="D1059" s="277" t="s">
        <v>1852</v>
      </c>
      <c r="E1059" s="276" t="s">
        <v>1398</v>
      </c>
      <c r="F1059" s="277" t="s">
        <v>1388</v>
      </c>
      <c r="G1059" s="276" t="s">
        <v>208</v>
      </c>
      <c r="H1059" s="275">
        <v>152</v>
      </c>
      <c r="I1059" s="276"/>
      <c r="J1059" s="275">
        <v>1.637</v>
      </c>
      <c r="K1059" s="274"/>
      <c r="L1059" s="281">
        <v>248.82400000000001</v>
      </c>
      <c r="M1059" s="276" t="s">
        <v>3441</v>
      </c>
      <c r="N1059" s="273"/>
      <c r="O1059" s="276" t="s">
        <v>1285</v>
      </c>
      <c r="P1059" s="277" t="s">
        <v>1407</v>
      </c>
      <c r="Q1059" s="272" t="s">
        <v>1451</v>
      </c>
      <c r="R1059" s="271" t="s">
        <v>1832</v>
      </c>
      <c r="S1059" s="270"/>
      <c r="T1059" s="277" t="s">
        <v>29</v>
      </c>
      <c r="U1059" s="276" t="s">
        <v>1388</v>
      </c>
      <c r="V1059" s="277">
        <v>1683</v>
      </c>
      <c r="W1059" s="269" t="s">
        <v>3921</v>
      </c>
      <c r="X1059" s="268" t="s">
        <v>1453</v>
      </c>
      <c r="Y1059" s="267">
        <v>44746.635659722226</v>
      </c>
    </row>
    <row r="1060" spans="1:25">
      <c r="A1060" s="280" t="s">
        <v>100</v>
      </c>
      <c r="B1060" s="279" t="s">
        <v>1320</v>
      </c>
      <c r="C1060" s="278" t="s">
        <v>3442</v>
      </c>
      <c r="D1060" s="277" t="s">
        <v>3443</v>
      </c>
      <c r="E1060" s="276" t="s">
        <v>1419</v>
      </c>
      <c r="F1060" s="277" t="s">
        <v>17</v>
      </c>
      <c r="G1060" s="276" t="s">
        <v>3444</v>
      </c>
      <c r="H1060" s="275">
        <v>2</v>
      </c>
      <c r="I1060" s="276"/>
      <c r="J1060" s="275">
        <v>3.6</v>
      </c>
      <c r="K1060" s="274"/>
      <c r="L1060" s="275">
        <v>7.2</v>
      </c>
      <c r="M1060" s="276" t="s">
        <v>2117</v>
      </c>
      <c r="N1060" s="273">
        <v>0</v>
      </c>
      <c r="O1060" s="276" t="s">
        <v>55</v>
      </c>
      <c r="P1060" s="277" t="s">
        <v>1362</v>
      </c>
      <c r="Q1060" s="272"/>
      <c r="R1060" s="271"/>
      <c r="S1060" s="270"/>
      <c r="T1060" s="277" t="s">
        <v>25</v>
      </c>
      <c r="U1060" s="276" t="s">
        <v>17</v>
      </c>
      <c r="V1060" s="277">
        <v>1494</v>
      </c>
      <c r="W1060" s="269"/>
      <c r="X1060" s="268" t="s">
        <v>1400</v>
      </c>
      <c r="Y1060" s="267">
        <v>44679.720601851855</v>
      </c>
    </row>
    <row r="1061" spans="1:25">
      <c r="A1061" s="280" t="s">
        <v>62</v>
      </c>
      <c r="B1061" s="279" t="s">
        <v>1320</v>
      </c>
      <c r="C1061" s="278" t="s">
        <v>3445</v>
      </c>
      <c r="D1061" s="277" t="s">
        <v>1393</v>
      </c>
      <c r="E1061" s="276" t="s">
        <v>1398</v>
      </c>
      <c r="F1061" s="277" t="s">
        <v>1388</v>
      </c>
      <c r="G1061" s="276" t="s">
        <v>208</v>
      </c>
      <c r="H1061" s="275">
        <v>1</v>
      </c>
      <c r="I1061" s="276"/>
      <c r="J1061" s="275">
        <v>0.95399999999999996</v>
      </c>
      <c r="K1061" s="274"/>
      <c r="L1061" s="275">
        <v>0.95409999999999995</v>
      </c>
      <c r="M1061" s="276" t="s">
        <v>3446</v>
      </c>
      <c r="N1061" s="273"/>
      <c r="O1061" s="276" t="s">
        <v>55</v>
      </c>
      <c r="P1061" s="277" t="s">
        <v>1362</v>
      </c>
      <c r="Q1061" s="272"/>
      <c r="R1061" s="271"/>
      <c r="S1061" s="270"/>
      <c r="T1061" s="277" t="s">
        <v>25</v>
      </c>
      <c r="U1061" s="276" t="s">
        <v>1388</v>
      </c>
      <c r="V1061" s="277">
        <v>78</v>
      </c>
      <c r="W1061" s="269"/>
      <c r="X1061" s="268" t="s">
        <v>208</v>
      </c>
      <c r="Y1061" s="267">
        <v>43312</v>
      </c>
    </row>
    <row r="1062" spans="1:25" ht="22.5">
      <c r="A1062" s="280" t="s">
        <v>100</v>
      </c>
      <c r="B1062" s="279" t="s">
        <v>1320</v>
      </c>
      <c r="C1062" s="278" t="s">
        <v>3447</v>
      </c>
      <c r="D1062" s="277" t="s">
        <v>1393</v>
      </c>
      <c r="E1062" s="276" t="s">
        <v>1398</v>
      </c>
      <c r="F1062" s="277" t="s">
        <v>1388</v>
      </c>
      <c r="G1062" s="276" t="s">
        <v>208</v>
      </c>
      <c r="H1062" s="275">
        <v>1</v>
      </c>
      <c r="I1062" s="276"/>
      <c r="J1062" s="275">
        <v>0.35</v>
      </c>
      <c r="K1062" s="274"/>
      <c r="L1062" s="275">
        <v>0.3498</v>
      </c>
      <c r="M1062" s="276" t="s">
        <v>3448</v>
      </c>
      <c r="N1062" s="273"/>
      <c r="O1062" s="276" t="s">
        <v>55</v>
      </c>
      <c r="P1062" s="277" t="s">
        <v>1362</v>
      </c>
      <c r="Q1062" s="272"/>
      <c r="R1062" s="271"/>
      <c r="S1062" s="270"/>
      <c r="T1062" s="277" t="s">
        <v>25</v>
      </c>
      <c r="U1062" s="276" t="s">
        <v>1388</v>
      </c>
      <c r="V1062" s="277">
        <v>61</v>
      </c>
      <c r="W1062" s="269"/>
      <c r="X1062" s="268" t="s">
        <v>208</v>
      </c>
      <c r="Y1062" s="267">
        <v>43312</v>
      </c>
    </row>
    <row r="1063" spans="1:25" ht="22.5">
      <c r="A1063" s="280" t="s">
        <v>100</v>
      </c>
      <c r="B1063" s="279" t="s">
        <v>1320</v>
      </c>
      <c r="C1063" s="278" t="s">
        <v>3449</v>
      </c>
      <c r="D1063" s="277" t="s">
        <v>1393</v>
      </c>
      <c r="E1063" s="276" t="s">
        <v>1398</v>
      </c>
      <c r="F1063" s="277" t="s">
        <v>1388</v>
      </c>
      <c r="G1063" s="276" t="s">
        <v>208</v>
      </c>
      <c r="H1063" s="275">
        <v>1</v>
      </c>
      <c r="I1063" s="276"/>
      <c r="J1063" s="275">
        <v>0.223</v>
      </c>
      <c r="K1063" s="274"/>
      <c r="L1063" s="275">
        <v>0.223</v>
      </c>
      <c r="M1063" s="276" t="s">
        <v>3450</v>
      </c>
      <c r="N1063" s="273"/>
      <c r="O1063" s="276" t="s">
        <v>55</v>
      </c>
      <c r="P1063" s="277" t="s">
        <v>1362</v>
      </c>
      <c r="Q1063" s="272"/>
      <c r="R1063" s="271"/>
      <c r="S1063" s="270"/>
      <c r="T1063" s="277" t="s">
        <v>25</v>
      </c>
      <c r="U1063" s="276" t="s">
        <v>1388</v>
      </c>
      <c r="V1063" s="277">
        <v>62</v>
      </c>
      <c r="W1063" s="269"/>
      <c r="X1063" s="268" t="s">
        <v>208</v>
      </c>
      <c r="Y1063" s="267">
        <v>43312</v>
      </c>
    </row>
    <row r="1064" spans="1:25">
      <c r="A1064" s="280" t="s">
        <v>100</v>
      </c>
      <c r="B1064" s="279" t="s">
        <v>1320</v>
      </c>
      <c r="C1064" s="278" t="s">
        <v>3451</v>
      </c>
      <c r="D1064" s="277" t="s">
        <v>1393</v>
      </c>
      <c r="E1064" s="276" t="s">
        <v>1398</v>
      </c>
      <c r="F1064" s="277" t="s">
        <v>1388</v>
      </c>
      <c r="G1064" s="276" t="s">
        <v>208</v>
      </c>
      <c r="H1064" s="275">
        <v>1</v>
      </c>
      <c r="I1064" s="276"/>
      <c r="J1064" s="275">
        <v>0.125</v>
      </c>
      <c r="K1064" s="274"/>
      <c r="L1064" s="275">
        <v>0.1245</v>
      </c>
      <c r="M1064" s="276" t="s">
        <v>3452</v>
      </c>
      <c r="N1064" s="273"/>
      <c r="O1064" s="276" t="s">
        <v>55</v>
      </c>
      <c r="P1064" s="277" t="s">
        <v>1362</v>
      </c>
      <c r="Q1064" s="272"/>
      <c r="R1064" s="271"/>
      <c r="S1064" s="270"/>
      <c r="T1064" s="277" t="s">
        <v>25</v>
      </c>
      <c r="U1064" s="276" t="s">
        <v>1388</v>
      </c>
      <c r="V1064" s="277">
        <v>8</v>
      </c>
      <c r="W1064" s="269"/>
      <c r="X1064" s="268" t="s">
        <v>208</v>
      </c>
      <c r="Y1064" s="267">
        <v>43312</v>
      </c>
    </row>
    <row r="1065" spans="1:25">
      <c r="A1065" s="280" t="s">
        <v>46</v>
      </c>
      <c r="B1065" s="279" t="s">
        <v>1320</v>
      </c>
      <c r="C1065" s="278" t="s">
        <v>3453</v>
      </c>
      <c r="D1065" s="277" t="s">
        <v>1393</v>
      </c>
      <c r="E1065" s="276" t="s">
        <v>1398</v>
      </c>
      <c r="F1065" s="277" t="s">
        <v>1388</v>
      </c>
      <c r="G1065" s="276" t="s">
        <v>208</v>
      </c>
      <c r="H1065" s="275">
        <v>1</v>
      </c>
      <c r="I1065" s="276"/>
      <c r="J1065" s="275">
        <v>1.7689999999999999</v>
      </c>
      <c r="K1065" s="274"/>
      <c r="L1065" s="275">
        <v>1.7690999999999999</v>
      </c>
      <c r="M1065" s="276" t="s">
        <v>3454</v>
      </c>
      <c r="N1065" s="273"/>
      <c r="O1065" s="276" t="s">
        <v>55</v>
      </c>
      <c r="P1065" s="277" t="s">
        <v>1362</v>
      </c>
      <c r="Q1065" s="272"/>
      <c r="R1065" s="271"/>
      <c r="S1065" s="270"/>
      <c r="T1065" s="277" t="s">
        <v>25</v>
      </c>
      <c r="U1065" s="276" t="s">
        <v>1388</v>
      </c>
      <c r="V1065" s="277">
        <v>22</v>
      </c>
      <c r="W1065" s="269"/>
      <c r="X1065" s="268" t="s">
        <v>208</v>
      </c>
      <c r="Y1065" s="267">
        <v>43312</v>
      </c>
    </row>
    <row r="1066" spans="1:25">
      <c r="A1066" s="280" t="s">
        <v>46</v>
      </c>
      <c r="B1066" s="279" t="s">
        <v>1320</v>
      </c>
      <c r="C1066" s="278" t="s">
        <v>3455</v>
      </c>
      <c r="D1066" s="277" t="s">
        <v>1393</v>
      </c>
      <c r="E1066" s="276" t="s">
        <v>1398</v>
      </c>
      <c r="F1066" s="277" t="s">
        <v>1388</v>
      </c>
      <c r="G1066" s="276" t="s">
        <v>208</v>
      </c>
      <c r="H1066" s="275">
        <v>1</v>
      </c>
      <c r="I1066" s="276"/>
      <c r="J1066" s="275">
        <v>0.79500000000000004</v>
      </c>
      <c r="K1066" s="274"/>
      <c r="L1066" s="275">
        <v>0.79500000000000004</v>
      </c>
      <c r="M1066" s="276" t="s">
        <v>3456</v>
      </c>
      <c r="N1066" s="273"/>
      <c r="O1066" s="276" t="s">
        <v>55</v>
      </c>
      <c r="P1066" s="277" t="s">
        <v>1362</v>
      </c>
      <c r="Q1066" s="272"/>
      <c r="R1066" s="271"/>
      <c r="S1066" s="270"/>
      <c r="T1066" s="277" t="s">
        <v>25</v>
      </c>
      <c r="U1066" s="276" t="s">
        <v>1388</v>
      </c>
      <c r="V1066" s="277">
        <v>23</v>
      </c>
      <c r="W1066" s="269"/>
      <c r="X1066" s="268" t="s">
        <v>208</v>
      </c>
      <c r="Y1066" s="267">
        <v>43312</v>
      </c>
    </row>
    <row r="1067" spans="1:25">
      <c r="A1067" s="280" t="s">
        <v>46</v>
      </c>
      <c r="B1067" s="279" t="s">
        <v>1320</v>
      </c>
      <c r="C1067" s="278" t="s">
        <v>3457</v>
      </c>
      <c r="D1067" s="277" t="s">
        <v>1393</v>
      </c>
      <c r="E1067" s="276" t="s">
        <v>1398</v>
      </c>
      <c r="F1067" s="277" t="s">
        <v>1388</v>
      </c>
      <c r="G1067" s="276" t="s">
        <v>208</v>
      </c>
      <c r="H1067" s="275">
        <v>1</v>
      </c>
      <c r="I1067" s="276"/>
      <c r="J1067" s="275">
        <v>0.32</v>
      </c>
      <c r="K1067" s="274"/>
      <c r="L1067" s="275">
        <v>0.32040000000000002</v>
      </c>
      <c r="M1067" s="276" t="s">
        <v>3458</v>
      </c>
      <c r="N1067" s="273"/>
      <c r="O1067" s="276" t="s">
        <v>55</v>
      </c>
      <c r="P1067" s="277" t="s">
        <v>1362</v>
      </c>
      <c r="Q1067" s="272"/>
      <c r="R1067" s="271"/>
      <c r="S1067" s="270"/>
      <c r="T1067" s="277" t="s">
        <v>25</v>
      </c>
      <c r="U1067" s="276" t="s">
        <v>1388</v>
      </c>
      <c r="V1067" s="277">
        <v>24</v>
      </c>
      <c r="W1067" s="269"/>
      <c r="X1067" s="268" t="s">
        <v>208</v>
      </c>
      <c r="Y1067" s="267">
        <v>43312</v>
      </c>
    </row>
    <row r="1068" spans="1:25">
      <c r="A1068" s="280" t="s">
        <v>100</v>
      </c>
      <c r="B1068" s="279" t="s">
        <v>1320</v>
      </c>
      <c r="C1068" s="278" t="s">
        <v>3459</v>
      </c>
      <c r="D1068" s="277" t="s">
        <v>1393</v>
      </c>
      <c r="E1068" s="276" t="s">
        <v>1398</v>
      </c>
      <c r="F1068" s="277" t="s">
        <v>1388</v>
      </c>
      <c r="G1068" s="276" t="s">
        <v>208</v>
      </c>
      <c r="H1068" s="275">
        <v>1</v>
      </c>
      <c r="I1068" s="276"/>
      <c r="J1068" s="275">
        <v>0.184</v>
      </c>
      <c r="K1068" s="274"/>
      <c r="L1068" s="275">
        <v>0.1842</v>
      </c>
      <c r="M1068" s="276" t="s">
        <v>3460</v>
      </c>
      <c r="N1068" s="273"/>
      <c r="O1068" s="276" t="s">
        <v>55</v>
      </c>
      <c r="P1068" s="277" t="s">
        <v>1362</v>
      </c>
      <c r="Q1068" s="272"/>
      <c r="R1068" s="271"/>
      <c r="S1068" s="270"/>
      <c r="T1068" s="277" t="s">
        <v>25</v>
      </c>
      <c r="U1068" s="276" t="s">
        <v>1388</v>
      </c>
      <c r="V1068" s="277">
        <v>63</v>
      </c>
      <c r="W1068" s="269"/>
      <c r="X1068" s="268" t="s">
        <v>208</v>
      </c>
      <c r="Y1068" s="267">
        <v>43312</v>
      </c>
    </row>
    <row r="1069" spans="1:25">
      <c r="A1069" s="280" t="s">
        <v>62</v>
      </c>
      <c r="B1069" s="279" t="s">
        <v>1320</v>
      </c>
      <c r="C1069" s="278" t="s">
        <v>3461</v>
      </c>
      <c r="D1069" s="277" t="s">
        <v>1393</v>
      </c>
      <c r="E1069" s="276" t="s">
        <v>1398</v>
      </c>
      <c r="F1069" s="277" t="s">
        <v>1388</v>
      </c>
      <c r="G1069" s="276" t="s">
        <v>208</v>
      </c>
      <c r="H1069" s="275">
        <v>1</v>
      </c>
      <c r="I1069" s="276"/>
      <c r="J1069" s="275">
        <v>0.39300000000000002</v>
      </c>
      <c r="K1069" s="274"/>
      <c r="L1069" s="275">
        <v>0.39319999999999999</v>
      </c>
      <c r="M1069" s="276" t="s">
        <v>3462</v>
      </c>
      <c r="N1069" s="273"/>
      <c r="O1069" s="276" t="s">
        <v>55</v>
      </c>
      <c r="P1069" s="277" t="s">
        <v>1362</v>
      </c>
      <c r="Q1069" s="272"/>
      <c r="R1069" s="271"/>
      <c r="S1069" s="270"/>
      <c r="T1069" s="277" t="s">
        <v>25</v>
      </c>
      <c r="U1069" s="276" t="s">
        <v>1388</v>
      </c>
      <c r="V1069" s="277">
        <v>79</v>
      </c>
      <c r="W1069" s="269"/>
      <c r="X1069" s="268" t="s">
        <v>208</v>
      </c>
      <c r="Y1069" s="267">
        <v>43312</v>
      </c>
    </row>
    <row r="1070" spans="1:25">
      <c r="A1070" s="280" t="s">
        <v>46</v>
      </c>
      <c r="B1070" s="279" t="s">
        <v>1320</v>
      </c>
      <c r="C1070" s="278" t="s">
        <v>3463</v>
      </c>
      <c r="D1070" s="277" t="s">
        <v>1393</v>
      </c>
      <c r="E1070" s="276" t="s">
        <v>1398</v>
      </c>
      <c r="F1070" s="277" t="s">
        <v>1388</v>
      </c>
      <c r="G1070" s="276" t="s">
        <v>208</v>
      </c>
      <c r="H1070" s="275">
        <v>1</v>
      </c>
      <c r="I1070" s="276"/>
      <c r="J1070" s="275">
        <v>0.13</v>
      </c>
      <c r="K1070" s="274"/>
      <c r="L1070" s="275">
        <v>0.13020000000000001</v>
      </c>
      <c r="M1070" s="276" t="s">
        <v>3464</v>
      </c>
      <c r="N1070" s="273"/>
      <c r="O1070" s="276" t="s">
        <v>55</v>
      </c>
      <c r="P1070" s="277" t="s">
        <v>1362</v>
      </c>
      <c r="Q1070" s="272"/>
      <c r="R1070" s="271"/>
      <c r="S1070" s="270"/>
      <c r="T1070" s="277" t="s">
        <v>25</v>
      </c>
      <c r="U1070" s="276" t="s">
        <v>1388</v>
      </c>
      <c r="V1070" s="277">
        <v>25</v>
      </c>
      <c r="W1070" s="269"/>
      <c r="X1070" s="268" t="s">
        <v>208</v>
      </c>
      <c r="Y1070" s="267">
        <v>43312</v>
      </c>
    </row>
    <row r="1071" spans="1:25">
      <c r="A1071" s="280" t="s">
        <v>46</v>
      </c>
      <c r="B1071" s="279" t="s">
        <v>1320</v>
      </c>
      <c r="C1071" s="278" t="s">
        <v>3465</v>
      </c>
      <c r="D1071" s="277" t="s">
        <v>1393</v>
      </c>
      <c r="E1071" s="276" t="s">
        <v>1398</v>
      </c>
      <c r="F1071" s="277" t="s">
        <v>1388</v>
      </c>
      <c r="G1071" s="276" t="s">
        <v>208</v>
      </c>
      <c r="H1071" s="275">
        <v>1</v>
      </c>
      <c r="I1071" s="276"/>
      <c r="J1071" s="275">
        <v>0.28000000000000003</v>
      </c>
      <c r="K1071" s="274"/>
      <c r="L1071" s="275">
        <v>0.28010000000000002</v>
      </c>
      <c r="M1071" s="276" t="s">
        <v>3466</v>
      </c>
      <c r="N1071" s="273"/>
      <c r="O1071" s="276" t="s">
        <v>55</v>
      </c>
      <c r="P1071" s="277" t="s">
        <v>1362</v>
      </c>
      <c r="Q1071" s="272"/>
      <c r="R1071" s="271"/>
      <c r="S1071" s="270"/>
      <c r="T1071" s="277" t="s">
        <v>25</v>
      </c>
      <c r="U1071" s="276" t="s">
        <v>1388</v>
      </c>
      <c r="V1071" s="277">
        <v>26</v>
      </c>
      <c r="W1071" s="269"/>
      <c r="X1071" s="268" t="s">
        <v>208</v>
      </c>
      <c r="Y1071" s="267">
        <v>43312</v>
      </c>
    </row>
    <row r="1072" spans="1:25">
      <c r="A1072" s="280" t="s">
        <v>62</v>
      </c>
      <c r="B1072" s="279" t="s">
        <v>1320</v>
      </c>
      <c r="C1072" s="278" t="s">
        <v>3467</v>
      </c>
      <c r="D1072" s="277" t="s">
        <v>1393</v>
      </c>
      <c r="E1072" s="276" t="s">
        <v>1398</v>
      </c>
      <c r="F1072" s="277" t="s">
        <v>1388</v>
      </c>
      <c r="G1072" s="276" t="s">
        <v>208</v>
      </c>
      <c r="H1072" s="275">
        <v>1</v>
      </c>
      <c r="I1072" s="276"/>
      <c r="J1072" s="275">
        <v>0.17499999999999999</v>
      </c>
      <c r="K1072" s="274"/>
      <c r="L1072" s="275">
        <v>0.17460000000000001</v>
      </c>
      <c r="M1072" s="276" t="s">
        <v>3468</v>
      </c>
      <c r="N1072" s="273"/>
      <c r="O1072" s="276" t="s">
        <v>55</v>
      </c>
      <c r="P1072" s="277" t="s">
        <v>1362</v>
      </c>
      <c r="Q1072" s="272"/>
      <c r="R1072" s="271"/>
      <c r="S1072" s="270"/>
      <c r="T1072" s="277" t="s">
        <v>25</v>
      </c>
      <c r="U1072" s="276" t="s">
        <v>1388</v>
      </c>
      <c r="V1072" s="277">
        <v>80</v>
      </c>
      <c r="W1072" s="269"/>
      <c r="X1072" s="268" t="s">
        <v>208</v>
      </c>
      <c r="Y1072" s="267">
        <v>43312</v>
      </c>
    </row>
    <row r="1073" spans="1:25">
      <c r="A1073" s="280" t="s">
        <v>62</v>
      </c>
      <c r="B1073" s="279" t="s">
        <v>1320</v>
      </c>
      <c r="C1073" s="278" t="s">
        <v>3469</v>
      </c>
      <c r="D1073" s="277" t="s">
        <v>1393</v>
      </c>
      <c r="E1073" s="276" t="s">
        <v>1398</v>
      </c>
      <c r="F1073" s="277" t="s">
        <v>1388</v>
      </c>
      <c r="G1073" s="276" t="s">
        <v>208</v>
      </c>
      <c r="H1073" s="275">
        <v>1</v>
      </c>
      <c r="I1073" s="276"/>
      <c r="J1073" s="275">
        <v>0.17100000000000001</v>
      </c>
      <c r="K1073" s="274"/>
      <c r="L1073" s="275">
        <v>0.17050000000000001</v>
      </c>
      <c r="M1073" s="276" t="s">
        <v>3470</v>
      </c>
      <c r="N1073" s="273"/>
      <c r="O1073" s="276" t="s">
        <v>55</v>
      </c>
      <c r="P1073" s="277" t="s">
        <v>1362</v>
      </c>
      <c r="Q1073" s="272"/>
      <c r="R1073" s="271"/>
      <c r="S1073" s="270"/>
      <c r="T1073" s="277" t="s">
        <v>25</v>
      </c>
      <c r="U1073" s="276" t="s">
        <v>1388</v>
      </c>
      <c r="V1073" s="277">
        <v>81</v>
      </c>
      <c r="W1073" s="269"/>
      <c r="X1073" s="268" t="s">
        <v>208</v>
      </c>
      <c r="Y1073" s="267">
        <v>43312</v>
      </c>
    </row>
    <row r="1074" spans="1:25">
      <c r="A1074" s="280" t="s">
        <v>62</v>
      </c>
      <c r="B1074" s="279" t="s">
        <v>1320</v>
      </c>
      <c r="C1074" s="278" t="s">
        <v>3471</v>
      </c>
      <c r="D1074" s="277" t="s">
        <v>1393</v>
      </c>
      <c r="E1074" s="276" t="s">
        <v>1398</v>
      </c>
      <c r="F1074" s="277" t="s">
        <v>1388</v>
      </c>
      <c r="G1074" s="276" t="s">
        <v>208</v>
      </c>
      <c r="H1074" s="275">
        <v>1</v>
      </c>
      <c r="I1074" s="276"/>
      <c r="J1074" s="275">
        <v>0.26</v>
      </c>
      <c r="K1074" s="274"/>
      <c r="L1074" s="275">
        <v>0.2601</v>
      </c>
      <c r="M1074" s="276" t="s">
        <v>3472</v>
      </c>
      <c r="N1074" s="273"/>
      <c r="O1074" s="276" t="s">
        <v>55</v>
      </c>
      <c r="P1074" s="277" t="s">
        <v>1362</v>
      </c>
      <c r="Q1074" s="272"/>
      <c r="R1074" s="271"/>
      <c r="S1074" s="270"/>
      <c r="T1074" s="277" t="s">
        <v>25</v>
      </c>
      <c r="U1074" s="276" t="s">
        <v>1388</v>
      </c>
      <c r="V1074" s="277">
        <v>82</v>
      </c>
      <c r="W1074" s="269"/>
      <c r="X1074" s="268" t="s">
        <v>208</v>
      </c>
      <c r="Y1074" s="267">
        <v>43312</v>
      </c>
    </row>
    <row r="1075" spans="1:25">
      <c r="A1075" s="280" t="s">
        <v>62</v>
      </c>
      <c r="B1075" s="279" t="s">
        <v>1320</v>
      </c>
      <c r="C1075" s="278" t="s">
        <v>3473</v>
      </c>
      <c r="D1075" s="277" t="s">
        <v>1393</v>
      </c>
      <c r="E1075" s="276" t="s">
        <v>1398</v>
      </c>
      <c r="F1075" s="277" t="s">
        <v>1388</v>
      </c>
      <c r="G1075" s="276" t="s">
        <v>208</v>
      </c>
      <c r="H1075" s="275">
        <v>1</v>
      </c>
      <c r="I1075" s="276"/>
      <c r="J1075" s="275">
        <v>0.26400000000000001</v>
      </c>
      <c r="K1075" s="274"/>
      <c r="L1075" s="275">
        <v>0.26369999999999999</v>
      </c>
      <c r="M1075" s="276" t="s">
        <v>3474</v>
      </c>
      <c r="N1075" s="273"/>
      <c r="O1075" s="276" t="s">
        <v>55</v>
      </c>
      <c r="P1075" s="277" t="s">
        <v>1362</v>
      </c>
      <c r="Q1075" s="272"/>
      <c r="R1075" s="271"/>
      <c r="S1075" s="270"/>
      <c r="T1075" s="277" t="s">
        <v>25</v>
      </c>
      <c r="U1075" s="276" t="s">
        <v>1388</v>
      </c>
      <c r="V1075" s="277">
        <v>83</v>
      </c>
      <c r="W1075" s="269"/>
      <c r="X1075" s="268" t="s">
        <v>208</v>
      </c>
      <c r="Y1075" s="267">
        <v>43312</v>
      </c>
    </row>
    <row r="1076" spans="1:25">
      <c r="A1076" s="280" t="s">
        <v>95</v>
      </c>
      <c r="B1076" s="279" t="s">
        <v>1320</v>
      </c>
      <c r="C1076" s="278" t="s">
        <v>3475</v>
      </c>
      <c r="D1076" s="277" t="s">
        <v>1585</v>
      </c>
      <c r="E1076" s="276" t="s">
        <v>1469</v>
      </c>
      <c r="F1076" s="277" t="s">
        <v>18</v>
      </c>
      <c r="G1076" s="276" t="s">
        <v>208</v>
      </c>
      <c r="H1076" s="275">
        <v>1</v>
      </c>
      <c r="I1076" s="276"/>
      <c r="J1076" s="275">
        <v>1.2</v>
      </c>
      <c r="K1076" s="274"/>
      <c r="L1076" s="275">
        <v>1.2</v>
      </c>
      <c r="M1076" s="276" t="s">
        <v>1373</v>
      </c>
      <c r="N1076" s="273">
        <v>0</v>
      </c>
      <c r="O1076" s="276" t="s">
        <v>55</v>
      </c>
      <c r="P1076" s="277" t="s">
        <v>1362</v>
      </c>
      <c r="Q1076" s="272"/>
      <c r="R1076" s="271" t="s">
        <v>1588</v>
      </c>
      <c r="S1076" s="270"/>
      <c r="T1076" s="277" t="s">
        <v>25</v>
      </c>
      <c r="U1076" s="276" t="s">
        <v>18</v>
      </c>
      <c r="V1076" s="277">
        <v>1206</v>
      </c>
      <c r="W1076" s="269"/>
      <c r="X1076" s="268" t="s">
        <v>1363</v>
      </c>
      <c r="Y1076" s="267">
        <v>44671.287233796298</v>
      </c>
    </row>
    <row r="1077" spans="1:25">
      <c r="A1077" s="280" t="s">
        <v>62</v>
      </c>
      <c r="B1077" s="279" t="s">
        <v>1320</v>
      </c>
      <c r="C1077" s="278" t="s">
        <v>3476</v>
      </c>
      <c r="D1077" s="277" t="s">
        <v>1393</v>
      </c>
      <c r="E1077" s="276" t="s">
        <v>2236</v>
      </c>
      <c r="F1077" s="277" t="s">
        <v>1856</v>
      </c>
      <c r="G1077" s="276" t="s">
        <v>208</v>
      </c>
      <c r="H1077" s="275">
        <v>1</v>
      </c>
      <c r="I1077" s="276"/>
      <c r="J1077" s="275">
        <v>1.228</v>
      </c>
      <c r="K1077" s="274"/>
      <c r="L1077" s="275">
        <v>1.228</v>
      </c>
      <c r="M1077" s="276" t="s">
        <v>3477</v>
      </c>
      <c r="N1077" s="273"/>
      <c r="O1077" s="276" t="s">
        <v>55</v>
      </c>
      <c r="P1077" s="277" t="s">
        <v>1362</v>
      </c>
      <c r="Q1077" s="272"/>
      <c r="R1077" s="271"/>
      <c r="S1077" s="270"/>
      <c r="T1077" s="277" t="s">
        <v>25</v>
      </c>
      <c r="U1077" s="276" t="s">
        <v>19</v>
      </c>
      <c r="V1077" s="277">
        <v>84</v>
      </c>
      <c r="W1077" s="269"/>
      <c r="X1077" s="268" t="s">
        <v>208</v>
      </c>
      <c r="Y1077" s="267">
        <v>43312</v>
      </c>
    </row>
    <row r="1078" spans="1:25">
      <c r="A1078" s="280" t="s">
        <v>100</v>
      </c>
      <c r="B1078" s="279" t="s">
        <v>1320</v>
      </c>
      <c r="C1078" s="278" t="s">
        <v>3478</v>
      </c>
      <c r="D1078" s="277" t="s">
        <v>102</v>
      </c>
      <c r="E1078" s="276" t="s">
        <v>1419</v>
      </c>
      <c r="F1078" s="277" t="s">
        <v>17</v>
      </c>
      <c r="G1078" s="276" t="s">
        <v>3479</v>
      </c>
      <c r="H1078" s="275">
        <v>12</v>
      </c>
      <c r="I1078" s="276"/>
      <c r="J1078" s="275">
        <v>1.75</v>
      </c>
      <c r="K1078" s="274"/>
      <c r="L1078" s="275">
        <v>21</v>
      </c>
      <c r="M1078" s="276" t="s">
        <v>2324</v>
      </c>
      <c r="N1078" s="273"/>
      <c r="O1078" s="276" t="s">
        <v>55</v>
      </c>
      <c r="P1078" s="277" t="s">
        <v>1362</v>
      </c>
      <c r="Q1078" s="272"/>
      <c r="R1078" s="271" t="s">
        <v>2176</v>
      </c>
      <c r="S1078" s="270"/>
      <c r="T1078" s="277" t="s">
        <v>25</v>
      </c>
      <c r="U1078" s="276" t="s">
        <v>17</v>
      </c>
      <c r="V1078" s="277">
        <v>1208</v>
      </c>
      <c r="W1078" s="269"/>
      <c r="X1078" s="268" t="s">
        <v>1363</v>
      </c>
      <c r="Y1078" s="267">
        <v>44678.388206018521</v>
      </c>
    </row>
    <row r="1079" spans="1:25">
      <c r="A1079" s="280" t="s">
        <v>80</v>
      </c>
      <c r="B1079" s="279" t="s">
        <v>1320</v>
      </c>
      <c r="C1079" s="278" t="s">
        <v>259</v>
      </c>
      <c r="D1079" s="277" t="s">
        <v>89</v>
      </c>
      <c r="E1079" s="276" t="s">
        <v>1596</v>
      </c>
      <c r="F1079" s="277" t="s">
        <v>1360</v>
      </c>
      <c r="G1079" s="276" t="s">
        <v>260</v>
      </c>
      <c r="H1079" s="275">
        <v>1</v>
      </c>
      <c r="I1079" s="276"/>
      <c r="J1079" s="275">
        <v>120</v>
      </c>
      <c r="K1079" s="274"/>
      <c r="L1079" s="275">
        <v>120</v>
      </c>
      <c r="M1079" s="276" t="s">
        <v>1460</v>
      </c>
      <c r="N1079" s="273"/>
      <c r="O1079" s="276" t="s">
        <v>303</v>
      </c>
      <c r="P1079" s="277" t="s">
        <v>1403</v>
      </c>
      <c r="Q1079" s="272"/>
      <c r="R1079" s="271"/>
      <c r="S1079" s="270">
        <v>44469</v>
      </c>
      <c r="T1079" s="277" t="s">
        <v>30</v>
      </c>
      <c r="U1079" s="276" t="s">
        <v>15</v>
      </c>
      <c r="V1079" s="277">
        <v>1209</v>
      </c>
      <c r="W1079" s="269"/>
      <c r="X1079" s="268" t="s">
        <v>1363</v>
      </c>
      <c r="Y1079" s="267">
        <v>44671</v>
      </c>
    </row>
    <row r="1080" spans="1:25">
      <c r="A1080" s="280" t="s">
        <v>80</v>
      </c>
      <c r="B1080" s="279" t="s">
        <v>1320</v>
      </c>
      <c r="C1080" s="278" t="s">
        <v>259</v>
      </c>
      <c r="D1080" s="277" t="s">
        <v>89</v>
      </c>
      <c r="E1080" s="276" t="s">
        <v>1596</v>
      </c>
      <c r="F1080" s="277" t="s">
        <v>1360</v>
      </c>
      <c r="G1080" s="276" t="s">
        <v>3480</v>
      </c>
      <c r="H1080" s="275">
        <v>1</v>
      </c>
      <c r="I1080" s="276"/>
      <c r="J1080" s="275">
        <v>120</v>
      </c>
      <c r="K1080" s="274"/>
      <c r="L1080" s="275">
        <v>120</v>
      </c>
      <c r="M1080" s="276" t="s">
        <v>1460</v>
      </c>
      <c r="N1080" s="273"/>
      <c r="O1080" s="276" t="s">
        <v>2166</v>
      </c>
      <c r="P1080" s="277" t="s">
        <v>1403</v>
      </c>
      <c r="Q1080" s="272"/>
      <c r="R1080" s="271" t="s">
        <v>1369</v>
      </c>
      <c r="S1080" s="270">
        <v>44834</v>
      </c>
      <c r="T1080" s="277" t="s">
        <v>24</v>
      </c>
      <c r="U1080" s="276" t="s">
        <v>15</v>
      </c>
      <c r="V1080" s="277">
        <v>1209</v>
      </c>
      <c r="W1080" s="269"/>
      <c r="X1080" s="268" t="s">
        <v>1363</v>
      </c>
      <c r="Y1080" s="267">
        <v>44671</v>
      </c>
    </row>
    <row r="1081" spans="1:25">
      <c r="A1081" s="280" t="s">
        <v>80</v>
      </c>
      <c r="B1081" s="279" t="s">
        <v>1320</v>
      </c>
      <c r="C1081" s="278" t="s">
        <v>308</v>
      </c>
      <c r="D1081" s="277" t="s">
        <v>89</v>
      </c>
      <c r="E1081" s="276" t="s">
        <v>1596</v>
      </c>
      <c r="F1081" s="277" t="s">
        <v>1360</v>
      </c>
      <c r="G1081" s="276" t="s">
        <v>309</v>
      </c>
      <c r="H1081" s="275">
        <v>1</v>
      </c>
      <c r="I1081" s="276"/>
      <c r="J1081" s="275">
        <v>200</v>
      </c>
      <c r="K1081" s="274"/>
      <c r="L1081" s="275">
        <v>200</v>
      </c>
      <c r="M1081" s="276" t="s">
        <v>1615</v>
      </c>
      <c r="N1081" s="273"/>
      <c r="O1081" s="276" t="s">
        <v>55</v>
      </c>
      <c r="P1081" s="277" t="s">
        <v>1403</v>
      </c>
      <c r="Q1081" s="272"/>
      <c r="R1081" s="271" t="s">
        <v>1837</v>
      </c>
      <c r="S1081" s="270"/>
      <c r="T1081" s="277" t="s">
        <v>25</v>
      </c>
      <c r="U1081" s="276" t="s">
        <v>15</v>
      </c>
      <c r="V1081" s="277">
        <v>1210</v>
      </c>
      <c r="W1081" s="269"/>
      <c r="X1081" s="268" t="s">
        <v>1363</v>
      </c>
      <c r="Y1081" s="267">
        <v>44671.438784722224</v>
      </c>
    </row>
    <row r="1082" spans="1:25">
      <c r="A1082" s="280" t="s">
        <v>80</v>
      </c>
      <c r="B1082" s="279" t="s">
        <v>1320</v>
      </c>
      <c r="C1082" s="278" t="s">
        <v>308</v>
      </c>
      <c r="D1082" s="277" t="s">
        <v>89</v>
      </c>
      <c r="E1082" s="276" t="s">
        <v>1596</v>
      </c>
      <c r="F1082" s="277" t="s">
        <v>1360</v>
      </c>
      <c r="G1082" s="276" t="s">
        <v>3481</v>
      </c>
      <c r="H1082" s="275">
        <v>1</v>
      </c>
      <c r="I1082" s="276"/>
      <c r="J1082" s="275">
        <v>200</v>
      </c>
      <c r="K1082" s="274"/>
      <c r="L1082" s="275">
        <v>200</v>
      </c>
      <c r="M1082" s="276" t="s">
        <v>1615</v>
      </c>
      <c r="N1082" s="273"/>
      <c r="O1082" s="276" t="s">
        <v>55</v>
      </c>
      <c r="P1082" s="277" t="s">
        <v>1403</v>
      </c>
      <c r="Q1082" s="272"/>
      <c r="R1082" s="271" t="s">
        <v>1837</v>
      </c>
      <c r="S1082" s="270"/>
      <c r="T1082" s="277" t="s">
        <v>25</v>
      </c>
      <c r="U1082" s="276" t="s">
        <v>15</v>
      </c>
      <c r="V1082" s="277">
        <v>1210</v>
      </c>
      <c r="W1082" s="269"/>
      <c r="X1082" s="268" t="s">
        <v>1363</v>
      </c>
      <c r="Y1082" s="267">
        <v>44671.438784722224</v>
      </c>
    </row>
    <row r="1083" spans="1:25">
      <c r="A1083" s="280" t="s">
        <v>80</v>
      </c>
      <c r="B1083" s="279" t="s">
        <v>1320</v>
      </c>
      <c r="C1083" s="278" t="s">
        <v>308</v>
      </c>
      <c r="D1083" s="277" t="s">
        <v>89</v>
      </c>
      <c r="E1083" s="276" t="s">
        <v>1596</v>
      </c>
      <c r="F1083" s="277" t="s">
        <v>1360</v>
      </c>
      <c r="G1083" s="276" t="s">
        <v>3482</v>
      </c>
      <c r="H1083" s="275">
        <v>1</v>
      </c>
      <c r="I1083" s="276"/>
      <c r="J1083" s="275">
        <v>200</v>
      </c>
      <c r="K1083" s="274"/>
      <c r="L1083" s="275">
        <v>200</v>
      </c>
      <c r="M1083" s="276" t="s">
        <v>1615</v>
      </c>
      <c r="N1083" s="273"/>
      <c r="O1083" s="276" t="s">
        <v>55</v>
      </c>
      <c r="P1083" s="277" t="s">
        <v>1403</v>
      </c>
      <c r="Q1083" s="272"/>
      <c r="R1083" s="271" t="s">
        <v>1837</v>
      </c>
      <c r="S1083" s="270"/>
      <c r="T1083" s="277" t="s">
        <v>25</v>
      </c>
      <c r="U1083" s="276" t="s">
        <v>15</v>
      </c>
      <c r="V1083" s="277">
        <v>1210</v>
      </c>
      <c r="W1083" s="269"/>
      <c r="X1083" s="268" t="s">
        <v>1363</v>
      </c>
      <c r="Y1083" s="267">
        <v>44671.438784722224</v>
      </c>
    </row>
    <row r="1084" spans="1:25">
      <c r="A1084" s="280" t="s">
        <v>80</v>
      </c>
      <c r="B1084" s="279" t="s">
        <v>1320</v>
      </c>
      <c r="C1084" s="278" t="s">
        <v>308</v>
      </c>
      <c r="D1084" s="277" t="s">
        <v>89</v>
      </c>
      <c r="E1084" s="276" t="s">
        <v>1596</v>
      </c>
      <c r="F1084" s="277" t="s">
        <v>1360</v>
      </c>
      <c r="G1084" s="276" t="s">
        <v>3483</v>
      </c>
      <c r="H1084" s="275">
        <v>1</v>
      </c>
      <c r="I1084" s="276"/>
      <c r="J1084" s="275">
        <v>200</v>
      </c>
      <c r="K1084" s="274"/>
      <c r="L1084" s="275">
        <v>200</v>
      </c>
      <c r="M1084" s="276" t="s">
        <v>1615</v>
      </c>
      <c r="N1084" s="273"/>
      <c r="O1084" s="276" t="s">
        <v>55</v>
      </c>
      <c r="P1084" s="277" t="s">
        <v>1403</v>
      </c>
      <c r="Q1084" s="272"/>
      <c r="R1084" s="271" t="s">
        <v>1837</v>
      </c>
      <c r="S1084" s="270"/>
      <c r="T1084" s="277" t="s">
        <v>25</v>
      </c>
      <c r="U1084" s="276" t="s">
        <v>15</v>
      </c>
      <c r="V1084" s="277">
        <v>1210</v>
      </c>
      <c r="W1084" s="269"/>
      <c r="X1084" s="268" t="s">
        <v>1363</v>
      </c>
      <c r="Y1084" s="267">
        <v>44671.438784722224</v>
      </c>
    </row>
    <row r="1085" spans="1:25">
      <c r="A1085" s="280" t="s">
        <v>80</v>
      </c>
      <c r="B1085" s="279" t="s">
        <v>1385</v>
      </c>
      <c r="C1085" s="278" t="s">
        <v>264</v>
      </c>
      <c r="D1085" s="277" t="s">
        <v>265</v>
      </c>
      <c r="E1085" s="276" t="s">
        <v>1391</v>
      </c>
      <c r="F1085" s="277" t="s">
        <v>21</v>
      </c>
      <c r="G1085" s="276" t="s">
        <v>208</v>
      </c>
      <c r="H1085" s="275">
        <v>109</v>
      </c>
      <c r="I1085" s="276"/>
      <c r="J1085" s="275">
        <v>2.2999999999999998</v>
      </c>
      <c r="K1085" s="274"/>
      <c r="L1085" s="275">
        <v>250.7</v>
      </c>
      <c r="M1085" s="276" t="s">
        <v>3484</v>
      </c>
      <c r="N1085" s="273">
        <v>250</v>
      </c>
      <c r="O1085" s="276" t="s">
        <v>28</v>
      </c>
      <c r="P1085" s="277" t="s">
        <v>1403</v>
      </c>
      <c r="Q1085" s="272" t="s">
        <v>1602</v>
      </c>
      <c r="R1085" s="271" t="s">
        <v>1769</v>
      </c>
      <c r="S1085" s="270"/>
      <c r="T1085" s="277" t="s">
        <v>28</v>
      </c>
      <c r="U1085" s="276" t="s">
        <v>20</v>
      </c>
      <c r="V1085" s="277">
        <v>1866</v>
      </c>
      <c r="W1085" s="269" t="s">
        <v>3969</v>
      </c>
      <c r="X1085" s="268" t="s">
        <v>1453</v>
      </c>
      <c r="Y1085" s="267">
        <v>44748.460057870368</v>
      </c>
    </row>
    <row r="1086" spans="1:25">
      <c r="A1086" s="280" t="s">
        <v>46</v>
      </c>
      <c r="B1086" s="279" t="s">
        <v>1320</v>
      </c>
      <c r="C1086" s="278" t="s">
        <v>3485</v>
      </c>
      <c r="D1086" s="277" t="s">
        <v>1437</v>
      </c>
      <c r="E1086" s="276" t="s">
        <v>1359</v>
      </c>
      <c r="F1086" s="277" t="s">
        <v>1438</v>
      </c>
      <c r="G1086" s="276" t="s">
        <v>3486</v>
      </c>
      <c r="H1086" s="275">
        <v>40</v>
      </c>
      <c r="I1086" s="276"/>
      <c r="J1086" s="275">
        <v>1.03</v>
      </c>
      <c r="K1086" s="274"/>
      <c r="L1086" s="275">
        <v>41.2</v>
      </c>
      <c r="M1086" s="276" t="s">
        <v>3487</v>
      </c>
      <c r="N1086" s="273"/>
      <c r="O1086" s="276" t="s">
        <v>55</v>
      </c>
      <c r="P1086" s="277" t="s">
        <v>1362</v>
      </c>
      <c r="Q1086" s="272"/>
      <c r="R1086" s="271" t="s">
        <v>1441</v>
      </c>
      <c r="S1086" s="270"/>
      <c r="T1086" s="277" t="s">
        <v>25</v>
      </c>
      <c r="U1086" s="276" t="s">
        <v>15</v>
      </c>
      <c r="V1086" s="277">
        <v>1211</v>
      </c>
      <c r="W1086" s="269"/>
      <c r="X1086" s="268" t="s">
        <v>1363</v>
      </c>
      <c r="Y1086" s="267">
        <v>44671.290254629632</v>
      </c>
    </row>
    <row r="1087" spans="1:25">
      <c r="A1087" s="280" t="s">
        <v>62</v>
      </c>
      <c r="B1087" s="279" t="s">
        <v>1320</v>
      </c>
      <c r="C1087" s="278" t="s">
        <v>681</v>
      </c>
      <c r="D1087" s="277" t="s">
        <v>3488</v>
      </c>
      <c r="E1087" s="276" t="s">
        <v>1980</v>
      </c>
      <c r="F1087" s="277" t="s">
        <v>1360</v>
      </c>
      <c r="G1087" s="276" t="s">
        <v>3489</v>
      </c>
      <c r="H1087" s="275">
        <v>1</v>
      </c>
      <c r="I1087" s="276"/>
      <c r="J1087" s="275">
        <v>160</v>
      </c>
      <c r="K1087" s="274"/>
      <c r="L1087" s="275">
        <v>160</v>
      </c>
      <c r="M1087" s="276" t="s">
        <v>3221</v>
      </c>
      <c r="N1087" s="273"/>
      <c r="O1087" s="276" t="s">
        <v>55</v>
      </c>
      <c r="P1087" s="277" t="s">
        <v>1403</v>
      </c>
      <c r="Q1087" s="272"/>
      <c r="R1087" s="271" t="s">
        <v>1681</v>
      </c>
      <c r="S1087" s="270"/>
      <c r="T1087" s="277" t="s">
        <v>25</v>
      </c>
      <c r="U1087" s="276" t="s">
        <v>13</v>
      </c>
      <c r="V1087" s="277">
        <v>1724</v>
      </c>
      <c r="W1087" s="269"/>
      <c r="X1087" s="268" t="s">
        <v>1363</v>
      </c>
      <c r="Y1087" s="267">
        <v>44671.389675925922</v>
      </c>
    </row>
    <row r="1088" spans="1:25">
      <c r="A1088" s="280" t="s">
        <v>62</v>
      </c>
      <c r="B1088" s="279" t="s">
        <v>1320</v>
      </c>
      <c r="C1088" s="278" t="s">
        <v>681</v>
      </c>
      <c r="D1088" s="277" t="s">
        <v>3488</v>
      </c>
      <c r="E1088" s="276" t="s">
        <v>1980</v>
      </c>
      <c r="F1088" s="277" t="s">
        <v>1360</v>
      </c>
      <c r="G1088" s="276" t="s">
        <v>3490</v>
      </c>
      <c r="H1088" s="275">
        <v>1</v>
      </c>
      <c r="I1088" s="276"/>
      <c r="J1088" s="275">
        <v>84</v>
      </c>
      <c r="K1088" s="274"/>
      <c r="L1088" s="275">
        <v>84</v>
      </c>
      <c r="M1088" s="276" t="s">
        <v>2109</v>
      </c>
      <c r="N1088" s="273"/>
      <c r="O1088" s="276" t="s">
        <v>55</v>
      </c>
      <c r="P1088" s="277" t="s">
        <v>1403</v>
      </c>
      <c r="Q1088" s="272"/>
      <c r="R1088" s="271" t="s">
        <v>1681</v>
      </c>
      <c r="S1088" s="270"/>
      <c r="T1088" s="277" t="s">
        <v>25</v>
      </c>
      <c r="U1088" s="276" t="s">
        <v>13</v>
      </c>
      <c r="V1088" s="277">
        <v>1724</v>
      </c>
      <c r="W1088" s="269"/>
      <c r="X1088" s="268" t="s">
        <v>1363</v>
      </c>
      <c r="Y1088" s="267">
        <v>44671.389675925922</v>
      </c>
    </row>
    <row r="1089" spans="1:25">
      <c r="A1089" s="280" t="s">
        <v>95</v>
      </c>
      <c r="B1089" s="279" t="s">
        <v>1320</v>
      </c>
      <c r="C1089" s="278" t="s">
        <v>3491</v>
      </c>
      <c r="D1089" s="277" t="s">
        <v>1585</v>
      </c>
      <c r="E1089" s="276" t="s">
        <v>1539</v>
      </c>
      <c r="F1089" s="277" t="s">
        <v>18</v>
      </c>
      <c r="G1089" s="276" t="s">
        <v>3492</v>
      </c>
      <c r="H1089" s="275">
        <v>2</v>
      </c>
      <c r="I1089" s="276"/>
      <c r="J1089" s="275">
        <v>20</v>
      </c>
      <c r="K1089" s="274"/>
      <c r="L1089" s="275">
        <v>40</v>
      </c>
      <c r="M1089" s="276" t="s">
        <v>1618</v>
      </c>
      <c r="N1089" s="273"/>
      <c r="O1089" s="276" t="s">
        <v>55</v>
      </c>
      <c r="P1089" s="277" t="s">
        <v>1403</v>
      </c>
      <c r="Q1089" s="272"/>
      <c r="R1089" s="271" t="s">
        <v>1588</v>
      </c>
      <c r="S1089" s="270"/>
      <c r="T1089" s="277" t="s">
        <v>25</v>
      </c>
      <c r="U1089" s="276" t="s">
        <v>18</v>
      </c>
      <c r="V1089" s="277">
        <v>1213</v>
      </c>
      <c r="W1089" s="269"/>
      <c r="X1089" s="268" t="s">
        <v>1363</v>
      </c>
      <c r="Y1089" s="267">
        <v>44672.654814814814</v>
      </c>
    </row>
    <row r="1090" spans="1:25">
      <c r="A1090" s="280" t="s">
        <v>95</v>
      </c>
      <c r="B1090" s="279" t="s">
        <v>1320</v>
      </c>
      <c r="C1090" s="278" t="s">
        <v>3491</v>
      </c>
      <c r="D1090" s="277" t="s">
        <v>1585</v>
      </c>
      <c r="E1090" s="276" t="s">
        <v>1539</v>
      </c>
      <c r="F1090" s="277" t="s">
        <v>18</v>
      </c>
      <c r="G1090" s="276" t="s">
        <v>3492</v>
      </c>
      <c r="H1090" s="275">
        <v>2</v>
      </c>
      <c r="I1090" s="276"/>
      <c r="J1090" s="275">
        <v>26.5</v>
      </c>
      <c r="K1090" s="274"/>
      <c r="L1090" s="275">
        <v>53</v>
      </c>
      <c r="M1090" s="276" t="s">
        <v>1768</v>
      </c>
      <c r="N1090" s="273"/>
      <c r="O1090" s="276" t="s">
        <v>55</v>
      </c>
      <c r="P1090" s="277" t="s">
        <v>1403</v>
      </c>
      <c r="Q1090" s="272"/>
      <c r="R1090" s="271" t="s">
        <v>1588</v>
      </c>
      <c r="S1090" s="270"/>
      <c r="T1090" s="277" t="s">
        <v>25</v>
      </c>
      <c r="U1090" s="276" t="s">
        <v>18</v>
      </c>
      <c r="V1090" s="277">
        <v>1213</v>
      </c>
      <c r="W1090" s="269"/>
      <c r="X1090" s="268" t="s">
        <v>1363</v>
      </c>
      <c r="Y1090" s="267">
        <v>44672.654814814814</v>
      </c>
    </row>
    <row r="1091" spans="1:25">
      <c r="A1091" s="280" t="s">
        <v>95</v>
      </c>
      <c r="B1091" s="279" t="s">
        <v>1385</v>
      </c>
      <c r="C1091" s="278" t="s">
        <v>3493</v>
      </c>
      <c r="D1091" s="277" t="s">
        <v>3208</v>
      </c>
      <c r="E1091" s="276"/>
      <c r="F1091" s="277" t="s">
        <v>17</v>
      </c>
      <c r="G1091" s="276"/>
      <c r="H1091" s="275"/>
      <c r="I1091" s="276"/>
      <c r="J1091" s="275"/>
      <c r="K1091" s="274"/>
      <c r="L1091" s="275">
        <v>30</v>
      </c>
      <c r="M1091" s="276"/>
      <c r="N1091" s="273"/>
      <c r="O1091" s="276" t="s">
        <v>1285</v>
      </c>
      <c r="P1091" s="277"/>
      <c r="Q1091" s="272"/>
      <c r="R1091" s="271" t="s">
        <v>208</v>
      </c>
      <c r="S1091" s="270"/>
      <c r="T1091" s="277" t="s">
        <v>29</v>
      </c>
      <c r="U1091" s="276" t="s">
        <v>17</v>
      </c>
      <c r="V1091" s="277" t="s">
        <v>208</v>
      </c>
      <c r="W1091" s="269" t="s">
        <v>3494</v>
      </c>
      <c r="X1091" s="268"/>
      <c r="Y1091" s="267" t="s">
        <v>208</v>
      </c>
    </row>
    <row r="1092" spans="1:25">
      <c r="A1092" s="280" t="s">
        <v>95</v>
      </c>
      <c r="B1092" s="279" t="s">
        <v>1320</v>
      </c>
      <c r="C1092" s="278" t="s">
        <v>3495</v>
      </c>
      <c r="D1092" s="277" t="s">
        <v>1585</v>
      </c>
      <c r="E1092" s="276" t="s">
        <v>1539</v>
      </c>
      <c r="F1092" s="277" t="s">
        <v>18</v>
      </c>
      <c r="G1092" s="276" t="s">
        <v>3496</v>
      </c>
      <c r="H1092" s="275">
        <v>1</v>
      </c>
      <c r="I1092" s="276"/>
      <c r="J1092" s="275">
        <v>82.8</v>
      </c>
      <c r="K1092" s="274"/>
      <c r="L1092" s="275">
        <v>82.8</v>
      </c>
      <c r="M1092" s="276" t="s">
        <v>3497</v>
      </c>
      <c r="N1092" s="273"/>
      <c r="O1092" s="276" t="s">
        <v>55</v>
      </c>
      <c r="P1092" s="277" t="s">
        <v>1403</v>
      </c>
      <c r="Q1092" s="272"/>
      <c r="R1092" s="271" t="s">
        <v>1588</v>
      </c>
      <c r="S1092" s="270"/>
      <c r="T1092" s="277" t="s">
        <v>25</v>
      </c>
      <c r="U1092" s="276" t="s">
        <v>18</v>
      </c>
      <c r="V1092" s="277">
        <v>1214</v>
      </c>
      <c r="W1092" s="269"/>
      <c r="X1092" s="268" t="s">
        <v>1363</v>
      </c>
      <c r="Y1092" s="267">
        <v>44672.656099537038</v>
      </c>
    </row>
    <row r="1093" spans="1:25">
      <c r="A1093" s="280" t="s">
        <v>95</v>
      </c>
      <c r="B1093" s="279" t="s">
        <v>1385</v>
      </c>
      <c r="C1093" s="278" t="s">
        <v>3498</v>
      </c>
      <c r="D1093" s="277" t="s">
        <v>1590</v>
      </c>
      <c r="E1093" s="276"/>
      <c r="F1093" s="277" t="s">
        <v>18</v>
      </c>
      <c r="G1093" s="276"/>
      <c r="H1093" s="275"/>
      <c r="I1093" s="276"/>
      <c r="J1093" s="275"/>
      <c r="K1093" s="274"/>
      <c r="L1093" s="275">
        <v>750</v>
      </c>
      <c r="M1093" s="276"/>
      <c r="N1093" s="273"/>
      <c r="O1093" s="276" t="s">
        <v>1285</v>
      </c>
      <c r="P1093" s="277"/>
      <c r="Q1093" s="272"/>
      <c r="R1093" s="271"/>
      <c r="S1093" s="270"/>
      <c r="T1093" s="277" t="s">
        <v>29</v>
      </c>
      <c r="U1093" s="276" t="s">
        <v>18</v>
      </c>
      <c r="V1093" s="277" t="s">
        <v>208</v>
      </c>
      <c r="W1093" s="269" t="s">
        <v>3499</v>
      </c>
      <c r="X1093" s="268"/>
      <c r="Y1093" s="267" t="s">
        <v>208</v>
      </c>
    </row>
    <row r="1094" spans="1:25">
      <c r="A1094" s="280" t="s">
        <v>100</v>
      </c>
      <c r="B1094" s="279" t="s">
        <v>1385</v>
      </c>
      <c r="C1094" s="278" t="s">
        <v>3500</v>
      </c>
      <c r="D1094" s="277" t="s">
        <v>2698</v>
      </c>
      <c r="E1094" s="276"/>
      <c r="F1094" s="277" t="s">
        <v>17</v>
      </c>
      <c r="G1094" s="276"/>
      <c r="H1094" s="275"/>
      <c r="I1094" s="276"/>
      <c r="J1094" s="275"/>
      <c r="K1094" s="274"/>
      <c r="L1094" s="275">
        <v>234</v>
      </c>
      <c r="M1094" s="276"/>
      <c r="N1094" s="273"/>
      <c r="O1094" s="276" t="s">
        <v>1285</v>
      </c>
      <c r="P1094" s="277"/>
      <c r="Q1094" s="272"/>
      <c r="R1094" s="271" t="s">
        <v>208</v>
      </c>
      <c r="S1094" s="270"/>
      <c r="T1094" s="277" t="s">
        <v>29</v>
      </c>
      <c r="U1094" s="276" t="s">
        <v>17</v>
      </c>
      <c r="V1094" s="277" t="s">
        <v>208</v>
      </c>
      <c r="W1094" s="269" t="s">
        <v>3501</v>
      </c>
      <c r="X1094" s="268"/>
      <c r="Y1094" s="267" t="s">
        <v>208</v>
      </c>
    </row>
    <row r="1095" spans="1:25">
      <c r="A1095" s="280" t="s">
        <v>46</v>
      </c>
      <c r="B1095" s="279" t="s">
        <v>1320</v>
      </c>
      <c r="C1095" s="278" t="s">
        <v>3502</v>
      </c>
      <c r="D1095" s="277" t="s">
        <v>558</v>
      </c>
      <c r="E1095" s="276" t="s">
        <v>1539</v>
      </c>
      <c r="F1095" s="277" t="s">
        <v>18</v>
      </c>
      <c r="G1095" s="276" t="s">
        <v>3503</v>
      </c>
      <c r="H1095" s="275">
        <v>6</v>
      </c>
      <c r="I1095" s="276"/>
      <c r="J1095" s="275">
        <v>250</v>
      </c>
      <c r="K1095" s="274"/>
      <c r="L1095" s="275">
        <v>1500</v>
      </c>
      <c r="M1095" s="276" t="s">
        <v>1706</v>
      </c>
      <c r="N1095" s="273"/>
      <c r="O1095" s="276" t="s">
        <v>55</v>
      </c>
      <c r="P1095" s="277" t="s">
        <v>1403</v>
      </c>
      <c r="Q1095" s="272"/>
      <c r="R1095" s="271" t="s">
        <v>1434</v>
      </c>
      <c r="S1095" s="270"/>
      <c r="T1095" s="277" t="s">
        <v>25</v>
      </c>
      <c r="U1095" s="276" t="s">
        <v>18</v>
      </c>
      <c r="V1095" s="277">
        <v>1215</v>
      </c>
      <c r="W1095" s="269"/>
      <c r="X1095" s="268" t="s">
        <v>1363</v>
      </c>
      <c r="Y1095" s="267">
        <v>44671.292523148149</v>
      </c>
    </row>
    <row r="1096" spans="1:25">
      <c r="A1096" s="280" t="s">
        <v>46</v>
      </c>
      <c r="B1096" s="279" t="s">
        <v>1385</v>
      </c>
      <c r="C1096" s="278" t="s">
        <v>3504</v>
      </c>
      <c r="D1096" s="277" t="s">
        <v>3505</v>
      </c>
      <c r="E1096" s="276" t="s">
        <v>1359</v>
      </c>
      <c r="F1096" s="277" t="s">
        <v>21</v>
      </c>
      <c r="G1096" s="276" t="s">
        <v>208</v>
      </c>
      <c r="H1096" s="275">
        <v>1</v>
      </c>
      <c r="I1096" s="276"/>
      <c r="J1096" s="275">
        <v>32</v>
      </c>
      <c r="K1096" s="274"/>
      <c r="L1096" s="275">
        <v>32</v>
      </c>
      <c r="M1096" s="276" t="s">
        <v>3265</v>
      </c>
      <c r="N1096" s="273">
        <v>0</v>
      </c>
      <c r="O1096" s="276" t="s">
        <v>1285</v>
      </c>
      <c r="P1096" s="277" t="s">
        <v>1403</v>
      </c>
      <c r="Q1096" s="272"/>
      <c r="R1096" s="271"/>
      <c r="S1096" s="270"/>
      <c r="T1096" s="277" t="s">
        <v>29</v>
      </c>
      <c r="U1096" s="276" t="s">
        <v>21</v>
      </c>
      <c r="V1096" s="277">
        <v>1638</v>
      </c>
      <c r="W1096" s="269"/>
      <c r="X1096" s="268" t="s">
        <v>1400</v>
      </c>
      <c r="Y1096" s="267">
        <v>44679.620324074072</v>
      </c>
    </row>
    <row r="1097" spans="1:25">
      <c r="A1097" s="280" t="s">
        <v>95</v>
      </c>
      <c r="B1097" s="279" t="s">
        <v>1320</v>
      </c>
      <c r="C1097" s="278" t="s">
        <v>3506</v>
      </c>
      <c r="D1097" s="277" t="s">
        <v>1585</v>
      </c>
      <c r="E1097" s="276" t="s">
        <v>1539</v>
      </c>
      <c r="F1097" s="277" t="s">
        <v>18</v>
      </c>
      <c r="G1097" s="276" t="s">
        <v>3507</v>
      </c>
      <c r="H1097" s="275">
        <v>5</v>
      </c>
      <c r="I1097" s="276"/>
      <c r="J1097" s="275">
        <v>25</v>
      </c>
      <c r="K1097" s="274"/>
      <c r="L1097" s="275">
        <v>125</v>
      </c>
      <c r="M1097" s="276" t="s">
        <v>2741</v>
      </c>
      <c r="N1097" s="273"/>
      <c r="O1097" s="276" t="s">
        <v>55</v>
      </c>
      <c r="P1097" s="277" t="s">
        <v>1403</v>
      </c>
      <c r="Q1097" s="272"/>
      <c r="R1097" s="271" t="s">
        <v>1588</v>
      </c>
      <c r="S1097" s="270"/>
      <c r="T1097" s="277" t="s">
        <v>25</v>
      </c>
      <c r="U1097" s="276" t="s">
        <v>18</v>
      </c>
      <c r="V1097" s="277">
        <v>1216</v>
      </c>
      <c r="W1097" s="269"/>
      <c r="X1097" s="268" t="s">
        <v>1363</v>
      </c>
      <c r="Y1097" s="267">
        <v>44672.657418981478</v>
      </c>
    </row>
    <row r="1098" spans="1:25">
      <c r="A1098" s="280" t="s">
        <v>80</v>
      </c>
      <c r="B1098" s="279" t="s">
        <v>1385</v>
      </c>
      <c r="C1098" s="278" t="s">
        <v>3508</v>
      </c>
      <c r="D1098" s="277" t="s">
        <v>2047</v>
      </c>
      <c r="E1098" s="276" t="s">
        <v>1419</v>
      </c>
      <c r="F1098" s="277" t="s">
        <v>17</v>
      </c>
      <c r="G1098" s="276" t="s">
        <v>208</v>
      </c>
      <c r="H1098" s="275">
        <v>42</v>
      </c>
      <c r="I1098" s="276">
        <v>3.6</v>
      </c>
      <c r="J1098" s="275">
        <v>6.6</v>
      </c>
      <c r="K1098" s="274">
        <v>151.20000000000002</v>
      </c>
      <c r="L1098" s="275">
        <v>277.2</v>
      </c>
      <c r="M1098" s="276" t="s">
        <v>3509</v>
      </c>
      <c r="N1098" s="273">
        <v>0</v>
      </c>
      <c r="O1098" s="276" t="s">
        <v>1285</v>
      </c>
      <c r="P1098" s="277" t="s">
        <v>1407</v>
      </c>
      <c r="Q1098" s="272"/>
      <c r="R1098" s="271"/>
      <c r="S1098" s="270"/>
      <c r="T1098" s="277" t="s">
        <v>29</v>
      </c>
      <c r="U1098" s="276" t="s">
        <v>17</v>
      </c>
      <c r="V1098" s="277">
        <v>1995</v>
      </c>
      <c r="W1098" s="269"/>
      <c r="X1098" s="268" t="s">
        <v>208</v>
      </c>
      <c r="Y1098" s="267">
        <v>44679.628518518519</v>
      </c>
    </row>
    <row r="1099" spans="1:25">
      <c r="A1099" s="280" t="s">
        <v>62</v>
      </c>
      <c r="B1099" s="279" t="s">
        <v>1385</v>
      </c>
      <c r="C1099" s="278" t="s">
        <v>120</v>
      </c>
      <c r="D1099" s="277" t="s">
        <v>3510</v>
      </c>
      <c r="E1099" s="276" t="s">
        <v>1391</v>
      </c>
      <c r="F1099" s="277" t="s">
        <v>21</v>
      </c>
      <c r="G1099" s="276" t="s">
        <v>208</v>
      </c>
      <c r="H1099" s="275">
        <v>52</v>
      </c>
      <c r="I1099" s="276"/>
      <c r="J1099" s="275">
        <v>3</v>
      </c>
      <c r="K1099" s="274"/>
      <c r="L1099" s="275">
        <v>156</v>
      </c>
      <c r="M1099" s="276" t="s">
        <v>2613</v>
      </c>
      <c r="N1099" s="273">
        <v>300</v>
      </c>
      <c r="O1099" s="276" t="s">
        <v>28</v>
      </c>
      <c r="P1099" s="277" t="s">
        <v>1403</v>
      </c>
      <c r="Q1099" s="272" t="s">
        <v>3511</v>
      </c>
      <c r="R1099" s="271" t="s">
        <v>3512</v>
      </c>
      <c r="S1099" s="270"/>
      <c r="T1099" s="277" t="s">
        <v>28</v>
      </c>
      <c r="U1099" s="276" t="s">
        <v>20</v>
      </c>
      <c r="V1099" s="277">
        <v>2016</v>
      </c>
      <c r="W1099" s="269"/>
      <c r="X1099" s="268" t="s">
        <v>1453</v>
      </c>
      <c r="Y1099" s="267">
        <v>44747.41747685185</v>
      </c>
    </row>
    <row r="1100" spans="1:25">
      <c r="A1100" s="280" t="s">
        <v>46</v>
      </c>
      <c r="B1100" s="279" t="s">
        <v>1385</v>
      </c>
      <c r="C1100" s="278" t="s">
        <v>3513</v>
      </c>
      <c r="D1100" s="277" t="s">
        <v>2138</v>
      </c>
      <c r="E1100" s="276" t="s">
        <v>1581</v>
      </c>
      <c r="F1100" s="277" t="s">
        <v>17</v>
      </c>
      <c r="G1100" s="276" t="s">
        <v>208</v>
      </c>
      <c r="H1100" s="275">
        <v>1</v>
      </c>
      <c r="I1100" s="276"/>
      <c r="J1100" s="275">
        <v>2000</v>
      </c>
      <c r="K1100" s="274"/>
      <c r="L1100" s="275">
        <v>2000</v>
      </c>
      <c r="M1100" s="276" t="s">
        <v>2139</v>
      </c>
      <c r="N1100" s="273"/>
      <c r="O1100" s="276" t="s">
        <v>1285</v>
      </c>
      <c r="P1100" s="277" t="s">
        <v>1407</v>
      </c>
      <c r="Q1100" s="272" t="s">
        <v>3514</v>
      </c>
      <c r="R1100" s="271"/>
      <c r="S1100" s="270"/>
      <c r="T1100" s="277" t="s">
        <v>29</v>
      </c>
      <c r="U1100" s="276" t="s">
        <v>17</v>
      </c>
      <c r="V1100" s="277">
        <v>2025</v>
      </c>
      <c r="W1100" s="269"/>
      <c r="X1100" s="268"/>
      <c r="Y1100" s="267">
        <v>44721.365949074076</v>
      </c>
    </row>
    <row r="1101" spans="1:25">
      <c r="A1101" s="280" t="s">
        <v>80</v>
      </c>
      <c r="B1101" s="279" t="s">
        <v>1385</v>
      </c>
      <c r="C1101" s="278" t="s">
        <v>3515</v>
      </c>
      <c r="D1101" s="277" t="s">
        <v>3516</v>
      </c>
      <c r="E1101" s="276" t="s">
        <v>1398</v>
      </c>
      <c r="F1101" s="277" t="s">
        <v>1388</v>
      </c>
      <c r="G1101" s="276" t="s">
        <v>208</v>
      </c>
      <c r="H1101" s="275">
        <v>1</v>
      </c>
      <c r="I1101" s="276"/>
      <c r="J1101" s="275">
        <v>1.8</v>
      </c>
      <c r="K1101" s="274"/>
      <c r="L1101" s="275">
        <v>1.8</v>
      </c>
      <c r="M1101" s="276" t="s">
        <v>3517</v>
      </c>
      <c r="N1101" s="273"/>
      <c r="O1101" s="276" t="s">
        <v>1285</v>
      </c>
      <c r="P1101" s="277" t="s">
        <v>1362</v>
      </c>
      <c r="Q1101" s="272"/>
      <c r="R1101" s="271"/>
      <c r="S1101" s="270"/>
      <c r="T1101" s="277" t="s">
        <v>29</v>
      </c>
      <c r="U1101" s="276" t="s">
        <v>1388</v>
      </c>
      <c r="V1101" s="277">
        <v>1666</v>
      </c>
      <c r="W1101" s="269"/>
      <c r="X1101" s="268" t="s">
        <v>1400</v>
      </c>
      <c r="Y1101" s="267">
        <v>43769.416655092595</v>
      </c>
    </row>
    <row r="1102" spans="1:25" ht="22.5">
      <c r="A1102" s="280" t="s">
        <v>100</v>
      </c>
      <c r="B1102" s="279" t="s">
        <v>1320</v>
      </c>
      <c r="C1102" s="278" t="s">
        <v>3518</v>
      </c>
      <c r="D1102" s="277" t="s">
        <v>1393</v>
      </c>
      <c r="E1102" s="276" t="s">
        <v>1398</v>
      </c>
      <c r="F1102" s="277" t="s">
        <v>1388</v>
      </c>
      <c r="G1102" s="276" t="s">
        <v>208</v>
      </c>
      <c r="H1102" s="275">
        <v>1</v>
      </c>
      <c r="I1102" s="276"/>
      <c r="J1102" s="275">
        <v>9.1999999999999998E-2</v>
      </c>
      <c r="K1102" s="274"/>
      <c r="L1102" s="275">
        <v>9.1600000000000001E-2</v>
      </c>
      <c r="M1102" s="276" t="s">
        <v>3519</v>
      </c>
      <c r="N1102" s="273"/>
      <c r="O1102" s="276" t="s">
        <v>55</v>
      </c>
      <c r="P1102" s="277" t="s">
        <v>1362</v>
      </c>
      <c r="Q1102" s="272"/>
      <c r="R1102" s="271"/>
      <c r="S1102" s="270"/>
      <c r="T1102" s="277" t="s">
        <v>25</v>
      </c>
      <c r="U1102" s="276" t="s">
        <v>1388</v>
      </c>
      <c r="V1102" s="277">
        <v>64</v>
      </c>
      <c r="W1102" s="269"/>
      <c r="X1102" s="268" t="s">
        <v>208</v>
      </c>
      <c r="Y1102" s="267">
        <v>43312</v>
      </c>
    </row>
    <row r="1103" spans="1:25" ht="22.5">
      <c r="A1103" s="280" t="s">
        <v>100</v>
      </c>
      <c r="B1103" s="279" t="s">
        <v>1320</v>
      </c>
      <c r="C1103" s="278" t="s">
        <v>3520</v>
      </c>
      <c r="D1103" s="277" t="s">
        <v>1393</v>
      </c>
      <c r="E1103" s="276" t="s">
        <v>1398</v>
      </c>
      <c r="F1103" s="277" t="s">
        <v>1388</v>
      </c>
      <c r="G1103" s="276" t="s">
        <v>208</v>
      </c>
      <c r="H1103" s="275">
        <v>1</v>
      </c>
      <c r="I1103" s="276"/>
      <c r="J1103" s="275">
        <v>7.2999999999999995E-2</v>
      </c>
      <c r="K1103" s="274"/>
      <c r="L1103" s="275">
        <v>7.3300000000000004E-2</v>
      </c>
      <c r="M1103" s="276" t="s">
        <v>3521</v>
      </c>
      <c r="N1103" s="273"/>
      <c r="O1103" s="276" t="s">
        <v>55</v>
      </c>
      <c r="P1103" s="277" t="s">
        <v>1362</v>
      </c>
      <c r="Q1103" s="272"/>
      <c r="R1103" s="271"/>
      <c r="S1103" s="270"/>
      <c r="T1103" s="277" t="s">
        <v>25</v>
      </c>
      <c r="U1103" s="276" t="s">
        <v>1388</v>
      </c>
      <c r="V1103" s="277">
        <v>65</v>
      </c>
      <c r="W1103" s="269"/>
      <c r="X1103" s="268" t="s">
        <v>208</v>
      </c>
      <c r="Y1103" s="267">
        <v>43312</v>
      </c>
    </row>
    <row r="1104" spans="1:25" ht="22.5">
      <c r="A1104" s="280" t="s">
        <v>100</v>
      </c>
      <c r="B1104" s="279" t="s">
        <v>1320</v>
      </c>
      <c r="C1104" s="278" t="s">
        <v>3522</v>
      </c>
      <c r="D1104" s="277" t="s">
        <v>1393</v>
      </c>
      <c r="E1104" s="276" t="s">
        <v>1398</v>
      </c>
      <c r="F1104" s="277" t="s">
        <v>1388</v>
      </c>
      <c r="G1104" s="276" t="s">
        <v>208</v>
      </c>
      <c r="H1104" s="275">
        <v>1</v>
      </c>
      <c r="I1104" s="276"/>
      <c r="J1104" s="275">
        <v>0.13700000000000001</v>
      </c>
      <c r="K1104" s="274"/>
      <c r="L1104" s="275">
        <v>0.13650000000000001</v>
      </c>
      <c r="M1104" s="276" t="s">
        <v>3523</v>
      </c>
      <c r="N1104" s="273"/>
      <c r="O1104" s="276" t="s">
        <v>55</v>
      </c>
      <c r="P1104" s="277" t="s">
        <v>1362</v>
      </c>
      <c r="Q1104" s="272"/>
      <c r="R1104" s="271"/>
      <c r="S1104" s="270"/>
      <c r="T1104" s="277" t="s">
        <v>25</v>
      </c>
      <c r="U1104" s="276" t="s">
        <v>1388</v>
      </c>
      <c r="V1104" s="277">
        <v>66</v>
      </c>
      <c r="W1104" s="269"/>
      <c r="X1104" s="268" t="s">
        <v>208</v>
      </c>
      <c r="Y1104" s="267">
        <v>43312</v>
      </c>
    </row>
    <row r="1105" spans="1:25" ht="22.5">
      <c r="A1105" s="280" t="s">
        <v>100</v>
      </c>
      <c r="B1105" s="279" t="s">
        <v>1320</v>
      </c>
      <c r="C1105" s="278" t="s">
        <v>3524</v>
      </c>
      <c r="D1105" s="277" t="s">
        <v>1393</v>
      </c>
      <c r="E1105" s="276" t="s">
        <v>1398</v>
      </c>
      <c r="F1105" s="277" t="s">
        <v>1388</v>
      </c>
      <c r="G1105" s="276" t="s">
        <v>208</v>
      </c>
      <c r="H1105" s="275">
        <v>1</v>
      </c>
      <c r="I1105" s="276"/>
      <c r="J1105" s="275">
        <v>4.8000000000000001E-2</v>
      </c>
      <c r="K1105" s="274"/>
      <c r="L1105" s="275">
        <v>4.7800000000000002E-2</v>
      </c>
      <c r="M1105" s="276" t="s">
        <v>3525</v>
      </c>
      <c r="N1105" s="273"/>
      <c r="O1105" s="276" t="s">
        <v>55</v>
      </c>
      <c r="P1105" s="277" t="s">
        <v>1362</v>
      </c>
      <c r="Q1105" s="272"/>
      <c r="R1105" s="271"/>
      <c r="S1105" s="270"/>
      <c r="T1105" s="277" t="s">
        <v>25</v>
      </c>
      <c r="U1105" s="276" t="s">
        <v>1388</v>
      </c>
      <c r="V1105" s="277">
        <v>67</v>
      </c>
      <c r="W1105" s="269"/>
      <c r="X1105" s="268" t="s">
        <v>208</v>
      </c>
      <c r="Y1105" s="267">
        <v>43312</v>
      </c>
    </row>
    <row r="1106" spans="1:25" ht="22.5">
      <c r="A1106" s="280" t="s">
        <v>100</v>
      </c>
      <c r="B1106" s="279" t="s">
        <v>1320</v>
      </c>
      <c r="C1106" s="278" t="s">
        <v>3526</v>
      </c>
      <c r="D1106" s="277" t="s">
        <v>1393</v>
      </c>
      <c r="E1106" s="276" t="s">
        <v>1398</v>
      </c>
      <c r="F1106" s="277" t="s">
        <v>1388</v>
      </c>
      <c r="G1106" s="276" t="s">
        <v>208</v>
      </c>
      <c r="H1106" s="275">
        <v>1</v>
      </c>
      <c r="I1106" s="276"/>
      <c r="J1106" s="275">
        <v>0.161</v>
      </c>
      <c r="K1106" s="274"/>
      <c r="L1106" s="275">
        <v>0.1608</v>
      </c>
      <c r="M1106" s="276" t="s">
        <v>3527</v>
      </c>
      <c r="N1106" s="273"/>
      <c r="O1106" s="276" t="s">
        <v>55</v>
      </c>
      <c r="P1106" s="277" t="s">
        <v>1362</v>
      </c>
      <c r="Q1106" s="272"/>
      <c r="R1106" s="271"/>
      <c r="S1106" s="270"/>
      <c r="T1106" s="277" t="s">
        <v>25</v>
      </c>
      <c r="U1106" s="276" t="s">
        <v>1388</v>
      </c>
      <c r="V1106" s="277">
        <v>68</v>
      </c>
      <c r="W1106" s="269"/>
      <c r="X1106" s="268" t="s">
        <v>208</v>
      </c>
      <c r="Y1106" s="267">
        <v>43312</v>
      </c>
    </row>
    <row r="1107" spans="1:25" ht="22.5">
      <c r="A1107" s="280" t="s">
        <v>100</v>
      </c>
      <c r="B1107" s="279" t="s">
        <v>1320</v>
      </c>
      <c r="C1107" s="278" t="s">
        <v>3528</v>
      </c>
      <c r="D1107" s="277" t="s">
        <v>1393</v>
      </c>
      <c r="E1107" s="276" t="s">
        <v>1398</v>
      </c>
      <c r="F1107" s="277" t="s">
        <v>1388</v>
      </c>
      <c r="G1107" s="276" t="s">
        <v>208</v>
      </c>
      <c r="H1107" s="275">
        <v>1</v>
      </c>
      <c r="I1107" s="276"/>
      <c r="J1107" s="275">
        <v>5.8999999999999997E-2</v>
      </c>
      <c r="K1107" s="274"/>
      <c r="L1107" s="275">
        <v>5.8799999999999998E-2</v>
      </c>
      <c r="M1107" s="276" t="s">
        <v>3529</v>
      </c>
      <c r="N1107" s="273"/>
      <c r="O1107" s="276" t="s">
        <v>55</v>
      </c>
      <c r="P1107" s="277" t="s">
        <v>1362</v>
      </c>
      <c r="Q1107" s="272"/>
      <c r="R1107" s="271"/>
      <c r="S1107" s="270"/>
      <c r="T1107" s="277" t="s">
        <v>25</v>
      </c>
      <c r="U1107" s="276" t="s">
        <v>1388</v>
      </c>
      <c r="V1107" s="277">
        <v>69</v>
      </c>
      <c r="W1107" s="269"/>
      <c r="X1107" s="268" t="s">
        <v>208</v>
      </c>
      <c r="Y1107" s="267">
        <v>43312</v>
      </c>
    </row>
    <row r="1108" spans="1:25" ht="22.5">
      <c r="A1108" s="280" t="s">
        <v>62</v>
      </c>
      <c r="B1108" s="279" t="s">
        <v>1320</v>
      </c>
      <c r="C1108" s="278" t="s">
        <v>3530</v>
      </c>
      <c r="D1108" s="277" t="s">
        <v>1393</v>
      </c>
      <c r="E1108" s="276" t="s">
        <v>1398</v>
      </c>
      <c r="F1108" s="277" t="s">
        <v>1388</v>
      </c>
      <c r="G1108" s="276" t="s">
        <v>208</v>
      </c>
      <c r="H1108" s="275">
        <v>1</v>
      </c>
      <c r="I1108" s="276"/>
      <c r="J1108" s="275">
        <v>1.0900000000000001</v>
      </c>
      <c r="K1108" s="274"/>
      <c r="L1108" s="275">
        <v>1.0900000000000001</v>
      </c>
      <c r="M1108" s="276" t="s">
        <v>3531</v>
      </c>
      <c r="N1108" s="273"/>
      <c r="O1108" s="276" t="s">
        <v>55</v>
      </c>
      <c r="P1108" s="277" t="s">
        <v>1362</v>
      </c>
      <c r="Q1108" s="272"/>
      <c r="R1108" s="271"/>
      <c r="S1108" s="270"/>
      <c r="T1108" s="277" t="s">
        <v>25</v>
      </c>
      <c r="U1108" s="276" t="s">
        <v>1388</v>
      </c>
      <c r="V1108" s="277">
        <v>85</v>
      </c>
      <c r="W1108" s="269"/>
      <c r="X1108" s="268" t="s">
        <v>208</v>
      </c>
      <c r="Y1108" s="267">
        <v>43312</v>
      </c>
    </row>
    <row r="1109" spans="1:25">
      <c r="A1109" s="280" t="s">
        <v>62</v>
      </c>
      <c r="B1109" s="279" t="s">
        <v>1385</v>
      </c>
      <c r="C1109" s="278" t="s">
        <v>3532</v>
      </c>
      <c r="D1109" s="277" t="s">
        <v>2531</v>
      </c>
      <c r="E1109" s="276"/>
      <c r="F1109" s="277" t="s">
        <v>17</v>
      </c>
      <c r="G1109" s="276"/>
      <c r="H1109" s="275"/>
      <c r="I1109" s="276"/>
      <c r="J1109" s="275"/>
      <c r="K1109" s="274"/>
      <c r="L1109" s="275">
        <v>500</v>
      </c>
      <c r="M1109" s="276"/>
      <c r="N1109" s="273"/>
      <c r="O1109" s="276" t="s">
        <v>1285</v>
      </c>
      <c r="P1109" s="277"/>
      <c r="Q1109" s="272"/>
      <c r="R1109" s="271"/>
      <c r="S1109" s="270"/>
      <c r="T1109" s="277" t="s">
        <v>29</v>
      </c>
      <c r="U1109" s="276" t="s">
        <v>3533</v>
      </c>
      <c r="V1109" s="277" t="s">
        <v>208</v>
      </c>
      <c r="W1109" s="269" t="s">
        <v>3534</v>
      </c>
      <c r="X1109" s="268"/>
      <c r="Y1109" s="267" t="s">
        <v>208</v>
      </c>
    </row>
    <row r="1110" spans="1:25">
      <c r="A1110" s="280" t="s">
        <v>46</v>
      </c>
      <c r="B1110" s="279" t="s">
        <v>1385</v>
      </c>
      <c r="C1110" s="278" t="s">
        <v>3535</v>
      </c>
      <c r="D1110" s="277" t="s">
        <v>3536</v>
      </c>
      <c r="E1110" s="276" t="s">
        <v>1398</v>
      </c>
      <c r="F1110" s="277" t="s">
        <v>1388</v>
      </c>
      <c r="G1110" s="276" t="s">
        <v>208</v>
      </c>
      <c r="H1110" s="275">
        <v>1</v>
      </c>
      <c r="I1110" s="276">
        <v>7</v>
      </c>
      <c r="J1110" s="275">
        <v>35</v>
      </c>
      <c r="K1110" s="274">
        <v>7</v>
      </c>
      <c r="L1110" s="275">
        <v>35</v>
      </c>
      <c r="M1110" s="276" t="s">
        <v>3537</v>
      </c>
      <c r="N1110" s="273">
        <v>0</v>
      </c>
      <c r="O1110" s="276" t="s">
        <v>1285</v>
      </c>
      <c r="P1110" s="277" t="s">
        <v>1407</v>
      </c>
      <c r="Q1110" s="272"/>
      <c r="R1110" s="271" t="s">
        <v>1744</v>
      </c>
      <c r="S1110" s="270"/>
      <c r="T1110" s="277" t="s">
        <v>29</v>
      </c>
      <c r="U1110" s="276" t="s">
        <v>1388</v>
      </c>
      <c r="V1110" s="277">
        <v>1660</v>
      </c>
      <c r="W1110" s="269"/>
      <c r="X1110" s="268" t="s">
        <v>1400</v>
      </c>
      <c r="Y1110" s="267">
        <v>44679.632314814815</v>
      </c>
    </row>
    <row r="1111" spans="1:25">
      <c r="A1111" s="280" t="s">
        <v>46</v>
      </c>
      <c r="B1111" s="279" t="s">
        <v>1385</v>
      </c>
      <c r="C1111" s="278" t="s">
        <v>3538</v>
      </c>
      <c r="D1111" s="277" t="s">
        <v>3536</v>
      </c>
      <c r="E1111" s="276" t="s">
        <v>1419</v>
      </c>
      <c r="F1111" s="277" t="s">
        <v>17</v>
      </c>
      <c r="G1111" s="276" t="s">
        <v>208</v>
      </c>
      <c r="H1111" s="275">
        <v>20</v>
      </c>
      <c r="I1111" s="276">
        <v>2.5550000000000002</v>
      </c>
      <c r="J1111" s="275">
        <v>5</v>
      </c>
      <c r="K1111" s="274">
        <v>51.1</v>
      </c>
      <c r="L1111" s="275">
        <v>100</v>
      </c>
      <c r="M1111" s="276" t="s">
        <v>3539</v>
      </c>
      <c r="N1111" s="273">
        <v>0</v>
      </c>
      <c r="O1111" s="276" t="s">
        <v>1285</v>
      </c>
      <c r="P1111" s="277" t="s">
        <v>1407</v>
      </c>
      <c r="Q1111" s="272"/>
      <c r="R1111" s="271" t="s">
        <v>1744</v>
      </c>
      <c r="S1111" s="270"/>
      <c r="T1111" s="277" t="s">
        <v>29</v>
      </c>
      <c r="U1111" s="276" t="s">
        <v>17</v>
      </c>
      <c r="V1111" s="277">
        <v>1275</v>
      </c>
      <c r="W1111" s="269"/>
      <c r="X1111" s="268" t="s">
        <v>1453</v>
      </c>
      <c r="Y1111" s="267">
        <v>44679.632118055553</v>
      </c>
    </row>
    <row r="1112" spans="1:25">
      <c r="A1112" s="280" t="s">
        <v>46</v>
      </c>
      <c r="B1112" s="279" t="s">
        <v>1320</v>
      </c>
      <c r="C1112" s="278" t="s">
        <v>3540</v>
      </c>
      <c r="D1112" s="277" t="s">
        <v>558</v>
      </c>
      <c r="E1112" s="276" t="s">
        <v>1539</v>
      </c>
      <c r="F1112" s="277" t="s">
        <v>18</v>
      </c>
      <c r="G1112" s="276" t="s">
        <v>3541</v>
      </c>
      <c r="H1112" s="275">
        <v>4</v>
      </c>
      <c r="I1112" s="276"/>
      <c r="J1112" s="275">
        <v>72</v>
      </c>
      <c r="K1112" s="274"/>
      <c r="L1112" s="275">
        <v>288</v>
      </c>
      <c r="M1112" s="276" t="s">
        <v>3542</v>
      </c>
      <c r="N1112" s="273"/>
      <c r="O1112" s="276" t="s">
        <v>55</v>
      </c>
      <c r="P1112" s="277" t="s">
        <v>1403</v>
      </c>
      <c r="Q1112" s="272"/>
      <c r="R1112" s="271" t="s">
        <v>1434</v>
      </c>
      <c r="S1112" s="270"/>
      <c r="T1112" s="277" t="s">
        <v>25</v>
      </c>
      <c r="U1112" s="276" t="s">
        <v>18</v>
      </c>
      <c r="V1112" s="277">
        <v>1217</v>
      </c>
      <c r="W1112" s="269"/>
      <c r="X1112" s="268" t="s">
        <v>1363</v>
      </c>
      <c r="Y1112" s="267">
        <v>44671.294756944444</v>
      </c>
    </row>
    <row r="1113" spans="1:25">
      <c r="A1113" s="280" t="s">
        <v>46</v>
      </c>
      <c r="B1113" s="279" t="s">
        <v>1320</v>
      </c>
      <c r="C1113" s="278" t="s">
        <v>3540</v>
      </c>
      <c r="D1113" s="277" t="s">
        <v>558</v>
      </c>
      <c r="E1113" s="276" t="s">
        <v>1539</v>
      </c>
      <c r="F1113" s="277" t="s">
        <v>18</v>
      </c>
      <c r="G1113" s="276" t="s">
        <v>3541</v>
      </c>
      <c r="H1113" s="275">
        <v>4</v>
      </c>
      <c r="I1113" s="276"/>
      <c r="J1113" s="275">
        <v>82</v>
      </c>
      <c r="K1113" s="274"/>
      <c r="L1113" s="275">
        <v>328</v>
      </c>
      <c r="M1113" s="276" t="s">
        <v>3543</v>
      </c>
      <c r="N1113" s="273"/>
      <c r="O1113" s="276" t="s">
        <v>55</v>
      </c>
      <c r="P1113" s="277" t="s">
        <v>1403</v>
      </c>
      <c r="Q1113" s="272"/>
      <c r="R1113" s="271" t="s">
        <v>1434</v>
      </c>
      <c r="S1113" s="270"/>
      <c r="T1113" s="277" t="s">
        <v>25</v>
      </c>
      <c r="U1113" s="276" t="s">
        <v>18</v>
      </c>
      <c r="V1113" s="277">
        <v>1217</v>
      </c>
      <c r="W1113" s="269"/>
      <c r="X1113" s="268" t="s">
        <v>1363</v>
      </c>
      <c r="Y1113" s="267">
        <v>44671.294756944444</v>
      </c>
    </row>
    <row r="1114" spans="1:25">
      <c r="A1114" s="280" t="s">
        <v>46</v>
      </c>
      <c r="B1114" s="279" t="s">
        <v>1320</v>
      </c>
      <c r="C1114" s="278" t="s">
        <v>3544</v>
      </c>
      <c r="D1114" s="277" t="s">
        <v>3545</v>
      </c>
      <c r="E1114" s="276" t="s">
        <v>1493</v>
      </c>
      <c r="F1114" s="277" t="s">
        <v>1360</v>
      </c>
      <c r="G1114" s="276" t="s">
        <v>3546</v>
      </c>
      <c r="H1114" s="275">
        <v>1</v>
      </c>
      <c r="I1114" s="276"/>
      <c r="J1114" s="275">
        <v>166</v>
      </c>
      <c r="K1114" s="274"/>
      <c r="L1114" s="275">
        <v>166</v>
      </c>
      <c r="M1114" s="276" t="s">
        <v>3547</v>
      </c>
      <c r="N1114" s="273"/>
      <c r="O1114" s="276" t="s">
        <v>55</v>
      </c>
      <c r="P1114" s="277" t="s">
        <v>1403</v>
      </c>
      <c r="Q1114" s="272"/>
      <c r="R1114" s="271" t="s">
        <v>1558</v>
      </c>
      <c r="S1114" s="270"/>
      <c r="T1114" s="277" t="s">
        <v>25</v>
      </c>
      <c r="U1114" s="276" t="s">
        <v>14</v>
      </c>
      <c r="V1114" s="277">
        <v>1218</v>
      </c>
      <c r="W1114" s="269"/>
      <c r="X1114" s="268" t="s">
        <v>1363</v>
      </c>
      <c r="Y1114" s="267">
        <v>44671.295706018522</v>
      </c>
    </row>
    <row r="1115" spans="1:25">
      <c r="A1115" s="280" t="s">
        <v>46</v>
      </c>
      <c r="B1115" s="279" t="s">
        <v>1320</v>
      </c>
      <c r="C1115" s="278" t="s">
        <v>3544</v>
      </c>
      <c r="D1115" s="277" t="s">
        <v>3545</v>
      </c>
      <c r="E1115" s="276" t="s">
        <v>1493</v>
      </c>
      <c r="F1115" s="277" t="s">
        <v>1360</v>
      </c>
      <c r="G1115" s="276" t="s">
        <v>3548</v>
      </c>
      <c r="H1115" s="275">
        <v>1</v>
      </c>
      <c r="I1115" s="276"/>
      <c r="J1115" s="275">
        <v>166</v>
      </c>
      <c r="K1115" s="274"/>
      <c r="L1115" s="275">
        <v>166</v>
      </c>
      <c r="M1115" s="276" t="s">
        <v>3547</v>
      </c>
      <c r="N1115" s="273"/>
      <c r="O1115" s="276" t="s">
        <v>55</v>
      </c>
      <c r="P1115" s="277" t="s">
        <v>1403</v>
      </c>
      <c r="Q1115" s="272"/>
      <c r="R1115" s="271" t="s">
        <v>1558</v>
      </c>
      <c r="S1115" s="270"/>
      <c r="T1115" s="277" t="s">
        <v>25</v>
      </c>
      <c r="U1115" s="276" t="s">
        <v>14</v>
      </c>
      <c r="V1115" s="277">
        <v>1218</v>
      </c>
      <c r="W1115" s="269"/>
      <c r="X1115" s="268" t="s">
        <v>1363</v>
      </c>
      <c r="Y1115" s="267">
        <v>44671.295706018522</v>
      </c>
    </row>
    <row r="1116" spans="1:25">
      <c r="A1116" s="280" t="s">
        <v>46</v>
      </c>
      <c r="B1116" s="279" t="s">
        <v>1320</v>
      </c>
      <c r="C1116" s="278" t="s">
        <v>3544</v>
      </c>
      <c r="D1116" s="277" t="s">
        <v>3545</v>
      </c>
      <c r="E1116" s="276" t="s">
        <v>1493</v>
      </c>
      <c r="F1116" s="277" t="s">
        <v>1360</v>
      </c>
      <c r="G1116" s="276" t="s">
        <v>3549</v>
      </c>
      <c r="H1116" s="275">
        <v>1</v>
      </c>
      <c r="I1116" s="276"/>
      <c r="J1116" s="275">
        <v>166</v>
      </c>
      <c r="K1116" s="274"/>
      <c r="L1116" s="275">
        <v>166</v>
      </c>
      <c r="M1116" s="276" t="s">
        <v>3547</v>
      </c>
      <c r="N1116" s="273"/>
      <c r="O1116" s="276" t="s">
        <v>55</v>
      </c>
      <c r="P1116" s="277" t="s">
        <v>1403</v>
      </c>
      <c r="Q1116" s="272"/>
      <c r="R1116" s="271" t="s">
        <v>1558</v>
      </c>
      <c r="S1116" s="270"/>
      <c r="T1116" s="277" t="s">
        <v>25</v>
      </c>
      <c r="U1116" s="276" t="s">
        <v>14</v>
      </c>
      <c r="V1116" s="277">
        <v>1218</v>
      </c>
      <c r="W1116" s="269"/>
      <c r="X1116" s="268" t="s">
        <v>1363</v>
      </c>
      <c r="Y1116" s="267">
        <v>44671.295706018522</v>
      </c>
    </row>
    <row r="1117" spans="1:25">
      <c r="A1117" s="280" t="s">
        <v>46</v>
      </c>
      <c r="B1117" s="279" t="s">
        <v>1320</v>
      </c>
      <c r="C1117" s="278" t="s">
        <v>3544</v>
      </c>
      <c r="D1117" s="277" t="s">
        <v>3545</v>
      </c>
      <c r="E1117" s="276" t="s">
        <v>1493</v>
      </c>
      <c r="F1117" s="277" t="s">
        <v>1360</v>
      </c>
      <c r="G1117" s="276" t="s">
        <v>3550</v>
      </c>
      <c r="H1117" s="275">
        <v>1</v>
      </c>
      <c r="I1117" s="276"/>
      <c r="J1117" s="275">
        <v>166</v>
      </c>
      <c r="K1117" s="274"/>
      <c r="L1117" s="275">
        <v>166</v>
      </c>
      <c r="M1117" s="276" t="s">
        <v>3547</v>
      </c>
      <c r="N1117" s="273"/>
      <c r="O1117" s="276" t="s">
        <v>55</v>
      </c>
      <c r="P1117" s="277" t="s">
        <v>1403</v>
      </c>
      <c r="Q1117" s="272"/>
      <c r="R1117" s="271" t="s">
        <v>1558</v>
      </c>
      <c r="S1117" s="270"/>
      <c r="T1117" s="277" t="s">
        <v>25</v>
      </c>
      <c r="U1117" s="276" t="s">
        <v>14</v>
      </c>
      <c r="V1117" s="277">
        <v>1218</v>
      </c>
      <c r="W1117" s="269"/>
      <c r="X1117" s="268" t="s">
        <v>1363</v>
      </c>
      <c r="Y1117" s="267">
        <v>44671.295706018522</v>
      </c>
    </row>
    <row r="1118" spans="1:25">
      <c r="A1118" s="280" t="s">
        <v>46</v>
      </c>
      <c r="B1118" s="279" t="s">
        <v>1385</v>
      </c>
      <c r="C1118" s="278" t="s">
        <v>3551</v>
      </c>
      <c r="D1118" s="277" t="s">
        <v>3552</v>
      </c>
      <c r="E1118" s="276" t="s">
        <v>1419</v>
      </c>
      <c r="F1118" s="277" t="s">
        <v>17</v>
      </c>
      <c r="G1118" s="276" t="s">
        <v>208</v>
      </c>
      <c r="H1118" s="275">
        <v>249</v>
      </c>
      <c r="I1118" s="276">
        <v>1.6060000000000001</v>
      </c>
      <c r="J1118" s="275">
        <v>2.61</v>
      </c>
      <c r="K1118" s="274">
        <v>399.89400000000001</v>
      </c>
      <c r="L1118" s="275">
        <v>649.89</v>
      </c>
      <c r="M1118" s="276" t="s">
        <v>3553</v>
      </c>
      <c r="N1118" s="273"/>
      <c r="O1118" s="276" t="s">
        <v>1285</v>
      </c>
      <c r="P1118" s="277" t="s">
        <v>1407</v>
      </c>
      <c r="Q1118" s="272"/>
      <c r="R1118" s="271"/>
      <c r="S1118" s="270"/>
      <c r="T1118" s="277" t="s">
        <v>29</v>
      </c>
      <c r="U1118" s="276" t="s">
        <v>17</v>
      </c>
      <c r="V1118" s="277">
        <v>1283</v>
      </c>
      <c r="W1118" s="269" t="s">
        <v>3554</v>
      </c>
      <c r="X1118" s="268" t="s">
        <v>1400</v>
      </c>
      <c r="Y1118" s="267">
        <v>43769.416655092595</v>
      </c>
    </row>
    <row r="1119" spans="1:25">
      <c r="A1119" s="280" t="s">
        <v>46</v>
      </c>
      <c r="B1119" s="279" t="s">
        <v>1320</v>
      </c>
      <c r="C1119" s="278" t="s">
        <v>3555</v>
      </c>
      <c r="D1119" s="277" t="s">
        <v>3556</v>
      </c>
      <c r="E1119" s="276" t="s">
        <v>1596</v>
      </c>
      <c r="F1119" s="277" t="s">
        <v>1597</v>
      </c>
      <c r="G1119" s="276" t="s">
        <v>3557</v>
      </c>
      <c r="H1119" s="275">
        <v>1</v>
      </c>
      <c r="I1119" s="276"/>
      <c r="J1119" s="275">
        <v>660</v>
      </c>
      <c r="K1119" s="274"/>
      <c r="L1119" s="275">
        <v>660</v>
      </c>
      <c r="M1119" s="276" t="s">
        <v>1599</v>
      </c>
      <c r="N1119" s="273"/>
      <c r="O1119" s="276" t="s">
        <v>55</v>
      </c>
      <c r="P1119" s="277" t="s">
        <v>1403</v>
      </c>
      <c r="Q1119" s="272"/>
      <c r="R1119" s="271" t="s">
        <v>1751</v>
      </c>
      <c r="S1119" s="270"/>
      <c r="T1119" s="277" t="s">
        <v>25</v>
      </c>
      <c r="U1119" s="276" t="s">
        <v>12</v>
      </c>
      <c r="V1119" s="277">
        <v>1219</v>
      </c>
      <c r="W1119" s="269"/>
      <c r="X1119" s="268" t="s">
        <v>1363</v>
      </c>
      <c r="Y1119" s="267">
        <v>44671.296712962961</v>
      </c>
    </row>
    <row r="1120" spans="1:25">
      <c r="A1120" s="280" t="s">
        <v>46</v>
      </c>
      <c r="B1120" s="279" t="s">
        <v>1320</v>
      </c>
      <c r="C1120" s="278" t="s">
        <v>3555</v>
      </c>
      <c r="D1120" s="277" t="s">
        <v>3556</v>
      </c>
      <c r="E1120" s="276" t="s">
        <v>1596</v>
      </c>
      <c r="F1120" s="277" t="s">
        <v>1597</v>
      </c>
      <c r="G1120" s="276" t="s">
        <v>3558</v>
      </c>
      <c r="H1120" s="275">
        <v>1</v>
      </c>
      <c r="I1120" s="276"/>
      <c r="J1120" s="275">
        <v>660</v>
      </c>
      <c r="K1120" s="274"/>
      <c r="L1120" s="275">
        <v>660</v>
      </c>
      <c r="M1120" s="276" t="s">
        <v>1599</v>
      </c>
      <c r="N1120" s="273"/>
      <c r="O1120" s="276" t="s">
        <v>55</v>
      </c>
      <c r="P1120" s="277" t="s">
        <v>1403</v>
      </c>
      <c r="Q1120" s="272"/>
      <c r="R1120" s="271" t="s">
        <v>1751</v>
      </c>
      <c r="S1120" s="270"/>
      <c r="T1120" s="277" t="s">
        <v>25</v>
      </c>
      <c r="U1120" s="276" t="s">
        <v>12</v>
      </c>
      <c r="V1120" s="277">
        <v>1219</v>
      </c>
      <c r="W1120" s="269"/>
      <c r="X1120" s="268" t="s">
        <v>1363</v>
      </c>
      <c r="Y1120" s="267">
        <v>44671.296712962961</v>
      </c>
    </row>
    <row r="1121" spans="1:25">
      <c r="A1121" s="280" t="s">
        <v>46</v>
      </c>
      <c r="B1121" s="279" t="s">
        <v>1385</v>
      </c>
      <c r="C1121" s="278" t="s">
        <v>3559</v>
      </c>
      <c r="D1121" s="277" t="s">
        <v>3556</v>
      </c>
      <c r="E1121" s="276" t="s">
        <v>1398</v>
      </c>
      <c r="F1121" s="277" t="s">
        <v>1388</v>
      </c>
      <c r="G1121" s="276" t="s">
        <v>208</v>
      </c>
      <c r="H1121" s="275">
        <v>1</v>
      </c>
      <c r="I1121" s="276"/>
      <c r="J1121" s="275">
        <v>55</v>
      </c>
      <c r="K1121" s="274"/>
      <c r="L1121" s="275">
        <v>55</v>
      </c>
      <c r="M1121" s="276" t="s">
        <v>2125</v>
      </c>
      <c r="N1121" s="273"/>
      <c r="O1121" s="276" t="s">
        <v>1285</v>
      </c>
      <c r="P1121" s="277" t="s">
        <v>1407</v>
      </c>
      <c r="Q1121" s="272"/>
      <c r="R1121" s="271"/>
      <c r="S1121" s="270"/>
      <c r="T1121" s="277" t="s">
        <v>29</v>
      </c>
      <c r="U1121" s="276" t="s">
        <v>1388</v>
      </c>
      <c r="V1121" s="277">
        <v>1490</v>
      </c>
      <c r="W1121" s="269"/>
      <c r="X1121" s="268" t="s">
        <v>1363</v>
      </c>
      <c r="Y1121" s="267">
        <v>44672.399571759262</v>
      </c>
    </row>
    <row r="1122" spans="1:25">
      <c r="A1122" s="280" t="s">
        <v>100</v>
      </c>
      <c r="B1122" s="279" t="s">
        <v>1320</v>
      </c>
      <c r="C1122" s="278" t="s">
        <v>3560</v>
      </c>
      <c r="D1122" s="277" t="s">
        <v>558</v>
      </c>
      <c r="E1122" s="276" t="s">
        <v>1493</v>
      </c>
      <c r="F1122" s="277" t="s">
        <v>1360</v>
      </c>
      <c r="G1122" s="276" t="s">
        <v>3561</v>
      </c>
      <c r="H1122" s="275">
        <v>1</v>
      </c>
      <c r="I1122" s="276"/>
      <c r="J1122" s="275">
        <v>50</v>
      </c>
      <c r="K1122" s="274"/>
      <c r="L1122" s="275">
        <v>50</v>
      </c>
      <c r="M1122" s="276" t="s">
        <v>1489</v>
      </c>
      <c r="N1122" s="273"/>
      <c r="O1122" s="276" t="s">
        <v>55</v>
      </c>
      <c r="P1122" s="277" t="s">
        <v>1403</v>
      </c>
      <c r="Q1122" s="272"/>
      <c r="R1122" s="271" t="s">
        <v>1434</v>
      </c>
      <c r="S1122" s="270"/>
      <c r="T1122" s="277" t="s">
        <v>25</v>
      </c>
      <c r="U1122" s="276" t="s">
        <v>14</v>
      </c>
      <c r="V1122" s="277">
        <v>1220</v>
      </c>
      <c r="W1122" s="269"/>
      <c r="X1122" s="268" t="s">
        <v>1363</v>
      </c>
      <c r="Y1122" s="267">
        <v>44706.599907407406</v>
      </c>
    </row>
    <row r="1123" spans="1:25">
      <c r="A1123" s="280" t="s">
        <v>100</v>
      </c>
      <c r="B1123" s="279" t="s">
        <v>1320</v>
      </c>
      <c r="C1123" s="278" t="s">
        <v>3560</v>
      </c>
      <c r="D1123" s="277" t="s">
        <v>558</v>
      </c>
      <c r="E1123" s="276" t="s">
        <v>1493</v>
      </c>
      <c r="F1123" s="277" t="s">
        <v>1360</v>
      </c>
      <c r="G1123" s="276" t="s">
        <v>3562</v>
      </c>
      <c r="H1123" s="275">
        <v>1</v>
      </c>
      <c r="I1123" s="276"/>
      <c r="J1123" s="275">
        <v>50</v>
      </c>
      <c r="K1123" s="274"/>
      <c r="L1123" s="275">
        <v>50</v>
      </c>
      <c r="M1123" s="276" t="s">
        <v>1489</v>
      </c>
      <c r="N1123" s="273"/>
      <c r="O1123" s="276" t="s">
        <v>55</v>
      </c>
      <c r="P1123" s="277" t="s">
        <v>1403</v>
      </c>
      <c r="Q1123" s="272"/>
      <c r="R1123" s="271" t="s">
        <v>1434</v>
      </c>
      <c r="S1123" s="270"/>
      <c r="T1123" s="277" t="s">
        <v>25</v>
      </c>
      <c r="U1123" s="276" t="s">
        <v>14</v>
      </c>
      <c r="V1123" s="277">
        <v>1220</v>
      </c>
      <c r="W1123" s="269"/>
      <c r="X1123" s="268" t="s">
        <v>1363</v>
      </c>
      <c r="Y1123" s="267">
        <v>44706.599907407406</v>
      </c>
    </row>
    <row r="1124" spans="1:25">
      <c r="A1124" s="280" t="s">
        <v>100</v>
      </c>
      <c r="B1124" s="279" t="s">
        <v>1320</v>
      </c>
      <c r="C1124" s="278" t="s">
        <v>3560</v>
      </c>
      <c r="D1124" s="277" t="s">
        <v>558</v>
      </c>
      <c r="E1124" s="276" t="s">
        <v>1493</v>
      </c>
      <c r="F1124" s="277" t="s">
        <v>1360</v>
      </c>
      <c r="G1124" s="276" t="s">
        <v>3563</v>
      </c>
      <c r="H1124" s="275">
        <v>1</v>
      </c>
      <c r="I1124" s="276"/>
      <c r="J1124" s="275">
        <v>50</v>
      </c>
      <c r="K1124" s="274"/>
      <c r="L1124" s="275">
        <v>50</v>
      </c>
      <c r="M1124" s="276" t="s">
        <v>1489</v>
      </c>
      <c r="N1124" s="273"/>
      <c r="O1124" s="276" t="s">
        <v>55</v>
      </c>
      <c r="P1124" s="277" t="s">
        <v>1403</v>
      </c>
      <c r="Q1124" s="272"/>
      <c r="R1124" s="271" t="s">
        <v>1434</v>
      </c>
      <c r="S1124" s="270"/>
      <c r="T1124" s="277" t="s">
        <v>25</v>
      </c>
      <c r="U1124" s="276" t="s">
        <v>14</v>
      </c>
      <c r="V1124" s="277">
        <v>1220</v>
      </c>
      <c r="W1124" s="269"/>
      <c r="X1124" s="268" t="s">
        <v>1363</v>
      </c>
      <c r="Y1124" s="267">
        <v>44706.599907407406</v>
      </c>
    </row>
    <row r="1125" spans="1:25">
      <c r="A1125" s="280" t="s">
        <v>100</v>
      </c>
      <c r="B1125" s="279" t="s">
        <v>1320</v>
      </c>
      <c r="C1125" s="278" t="s">
        <v>3560</v>
      </c>
      <c r="D1125" s="277" t="s">
        <v>558</v>
      </c>
      <c r="E1125" s="276" t="s">
        <v>1493</v>
      </c>
      <c r="F1125" s="277" t="s">
        <v>1360</v>
      </c>
      <c r="G1125" s="276" t="s">
        <v>3564</v>
      </c>
      <c r="H1125" s="275">
        <v>1</v>
      </c>
      <c r="I1125" s="276"/>
      <c r="J1125" s="275">
        <v>50</v>
      </c>
      <c r="K1125" s="274"/>
      <c r="L1125" s="275">
        <v>50</v>
      </c>
      <c r="M1125" s="276" t="s">
        <v>1489</v>
      </c>
      <c r="N1125" s="273"/>
      <c r="O1125" s="276" t="s">
        <v>55</v>
      </c>
      <c r="P1125" s="277" t="s">
        <v>1403</v>
      </c>
      <c r="Q1125" s="272"/>
      <c r="R1125" s="271" t="s">
        <v>1434</v>
      </c>
      <c r="S1125" s="270"/>
      <c r="T1125" s="277" t="s">
        <v>25</v>
      </c>
      <c r="U1125" s="276" t="s">
        <v>14</v>
      </c>
      <c r="V1125" s="277">
        <v>1220</v>
      </c>
      <c r="W1125" s="269"/>
      <c r="X1125" s="268" t="s">
        <v>1363</v>
      </c>
      <c r="Y1125" s="267">
        <v>44706.599907407406</v>
      </c>
    </row>
    <row r="1126" spans="1:25">
      <c r="A1126" s="280" t="s">
        <v>100</v>
      </c>
      <c r="B1126" s="279" t="s">
        <v>1320</v>
      </c>
      <c r="C1126" s="278" t="s">
        <v>3560</v>
      </c>
      <c r="D1126" s="277" t="s">
        <v>558</v>
      </c>
      <c r="E1126" s="276" t="s">
        <v>1493</v>
      </c>
      <c r="F1126" s="277" t="s">
        <v>1360</v>
      </c>
      <c r="G1126" s="276" t="s">
        <v>3565</v>
      </c>
      <c r="H1126" s="275">
        <v>1</v>
      </c>
      <c r="I1126" s="276"/>
      <c r="J1126" s="275">
        <v>50</v>
      </c>
      <c r="K1126" s="274"/>
      <c r="L1126" s="275">
        <v>50</v>
      </c>
      <c r="M1126" s="276" t="s">
        <v>1489</v>
      </c>
      <c r="N1126" s="273"/>
      <c r="O1126" s="276" t="s">
        <v>55</v>
      </c>
      <c r="P1126" s="277" t="s">
        <v>1403</v>
      </c>
      <c r="Q1126" s="272"/>
      <c r="R1126" s="271" t="s">
        <v>1434</v>
      </c>
      <c r="S1126" s="270"/>
      <c r="T1126" s="277" t="s">
        <v>25</v>
      </c>
      <c r="U1126" s="276" t="s">
        <v>14</v>
      </c>
      <c r="V1126" s="277">
        <v>1220</v>
      </c>
      <c r="W1126" s="269"/>
      <c r="X1126" s="268" t="s">
        <v>1363</v>
      </c>
      <c r="Y1126" s="267">
        <v>44706.599907407406</v>
      </c>
    </row>
    <row r="1127" spans="1:25">
      <c r="A1127" s="280" t="s">
        <v>100</v>
      </c>
      <c r="B1127" s="279" t="s">
        <v>1320</v>
      </c>
      <c r="C1127" s="278" t="s">
        <v>3560</v>
      </c>
      <c r="D1127" s="277" t="s">
        <v>558</v>
      </c>
      <c r="E1127" s="276" t="s">
        <v>1493</v>
      </c>
      <c r="F1127" s="277" t="s">
        <v>1360</v>
      </c>
      <c r="G1127" s="276" t="s">
        <v>3566</v>
      </c>
      <c r="H1127" s="275">
        <v>1</v>
      </c>
      <c r="I1127" s="276"/>
      <c r="J1127" s="275">
        <v>50</v>
      </c>
      <c r="K1127" s="274"/>
      <c r="L1127" s="275">
        <v>50</v>
      </c>
      <c r="M1127" s="276" t="s">
        <v>1489</v>
      </c>
      <c r="N1127" s="273"/>
      <c r="O1127" s="276" t="s">
        <v>55</v>
      </c>
      <c r="P1127" s="277" t="s">
        <v>1403</v>
      </c>
      <c r="Q1127" s="272"/>
      <c r="R1127" s="271" t="s">
        <v>1434</v>
      </c>
      <c r="S1127" s="270"/>
      <c r="T1127" s="277" t="s">
        <v>25</v>
      </c>
      <c r="U1127" s="276" t="s">
        <v>14</v>
      </c>
      <c r="V1127" s="277">
        <v>1220</v>
      </c>
      <c r="W1127" s="269"/>
      <c r="X1127" s="268" t="s">
        <v>1363</v>
      </c>
      <c r="Y1127" s="267">
        <v>44706.599907407406</v>
      </c>
    </row>
    <row r="1128" spans="1:25">
      <c r="A1128" s="131" t="s">
        <v>100</v>
      </c>
      <c r="B1128" s="109" t="s">
        <v>1320</v>
      </c>
      <c r="C1128" s="245" t="s">
        <v>3567</v>
      </c>
      <c r="D1128" s="162" t="s">
        <v>1393</v>
      </c>
      <c r="E1128" s="65" t="s">
        <v>1398</v>
      </c>
      <c r="F1128" s="162" t="s">
        <v>1388</v>
      </c>
      <c r="G1128" s="65" t="s">
        <v>208</v>
      </c>
      <c r="H1128" s="218">
        <v>1</v>
      </c>
      <c r="I1128" s="65"/>
      <c r="J1128" s="218">
        <v>0.753</v>
      </c>
      <c r="K1128" s="108"/>
      <c r="L1128" s="275">
        <v>0.75260000000000005</v>
      </c>
      <c r="M1128" s="65" t="s">
        <v>3568</v>
      </c>
      <c r="N1128" s="219"/>
      <c r="O1128" s="65" t="s">
        <v>55</v>
      </c>
      <c r="P1128" s="162" t="s">
        <v>1362</v>
      </c>
      <c r="Q1128" s="158"/>
      <c r="R1128" s="157"/>
      <c r="S1128" s="114"/>
      <c r="T1128" s="162" t="s">
        <v>25</v>
      </c>
      <c r="U1128" s="65" t="s">
        <v>1388</v>
      </c>
      <c r="V1128" s="162">
        <v>70</v>
      </c>
      <c r="W1128" s="165"/>
      <c r="X1128" s="225" t="s">
        <v>208</v>
      </c>
      <c r="Y1128" s="167">
        <v>43312</v>
      </c>
    </row>
    <row r="1129" spans="1:25">
      <c r="A1129" s="131" t="s">
        <v>62</v>
      </c>
      <c r="B1129" s="109" t="s">
        <v>1320</v>
      </c>
      <c r="C1129" s="245" t="s">
        <v>3569</v>
      </c>
      <c r="D1129" s="162" t="s">
        <v>3570</v>
      </c>
      <c r="E1129" s="65" t="s">
        <v>1596</v>
      </c>
      <c r="F1129" s="162" t="s">
        <v>1856</v>
      </c>
      <c r="G1129" s="65" t="s">
        <v>208</v>
      </c>
      <c r="H1129" s="218">
        <v>1</v>
      </c>
      <c r="I1129" s="65"/>
      <c r="J1129" s="218">
        <v>5</v>
      </c>
      <c r="K1129" s="108"/>
      <c r="L1129" s="275">
        <v>5</v>
      </c>
      <c r="M1129" s="65" t="s">
        <v>1416</v>
      </c>
      <c r="N1129" s="219"/>
      <c r="O1129" s="65" t="s">
        <v>55</v>
      </c>
      <c r="P1129" s="162" t="s">
        <v>1362</v>
      </c>
      <c r="Q1129" s="158"/>
      <c r="R1129" s="157"/>
      <c r="S1129" s="114"/>
      <c r="T1129" s="162" t="s">
        <v>25</v>
      </c>
      <c r="U1129" s="65" t="s">
        <v>19</v>
      </c>
      <c r="V1129" s="162">
        <v>1221</v>
      </c>
      <c r="W1129" s="165"/>
      <c r="X1129" s="225" t="s">
        <v>1363</v>
      </c>
      <c r="Y1129" s="167">
        <v>44671.298275462963</v>
      </c>
    </row>
    <row r="1130" spans="1:25">
      <c r="A1130" s="131" t="s">
        <v>62</v>
      </c>
      <c r="B1130" s="109" t="s">
        <v>1320</v>
      </c>
      <c r="C1130" s="245" t="s">
        <v>3569</v>
      </c>
      <c r="D1130" s="162" t="s">
        <v>3570</v>
      </c>
      <c r="E1130" s="65" t="s">
        <v>1596</v>
      </c>
      <c r="F1130" s="162" t="s">
        <v>1856</v>
      </c>
      <c r="G1130" s="65" t="s">
        <v>208</v>
      </c>
      <c r="H1130" s="218">
        <v>1</v>
      </c>
      <c r="I1130" s="65"/>
      <c r="J1130" s="218">
        <v>19</v>
      </c>
      <c r="K1130" s="108"/>
      <c r="L1130" s="275">
        <v>19</v>
      </c>
      <c r="M1130" s="65" t="s">
        <v>1805</v>
      </c>
      <c r="N1130" s="219"/>
      <c r="O1130" s="65" t="s">
        <v>55</v>
      </c>
      <c r="P1130" s="162" t="s">
        <v>1362</v>
      </c>
      <c r="Q1130" s="158"/>
      <c r="R1130" s="157"/>
      <c r="S1130" s="114"/>
      <c r="T1130" s="162" t="s">
        <v>25</v>
      </c>
      <c r="U1130" s="65" t="s">
        <v>19</v>
      </c>
      <c r="V1130" s="162">
        <v>1221</v>
      </c>
      <c r="W1130" s="165"/>
      <c r="X1130" s="225" t="s">
        <v>1363</v>
      </c>
      <c r="Y1130" s="167">
        <v>44671.298275462963</v>
      </c>
    </row>
    <row r="1131" spans="1:25">
      <c r="A1131" s="131" t="s">
        <v>100</v>
      </c>
      <c r="B1131" s="109" t="s">
        <v>1320</v>
      </c>
      <c r="C1131" s="245" t="s">
        <v>159</v>
      </c>
      <c r="D1131" s="162" t="s">
        <v>160</v>
      </c>
      <c r="E1131" s="65" t="s">
        <v>1391</v>
      </c>
      <c r="F1131" s="162" t="s">
        <v>21</v>
      </c>
      <c r="G1131" s="65" t="s">
        <v>161</v>
      </c>
      <c r="H1131" s="218">
        <v>1</v>
      </c>
      <c r="I1131" s="65"/>
      <c r="J1131" s="218">
        <v>300</v>
      </c>
      <c r="K1131" s="108"/>
      <c r="L1131" s="275">
        <v>300</v>
      </c>
      <c r="M1131" s="65" t="s">
        <v>1661</v>
      </c>
      <c r="N1131" s="219">
        <v>450</v>
      </c>
      <c r="O1131" s="65" t="s">
        <v>55</v>
      </c>
      <c r="P1131" s="162" t="s">
        <v>1403</v>
      </c>
      <c r="Q1131" s="158"/>
      <c r="R1131" s="157" t="s">
        <v>1405</v>
      </c>
      <c r="S1131" s="114"/>
      <c r="T1131" s="162" t="s">
        <v>25</v>
      </c>
      <c r="U1131" s="65" t="s">
        <v>20</v>
      </c>
      <c r="V1131" s="162">
        <v>1864</v>
      </c>
      <c r="W1131" s="165"/>
      <c r="X1131" s="225" t="s">
        <v>1453</v>
      </c>
      <c r="Y1131" s="167">
        <v>44746.527511574073</v>
      </c>
    </row>
    <row r="1132" spans="1:25">
      <c r="A1132" s="131" t="s">
        <v>62</v>
      </c>
      <c r="B1132" s="109" t="s">
        <v>1320</v>
      </c>
      <c r="C1132" s="245" t="s">
        <v>3571</v>
      </c>
      <c r="D1132" s="162" t="s">
        <v>1393</v>
      </c>
      <c r="E1132" s="65" t="s">
        <v>1398</v>
      </c>
      <c r="F1132" s="162" t="s">
        <v>1388</v>
      </c>
      <c r="G1132" s="65" t="s">
        <v>208</v>
      </c>
      <c r="H1132" s="218">
        <v>1</v>
      </c>
      <c r="I1132" s="65"/>
      <c r="J1132" s="218">
        <v>0.19700000000000001</v>
      </c>
      <c r="K1132" s="108"/>
      <c r="L1132" s="275">
        <v>0.1966</v>
      </c>
      <c r="M1132" s="65" t="s">
        <v>3572</v>
      </c>
      <c r="N1132" s="219"/>
      <c r="O1132" s="65" t="s">
        <v>55</v>
      </c>
      <c r="P1132" s="162" t="s">
        <v>1362</v>
      </c>
      <c r="Q1132" s="158"/>
      <c r="R1132" s="157"/>
      <c r="S1132" s="114"/>
      <c r="T1132" s="162" t="s">
        <v>25</v>
      </c>
      <c r="U1132" s="65" t="s">
        <v>1388</v>
      </c>
      <c r="V1132" s="162">
        <v>86</v>
      </c>
      <c r="W1132" s="165"/>
      <c r="X1132" s="225" t="s">
        <v>208</v>
      </c>
      <c r="Y1132" s="167">
        <v>43312</v>
      </c>
    </row>
    <row r="1133" spans="1:25">
      <c r="A1133" s="131" t="s">
        <v>46</v>
      </c>
      <c r="B1133" s="109" t="s">
        <v>1385</v>
      </c>
      <c r="C1133" s="245" t="s">
        <v>179</v>
      </c>
      <c r="D1133" s="162" t="s">
        <v>180</v>
      </c>
      <c r="E1133" s="65" t="s">
        <v>1429</v>
      </c>
      <c r="F1133" s="162" t="s">
        <v>1388</v>
      </c>
      <c r="G1133" s="65" t="s">
        <v>181</v>
      </c>
      <c r="H1133" s="218">
        <v>12</v>
      </c>
      <c r="I1133" s="65"/>
      <c r="J1133" s="218">
        <v>1.637</v>
      </c>
      <c r="K1133" s="108"/>
      <c r="L1133" s="275">
        <v>19.643999999999998</v>
      </c>
      <c r="M1133" s="65" t="s">
        <v>3573</v>
      </c>
      <c r="N1133" s="219"/>
      <c r="O1133" s="65" t="s">
        <v>27</v>
      </c>
      <c r="P1133" s="162" t="s">
        <v>1407</v>
      </c>
      <c r="Q1133" s="158" t="s">
        <v>1363</v>
      </c>
      <c r="R1133" s="157" t="s">
        <v>1532</v>
      </c>
      <c r="S1133" s="114"/>
      <c r="T1133" s="162" t="s">
        <v>27</v>
      </c>
      <c r="U1133" s="65" t="s">
        <v>1388</v>
      </c>
      <c r="V1133" s="162">
        <v>1514</v>
      </c>
      <c r="W1133" s="165"/>
      <c r="X1133" s="225" t="s">
        <v>1363</v>
      </c>
      <c r="Y1133" s="167">
        <v>44671.467592592591</v>
      </c>
    </row>
    <row r="1134" spans="1:25">
      <c r="A1134" s="131" t="s">
        <v>46</v>
      </c>
      <c r="B1134" s="109" t="s">
        <v>1385</v>
      </c>
      <c r="C1134" s="245" t="s">
        <v>179</v>
      </c>
      <c r="D1134" s="162" t="s">
        <v>180</v>
      </c>
      <c r="E1134" s="65" t="s">
        <v>1429</v>
      </c>
      <c r="F1134" s="162" t="s">
        <v>1388</v>
      </c>
      <c r="G1134" s="65" t="s">
        <v>181</v>
      </c>
      <c r="H1134" s="218">
        <v>22</v>
      </c>
      <c r="I1134" s="65"/>
      <c r="J1134" s="218">
        <v>1.637</v>
      </c>
      <c r="K1134" s="108"/>
      <c r="L1134" s="275">
        <v>36.014000000000003</v>
      </c>
      <c r="M1134" s="65" t="s">
        <v>2502</v>
      </c>
      <c r="N1134" s="219"/>
      <c r="O1134" s="65" t="s">
        <v>27</v>
      </c>
      <c r="P1134" s="162" t="s">
        <v>1407</v>
      </c>
      <c r="Q1134" s="158" t="s">
        <v>2503</v>
      </c>
      <c r="R1134" s="157" t="s">
        <v>1532</v>
      </c>
      <c r="S1134" s="114"/>
      <c r="T1134" s="162" t="s">
        <v>27</v>
      </c>
      <c r="U1134" s="65" t="s">
        <v>1388</v>
      </c>
      <c r="V1134" s="162">
        <v>1514</v>
      </c>
      <c r="W1134" s="165"/>
      <c r="X1134" s="225" t="s">
        <v>1363</v>
      </c>
      <c r="Y1134" s="167">
        <v>44671.467592592591</v>
      </c>
    </row>
    <row r="1135" spans="1:25">
      <c r="A1135" s="131" t="s">
        <v>46</v>
      </c>
      <c r="B1135" s="109" t="s">
        <v>1385</v>
      </c>
      <c r="C1135" s="245" t="s">
        <v>3574</v>
      </c>
      <c r="D1135" s="162" t="s">
        <v>3575</v>
      </c>
      <c r="E1135" s="65"/>
      <c r="F1135" s="162" t="s">
        <v>21</v>
      </c>
      <c r="G1135" s="65"/>
      <c r="H1135" s="218"/>
      <c r="I1135" s="65"/>
      <c r="J1135" s="218"/>
      <c r="K1135" s="108"/>
      <c r="L1135" s="275">
        <v>15</v>
      </c>
      <c r="M1135" s="65"/>
      <c r="N1135" s="219"/>
      <c r="O1135" s="65" t="s">
        <v>1285</v>
      </c>
      <c r="P1135" s="162"/>
      <c r="Q1135" s="158"/>
      <c r="R1135" s="157"/>
      <c r="S1135" s="114"/>
      <c r="T1135" s="162" t="s">
        <v>29</v>
      </c>
      <c r="U1135" s="65" t="s">
        <v>20</v>
      </c>
      <c r="V1135" s="162" t="s">
        <v>208</v>
      </c>
      <c r="W1135" s="165" t="s">
        <v>3576</v>
      </c>
      <c r="X1135" s="225"/>
      <c r="Y1135" s="167" t="s">
        <v>208</v>
      </c>
    </row>
    <row r="1136" spans="1:25">
      <c r="A1136" s="131" t="s">
        <v>46</v>
      </c>
      <c r="B1136" s="109" t="s">
        <v>1385</v>
      </c>
      <c r="C1136" s="245" t="s">
        <v>3996</v>
      </c>
      <c r="D1136" s="162" t="s">
        <v>1985</v>
      </c>
      <c r="E1136" s="65"/>
      <c r="F1136" s="162" t="s">
        <v>1527</v>
      </c>
      <c r="G1136" s="65"/>
      <c r="H1136" s="218">
        <v>49</v>
      </c>
      <c r="I1136" s="65"/>
      <c r="J1136" s="242">
        <v>4.3900000000000006</v>
      </c>
      <c r="K1136" s="108"/>
      <c r="L1136" s="281">
        <v>215.11</v>
      </c>
      <c r="M1136" s="243">
        <v>215.11</v>
      </c>
      <c r="N1136" s="219"/>
      <c r="O1136" s="65" t="s">
        <v>1285</v>
      </c>
      <c r="P1136" s="162"/>
      <c r="Q1136" s="158"/>
      <c r="R1136" s="157"/>
      <c r="S1136" s="114"/>
      <c r="T1136" s="162" t="s">
        <v>29</v>
      </c>
      <c r="U1136" s="65" t="s">
        <v>1388</v>
      </c>
      <c r="V1136" s="162"/>
      <c r="W1136" s="165" t="s">
        <v>4031</v>
      </c>
      <c r="X1136" s="225"/>
      <c r="Y1136" s="167"/>
    </row>
    <row r="1137" spans="1:25">
      <c r="A1137" s="131" t="s">
        <v>46</v>
      </c>
      <c r="B1137" s="109" t="s">
        <v>1385</v>
      </c>
      <c r="C1137" s="245" t="s">
        <v>3996</v>
      </c>
      <c r="D1137" s="162" t="s">
        <v>1985</v>
      </c>
      <c r="E1137" s="65"/>
      <c r="F1137" s="162" t="s">
        <v>1529</v>
      </c>
      <c r="G1137" s="65"/>
      <c r="H1137" s="218">
        <v>60</v>
      </c>
      <c r="I1137" s="65"/>
      <c r="J1137" s="242">
        <v>4.3899999999999997</v>
      </c>
      <c r="K1137" s="108"/>
      <c r="L1137" s="282">
        <v>263.39999999999998</v>
      </c>
      <c r="M1137" s="243">
        <v>263.39999999999998</v>
      </c>
      <c r="N1137" s="219"/>
      <c r="O1137" s="65" t="s">
        <v>1285</v>
      </c>
      <c r="P1137" s="162"/>
      <c r="Q1137" s="158"/>
      <c r="R1137" s="157"/>
      <c r="S1137" s="114"/>
      <c r="T1137" s="162" t="s">
        <v>29</v>
      </c>
      <c r="U1137" s="65" t="s">
        <v>20</v>
      </c>
      <c r="V1137" s="162"/>
      <c r="W1137" s="165" t="s">
        <v>4031</v>
      </c>
      <c r="X1137" s="225"/>
      <c r="Y1137" s="167"/>
    </row>
    <row r="1138" spans="1:25">
      <c r="A1138" s="131" t="s">
        <v>46</v>
      </c>
      <c r="B1138" s="109" t="s">
        <v>1385</v>
      </c>
      <c r="C1138" s="245" t="s">
        <v>3577</v>
      </c>
      <c r="D1138" s="162" t="s">
        <v>69</v>
      </c>
      <c r="E1138" s="65" t="s">
        <v>1429</v>
      </c>
      <c r="F1138" s="162" t="s">
        <v>1388</v>
      </c>
      <c r="G1138" s="65" t="s">
        <v>208</v>
      </c>
      <c r="H1138" s="218">
        <v>1</v>
      </c>
      <c r="I1138" s="65"/>
      <c r="J1138" s="218">
        <v>200</v>
      </c>
      <c r="K1138" s="108"/>
      <c r="L1138" s="275">
        <v>200</v>
      </c>
      <c r="M1138" s="65" t="s">
        <v>1615</v>
      </c>
      <c r="N1138" s="219"/>
      <c r="O1138" s="65" t="s">
        <v>1285</v>
      </c>
      <c r="P1138" s="162" t="s">
        <v>1407</v>
      </c>
      <c r="Q1138" s="158"/>
      <c r="R1138" s="157"/>
      <c r="S1138" s="114"/>
      <c r="T1138" s="162" t="s">
        <v>29</v>
      </c>
      <c r="U1138" s="65" t="s">
        <v>1388</v>
      </c>
      <c r="V1138" s="162">
        <v>1578</v>
      </c>
      <c r="W1138" s="165"/>
      <c r="X1138" s="225" t="s">
        <v>1363</v>
      </c>
      <c r="Y1138" s="167">
        <v>44671.479513888888</v>
      </c>
    </row>
    <row r="1139" spans="1:25" ht="22.5">
      <c r="A1139" s="131" t="s">
        <v>46</v>
      </c>
      <c r="B1139" s="109" t="s">
        <v>1385</v>
      </c>
      <c r="C1139" s="245" t="s">
        <v>3578</v>
      </c>
      <c r="D1139" s="162" t="s">
        <v>343</v>
      </c>
      <c r="E1139" s="65" t="s">
        <v>1419</v>
      </c>
      <c r="F1139" s="162" t="s">
        <v>17</v>
      </c>
      <c r="G1139" s="65" t="s">
        <v>208</v>
      </c>
      <c r="H1139" s="218">
        <v>1</v>
      </c>
      <c r="I1139" s="65"/>
      <c r="J1139" s="218">
        <v>1</v>
      </c>
      <c r="K1139" s="108"/>
      <c r="L1139" s="275">
        <v>1</v>
      </c>
      <c r="M1139" s="65" t="s">
        <v>1366</v>
      </c>
      <c r="N1139" s="219"/>
      <c r="O1139" s="65" t="s">
        <v>1285</v>
      </c>
      <c r="P1139" s="162" t="s">
        <v>1393</v>
      </c>
      <c r="Q1139" s="158"/>
      <c r="R1139" s="157"/>
      <c r="S1139" s="114"/>
      <c r="T1139" s="162" t="s">
        <v>29</v>
      </c>
      <c r="U1139" s="65" t="s">
        <v>17</v>
      </c>
      <c r="V1139" s="162">
        <v>1898</v>
      </c>
      <c r="W1139" s="165"/>
      <c r="X1139" s="225" t="s">
        <v>208</v>
      </c>
      <c r="Y1139" s="167">
        <v>44680.352569444447</v>
      </c>
    </row>
    <row r="1140" spans="1:25" ht="22.5">
      <c r="A1140" s="131" t="s">
        <v>46</v>
      </c>
      <c r="B1140" s="109" t="s">
        <v>1385</v>
      </c>
      <c r="C1140" s="245" t="s">
        <v>3579</v>
      </c>
      <c r="D1140" s="162" t="s">
        <v>343</v>
      </c>
      <c r="E1140" s="65" t="s">
        <v>1419</v>
      </c>
      <c r="F1140" s="162" t="s">
        <v>17</v>
      </c>
      <c r="G1140" s="65" t="s">
        <v>208</v>
      </c>
      <c r="H1140" s="218">
        <v>1</v>
      </c>
      <c r="I1140" s="65"/>
      <c r="J1140" s="218">
        <v>1</v>
      </c>
      <c r="K1140" s="108"/>
      <c r="L1140" s="275">
        <v>1</v>
      </c>
      <c r="M1140" s="65" t="s">
        <v>1366</v>
      </c>
      <c r="N1140" s="219"/>
      <c r="O1140" s="65" t="s">
        <v>1285</v>
      </c>
      <c r="P1140" s="162" t="s">
        <v>1393</v>
      </c>
      <c r="Q1140" s="158"/>
      <c r="R1140" s="157"/>
      <c r="S1140" s="114"/>
      <c r="T1140" s="162" t="s">
        <v>29</v>
      </c>
      <c r="U1140" s="65" t="s">
        <v>17</v>
      </c>
      <c r="V1140" s="162">
        <v>1899</v>
      </c>
      <c r="W1140" s="165"/>
      <c r="X1140" s="225" t="s">
        <v>208</v>
      </c>
      <c r="Y1140" s="167">
        <v>44680.354270833333</v>
      </c>
    </row>
    <row r="1141" spans="1:25" ht="22.5">
      <c r="A1141" s="131" t="s">
        <v>46</v>
      </c>
      <c r="B1141" s="109" t="s">
        <v>1385</v>
      </c>
      <c r="C1141" s="245" t="s">
        <v>3580</v>
      </c>
      <c r="D1141" s="162" t="s">
        <v>343</v>
      </c>
      <c r="E1141" s="65" t="s">
        <v>1419</v>
      </c>
      <c r="F1141" s="162" t="s">
        <v>17</v>
      </c>
      <c r="G1141" s="65" t="s">
        <v>208</v>
      </c>
      <c r="H1141" s="218">
        <v>1</v>
      </c>
      <c r="I1141" s="65"/>
      <c r="J1141" s="218">
        <v>1</v>
      </c>
      <c r="K1141" s="108"/>
      <c r="L1141" s="275">
        <v>1</v>
      </c>
      <c r="M1141" s="65" t="s">
        <v>1366</v>
      </c>
      <c r="N1141" s="219"/>
      <c r="O1141" s="65" t="s">
        <v>1285</v>
      </c>
      <c r="P1141" s="162" t="s">
        <v>1393</v>
      </c>
      <c r="Q1141" s="158"/>
      <c r="R1141" s="157"/>
      <c r="S1141" s="114"/>
      <c r="T1141" s="162" t="s">
        <v>29</v>
      </c>
      <c r="U1141" s="65" t="s">
        <v>17</v>
      </c>
      <c r="V1141" s="162">
        <v>1895</v>
      </c>
      <c r="W1141" s="165"/>
      <c r="X1141" s="225" t="s">
        <v>208</v>
      </c>
      <c r="Y1141" s="167">
        <v>44680.322893518518</v>
      </c>
    </row>
    <row r="1142" spans="1:25" ht="22.5">
      <c r="A1142" s="131" t="s">
        <v>46</v>
      </c>
      <c r="B1142" s="109" t="s">
        <v>1385</v>
      </c>
      <c r="C1142" s="245" t="s">
        <v>3581</v>
      </c>
      <c r="D1142" s="162" t="s">
        <v>343</v>
      </c>
      <c r="E1142" s="65" t="s">
        <v>1419</v>
      </c>
      <c r="F1142" s="162" t="s">
        <v>17</v>
      </c>
      <c r="G1142" s="65" t="s">
        <v>208</v>
      </c>
      <c r="H1142" s="218">
        <v>1</v>
      </c>
      <c r="I1142" s="65"/>
      <c r="J1142" s="218">
        <v>1</v>
      </c>
      <c r="K1142" s="108"/>
      <c r="L1142" s="275">
        <v>1</v>
      </c>
      <c r="M1142" s="65" t="s">
        <v>1366</v>
      </c>
      <c r="N1142" s="219"/>
      <c r="O1142" s="65" t="s">
        <v>1285</v>
      </c>
      <c r="P1142" s="162" t="s">
        <v>1393</v>
      </c>
      <c r="Q1142" s="158"/>
      <c r="R1142" s="157"/>
      <c r="S1142" s="114"/>
      <c r="T1142" s="162" t="s">
        <v>29</v>
      </c>
      <c r="U1142" s="65" t="s">
        <v>17</v>
      </c>
      <c r="V1142" s="162">
        <v>1897</v>
      </c>
      <c r="W1142" s="165"/>
      <c r="X1142" s="225" t="s">
        <v>208</v>
      </c>
      <c r="Y1142" s="167">
        <v>44680.32534722222</v>
      </c>
    </row>
    <row r="1143" spans="1:25">
      <c r="A1143" s="131" t="s">
        <v>46</v>
      </c>
      <c r="B1143" s="109" t="s">
        <v>1385</v>
      </c>
      <c r="C1143" s="245" t="s">
        <v>3582</v>
      </c>
      <c r="D1143" s="162" t="s">
        <v>343</v>
      </c>
      <c r="E1143" s="65" t="s">
        <v>1419</v>
      </c>
      <c r="F1143" s="162" t="s">
        <v>17</v>
      </c>
      <c r="G1143" s="65" t="s">
        <v>208</v>
      </c>
      <c r="H1143" s="218">
        <v>1</v>
      </c>
      <c r="I1143" s="65"/>
      <c r="J1143" s="218">
        <v>1</v>
      </c>
      <c r="K1143" s="108"/>
      <c r="L1143" s="275">
        <v>1</v>
      </c>
      <c r="M1143" s="65" t="s">
        <v>1366</v>
      </c>
      <c r="N1143" s="219"/>
      <c r="O1143" s="65" t="s">
        <v>1285</v>
      </c>
      <c r="P1143" s="162" t="s">
        <v>1393</v>
      </c>
      <c r="Q1143" s="158"/>
      <c r="R1143" s="157"/>
      <c r="S1143" s="114"/>
      <c r="T1143" s="162" t="s">
        <v>29</v>
      </c>
      <c r="U1143" s="65" t="s">
        <v>17</v>
      </c>
      <c r="V1143" s="162">
        <v>1900</v>
      </c>
      <c r="W1143" s="165"/>
      <c r="X1143" s="225" t="s">
        <v>208</v>
      </c>
      <c r="Y1143" s="167">
        <v>44680.35601851852</v>
      </c>
    </row>
    <row r="1144" spans="1:25" ht="22.5">
      <c r="A1144" s="131" t="s">
        <v>46</v>
      </c>
      <c r="B1144" s="109" t="s">
        <v>1385</v>
      </c>
      <c r="C1144" s="245" t="s">
        <v>3583</v>
      </c>
      <c r="D1144" s="162" t="s">
        <v>343</v>
      </c>
      <c r="E1144" s="65" t="s">
        <v>1419</v>
      </c>
      <c r="F1144" s="162" t="s">
        <v>17</v>
      </c>
      <c r="G1144" s="65" t="s">
        <v>208</v>
      </c>
      <c r="H1144" s="218">
        <v>1</v>
      </c>
      <c r="I1144" s="65"/>
      <c r="J1144" s="218">
        <v>1</v>
      </c>
      <c r="K1144" s="108"/>
      <c r="L1144" s="275">
        <v>1</v>
      </c>
      <c r="M1144" s="65" t="s">
        <v>1366</v>
      </c>
      <c r="N1144" s="219"/>
      <c r="O1144" s="65" t="s">
        <v>1285</v>
      </c>
      <c r="P1144" s="162" t="s">
        <v>1393</v>
      </c>
      <c r="Q1144" s="158"/>
      <c r="R1144" s="157"/>
      <c r="S1144" s="114"/>
      <c r="T1144" s="162" t="s">
        <v>29</v>
      </c>
      <c r="U1144" s="65" t="s">
        <v>17</v>
      </c>
      <c r="V1144" s="162">
        <v>1901</v>
      </c>
      <c r="W1144" s="165"/>
      <c r="X1144" s="225" t="s">
        <v>208</v>
      </c>
      <c r="Y1144" s="167">
        <v>44680.35765046296</v>
      </c>
    </row>
    <row r="1145" spans="1:25">
      <c r="A1145" s="131" t="s">
        <v>46</v>
      </c>
      <c r="B1145" s="109" t="s">
        <v>1385</v>
      </c>
      <c r="C1145" s="245" t="s">
        <v>222</v>
      </c>
      <c r="D1145" s="162" t="s">
        <v>223</v>
      </c>
      <c r="E1145" s="65" t="s">
        <v>1429</v>
      </c>
      <c r="F1145" s="162" t="s">
        <v>1388</v>
      </c>
      <c r="G1145" s="65" t="s">
        <v>208</v>
      </c>
      <c r="H1145" s="218">
        <v>152</v>
      </c>
      <c r="I1145" s="65">
        <v>2.25</v>
      </c>
      <c r="J1145" s="218">
        <v>2.5</v>
      </c>
      <c r="K1145" s="108">
        <v>342</v>
      </c>
      <c r="L1145" s="275">
        <v>380</v>
      </c>
      <c r="M1145" s="65" t="s">
        <v>3584</v>
      </c>
      <c r="N1145" s="219"/>
      <c r="O1145" s="65" t="s">
        <v>28</v>
      </c>
      <c r="P1145" s="162" t="s">
        <v>1407</v>
      </c>
      <c r="Q1145" s="158" t="s">
        <v>2578</v>
      </c>
      <c r="R1145" s="157" t="s">
        <v>1547</v>
      </c>
      <c r="S1145" s="114"/>
      <c r="T1145" s="162" t="s">
        <v>28</v>
      </c>
      <c r="U1145" s="65" t="s">
        <v>1388</v>
      </c>
      <c r="V1145" s="162">
        <v>1712</v>
      </c>
      <c r="W1145" s="165" t="s">
        <v>3924</v>
      </c>
      <c r="X1145" s="225" t="s">
        <v>1453</v>
      </c>
      <c r="Y1145" s="167">
        <v>44746.646620370368</v>
      </c>
    </row>
    <row r="1146" spans="1:25">
      <c r="A1146" s="131" t="s">
        <v>46</v>
      </c>
      <c r="B1146" s="109" t="s">
        <v>1385</v>
      </c>
      <c r="C1146" s="245" t="s">
        <v>3585</v>
      </c>
      <c r="D1146" s="162" t="s">
        <v>3586</v>
      </c>
      <c r="E1146" s="65" t="s">
        <v>1429</v>
      </c>
      <c r="F1146" s="162" t="s">
        <v>1388</v>
      </c>
      <c r="G1146" s="65" t="s">
        <v>208</v>
      </c>
      <c r="H1146" s="218">
        <v>36</v>
      </c>
      <c r="I1146" s="65"/>
      <c r="J1146" s="218">
        <v>3.4</v>
      </c>
      <c r="K1146" s="108"/>
      <c r="L1146" s="275">
        <v>122.39999999999999</v>
      </c>
      <c r="M1146" s="65" t="s">
        <v>1420</v>
      </c>
      <c r="N1146" s="219">
        <v>0</v>
      </c>
      <c r="O1146" s="65" t="s">
        <v>1285</v>
      </c>
      <c r="P1146" s="162" t="s">
        <v>1407</v>
      </c>
      <c r="Q1146" s="158"/>
      <c r="R1146" s="157"/>
      <c r="S1146" s="114"/>
      <c r="T1146" s="162" t="s">
        <v>29</v>
      </c>
      <c r="U1146" s="65" t="s">
        <v>1388</v>
      </c>
      <c r="V1146" s="162">
        <v>1861</v>
      </c>
      <c r="W1146" s="165" t="s">
        <v>3918</v>
      </c>
      <c r="X1146" s="225" t="s">
        <v>1583</v>
      </c>
      <c r="Y1146" s="167">
        <v>44679.640057870369</v>
      </c>
    </row>
    <row r="1147" spans="1:25">
      <c r="A1147" s="131" t="s">
        <v>46</v>
      </c>
      <c r="B1147" s="109" t="s">
        <v>1385</v>
      </c>
      <c r="C1147" s="245" t="s">
        <v>3587</v>
      </c>
      <c r="D1147" s="162" t="s">
        <v>3588</v>
      </c>
      <c r="E1147" s="65" t="s">
        <v>1391</v>
      </c>
      <c r="F1147" s="162" t="s">
        <v>21</v>
      </c>
      <c r="G1147" s="65" t="s">
        <v>208</v>
      </c>
      <c r="H1147" s="218">
        <v>1</v>
      </c>
      <c r="I1147" s="65">
        <v>1</v>
      </c>
      <c r="J1147" s="218">
        <v>500</v>
      </c>
      <c r="K1147" s="108">
        <v>1</v>
      </c>
      <c r="L1147" s="275">
        <v>500</v>
      </c>
      <c r="M1147" s="65" t="s">
        <v>3195</v>
      </c>
      <c r="N1147" s="219">
        <v>1000</v>
      </c>
      <c r="O1147" s="65" t="s">
        <v>1285</v>
      </c>
      <c r="P1147" s="162" t="s">
        <v>1407</v>
      </c>
      <c r="Q1147" s="158"/>
      <c r="R1147" s="157" t="s">
        <v>1532</v>
      </c>
      <c r="S1147" s="114"/>
      <c r="T1147" s="162" t="s">
        <v>29</v>
      </c>
      <c r="U1147" s="65" t="s">
        <v>20</v>
      </c>
      <c r="V1147" s="162">
        <v>1967</v>
      </c>
      <c r="W1147" s="165" t="s">
        <v>3932</v>
      </c>
      <c r="X1147" s="225" t="s">
        <v>208</v>
      </c>
      <c r="Y1147" s="167">
        <v>44679.715185185189</v>
      </c>
    </row>
    <row r="1148" spans="1:25">
      <c r="A1148" s="131" t="s">
        <v>46</v>
      </c>
      <c r="B1148" s="109" t="s">
        <v>1320</v>
      </c>
      <c r="C1148" s="245" t="s">
        <v>183</v>
      </c>
      <c r="D1148" s="162" t="s">
        <v>184</v>
      </c>
      <c r="E1148" s="65" t="s">
        <v>1391</v>
      </c>
      <c r="F1148" s="162" t="s">
        <v>21</v>
      </c>
      <c r="G1148" s="65" t="s">
        <v>185</v>
      </c>
      <c r="H1148" s="218">
        <v>1</v>
      </c>
      <c r="I1148" s="65"/>
      <c r="J1148" s="218">
        <v>50</v>
      </c>
      <c r="K1148" s="108"/>
      <c r="L1148" s="275">
        <v>50</v>
      </c>
      <c r="M1148" s="65" t="s">
        <v>1489</v>
      </c>
      <c r="N1148" s="219">
        <v>75</v>
      </c>
      <c r="O1148" s="65" t="s">
        <v>131</v>
      </c>
      <c r="P1148" s="162" t="s">
        <v>1403</v>
      </c>
      <c r="Q1148" s="158" t="s">
        <v>2503</v>
      </c>
      <c r="R1148" s="157" t="s">
        <v>1441</v>
      </c>
      <c r="S1148" s="114"/>
      <c r="T1148" s="162" t="s">
        <v>25</v>
      </c>
      <c r="U1148" s="65" t="s">
        <v>20</v>
      </c>
      <c r="V1148" s="162">
        <v>1874</v>
      </c>
      <c r="W1148" s="165"/>
      <c r="X1148" s="225" t="s">
        <v>1404</v>
      </c>
      <c r="Y1148" s="167">
        <v>44746.672210648147</v>
      </c>
    </row>
    <row r="1149" spans="1:25">
      <c r="A1149" s="131" t="s">
        <v>62</v>
      </c>
      <c r="B1149" s="109" t="s">
        <v>1385</v>
      </c>
      <c r="C1149" s="245" t="s">
        <v>3589</v>
      </c>
      <c r="D1149" s="162" t="s">
        <v>3590</v>
      </c>
      <c r="E1149" s="65"/>
      <c r="F1149" s="162" t="s">
        <v>17</v>
      </c>
      <c r="G1149" s="65"/>
      <c r="H1149" s="218"/>
      <c r="I1149" s="65"/>
      <c r="J1149" s="218"/>
      <c r="K1149" s="108"/>
      <c r="L1149" s="275">
        <v>500</v>
      </c>
      <c r="M1149" s="65"/>
      <c r="N1149" s="219"/>
      <c r="O1149" s="65" t="s">
        <v>1285</v>
      </c>
      <c r="P1149" s="162"/>
      <c r="Q1149" s="158"/>
      <c r="R1149" s="157" t="s">
        <v>208</v>
      </c>
      <c r="S1149" s="114"/>
      <c r="T1149" s="162" t="s">
        <v>29</v>
      </c>
      <c r="U1149" s="65" t="s">
        <v>17</v>
      </c>
      <c r="V1149" s="162" t="s">
        <v>208</v>
      </c>
      <c r="W1149" s="165" t="s">
        <v>3591</v>
      </c>
      <c r="X1149" s="225"/>
      <c r="Y1149" s="167" t="s">
        <v>208</v>
      </c>
    </row>
    <row r="1150" spans="1:25">
      <c r="A1150" s="131" t="s">
        <v>62</v>
      </c>
      <c r="B1150" s="109" t="s">
        <v>1385</v>
      </c>
      <c r="C1150" s="245" t="s">
        <v>304</v>
      </c>
      <c r="D1150" s="162" t="s">
        <v>64</v>
      </c>
      <c r="E1150" s="65" t="s">
        <v>1391</v>
      </c>
      <c r="F1150" s="162" t="s">
        <v>21</v>
      </c>
      <c r="G1150" s="65" t="s">
        <v>3592</v>
      </c>
      <c r="H1150" s="218">
        <v>1</v>
      </c>
      <c r="I1150" s="65"/>
      <c r="J1150" s="218">
        <v>100</v>
      </c>
      <c r="K1150" s="108"/>
      <c r="L1150" s="275">
        <v>100</v>
      </c>
      <c r="M1150" s="65" t="s">
        <v>1546</v>
      </c>
      <c r="N1150" s="219">
        <v>150</v>
      </c>
      <c r="O1150" s="65" t="s">
        <v>27</v>
      </c>
      <c r="P1150" s="162" t="s">
        <v>1407</v>
      </c>
      <c r="Q1150" s="158" t="s">
        <v>1409</v>
      </c>
      <c r="R1150" s="157" t="s">
        <v>1744</v>
      </c>
      <c r="S1150" s="114"/>
      <c r="T1150" s="162" t="s">
        <v>27</v>
      </c>
      <c r="U1150" s="65" t="s">
        <v>20</v>
      </c>
      <c r="V1150" s="162">
        <v>1762</v>
      </c>
      <c r="W1150" s="165"/>
      <c r="X1150" s="225" t="s">
        <v>1453</v>
      </c>
      <c r="Y1150" s="167">
        <v>44747.389861111114</v>
      </c>
    </row>
    <row r="1151" spans="1:25">
      <c r="A1151" s="131" t="s">
        <v>62</v>
      </c>
      <c r="B1151" s="109" t="s">
        <v>1385</v>
      </c>
      <c r="C1151" s="245" t="s">
        <v>63</v>
      </c>
      <c r="D1151" s="162" t="s">
        <v>64</v>
      </c>
      <c r="E1151" s="65" t="s">
        <v>1429</v>
      </c>
      <c r="F1151" s="162" t="s">
        <v>1388</v>
      </c>
      <c r="G1151" s="65" t="s">
        <v>65</v>
      </c>
      <c r="H1151" s="218">
        <v>1</v>
      </c>
      <c r="I1151" s="65"/>
      <c r="J1151" s="218">
        <v>160</v>
      </c>
      <c r="K1151" s="108"/>
      <c r="L1151" s="275">
        <v>160</v>
      </c>
      <c r="M1151" s="65" t="s">
        <v>3221</v>
      </c>
      <c r="N1151" s="219"/>
      <c r="O1151" s="65" t="s">
        <v>27</v>
      </c>
      <c r="P1151" s="162" t="s">
        <v>1407</v>
      </c>
      <c r="Q1151" s="158" t="s">
        <v>1602</v>
      </c>
      <c r="R1151" s="157" t="s">
        <v>1700</v>
      </c>
      <c r="S1151" s="114"/>
      <c r="T1151" s="162" t="s">
        <v>27</v>
      </c>
      <c r="U1151" s="65" t="s">
        <v>1388</v>
      </c>
      <c r="V1151" s="162">
        <v>1455</v>
      </c>
      <c r="W1151" s="165" t="s">
        <v>3959</v>
      </c>
      <c r="X1151" s="225" t="s">
        <v>1453</v>
      </c>
      <c r="Y1151" s="167">
        <v>44747.369270833333</v>
      </c>
    </row>
    <row r="1152" spans="1:25">
      <c r="A1152" s="131" t="s">
        <v>46</v>
      </c>
      <c r="B1152" s="109" t="s">
        <v>1385</v>
      </c>
      <c r="C1152" s="245" t="s">
        <v>3593</v>
      </c>
      <c r="D1152" s="162" t="s">
        <v>1642</v>
      </c>
      <c r="E1152" s="65"/>
      <c r="F1152" s="162" t="s">
        <v>1388</v>
      </c>
      <c r="G1152" s="65"/>
      <c r="H1152" s="218"/>
      <c r="I1152" s="65"/>
      <c r="J1152" s="218"/>
      <c r="K1152" s="108"/>
      <c r="L1152" s="275">
        <v>800</v>
      </c>
      <c r="M1152" s="65"/>
      <c r="N1152" s="219"/>
      <c r="O1152" s="65" t="s">
        <v>1285</v>
      </c>
      <c r="P1152" s="162"/>
      <c r="Q1152" s="158"/>
      <c r="R1152" s="157" t="s">
        <v>208</v>
      </c>
      <c r="S1152" s="114"/>
      <c r="T1152" s="162" t="s">
        <v>29</v>
      </c>
      <c r="U1152" s="65" t="s">
        <v>1388</v>
      </c>
      <c r="V1152" s="162" t="s">
        <v>208</v>
      </c>
      <c r="W1152" s="165" t="s">
        <v>3594</v>
      </c>
      <c r="X1152" s="225"/>
      <c r="Y1152" s="167" t="s">
        <v>208</v>
      </c>
    </row>
    <row r="1153" spans="1:25">
      <c r="A1153" s="131" t="s">
        <v>100</v>
      </c>
      <c r="B1153" s="109" t="s">
        <v>1385</v>
      </c>
      <c r="C1153" s="245" t="s">
        <v>3595</v>
      </c>
      <c r="D1153" s="162" t="s">
        <v>3596</v>
      </c>
      <c r="E1153" s="65" t="s">
        <v>1429</v>
      </c>
      <c r="F1153" s="162" t="s">
        <v>1388</v>
      </c>
      <c r="G1153" s="65" t="s">
        <v>208</v>
      </c>
      <c r="H1153" s="218">
        <v>6</v>
      </c>
      <c r="I1153" s="65"/>
      <c r="J1153" s="218">
        <v>4.4000000000000004</v>
      </c>
      <c r="K1153" s="108"/>
      <c r="L1153" s="275">
        <v>26.400000000000002</v>
      </c>
      <c r="M1153" s="65" t="s">
        <v>3597</v>
      </c>
      <c r="N1153" s="219">
        <v>0</v>
      </c>
      <c r="O1153" s="65" t="s">
        <v>1285</v>
      </c>
      <c r="P1153" s="162" t="s">
        <v>1362</v>
      </c>
      <c r="Q1153" s="158"/>
      <c r="R1153" s="157"/>
      <c r="S1153" s="114"/>
      <c r="T1153" s="162" t="s">
        <v>29</v>
      </c>
      <c r="U1153" s="65" t="s">
        <v>1388</v>
      </c>
      <c r="V1153" s="162">
        <v>1499</v>
      </c>
      <c r="W1153" s="165"/>
      <c r="X1153" s="225" t="s">
        <v>1453</v>
      </c>
      <c r="Y1153" s="167">
        <v>44679.651388888888</v>
      </c>
    </row>
    <row r="1154" spans="1:25">
      <c r="A1154" s="131" t="s">
        <v>100</v>
      </c>
      <c r="B1154" s="109" t="s">
        <v>1320</v>
      </c>
      <c r="C1154" s="245" t="s">
        <v>3598</v>
      </c>
      <c r="D1154" s="162" t="s">
        <v>1393</v>
      </c>
      <c r="E1154" s="65" t="s">
        <v>1539</v>
      </c>
      <c r="F1154" s="162" t="s">
        <v>18</v>
      </c>
      <c r="G1154" s="65" t="s">
        <v>208</v>
      </c>
      <c r="H1154" s="218">
        <v>1</v>
      </c>
      <c r="I1154" s="65"/>
      <c r="J1154" s="218">
        <v>0.13200000000000001</v>
      </c>
      <c r="K1154" s="108"/>
      <c r="L1154" s="275">
        <v>0.13200000000000001</v>
      </c>
      <c r="M1154" s="65" t="s">
        <v>3599</v>
      </c>
      <c r="N1154" s="219"/>
      <c r="O1154" s="65" t="s">
        <v>55</v>
      </c>
      <c r="P1154" s="162" t="s">
        <v>1362</v>
      </c>
      <c r="Q1154" s="158"/>
      <c r="R1154" s="157"/>
      <c r="S1154" s="114"/>
      <c r="T1154" s="162" t="s">
        <v>25</v>
      </c>
      <c r="U1154" s="65" t="s">
        <v>18</v>
      </c>
      <c r="V1154" s="162">
        <v>9</v>
      </c>
      <c r="W1154" s="165"/>
      <c r="X1154" s="225" t="s">
        <v>208</v>
      </c>
      <c r="Y1154" s="167">
        <v>43312</v>
      </c>
    </row>
    <row r="1155" spans="1:25">
      <c r="A1155" s="131" t="s">
        <v>100</v>
      </c>
      <c r="B1155" s="109" t="s">
        <v>1385</v>
      </c>
      <c r="C1155" s="245" t="s">
        <v>3600</v>
      </c>
      <c r="D1155" s="162" t="s">
        <v>3601</v>
      </c>
      <c r="E1155" s="65" t="s">
        <v>1419</v>
      </c>
      <c r="F1155" s="162" t="s">
        <v>17</v>
      </c>
      <c r="G1155" s="65" t="s">
        <v>208</v>
      </c>
      <c r="H1155" s="218">
        <v>200</v>
      </c>
      <c r="I1155" s="65"/>
      <c r="J1155" s="218">
        <v>6.2</v>
      </c>
      <c r="K1155" s="108"/>
      <c r="L1155" s="275">
        <v>1240</v>
      </c>
      <c r="M1155" s="65" t="s">
        <v>3602</v>
      </c>
      <c r="N1155" s="219"/>
      <c r="O1155" s="65" t="s">
        <v>1285</v>
      </c>
      <c r="P1155" s="162" t="s">
        <v>1407</v>
      </c>
      <c r="Q1155" s="158"/>
      <c r="R1155" s="157" t="s">
        <v>1484</v>
      </c>
      <c r="S1155" s="114"/>
      <c r="T1155" s="162" t="s">
        <v>29</v>
      </c>
      <c r="U1155" s="65" t="s">
        <v>17</v>
      </c>
      <c r="V1155" s="162">
        <v>1636</v>
      </c>
      <c r="W1155" s="165"/>
      <c r="X1155" s="225" t="s">
        <v>1400</v>
      </c>
      <c r="Y1155" s="167">
        <v>44699.314479166664</v>
      </c>
    </row>
    <row r="1156" spans="1:25">
      <c r="A1156" s="131" t="s">
        <v>62</v>
      </c>
      <c r="B1156" s="109" t="s">
        <v>1385</v>
      </c>
      <c r="C1156" s="245" t="s">
        <v>690</v>
      </c>
      <c r="D1156" s="162" t="s">
        <v>3603</v>
      </c>
      <c r="E1156" s="65" t="s">
        <v>1429</v>
      </c>
      <c r="F1156" s="162" t="s">
        <v>1388</v>
      </c>
      <c r="G1156" s="65" t="s">
        <v>3604</v>
      </c>
      <c r="H1156" s="218">
        <v>8</v>
      </c>
      <c r="I1156" s="65"/>
      <c r="J1156" s="218">
        <v>4.0129999999999999</v>
      </c>
      <c r="K1156" s="108"/>
      <c r="L1156" s="275">
        <v>32.103999999999999</v>
      </c>
      <c r="M1156" s="65" t="s">
        <v>3605</v>
      </c>
      <c r="N1156" s="219">
        <v>0</v>
      </c>
      <c r="O1156" s="65" t="s">
        <v>27</v>
      </c>
      <c r="P1156" s="162" t="s">
        <v>1407</v>
      </c>
      <c r="Q1156" s="158" t="s">
        <v>3144</v>
      </c>
      <c r="R1156" s="157" t="s">
        <v>1681</v>
      </c>
      <c r="S1156" s="114"/>
      <c r="T1156" s="162" t="s">
        <v>27</v>
      </c>
      <c r="U1156" s="65" t="s">
        <v>1388</v>
      </c>
      <c r="V1156" s="162">
        <v>1530</v>
      </c>
      <c r="W1156" s="165"/>
      <c r="X1156" s="225" t="s">
        <v>1453</v>
      </c>
      <c r="Y1156" s="167">
        <v>44742.601574074077</v>
      </c>
    </row>
    <row r="1157" spans="1:25">
      <c r="A1157" s="131" t="s">
        <v>62</v>
      </c>
      <c r="B1157" s="109" t="s">
        <v>1385</v>
      </c>
      <c r="C1157" s="245" t="s">
        <v>690</v>
      </c>
      <c r="D1157" s="162" t="s">
        <v>3603</v>
      </c>
      <c r="E1157" s="65" t="s">
        <v>1429</v>
      </c>
      <c r="F1157" s="162" t="s">
        <v>1388</v>
      </c>
      <c r="G1157" s="65" t="s">
        <v>3606</v>
      </c>
      <c r="H1157" s="218">
        <v>8</v>
      </c>
      <c r="I1157" s="65"/>
      <c r="J1157" s="218">
        <v>4.0129999999999999</v>
      </c>
      <c r="K1157" s="108"/>
      <c r="L1157" s="275">
        <v>32.103999999999999</v>
      </c>
      <c r="M1157" s="65" t="s">
        <v>3605</v>
      </c>
      <c r="N1157" s="219">
        <v>0</v>
      </c>
      <c r="O1157" s="65" t="s">
        <v>27</v>
      </c>
      <c r="P1157" s="162" t="s">
        <v>1407</v>
      </c>
      <c r="Q1157" s="158" t="s">
        <v>3144</v>
      </c>
      <c r="R1157" s="157" t="s">
        <v>1534</v>
      </c>
      <c r="S1157" s="114"/>
      <c r="T1157" s="162" t="s">
        <v>27</v>
      </c>
      <c r="U1157" s="65" t="s">
        <v>1388</v>
      </c>
      <c r="V1157" s="162">
        <v>1530</v>
      </c>
      <c r="W1157" s="165"/>
      <c r="X1157" s="225" t="s">
        <v>1453</v>
      </c>
      <c r="Y1157" s="167">
        <v>44742.601574074077</v>
      </c>
    </row>
    <row r="1158" spans="1:25">
      <c r="A1158" s="131" t="s">
        <v>80</v>
      </c>
      <c r="B1158" s="109" t="s">
        <v>1320</v>
      </c>
      <c r="C1158" s="245" t="s">
        <v>3607</v>
      </c>
      <c r="D1158" s="162" t="s">
        <v>3608</v>
      </c>
      <c r="E1158" s="65" t="s">
        <v>1419</v>
      </c>
      <c r="F1158" s="162" t="s">
        <v>17</v>
      </c>
      <c r="G1158" s="65" t="s">
        <v>3609</v>
      </c>
      <c r="H1158" s="218">
        <v>6</v>
      </c>
      <c r="I1158" s="65"/>
      <c r="J1158" s="218">
        <v>3.3</v>
      </c>
      <c r="K1158" s="108"/>
      <c r="L1158" s="275">
        <v>19.799999999999997</v>
      </c>
      <c r="M1158" s="65" t="s">
        <v>1999</v>
      </c>
      <c r="N1158" s="219"/>
      <c r="O1158" s="65" t="s">
        <v>55</v>
      </c>
      <c r="P1158" s="162" t="s">
        <v>1407</v>
      </c>
      <c r="Q1158" s="158"/>
      <c r="R1158" s="157" t="s">
        <v>1744</v>
      </c>
      <c r="S1158" s="114"/>
      <c r="T1158" s="162" t="s">
        <v>25</v>
      </c>
      <c r="U1158" s="65" t="s">
        <v>17</v>
      </c>
      <c r="V1158" s="162">
        <v>1223</v>
      </c>
      <c r="W1158" s="165"/>
      <c r="X1158" s="225" t="s">
        <v>1363</v>
      </c>
      <c r="Y1158" s="167">
        <v>44677.464618055557</v>
      </c>
    </row>
    <row r="1159" spans="1:25">
      <c r="A1159" s="131" t="s">
        <v>80</v>
      </c>
      <c r="B1159" s="109" t="s">
        <v>1320</v>
      </c>
      <c r="C1159" s="245" t="s">
        <v>3607</v>
      </c>
      <c r="D1159" s="162" t="s">
        <v>3608</v>
      </c>
      <c r="E1159" s="65" t="s">
        <v>1419</v>
      </c>
      <c r="F1159" s="162" t="s">
        <v>17</v>
      </c>
      <c r="G1159" s="65" t="s">
        <v>3609</v>
      </c>
      <c r="H1159" s="218">
        <v>37</v>
      </c>
      <c r="I1159" s="65"/>
      <c r="J1159" s="218">
        <v>3</v>
      </c>
      <c r="K1159" s="108"/>
      <c r="L1159" s="275">
        <v>111</v>
      </c>
      <c r="M1159" s="65" t="s">
        <v>3610</v>
      </c>
      <c r="N1159" s="219"/>
      <c r="O1159" s="65" t="s">
        <v>55</v>
      </c>
      <c r="P1159" s="162" t="s">
        <v>1407</v>
      </c>
      <c r="Q1159" s="158"/>
      <c r="R1159" s="157" t="s">
        <v>1534</v>
      </c>
      <c r="S1159" s="114"/>
      <c r="T1159" s="162" t="s">
        <v>25</v>
      </c>
      <c r="U1159" s="65" t="s">
        <v>17</v>
      </c>
      <c r="V1159" s="162">
        <v>1223</v>
      </c>
      <c r="W1159" s="165"/>
      <c r="X1159" s="225" t="s">
        <v>1363</v>
      </c>
      <c r="Y1159" s="167">
        <v>44677.464618055557</v>
      </c>
    </row>
    <row r="1160" spans="1:25">
      <c r="A1160" s="131" t="s">
        <v>100</v>
      </c>
      <c r="B1160" s="109" t="s">
        <v>1385</v>
      </c>
      <c r="C1160" s="245" t="s">
        <v>3611</v>
      </c>
      <c r="D1160" s="162" t="s">
        <v>3612</v>
      </c>
      <c r="E1160" s="65"/>
      <c r="F1160" s="162" t="s">
        <v>17</v>
      </c>
      <c r="G1160" s="65"/>
      <c r="H1160" s="218"/>
      <c r="I1160" s="65"/>
      <c r="J1160" s="218"/>
      <c r="K1160" s="108"/>
      <c r="L1160" s="275">
        <v>300</v>
      </c>
      <c r="M1160" s="65"/>
      <c r="N1160" s="219"/>
      <c r="O1160" s="65" t="s">
        <v>1285</v>
      </c>
      <c r="P1160" s="162"/>
      <c r="Q1160" s="158"/>
      <c r="R1160" s="157" t="s">
        <v>208</v>
      </c>
      <c r="S1160" s="114"/>
      <c r="T1160" s="162" t="s">
        <v>29</v>
      </c>
      <c r="U1160" s="65" t="s">
        <v>17</v>
      </c>
      <c r="V1160" s="162" t="s">
        <v>208</v>
      </c>
      <c r="W1160" s="165" t="s">
        <v>3613</v>
      </c>
      <c r="X1160" s="225"/>
      <c r="Y1160" s="167" t="s">
        <v>208</v>
      </c>
    </row>
    <row r="1161" spans="1:25">
      <c r="A1161" s="131" t="s">
        <v>80</v>
      </c>
      <c r="B1161" s="109" t="s">
        <v>1320</v>
      </c>
      <c r="C1161" s="245" t="s">
        <v>3614</v>
      </c>
      <c r="D1161" s="162" t="s">
        <v>1508</v>
      </c>
      <c r="E1161" s="65" t="s">
        <v>1419</v>
      </c>
      <c r="F1161" s="162" t="s">
        <v>17</v>
      </c>
      <c r="G1161" s="65" t="s">
        <v>3615</v>
      </c>
      <c r="H1161" s="218">
        <v>55</v>
      </c>
      <c r="I1161" s="65"/>
      <c r="J1161" s="218">
        <v>1.65</v>
      </c>
      <c r="K1161" s="108"/>
      <c r="L1161" s="275">
        <v>90.75</v>
      </c>
      <c r="M1161" s="65" t="s">
        <v>3616</v>
      </c>
      <c r="N1161" s="219"/>
      <c r="O1161" s="65" t="s">
        <v>55</v>
      </c>
      <c r="P1161" s="162" t="s">
        <v>1362</v>
      </c>
      <c r="Q1161" s="158"/>
      <c r="R1161" s="157" t="s">
        <v>1751</v>
      </c>
      <c r="S1161" s="114"/>
      <c r="T1161" s="162" t="s">
        <v>25</v>
      </c>
      <c r="U1161" s="65" t="s">
        <v>17</v>
      </c>
      <c r="V1161" s="162">
        <v>1224</v>
      </c>
      <c r="W1161" s="165"/>
      <c r="X1161" s="225" t="s">
        <v>1363</v>
      </c>
      <c r="Y1161" s="167">
        <v>44671.29996527778</v>
      </c>
    </row>
    <row r="1162" spans="1:25">
      <c r="A1162" s="131" t="s">
        <v>100</v>
      </c>
      <c r="B1162" s="109" t="s">
        <v>1320</v>
      </c>
      <c r="C1162" s="245" t="s">
        <v>3617</v>
      </c>
      <c r="D1162" s="162" t="s">
        <v>3618</v>
      </c>
      <c r="E1162" s="65" t="s">
        <v>1419</v>
      </c>
      <c r="F1162" s="162" t="s">
        <v>17</v>
      </c>
      <c r="G1162" s="65" t="s">
        <v>3619</v>
      </c>
      <c r="H1162" s="218">
        <v>128</v>
      </c>
      <c r="I1162" s="65"/>
      <c r="J1162" s="218">
        <v>1.5</v>
      </c>
      <c r="K1162" s="108"/>
      <c r="L1162" s="275">
        <v>192</v>
      </c>
      <c r="M1162" s="65" t="s">
        <v>3620</v>
      </c>
      <c r="N1162" s="219"/>
      <c r="O1162" s="65" t="s">
        <v>55</v>
      </c>
      <c r="P1162" s="162" t="s">
        <v>1362</v>
      </c>
      <c r="Q1162" s="158"/>
      <c r="R1162" s="157" t="s">
        <v>1554</v>
      </c>
      <c r="S1162" s="114"/>
      <c r="T1162" s="162" t="s">
        <v>25</v>
      </c>
      <c r="U1162" s="65" t="s">
        <v>17</v>
      </c>
      <c r="V1162" s="162">
        <v>1225</v>
      </c>
      <c r="W1162" s="165"/>
      <c r="X1162" s="225" t="s">
        <v>1363</v>
      </c>
      <c r="Y1162" s="167">
        <v>44658.638136574074</v>
      </c>
    </row>
    <row r="1163" spans="1:25">
      <c r="A1163" s="131" t="s">
        <v>100</v>
      </c>
      <c r="B1163" s="109" t="s">
        <v>1385</v>
      </c>
      <c r="C1163" s="245" t="s">
        <v>3621</v>
      </c>
      <c r="D1163" s="162" t="s">
        <v>3622</v>
      </c>
      <c r="E1163" s="65"/>
      <c r="F1163" s="162" t="s">
        <v>17</v>
      </c>
      <c r="G1163" s="65"/>
      <c r="H1163" s="218"/>
      <c r="I1163" s="65"/>
      <c r="J1163" s="218"/>
      <c r="K1163" s="108"/>
      <c r="L1163" s="275">
        <v>307</v>
      </c>
      <c r="M1163" s="65"/>
      <c r="N1163" s="219"/>
      <c r="O1163" s="65" t="s">
        <v>1285</v>
      </c>
      <c r="P1163" s="162"/>
      <c r="Q1163" s="158"/>
      <c r="R1163" s="157"/>
      <c r="S1163" s="114"/>
      <c r="T1163" s="162" t="s">
        <v>29</v>
      </c>
      <c r="U1163" s="65" t="s">
        <v>17</v>
      </c>
      <c r="V1163" s="162" t="s">
        <v>208</v>
      </c>
      <c r="W1163" s="165" t="s">
        <v>3623</v>
      </c>
      <c r="X1163" s="225"/>
      <c r="Y1163" s="167" t="s">
        <v>208</v>
      </c>
    </row>
    <row r="1164" spans="1:25">
      <c r="A1164" s="131" t="s">
        <v>46</v>
      </c>
      <c r="B1164" s="109" t="s">
        <v>1385</v>
      </c>
      <c r="C1164" s="245" t="s">
        <v>3624</v>
      </c>
      <c r="D1164" s="162" t="s">
        <v>3625</v>
      </c>
      <c r="E1164" s="65"/>
      <c r="F1164" s="162" t="s">
        <v>21</v>
      </c>
      <c r="G1164" s="65"/>
      <c r="H1164" s="218"/>
      <c r="I1164" s="65"/>
      <c r="J1164" s="218"/>
      <c r="K1164" s="108"/>
      <c r="L1164" s="275">
        <v>500</v>
      </c>
      <c r="M1164" s="65"/>
      <c r="N1164" s="219"/>
      <c r="O1164" s="65" t="s">
        <v>1285</v>
      </c>
      <c r="P1164" s="162"/>
      <c r="Q1164" s="158"/>
      <c r="R1164" s="157"/>
      <c r="S1164" s="114"/>
      <c r="T1164" s="162" t="s">
        <v>29</v>
      </c>
      <c r="U1164" s="65" t="s">
        <v>20</v>
      </c>
      <c r="V1164" s="162" t="s">
        <v>208</v>
      </c>
      <c r="W1164" s="165" t="s">
        <v>3626</v>
      </c>
      <c r="X1164" s="225"/>
      <c r="Y1164" s="167" t="s">
        <v>208</v>
      </c>
    </row>
    <row r="1165" spans="1:25">
      <c r="A1165" s="131" t="s">
        <v>46</v>
      </c>
      <c r="B1165" s="109" t="s">
        <v>1385</v>
      </c>
      <c r="C1165" s="245" t="s">
        <v>3627</v>
      </c>
      <c r="D1165" s="162" t="s">
        <v>2294</v>
      </c>
      <c r="E1165" s="65"/>
      <c r="F1165" s="162" t="s">
        <v>21</v>
      </c>
      <c r="G1165" s="65"/>
      <c r="H1165" s="218"/>
      <c r="I1165" s="65"/>
      <c r="J1165" s="218"/>
      <c r="K1165" s="108"/>
      <c r="L1165" s="275">
        <v>500</v>
      </c>
      <c r="M1165" s="65"/>
      <c r="N1165" s="219"/>
      <c r="O1165" s="65" t="s">
        <v>1285</v>
      </c>
      <c r="P1165" s="162"/>
      <c r="Q1165" s="158"/>
      <c r="R1165" s="157"/>
      <c r="S1165" s="114"/>
      <c r="T1165" s="162" t="s">
        <v>29</v>
      </c>
      <c r="U1165" s="65" t="s">
        <v>20</v>
      </c>
      <c r="V1165" s="162" t="s">
        <v>208</v>
      </c>
      <c r="W1165" s="165" t="s">
        <v>3628</v>
      </c>
      <c r="X1165" s="225"/>
      <c r="Y1165" s="167" t="s">
        <v>208</v>
      </c>
    </row>
    <row r="1166" spans="1:25" ht="22.5">
      <c r="A1166" s="131" t="s">
        <v>46</v>
      </c>
      <c r="B1166" s="109" t="s">
        <v>1385</v>
      </c>
      <c r="C1166" s="245" t="s">
        <v>3629</v>
      </c>
      <c r="D1166" s="162" t="s">
        <v>49</v>
      </c>
      <c r="E1166" s="65" t="s">
        <v>1398</v>
      </c>
      <c r="F1166" s="162" t="s">
        <v>1388</v>
      </c>
      <c r="G1166" s="65" t="s">
        <v>208</v>
      </c>
      <c r="H1166" s="218">
        <v>300</v>
      </c>
      <c r="I1166" s="65">
        <v>0.66</v>
      </c>
      <c r="J1166" s="218">
        <v>1</v>
      </c>
      <c r="K1166" s="108">
        <v>198</v>
      </c>
      <c r="L1166" s="275">
        <v>300</v>
      </c>
      <c r="M1166" s="65" t="s">
        <v>3630</v>
      </c>
      <c r="N1166" s="219"/>
      <c r="O1166" s="65" t="s">
        <v>1285</v>
      </c>
      <c r="P1166" s="162" t="s">
        <v>1407</v>
      </c>
      <c r="Q1166" s="158"/>
      <c r="R1166" s="157"/>
      <c r="S1166" s="114"/>
      <c r="T1166" s="162" t="s">
        <v>29</v>
      </c>
      <c r="U1166" s="65" t="s">
        <v>1388</v>
      </c>
      <c r="V1166" s="162">
        <v>1619</v>
      </c>
      <c r="W1166" s="165"/>
      <c r="X1166" s="225" t="s">
        <v>1363</v>
      </c>
      <c r="Y1166" s="167">
        <v>44671.54210648148</v>
      </c>
    </row>
    <row r="1167" spans="1:25" ht="22.5">
      <c r="A1167" s="131" t="s">
        <v>46</v>
      </c>
      <c r="B1167" s="252" t="s">
        <v>1385</v>
      </c>
      <c r="C1167" s="245" t="s">
        <v>4096</v>
      </c>
      <c r="D1167" s="218" t="s">
        <v>1995</v>
      </c>
      <c r="E1167" s="257"/>
      <c r="F1167" s="218" t="s">
        <v>1388</v>
      </c>
      <c r="G1167" s="257"/>
      <c r="H1167" s="218"/>
      <c r="I1167" s="257"/>
      <c r="J1167" s="218"/>
      <c r="K1167" s="258"/>
      <c r="L1167" s="275">
        <v>340</v>
      </c>
      <c r="M1167" s="257"/>
      <c r="N1167" s="219"/>
      <c r="O1167" s="257" t="s">
        <v>1285</v>
      </c>
      <c r="P1167" s="218"/>
      <c r="Q1167" s="259"/>
      <c r="R1167" s="218" t="s">
        <v>208</v>
      </c>
      <c r="S1167" s="261"/>
      <c r="T1167" s="218" t="s">
        <v>29</v>
      </c>
      <c r="U1167" s="257" t="s">
        <v>1388</v>
      </c>
      <c r="V1167" s="218">
        <v>1960</v>
      </c>
      <c r="W1167" s="262" t="s">
        <v>4097</v>
      </c>
      <c r="X1167" s="225"/>
      <c r="Y1167" s="265"/>
    </row>
    <row r="1168" spans="1:25">
      <c r="A1168" s="131" t="s">
        <v>46</v>
      </c>
      <c r="B1168" s="109" t="s">
        <v>1320</v>
      </c>
      <c r="C1168" s="245" t="s">
        <v>224</v>
      </c>
      <c r="D1168" s="162" t="s">
        <v>225</v>
      </c>
      <c r="E1168" s="65" t="s">
        <v>1429</v>
      </c>
      <c r="F1168" s="162" t="s">
        <v>1388</v>
      </c>
      <c r="G1168" s="65" t="s">
        <v>3631</v>
      </c>
      <c r="H1168" s="218">
        <v>132</v>
      </c>
      <c r="I1168" s="65"/>
      <c r="J1168" s="218">
        <v>1.637</v>
      </c>
      <c r="K1168" s="108"/>
      <c r="L1168" s="275">
        <v>216.084</v>
      </c>
      <c r="M1168" s="65" t="s">
        <v>3632</v>
      </c>
      <c r="N1168" s="219">
        <v>0</v>
      </c>
      <c r="O1168" s="65" t="s">
        <v>131</v>
      </c>
      <c r="P1168" s="162" t="s">
        <v>1407</v>
      </c>
      <c r="Q1168" s="158" t="s">
        <v>1453</v>
      </c>
      <c r="R1168" s="157" t="s">
        <v>1744</v>
      </c>
      <c r="S1168" s="114"/>
      <c r="T1168" s="162" t="s">
        <v>25</v>
      </c>
      <c r="U1168" s="65" t="s">
        <v>1388</v>
      </c>
      <c r="V1168" s="162">
        <v>1515</v>
      </c>
      <c r="W1168" s="165"/>
      <c r="X1168" s="225" t="s">
        <v>1404</v>
      </c>
      <c r="Y1168" s="167">
        <v>44698.397013888891</v>
      </c>
    </row>
    <row r="1169" spans="1:25">
      <c r="A1169" s="131" t="s">
        <v>100</v>
      </c>
      <c r="B1169" s="109" t="s">
        <v>1320</v>
      </c>
      <c r="C1169" s="245" t="s">
        <v>654</v>
      </c>
      <c r="D1169" s="162" t="s">
        <v>655</v>
      </c>
      <c r="E1169" s="65" t="s">
        <v>1429</v>
      </c>
      <c r="F1169" s="162" t="s">
        <v>1388</v>
      </c>
      <c r="G1169" s="65" t="s">
        <v>656</v>
      </c>
      <c r="H1169" s="218">
        <v>39</v>
      </c>
      <c r="I1169" s="65"/>
      <c r="J1169" s="218">
        <v>2.5</v>
      </c>
      <c r="K1169" s="108"/>
      <c r="L1169" s="275">
        <v>97.5</v>
      </c>
      <c r="M1169" s="65" t="s">
        <v>3633</v>
      </c>
      <c r="N1169" s="219"/>
      <c r="O1169" s="65" t="s">
        <v>55</v>
      </c>
      <c r="P1169" s="162" t="s">
        <v>1407</v>
      </c>
      <c r="Q1169" s="158"/>
      <c r="R1169" s="157" t="s">
        <v>1547</v>
      </c>
      <c r="S1169" s="114"/>
      <c r="T1169" s="162" t="s">
        <v>25</v>
      </c>
      <c r="U1169" s="65" t="s">
        <v>1388</v>
      </c>
      <c r="V1169" s="162">
        <v>1563</v>
      </c>
      <c r="W1169" s="165"/>
      <c r="X1169" s="225" t="s">
        <v>1404</v>
      </c>
      <c r="Y1169" s="167">
        <v>44711.643391203703</v>
      </c>
    </row>
    <row r="1170" spans="1:25">
      <c r="A1170" s="131" t="s">
        <v>95</v>
      </c>
      <c r="B1170" s="109" t="s">
        <v>1385</v>
      </c>
      <c r="C1170" s="245" t="s">
        <v>3634</v>
      </c>
      <c r="D1170" s="162" t="s">
        <v>1709</v>
      </c>
      <c r="E1170" s="65" t="s">
        <v>1429</v>
      </c>
      <c r="F1170" s="162" t="s">
        <v>1388</v>
      </c>
      <c r="G1170" s="65" t="s">
        <v>208</v>
      </c>
      <c r="H1170" s="218">
        <v>5</v>
      </c>
      <c r="I1170" s="65"/>
      <c r="J1170" s="218">
        <v>2.5</v>
      </c>
      <c r="K1170" s="108"/>
      <c r="L1170" s="275">
        <v>12.5</v>
      </c>
      <c r="M1170" s="65" t="s">
        <v>3635</v>
      </c>
      <c r="N1170" s="219"/>
      <c r="O1170" s="65" t="s">
        <v>1285</v>
      </c>
      <c r="P1170" s="162" t="s">
        <v>1407</v>
      </c>
      <c r="Q1170" s="158"/>
      <c r="R1170" s="157"/>
      <c r="S1170" s="114"/>
      <c r="T1170" s="162" t="s">
        <v>29</v>
      </c>
      <c r="U1170" s="65" t="s">
        <v>1388</v>
      </c>
      <c r="V1170" s="162">
        <v>1488</v>
      </c>
      <c r="W1170" s="165"/>
      <c r="X1170" s="225" t="s">
        <v>1400</v>
      </c>
      <c r="Y1170" s="167">
        <v>43769.416655092595</v>
      </c>
    </row>
    <row r="1171" spans="1:25">
      <c r="A1171" s="131" t="s">
        <v>46</v>
      </c>
      <c r="B1171" s="109" t="s">
        <v>1320</v>
      </c>
      <c r="C1171" s="245" t="s">
        <v>186</v>
      </c>
      <c r="D1171" s="162" t="s">
        <v>187</v>
      </c>
      <c r="E1171" s="65" t="s">
        <v>1365</v>
      </c>
      <c r="F1171" s="162" t="s">
        <v>1431</v>
      </c>
      <c r="G1171" s="65" t="s">
        <v>188</v>
      </c>
      <c r="H1171" s="218">
        <v>2</v>
      </c>
      <c r="I1171" s="65"/>
      <c r="J1171" s="218">
        <v>0.71499999999999997</v>
      </c>
      <c r="K1171" s="108"/>
      <c r="L1171" s="275">
        <v>1.43</v>
      </c>
      <c r="M1171" s="65" t="s">
        <v>3636</v>
      </c>
      <c r="N1171" s="219"/>
      <c r="O1171" s="65" t="s">
        <v>55</v>
      </c>
      <c r="P1171" s="162" t="s">
        <v>1362</v>
      </c>
      <c r="Q1171" s="158"/>
      <c r="R1171" s="157"/>
      <c r="S1171" s="114"/>
      <c r="T1171" s="162" t="s">
        <v>25</v>
      </c>
      <c r="U1171" s="65" t="s">
        <v>21</v>
      </c>
      <c r="V1171" s="162">
        <v>1226</v>
      </c>
      <c r="W1171" s="165"/>
      <c r="X1171" s="225" t="s">
        <v>1400</v>
      </c>
      <c r="Y1171" s="167">
        <v>44567.487534722219</v>
      </c>
    </row>
    <row r="1172" spans="1:25">
      <c r="A1172" s="131" t="s">
        <v>100</v>
      </c>
      <c r="B1172" s="109" t="s">
        <v>1320</v>
      </c>
      <c r="C1172" s="245" t="s">
        <v>657</v>
      </c>
      <c r="D1172" s="162" t="s">
        <v>49</v>
      </c>
      <c r="E1172" s="65" t="s">
        <v>1539</v>
      </c>
      <c r="F1172" s="162" t="s">
        <v>18</v>
      </c>
      <c r="G1172" s="65" t="s">
        <v>3637</v>
      </c>
      <c r="H1172" s="218">
        <v>2</v>
      </c>
      <c r="I1172" s="65"/>
      <c r="J1172" s="218">
        <v>17</v>
      </c>
      <c r="K1172" s="108"/>
      <c r="L1172" s="275">
        <v>34</v>
      </c>
      <c r="M1172" s="65" t="s">
        <v>2710</v>
      </c>
      <c r="N1172" s="219"/>
      <c r="O1172" s="65" t="s">
        <v>55</v>
      </c>
      <c r="P1172" s="162" t="s">
        <v>1403</v>
      </c>
      <c r="Q1172" s="158"/>
      <c r="R1172" s="157" t="s">
        <v>1542</v>
      </c>
      <c r="S1172" s="114"/>
      <c r="T1172" s="162" t="s">
        <v>25</v>
      </c>
      <c r="U1172" s="65" t="s">
        <v>18</v>
      </c>
      <c r="V1172" s="162">
        <v>1227</v>
      </c>
      <c r="W1172" s="165"/>
      <c r="X1172" s="225" t="s">
        <v>1363</v>
      </c>
      <c r="Y1172" s="167">
        <v>44671.301759259259</v>
      </c>
    </row>
    <row r="1173" spans="1:25">
      <c r="A1173" s="131" t="s">
        <v>100</v>
      </c>
      <c r="B1173" s="109" t="s">
        <v>1320</v>
      </c>
      <c r="C1173" s="245" t="s">
        <v>657</v>
      </c>
      <c r="D1173" s="162" t="s">
        <v>49</v>
      </c>
      <c r="E1173" s="65" t="s">
        <v>1539</v>
      </c>
      <c r="F1173" s="162" t="s">
        <v>18</v>
      </c>
      <c r="G1173" s="65" t="s">
        <v>3638</v>
      </c>
      <c r="H1173" s="218">
        <v>2</v>
      </c>
      <c r="I1173" s="65"/>
      <c r="J1173" s="218">
        <v>17</v>
      </c>
      <c r="K1173" s="108"/>
      <c r="L1173" s="275">
        <v>34</v>
      </c>
      <c r="M1173" s="65" t="s">
        <v>2710</v>
      </c>
      <c r="N1173" s="219"/>
      <c r="O1173" s="65" t="s">
        <v>55</v>
      </c>
      <c r="P1173" s="162" t="s">
        <v>1403</v>
      </c>
      <c r="Q1173" s="158"/>
      <c r="R1173" s="157" t="s">
        <v>1542</v>
      </c>
      <c r="S1173" s="114"/>
      <c r="T1173" s="162" t="s">
        <v>25</v>
      </c>
      <c r="U1173" s="65" t="s">
        <v>18</v>
      </c>
      <c r="V1173" s="162">
        <v>1227</v>
      </c>
      <c r="W1173" s="165"/>
      <c r="X1173" s="225" t="s">
        <v>1363</v>
      </c>
      <c r="Y1173" s="167">
        <v>44671.301759259259</v>
      </c>
    </row>
    <row r="1174" spans="1:25">
      <c r="A1174" s="131" t="s">
        <v>100</v>
      </c>
      <c r="B1174" s="109" t="s">
        <v>1385</v>
      </c>
      <c r="C1174" s="245" t="s">
        <v>3639</v>
      </c>
      <c r="D1174" s="162" t="s">
        <v>2798</v>
      </c>
      <c r="E1174" s="65" t="s">
        <v>1429</v>
      </c>
      <c r="F1174" s="162" t="s">
        <v>1388</v>
      </c>
      <c r="G1174" s="65" t="s">
        <v>208</v>
      </c>
      <c r="H1174" s="218">
        <v>1</v>
      </c>
      <c r="I1174" s="65"/>
      <c r="J1174" s="218">
        <v>400</v>
      </c>
      <c r="K1174" s="108"/>
      <c r="L1174" s="275">
        <v>400</v>
      </c>
      <c r="M1174" s="65" t="s">
        <v>1639</v>
      </c>
      <c r="N1174" s="219"/>
      <c r="O1174" s="65" t="s">
        <v>1285</v>
      </c>
      <c r="P1174" s="162" t="s">
        <v>1393</v>
      </c>
      <c r="Q1174" s="158"/>
      <c r="R1174" s="157"/>
      <c r="S1174" s="114"/>
      <c r="T1174" s="162" t="s">
        <v>29</v>
      </c>
      <c r="U1174" s="65" t="s">
        <v>1388</v>
      </c>
      <c r="V1174" s="162">
        <v>2000</v>
      </c>
      <c r="W1174" s="165"/>
      <c r="X1174" s="225" t="s">
        <v>208</v>
      </c>
      <c r="Y1174" s="167">
        <v>44642.409097222226</v>
      </c>
    </row>
    <row r="1175" spans="1:25" ht="22.5">
      <c r="A1175" s="131" t="s">
        <v>46</v>
      </c>
      <c r="B1175" s="109" t="s">
        <v>1320</v>
      </c>
      <c r="C1175" s="245" t="s">
        <v>3640</v>
      </c>
      <c r="D1175" s="162" t="s">
        <v>3641</v>
      </c>
      <c r="E1175" s="65" t="s">
        <v>1359</v>
      </c>
      <c r="F1175" s="162" t="s">
        <v>21</v>
      </c>
      <c r="G1175" s="65" t="s">
        <v>3642</v>
      </c>
      <c r="H1175" s="218">
        <v>1</v>
      </c>
      <c r="I1175" s="65"/>
      <c r="J1175" s="218">
        <v>1</v>
      </c>
      <c r="K1175" s="108"/>
      <c r="L1175" s="275">
        <v>1</v>
      </c>
      <c r="M1175" s="65" t="s">
        <v>1366</v>
      </c>
      <c r="N1175" s="219"/>
      <c r="O1175" s="65" t="s">
        <v>55</v>
      </c>
      <c r="P1175" s="162" t="s">
        <v>1362</v>
      </c>
      <c r="Q1175" s="158"/>
      <c r="R1175" s="157"/>
      <c r="S1175" s="114"/>
      <c r="T1175" s="162" t="s">
        <v>25</v>
      </c>
      <c r="U1175" s="65" t="s">
        <v>21</v>
      </c>
      <c r="V1175" s="162">
        <v>1253</v>
      </c>
      <c r="W1175" s="165"/>
      <c r="X1175" s="225" t="s">
        <v>1363</v>
      </c>
      <c r="Y1175" s="167">
        <v>44671.35052083333</v>
      </c>
    </row>
    <row r="1176" spans="1:25">
      <c r="A1176" s="131" t="s">
        <v>46</v>
      </c>
      <c r="B1176" s="109" t="s">
        <v>1385</v>
      </c>
      <c r="C1176" s="245" t="s">
        <v>116</v>
      </c>
      <c r="D1176" s="162" t="s">
        <v>117</v>
      </c>
      <c r="E1176" s="65" t="s">
        <v>1429</v>
      </c>
      <c r="F1176" s="162" t="s">
        <v>1388</v>
      </c>
      <c r="G1176" s="65" t="s">
        <v>208</v>
      </c>
      <c r="H1176" s="218">
        <v>29</v>
      </c>
      <c r="I1176" s="65"/>
      <c r="J1176" s="218">
        <v>3.63</v>
      </c>
      <c r="K1176" s="108"/>
      <c r="L1176" s="275">
        <v>105.27</v>
      </c>
      <c r="M1176" s="65" t="s">
        <v>3643</v>
      </c>
      <c r="N1176" s="219"/>
      <c r="O1176" s="65" t="s">
        <v>27</v>
      </c>
      <c r="P1176" s="162" t="s">
        <v>1407</v>
      </c>
      <c r="Q1176" s="158" t="s">
        <v>1671</v>
      </c>
      <c r="R1176" s="157"/>
      <c r="S1176" s="114"/>
      <c r="T1176" s="162" t="s">
        <v>27</v>
      </c>
      <c r="U1176" s="65" t="s">
        <v>1388</v>
      </c>
      <c r="V1176" s="162">
        <v>1904</v>
      </c>
      <c r="W1176" s="165"/>
      <c r="X1176" s="225" t="s">
        <v>1453</v>
      </c>
      <c r="Y1176" s="167">
        <v>44732.485046296293</v>
      </c>
    </row>
    <row r="1177" spans="1:25">
      <c r="A1177" s="131" t="s">
        <v>62</v>
      </c>
      <c r="B1177" s="109" t="s">
        <v>1385</v>
      </c>
      <c r="C1177" s="245" t="s">
        <v>3644</v>
      </c>
      <c r="D1177" s="162" t="s">
        <v>298</v>
      </c>
      <c r="E1177" s="65" t="s">
        <v>1391</v>
      </c>
      <c r="F1177" s="162" t="s">
        <v>21</v>
      </c>
      <c r="G1177" s="65" t="s">
        <v>208</v>
      </c>
      <c r="H1177" s="218">
        <v>1</v>
      </c>
      <c r="I1177" s="65">
        <v>200</v>
      </c>
      <c r="J1177" s="218">
        <v>1000</v>
      </c>
      <c r="K1177" s="108">
        <v>200</v>
      </c>
      <c r="L1177" s="275">
        <v>1000</v>
      </c>
      <c r="M1177" s="65" t="s">
        <v>3645</v>
      </c>
      <c r="N1177" s="219">
        <v>400</v>
      </c>
      <c r="O1177" s="65" t="s">
        <v>1285</v>
      </c>
      <c r="P1177" s="162" t="s">
        <v>1403</v>
      </c>
      <c r="Q1177" s="158"/>
      <c r="R1177" s="157"/>
      <c r="S1177" s="114"/>
      <c r="T1177" s="162" t="s">
        <v>29</v>
      </c>
      <c r="U1177" s="65" t="s">
        <v>20</v>
      </c>
      <c r="V1177" s="162">
        <v>1966</v>
      </c>
      <c r="W1177" s="165" t="s">
        <v>3960</v>
      </c>
      <c r="X1177" s="225" t="s">
        <v>1481</v>
      </c>
      <c r="Y1177" s="167">
        <v>44679.641145833331</v>
      </c>
    </row>
    <row r="1178" spans="1:25">
      <c r="A1178" s="131" t="s">
        <v>62</v>
      </c>
      <c r="B1178" s="109" t="s">
        <v>1385</v>
      </c>
      <c r="C1178" s="245" t="s">
        <v>3646</v>
      </c>
      <c r="D1178" s="162" t="s">
        <v>3647</v>
      </c>
      <c r="E1178" s="65"/>
      <c r="F1178" s="162" t="s">
        <v>1360</v>
      </c>
      <c r="G1178" s="65"/>
      <c r="H1178" s="218"/>
      <c r="I1178" s="65"/>
      <c r="J1178" s="218"/>
      <c r="K1178" s="108"/>
      <c r="L1178" s="275">
        <v>207</v>
      </c>
      <c r="M1178" s="65"/>
      <c r="N1178" s="219"/>
      <c r="O1178" s="65" t="s">
        <v>1285</v>
      </c>
      <c r="P1178" s="162"/>
      <c r="Q1178" s="158"/>
      <c r="R1178" s="157"/>
      <c r="S1178" s="114"/>
      <c r="T1178" s="162" t="s">
        <v>29</v>
      </c>
      <c r="U1178" s="65" t="s">
        <v>13</v>
      </c>
      <c r="V1178" s="162" t="s">
        <v>208</v>
      </c>
      <c r="W1178" s="165" t="s">
        <v>3648</v>
      </c>
      <c r="X1178" s="225"/>
      <c r="Y1178" s="167" t="s">
        <v>208</v>
      </c>
    </row>
    <row r="1179" spans="1:25">
      <c r="A1179" s="131" t="s">
        <v>62</v>
      </c>
      <c r="B1179" s="109" t="s">
        <v>1385</v>
      </c>
      <c r="C1179" s="245" t="s">
        <v>401</v>
      </c>
      <c r="D1179" s="162" t="s">
        <v>3649</v>
      </c>
      <c r="E1179" s="65" t="s">
        <v>1429</v>
      </c>
      <c r="F1179" s="162" t="s">
        <v>1388</v>
      </c>
      <c r="G1179" s="65" t="s">
        <v>3650</v>
      </c>
      <c r="H1179" s="218">
        <v>1</v>
      </c>
      <c r="I1179" s="65"/>
      <c r="J1179" s="218">
        <v>400</v>
      </c>
      <c r="K1179" s="108"/>
      <c r="L1179" s="275">
        <v>400</v>
      </c>
      <c r="M1179" s="65" t="s">
        <v>1639</v>
      </c>
      <c r="N1179" s="219"/>
      <c r="O1179" s="65" t="s">
        <v>27</v>
      </c>
      <c r="P1179" s="162" t="s">
        <v>1407</v>
      </c>
      <c r="Q1179" s="158" t="s">
        <v>3651</v>
      </c>
      <c r="R1179" s="157" t="s">
        <v>1457</v>
      </c>
      <c r="S1179" s="114"/>
      <c r="T1179" s="162" t="s">
        <v>27</v>
      </c>
      <c r="U1179" s="65" t="s">
        <v>1388</v>
      </c>
      <c r="V1179" s="162">
        <v>2011</v>
      </c>
      <c r="W1179" s="165"/>
      <c r="X1179" s="225" t="s">
        <v>1404</v>
      </c>
      <c r="Y1179" s="167">
        <v>44672.485578703701</v>
      </c>
    </row>
    <row r="1180" spans="1:25">
      <c r="A1180" s="131" t="s">
        <v>95</v>
      </c>
      <c r="B1180" s="109" t="s">
        <v>1385</v>
      </c>
      <c r="C1180" s="245" t="s">
        <v>3652</v>
      </c>
      <c r="D1180" s="162" t="s">
        <v>1709</v>
      </c>
      <c r="E1180" s="65" t="s">
        <v>1735</v>
      </c>
      <c r="F1180" s="162" t="s">
        <v>17</v>
      </c>
      <c r="G1180" s="65" t="s">
        <v>208</v>
      </c>
      <c r="H1180" s="218">
        <v>13</v>
      </c>
      <c r="I1180" s="65"/>
      <c r="J1180" s="218">
        <v>3.077</v>
      </c>
      <c r="K1180" s="108"/>
      <c r="L1180" s="275">
        <v>40.000999999999998</v>
      </c>
      <c r="M1180" s="65" t="s">
        <v>3653</v>
      </c>
      <c r="N1180" s="219"/>
      <c r="O1180" s="65" t="s">
        <v>1285</v>
      </c>
      <c r="P1180" s="162" t="s">
        <v>1407</v>
      </c>
      <c r="Q1180" s="158"/>
      <c r="R1180" s="157"/>
      <c r="S1180" s="114"/>
      <c r="T1180" s="162" t="s">
        <v>29</v>
      </c>
      <c r="U1180" s="65" t="s">
        <v>17</v>
      </c>
      <c r="V1180" s="162">
        <v>1501</v>
      </c>
      <c r="W1180" s="165" t="s">
        <v>3943</v>
      </c>
      <c r="X1180" s="225" t="s">
        <v>1400</v>
      </c>
      <c r="Y1180" s="167">
        <v>43769.416655092595</v>
      </c>
    </row>
    <row r="1181" spans="1:25" ht="22.5">
      <c r="A1181" s="131" t="s">
        <v>46</v>
      </c>
      <c r="B1181" s="109" t="s">
        <v>1320</v>
      </c>
      <c r="C1181" s="245" t="s">
        <v>3654</v>
      </c>
      <c r="D1181" s="162" t="s">
        <v>187</v>
      </c>
      <c r="E1181" s="65" t="s">
        <v>1365</v>
      </c>
      <c r="F1181" s="162" t="s">
        <v>1431</v>
      </c>
      <c r="G1181" s="65" t="s">
        <v>3655</v>
      </c>
      <c r="H1181" s="218">
        <v>1</v>
      </c>
      <c r="I1181" s="65"/>
      <c r="J1181" s="218">
        <v>1.32</v>
      </c>
      <c r="K1181" s="108"/>
      <c r="L1181" s="275">
        <v>1.32</v>
      </c>
      <c r="M1181" s="65" t="s">
        <v>3656</v>
      </c>
      <c r="N1181" s="219"/>
      <c r="O1181" s="65" t="s">
        <v>55</v>
      </c>
      <c r="P1181" s="162" t="s">
        <v>1362</v>
      </c>
      <c r="Q1181" s="158"/>
      <c r="R1181" s="157"/>
      <c r="S1181" s="114"/>
      <c r="T1181" s="162" t="s">
        <v>25</v>
      </c>
      <c r="U1181" s="65" t="s">
        <v>21</v>
      </c>
      <c r="V1181" s="162">
        <v>1228</v>
      </c>
      <c r="W1181" s="165"/>
      <c r="X1181" s="225" t="s">
        <v>208</v>
      </c>
      <c r="Y1181" s="167">
        <v>44341.589155092595</v>
      </c>
    </row>
    <row r="1182" spans="1:25" ht="22.5">
      <c r="A1182" s="131" t="s">
        <v>46</v>
      </c>
      <c r="B1182" s="109" t="s">
        <v>1385</v>
      </c>
      <c r="C1182" s="245" t="s">
        <v>3657</v>
      </c>
      <c r="D1182" s="162" t="s">
        <v>3658</v>
      </c>
      <c r="E1182" s="65"/>
      <c r="F1182" s="162" t="s">
        <v>21</v>
      </c>
      <c r="G1182" s="65"/>
      <c r="H1182" s="218"/>
      <c r="I1182" s="65"/>
      <c r="J1182" s="218"/>
      <c r="K1182" s="108"/>
      <c r="L1182" s="275">
        <v>58</v>
      </c>
      <c r="M1182" s="65"/>
      <c r="N1182" s="219"/>
      <c r="O1182" s="65" t="s">
        <v>1285</v>
      </c>
      <c r="P1182" s="162"/>
      <c r="Q1182" s="158"/>
      <c r="R1182" s="157" t="s">
        <v>208</v>
      </c>
      <c r="S1182" s="114"/>
      <c r="T1182" s="162" t="s">
        <v>29</v>
      </c>
      <c r="U1182" s="65" t="s">
        <v>21</v>
      </c>
      <c r="V1182" s="162" t="s">
        <v>208</v>
      </c>
      <c r="W1182" s="165" t="s">
        <v>3659</v>
      </c>
      <c r="X1182" s="225"/>
      <c r="Y1182" s="167" t="s">
        <v>208</v>
      </c>
    </row>
    <row r="1183" spans="1:25">
      <c r="A1183" s="131" t="s">
        <v>46</v>
      </c>
      <c r="B1183" s="109" t="s">
        <v>1320</v>
      </c>
      <c r="C1183" s="245" t="s">
        <v>796</v>
      </c>
      <c r="D1183" s="162" t="s">
        <v>3660</v>
      </c>
      <c r="E1183" s="65" t="s">
        <v>1398</v>
      </c>
      <c r="F1183" s="162" t="s">
        <v>1388</v>
      </c>
      <c r="G1183" s="65" t="s">
        <v>3661</v>
      </c>
      <c r="H1183" s="218">
        <v>8</v>
      </c>
      <c r="I1183" s="65"/>
      <c r="J1183" s="218">
        <v>2.5</v>
      </c>
      <c r="K1183" s="108"/>
      <c r="L1183" s="275">
        <v>20</v>
      </c>
      <c r="M1183" s="65" t="s">
        <v>1433</v>
      </c>
      <c r="N1183" s="219"/>
      <c r="O1183" s="65" t="s">
        <v>55</v>
      </c>
      <c r="P1183" s="162" t="s">
        <v>1407</v>
      </c>
      <c r="Q1183" s="158"/>
      <c r="R1183" s="157" t="s">
        <v>1769</v>
      </c>
      <c r="S1183" s="114"/>
      <c r="T1183" s="162" t="s">
        <v>25</v>
      </c>
      <c r="U1183" s="65" t="s">
        <v>1388</v>
      </c>
      <c r="V1183" s="162">
        <v>1662</v>
      </c>
      <c r="W1183" s="165"/>
      <c r="X1183" s="225" t="s">
        <v>1363</v>
      </c>
      <c r="Y1183" s="167">
        <v>44658.651655092595</v>
      </c>
    </row>
    <row r="1184" spans="1:25">
      <c r="A1184" s="131" t="s">
        <v>46</v>
      </c>
      <c r="B1184" s="109" t="s">
        <v>1320</v>
      </c>
      <c r="C1184" s="245" t="s">
        <v>3662</v>
      </c>
      <c r="D1184" s="162" t="s">
        <v>3663</v>
      </c>
      <c r="E1184" s="65" t="s">
        <v>1419</v>
      </c>
      <c r="F1184" s="162" t="s">
        <v>17</v>
      </c>
      <c r="G1184" s="65" t="s">
        <v>3664</v>
      </c>
      <c r="H1184" s="218">
        <v>70</v>
      </c>
      <c r="I1184" s="65"/>
      <c r="J1184" s="218">
        <v>2.464</v>
      </c>
      <c r="K1184" s="108"/>
      <c r="L1184" s="275">
        <v>172.48</v>
      </c>
      <c r="M1184" s="65" t="s">
        <v>3665</v>
      </c>
      <c r="N1184" s="219"/>
      <c r="O1184" s="65" t="s">
        <v>55</v>
      </c>
      <c r="P1184" s="162" t="s">
        <v>1407</v>
      </c>
      <c r="Q1184" s="158"/>
      <c r="R1184" s="157" t="s">
        <v>1959</v>
      </c>
      <c r="S1184" s="114"/>
      <c r="T1184" s="162" t="s">
        <v>25</v>
      </c>
      <c r="U1184" s="65" t="s">
        <v>17</v>
      </c>
      <c r="V1184" s="162">
        <v>1277</v>
      </c>
      <c r="W1184" s="165"/>
      <c r="X1184" s="225" t="s">
        <v>1453</v>
      </c>
      <c r="Y1184" s="167">
        <v>44747.710659722223</v>
      </c>
    </row>
    <row r="1185" spans="1:25">
      <c r="A1185" s="131" t="s">
        <v>46</v>
      </c>
      <c r="B1185" s="109" t="s">
        <v>1385</v>
      </c>
      <c r="C1185" s="245" t="s">
        <v>3666</v>
      </c>
      <c r="D1185" s="162" t="s">
        <v>3660</v>
      </c>
      <c r="E1185" s="65" t="s">
        <v>1419</v>
      </c>
      <c r="F1185" s="162" t="s">
        <v>17</v>
      </c>
      <c r="G1185" s="65" t="s">
        <v>208</v>
      </c>
      <c r="H1185" s="218">
        <v>47</v>
      </c>
      <c r="I1185" s="65"/>
      <c r="J1185" s="218">
        <v>4.5</v>
      </c>
      <c r="K1185" s="108"/>
      <c r="L1185" s="275">
        <v>211.5</v>
      </c>
      <c r="M1185" s="65" t="s">
        <v>3667</v>
      </c>
      <c r="N1185" s="219"/>
      <c r="O1185" s="65" t="s">
        <v>1285</v>
      </c>
      <c r="P1185" s="162" t="s">
        <v>1407</v>
      </c>
      <c r="Q1185" s="158"/>
      <c r="R1185" s="157"/>
      <c r="S1185" s="114"/>
      <c r="T1185" s="162" t="s">
        <v>29</v>
      </c>
      <c r="U1185" s="65" t="s">
        <v>17</v>
      </c>
      <c r="V1185" s="162">
        <v>1661</v>
      </c>
      <c r="W1185" s="165" t="s">
        <v>3920</v>
      </c>
      <c r="X1185" s="225" t="s">
        <v>1453</v>
      </c>
      <c r="Y1185" s="167">
        <v>44746.622499999998</v>
      </c>
    </row>
    <row r="1186" spans="1:25" customFormat="1">
      <c r="A1186" s="244" t="s">
        <v>62</v>
      </c>
      <c r="B1186" s="253" t="s">
        <v>1320</v>
      </c>
      <c r="C1186" s="245" t="s">
        <v>873</v>
      </c>
      <c r="D1186" s="256" t="s">
        <v>3668</v>
      </c>
      <c r="E1186" s="248" t="s">
        <v>1429</v>
      </c>
      <c r="F1186" s="256" t="s">
        <v>1388</v>
      </c>
      <c r="G1186" s="248" t="s">
        <v>3669</v>
      </c>
      <c r="H1186" s="246">
        <v>23</v>
      </c>
      <c r="I1186" s="248"/>
      <c r="J1186" s="246">
        <v>2.5</v>
      </c>
      <c r="K1186" s="249"/>
      <c r="L1186" s="281">
        <v>57.5</v>
      </c>
      <c r="M1186" s="248" t="s">
        <v>2386</v>
      </c>
      <c r="N1186" s="247"/>
      <c r="O1186" s="248" t="s">
        <v>55</v>
      </c>
      <c r="P1186" s="256" t="s">
        <v>1407</v>
      </c>
      <c r="Q1186" s="250"/>
      <c r="R1186" s="260" t="s">
        <v>1452</v>
      </c>
      <c r="S1186" s="251"/>
      <c r="T1186" s="256" t="s">
        <v>25</v>
      </c>
      <c r="U1186" s="248" t="s">
        <v>1388</v>
      </c>
      <c r="V1186" s="256">
        <v>1407</v>
      </c>
      <c r="W1186" s="263"/>
      <c r="X1186" s="225" t="s">
        <v>1363</v>
      </c>
      <c r="Y1186" s="266">
        <v>44671.443807870368</v>
      </c>
    </row>
    <row r="1187" spans="1:25">
      <c r="A1187" s="131" t="s">
        <v>62</v>
      </c>
      <c r="B1187" s="109" t="s">
        <v>1320</v>
      </c>
      <c r="C1187" s="245" t="s">
        <v>3670</v>
      </c>
      <c r="D1187" s="162" t="s">
        <v>75</v>
      </c>
      <c r="E1187" s="65" t="s">
        <v>1359</v>
      </c>
      <c r="F1187" s="162" t="s">
        <v>1486</v>
      </c>
      <c r="G1187" s="65" t="s">
        <v>3671</v>
      </c>
      <c r="H1187" s="218">
        <v>1</v>
      </c>
      <c r="I1187" s="65"/>
      <c r="J1187" s="218">
        <v>1.123</v>
      </c>
      <c r="K1187" s="108"/>
      <c r="L1187" s="275">
        <v>1.123</v>
      </c>
      <c r="M1187" s="65" t="s">
        <v>1423</v>
      </c>
      <c r="N1187" s="219"/>
      <c r="O1187" s="65" t="s">
        <v>55</v>
      </c>
      <c r="P1187" s="162" t="s">
        <v>1362</v>
      </c>
      <c r="Q1187" s="158"/>
      <c r="R1187" s="157"/>
      <c r="S1187" s="114"/>
      <c r="T1187" s="162" t="s">
        <v>25</v>
      </c>
      <c r="U1187" s="65" t="s">
        <v>19</v>
      </c>
      <c r="V1187" s="162">
        <v>1229</v>
      </c>
      <c r="W1187" s="165"/>
      <c r="X1187" s="225" t="s">
        <v>1400</v>
      </c>
      <c r="Y1187" s="167">
        <v>43769.416655092595</v>
      </c>
    </row>
    <row r="1188" spans="1:25">
      <c r="A1188" s="131" t="s">
        <v>80</v>
      </c>
      <c r="B1188" s="109" t="s">
        <v>1385</v>
      </c>
      <c r="C1188" s="245" t="s">
        <v>3672</v>
      </c>
      <c r="D1188" s="162" t="s">
        <v>3673</v>
      </c>
      <c r="E1188" s="65" t="s">
        <v>1429</v>
      </c>
      <c r="F1188" s="162" t="s">
        <v>1388</v>
      </c>
      <c r="G1188" s="65" t="s">
        <v>208</v>
      </c>
      <c r="H1188" s="218">
        <v>66</v>
      </c>
      <c r="I1188" s="65"/>
      <c r="J1188" s="218">
        <v>2</v>
      </c>
      <c r="K1188" s="108"/>
      <c r="L1188" s="275">
        <v>132</v>
      </c>
      <c r="M1188" s="65" t="s">
        <v>2266</v>
      </c>
      <c r="N1188" s="219"/>
      <c r="O1188" s="65" t="s">
        <v>1285</v>
      </c>
      <c r="P1188" s="162" t="s">
        <v>1407</v>
      </c>
      <c r="Q1188" s="158"/>
      <c r="R1188" s="157"/>
      <c r="S1188" s="114"/>
      <c r="T1188" s="162" t="s">
        <v>29</v>
      </c>
      <c r="U1188" s="65" t="s">
        <v>1388</v>
      </c>
      <c r="V1188" s="162">
        <v>1460</v>
      </c>
      <c r="W1188" s="165"/>
      <c r="X1188" s="225" t="s">
        <v>208</v>
      </c>
      <c r="Y1188" s="167">
        <v>43769.416655092595</v>
      </c>
    </row>
    <row r="1189" spans="1:25">
      <c r="A1189" s="131" t="s">
        <v>80</v>
      </c>
      <c r="B1189" s="109" t="s">
        <v>1385</v>
      </c>
      <c r="C1189" s="245" t="s">
        <v>3674</v>
      </c>
      <c r="D1189" s="162" t="s">
        <v>3383</v>
      </c>
      <c r="E1189" s="65" t="s">
        <v>1429</v>
      </c>
      <c r="F1189" s="162" t="s">
        <v>1388</v>
      </c>
      <c r="G1189" s="65" t="s">
        <v>208</v>
      </c>
      <c r="H1189" s="218">
        <v>1</v>
      </c>
      <c r="I1189" s="65"/>
      <c r="J1189" s="218">
        <v>0</v>
      </c>
      <c r="K1189" s="108"/>
      <c r="L1189" s="275">
        <v>0</v>
      </c>
      <c r="M1189" s="65" t="s">
        <v>1600</v>
      </c>
      <c r="N1189" s="219">
        <v>0</v>
      </c>
      <c r="O1189" s="65" t="s">
        <v>1285</v>
      </c>
      <c r="P1189" s="162" t="s">
        <v>1407</v>
      </c>
      <c r="Q1189" s="158"/>
      <c r="R1189" s="157"/>
      <c r="S1189" s="114"/>
      <c r="T1189" s="162" t="s">
        <v>29</v>
      </c>
      <c r="U1189" s="65" t="s">
        <v>1388</v>
      </c>
      <c r="V1189" s="162">
        <v>1436</v>
      </c>
      <c r="W1189" s="165"/>
      <c r="X1189" s="225" t="s">
        <v>1400</v>
      </c>
      <c r="Y1189" s="167">
        <v>44679.636840277781</v>
      </c>
    </row>
    <row r="1190" spans="1:25">
      <c r="A1190" s="131" t="s">
        <v>46</v>
      </c>
      <c r="B1190" s="109" t="s">
        <v>1320</v>
      </c>
      <c r="C1190" s="245" t="s">
        <v>3675</v>
      </c>
      <c r="D1190" s="162" t="s">
        <v>3676</v>
      </c>
      <c r="E1190" s="65" t="s">
        <v>1359</v>
      </c>
      <c r="F1190" s="162" t="s">
        <v>1722</v>
      </c>
      <c r="G1190" s="65" t="s">
        <v>3677</v>
      </c>
      <c r="H1190" s="218">
        <v>2</v>
      </c>
      <c r="I1190" s="65"/>
      <c r="J1190" s="218">
        <v>3</v>
      </c>
      <c r="K1190" s="108"/>
      <c r="L1190" s="275">
        <v>6</v>
      </c>
      <c r="M1190" s="65" t="s">
        <v>2781</v>
      </c>
      <c r="N1190" s="219"/>
      <c r="O1190" s="65" t="s">
        <v>55</v>
      </c>
      <c r="P1190" s="162" t="s">
        <v>1362</v>
      </c>
      <c r="Q1190" s="158"/>
      <c r="R1190" s="157"/>
      <c r="S1190" s="114"/>
      <c r="T1190" s="162" t="s">
        <v>25</v>
      </c>
      <c r="U1190" s="65" t="s">
        <v>15</v>
      </c>
      <c r="V1190" s="162">
        <v>1320</v>
      </c>
      <c r="W1190" s="165"/>
      <c r="X1190" s="225" t="s">
        <v>1363</v>
      </c>
      <c r="Y1190" s="167">
        <v>43242.203379629631</v>
      </c>
    </row>
    <row r="1191" spans="1:25">
      <c r="A1191" s="131" t="s">
        <v>46</v>
      </c>
      <c r="B1191" s="109" t="s">
        <v>1320</v>
      </c>
      <c r="C1191" s="245" t="s">
        <v>3675</v>
      </c>
      <c r="D1191" s="162" t="s">
        <v>3676</v>
      </c>
      <c r="E1191" s="65" t="s">
        <v>1359</v>
      </c>
      <c r="F1191" s="162" t="s">
        <v>1722</v>
      </c>
      <c r="G1191" s="65" t="s">
        <v>3677</v>
      </c>
      <c r="H1191" s="218">
        <v>4</v>
      </c>
      <c r="I1191" s="65"/>
      <c r="J1191" s="218">
        <v>1</v>
      </c>
      <c r="K1191" s="108"/>
      <c r="L1191" s="275">
        <v>4</v>
      </c>
      <c r="M1191" s="65" t="s">
        <v>2738</v>
      </c>
      <c r="N1191" s="219"/>
      <c r="O1191" s="65" t="s">
        <v>55</v>
      </c>
      <c r="P1191" s="162" t="s">
        <v>1362</v>
      </c>
      <c r="Q1191" s="158"/>
      <c r="R1191" s="157"/>
      <c r="S1191" s="114"/>
      <c r="T1191" s="162" t="s">
        <v>25</v>
      </c>
      <c r="U1191" s="65" t="s">
        <v>15</v>
      </c>
      <c r="V1191" s="162">
        <v>1320</v>
      </c>
      <c r="W1191" s="165"/>
      <c r="X1191" s="225" t="s">
        <v>1363</v>
      </c>
      <c r="Y1191" s="167">
        <v>43242.203379629631</v>
      </c>
    </row>
    <row r="1192" spans="1:25">
      <c r="A1192" s="131" t="s">
        <v>46</v>
      </c>
      <c r="B1192" s="109" t="s">
        <v>1320</v>
      </c>
      <c r="C1192" s="245" t="s">
        <v>1036</v>
      </c>
      <c r="D1192" s="162" t="s">
        <v>3676</v>
      </c>
      <c r="E1192" s="65" t="s">
        <v>1359</v>
      </c>
      <c r="F1192" s="162" t="s">
        <v>1722</v>
      </c>
      <c r="G1192" s="65" t="s">
        <v>3678</v>
      </c>
      <c r="H1192" s="218">
        <v>2</v>
      </c>
      <c r="I1192" s="65"/>
      <c r="J1192" s="218">
        <v>3</v>
      </c>
      <c r="K1192" s="108"/>
      <c r="L1192" s="275">
        <v>6</v>
      </c>
      <c r="M1192" s="65" t="s">
        <v>2781</v>
      </c>
      <c r="N1192" s="219"/>
      <c r="O1192" s="65" t="s">
        <v>55</v>
      </c>
      <c r="P1192" s="162" t="s">
        <v>1362</v>
      </c>
      <c r="Q1192" s="158"/>
      <c r="R1192" s="157"/>
      <c r="S1192" s="114"/>
      <c r="T1192" s="162" t="s">
        <v>25</v>
      </c>
      <c r="U1192" s="65" t="s">
        <v>15</v>
      </c>
      <c r="V1192" s="162">
        <v>1346</v>
      </c>
      <c r="W1192" s="165"/>
      <c r="X1192" s="225" t="s">
        <v>1363</v>
      </c>
      <c r="Y1192" s="167">
        <v>43242.204699074071</v>
      </c>
    </row>
    <row r="1193" spans="1:25">
      <c r="A1193" s="131" t="s">
        <v>100</v>
      </c>
      <c r="B1193" s="109" t="s">
        <v>1385</v>
      </c>
      <c r="C1193" s="245" t="s">
        <v>3679</v>
      </c>
      <c r="D1193" s="162" t="s">
        <v>2412</v>
      </c>
      <c r="E1193" s="65" t="s">
        <v>1419</v>
      </c>
      <c r="F1193" s="162" t="s">
        <v>17</v>
      </c>
      <c r="G1193" s="65" t="s">
        <v>208</v>
      </c>
      <c r="H1193" s="218">
        <v>75</v>
      </c>
      <c r="I1193" s="65"/>
      <c r="J1193" s="218">
        <v>6</v>
      </c>
      <c r="K1193" s="108"/>
      <c r="L1193" s="275">
        <v>450</v>
      </c>
      <c r="M1193" s="65" t="s">
        <v>3241</v>
      </c>
      <c r="N1193" s="219">
        <v>0</v>
      </c>
      <c r="O1193" s="65" t="s">
        <v>1285</v>
      </c>
      <c r="P1193" s="162" t="s">
        <v>1407</v>
      </c>
      <c r="Q1193" s="158"/>
      <c r="R1193" s="157"/>
      <c r="S1193" s="114"/>
      <c r="T1193" s="162" t="s">
        <v>29</v>
      </c>
      <c r="U1193" s="65" t="s">
        <v>17</v>
      </c>
      <c r="V1193" s="162">
        <v>1286</v>
      </c>
      <c r="W1193" s="165" t="s">
        <v>3987</v>
      </c>
      <c r="X1193" s="225" t="s">
        <v>1400</v>
      </c>
      <c r="Y1193" s="167">
        <v>44679.617546296293</v>
      </c>
    </row>
    <row r="1194" spans="1:25">
      <c r="A1194" s="131" t="s">
        <v>100</v>
      </c>
      <c r="B1194" s="109" t="s">
        <v>1320</v>
      </c>
      <c r="C1194" s="245" t="s">
        <v>3680</v>
      </c>
      <c r="D1194" s="162" t="s">
        <v>2147</v>
      </c>
      <c r="E1194" s="65" t="s">
        <v>1569</v>
      </c>
      <c r="F1194" s="162" t="s">
        <v>18</v>
      </c>
      <c r="G1194" s="65" t="s">
        <v>3681</v>
      </c>
      <c r="H1194" s="218">
        <v>1</v>
      </c>
      <c r="I1194" s="65"/>
      <c r="J1194" s="218">
        <v>1.8</v>
      </c>
      <c r="K1194" s="108"/>
      <c r="L1194" s="275">
        <v>1.8</v>
      </c>
      <c r="M1194" s="65" t="s">
        <v>3517</v>
      </c>
      <c r="N1194" s="219"/>
      <c r="O1194" s="65" t="s">
        <v>55</v>
      </c>
      <c r="P1194" s="162" t="s">
        <v>1362</v>
      </c>
      <c r="Q1194" s="158"/>
      <c r="R1194" s="157"/>
      <c r="S1194" s="114"/>
      <c r="T1194" s="162" t="s">
        <v>25</v>
      </c>
      <c r="U1194" s="65" t="s">
        <v>18</v>
      </c>
      <c r="V1194" s="162">
        <v>1230</v>
      </c>
      <c r="W1194" s="165"/>
      <c r="X1194" s="225" t="s">
        <v>1400</v>
      </c>
      <c r="Y1194" s="167">
        <v>44069.422280092593</v>
      </c>
    </row>
    <row r="1195" spans="1:25">
      <c r="A1195" s="131" t="s">
        <v>46</v>
      </c>
      <c r="B1195" s="109" t="s">
        <v>1320</v>
      </c>
      <c r="C1195" s="245" t="s">
        <v>903</v>
      </c>
      <c r="D1195" s="162" t="s">
        <v>3682</v>
      </c>
      <c r="E1195" s="65" t="s">
        <v>1398</v>
      </c>
      <c r="F1195" s="162" t="s">
        <v>1388</v>
      </c>
      <c r="G1195" s="65" t="s">
        <v>208</v>
      </c>
      <c r="H1195" s="218">
        <v>1</v>
      </c>
      <c r="I1195" s="65"/>
      <c r="J1195" s="218">
        <v>7.5659999999999998</v>
      </c>
      <c r="K1195" s="108"/>
      <c r="L1195" s="275">
        <v>7.5659999999999998</v>
      </c>
      <c r="M1195" s="65" t="s">
        <v>3683</v>
      </c>
      <c r="N1195" s="219">
        <v>0</v>
      </c>
      <c r="O1195" s="65" t="s">
        <v>55</v>
      </c>
      <c r="P1195" s="162" t="s">
        <v>1362</v>
      </c>
      <c r="Q1195" s="158"/>
      <c r="R1195" s="157" t="s">
        <v>1681</v>
      </c>
      <c r="S1195" s="114"/>
      <c r="T1195" s="162" t="s">
        <v>25</v>
      </c>
      <c r="U1195" s="65" t="s">
        <v>1388</v>
      </c>
      <c r="V1195" s="162">
        <v>1405</v>
      </c>
      <c r="W1195" s="165"/>
      <c r="X1195" s="225" t="s">
        <v>1400</v>
      </c>
      <c r="Y1195" s="167">
        <v>44679.626469907409</v>
      </c>
    </row>
    <row r="1196" spans="1:25">
      <c r="A1196" s="131" t="s">
        <v>80</v>
      </c>
      <c r="B1196" s="109" t="s">
        <v>1320</v>
      </c>
      <c r="C1196" s="245" t="s">
        <v>520</v>
      </c>
      <c r="D1196" s="162" t="s">
        <v>521</v>
      </c>
      <c r="E1196" s="65" t="s">
        <v>1419</v>
      </c>
      <c r="F1196" s="162" t="s">
        <v>17</v>
      </c>
      <c r="G1196" s="65" t="s">
        <v>522</v>
      </c>
      <c r="H1196" s="218">
        <v>8</v>
      </c>
      <c r="I1196" s="65"/>
      <c r="J1196" s="218">
        <v>3.43</v>
      </c>
      <c r="K1196" s="108"/>
      <c r="L1196" s="275">
        <v>27.44</v>
      </c>
      <c r="M1196" s="65" t="s">
        <v>3684</v>
      </c>
      <c r="N1196" s="219"/>
      <c r="O1196" s="65" t="s">
        <v>55</v>
      </c>
      <c r="P1196" s="162" t="s">
        <v>1407</v>
      </c>
      <c r="Q1196" s="158"/>
      <c r="R1196" s="157" t="s">
        <v>1769</v>
      </c>
      <c r="S1196" s="114"/>
      <c r="T1196" s="162" t="s">
        <v>25</v>
      </c>
      <c r="U1196" s="65" t="s">
        <v>17</v>
      </c>
      <c r="V1196" s="162">
        <v>1231</v>
      </c>
      <c r="W1196" s="165"/>
      <c r="X1196" s="225" t="s">
        <v>1363</v>
      </c>
      <c r="Y1196" s="167">
        <v>44671.311030092591</v>
      </c>
    </row>
    <row r="1197" spans="1:25">
      <c r="A1197" s="131" t="s">
        <v>80</v>
      </c>
      <c r="B1197" s="109" t="s">
        <v>1320</v>
      </c>
      <c r="C1197" s="245" t="s">
        <v>520</v>
      </c>
      <c r="D1197" s="162" t="s">
        <v>521</v>
      </c>
      <c r="E1197" s="65" t="s">
        <v>1419</v>
      </c>
      <c r="F1197" s="162" t="s">
        <v>17</v>
      </c>
      <c r="G1197" s="65" t="s">
        <v>522</v>
      </c>
      <c r="H1197" s="218">
        <v>24</v>
      </c>
      <c r="I1197" s="65"/>
      <c r="J1197" s="218">
        <v>3.83</v>
      </c>
      <c r="K1197" s="108"/>
      <c r="L1197" s="275">
        <v>91.92</v>
      </c>
      <c r="M1197" s="65" t="s">
        <v>3685</v>
      </c>
      <c r="N1197" s="219"/>
      <c r="O1197" s="65" t="s">
        <v>55</v>
      </c>
      <c r="P1197" s="162" t="s">
        <v>1407</v>
      </c>
      <c r="Q1197" s="158"/>
      <c r="R1197" s="157" t="s">
        <v>1769</v>
      </c>
      <c r="S1197" s="114"/>
      <c r="T1197" s="162" t="s">
        <v>25</v>
      </c>
      <c r="U1197" s="65" t="s">
        <v>17</v>
      </c>
      <c r="V1197" s="162">
        <v>1231</v>
      </c>
      <c r="W1197" s="165"/>
      <c r="X1197" s="225" t="s">
        <v>1363</v>
      </c>
      <c r="Y1197" s="167">
        <v>44671.311030092591</v>
      </c>
    </row>
    <row r="1198" spans="1:25">
      <c r="A1198" s="131" t="s">
        <v>100</v>
      </c>
      <c r="B1198" s="109" t="s">
        <v>1385</v>
      </c>
      <c r="C1198" s="245" t="s">
        <v>3686</v>
      </c>
      <c r="D1198" s="162" t="s">
        <v>3687</v>
      </c>
      <c r="E1198" s="65"/>
      <c r="F1198" s="162" t="s">
        <v>17</v>
      </c>
      <c r="G1198" s="65"/>
      <c r="H1198" s="218"/>
      <c r="I1198" s="65"/>
      <c r="J1198" s="218"/>
      <c r="K1198" s="108"/>
      <c r="L1198" s="275">
        <v>416</v>
      </c>
      <c r="M1198" s="65"/>
      <c r="N1198" s="219"/>
      <c r="O1198" s="65" t="s">
        <v>1285</v>
      </c>
      <c r="P1198" s="162"/>
      <c r="Q1198" s="158"/>
      <c r="R1198" s="157"/>
      <c r="S1198" s="114"/>
      <c r="T1198" s="162" t="s">
        <v>29</v>
      </c>
      <c r="U1198" s="65" t="s">
        <v>17</v>
      </c>
      <c r="V1198" s="162" t="s">
        <v>208</v>
      </c>
      <c r="W1198" s="165" t="s">
        <v>3688</v>
      </c>
      <c r="X1198" s="225"/>
      <c r="Y1198" s="167" t="s">
        <v>208</v>
      </c>
    </row>
    <row r="1199" spans="1:25">
      <c r="A1199" s="131" t="s">
        <v>100</v>
      </c>
      <c r="B1199" s="109" t="s">
        <v>1385</v>
      </c>
      <c r="C1199" s="245" t="s">
        <v>3689</v>
      </c>
      <c r="D1199" s="162" t="s">
        <v>3318</v>
      </c>
      <c r="E1199" s="65"/>
      <c r="F1199" s="162" t="s">
        <v>3319</v>
      </c>
      <c r="G1199" s="65"/>
      <c r="H1199" s="218"/>
      <c r="I1199" s="65"/>
      <c r="J1199" s="218"/>
      <c r="K1199" s="108"/>
      <c r="L1199" s="275">
        <v>220</v>
      </c>
      <c r="M1199" s="65"/>
      <c r="N1199" s="219"/>
      <c r="O1199" s="65" t="s">
        <v>1285</v>
      </c>
      <c r="P1199" s="162"/>
      <c r="Q1199" s="158"/>
      <c r="R1199" s="157" t="s">
        <v>208</v>
      </c>
      <c r="S1199" s="114"/>
      <c r="T1199" s="162" t="s">
        <v>29</v>
      </c>
      <c r="U1199" s="65" t="s">
        <v>14</v>
      </c>
      <c r="V1199" s="162" t="s">
        <v>208</v>
      </c>
      <c r="W1199" s="165" t="s">
        <v>3690</v>
      </c>
      <c r="X1199" s="225"/>
      <c r="Y1199" s="167" t="s">
        <v>208</v>
      </c>
    </row>
    <row r="1200" spans="1:25">
      <c r="A1200" s="131" t="s">
        <v>62</v>
      </c>
      <c r="B1200" s="109" t="s">
        <v>1320</v>
      </c>
      <c r="C1200" s="245" t="s">
        <v>3691</v>
      </c>
      <c r="D1200" s="162" t="s">
        <v>102</v>
      </c>
      <c r="E1200" s="65" t="s">
        <v>1419</v>
      </c>
      <c r="F1200" s="162" t="s">
        <v>17</v>
      </c>
      <c r="G1200" s="65" t="s">
        <v>3692</v>
      </c>
      <c r="H1200" s="218">
        <v>20</v>
      </c>
      <c r="I1200" s="65"/>
      <c r="J1200" s="218">
        <v>0.6</v>
      </c>
      <c r="K1200" s="108"/>
      <c r="L1200" s="275">
        <v>12</v>
      </c>
      <c r="M1200" s="65" t="s">
        <v>1392</v>
      </c>
      <c r="N1200" s="219"/>
      <c r="O1200" s="65" t="s">
        <v>55</v>
      </c>
      <c r="P1200" s="162" t="s">
        <v>1362</v>
      </c>
      <c r="Q1200" s="158"/>
      <c r="R1200" s="157" t="s">
        <v>1382</v>
      </c>
      <c r="S1200" s="114"/>
      <c r="T1200" s="162" t="s">
        <v>25</v>
      </c>
      <c r="U1200" s="65" t="s">
        <v>17</v>
      </c>
      <c r="V1200" s="162">
        <v>1232</v>
      </c>
      <c r="W1200" s="165"/>
      <c r="X1200" s="225" t="s">
        <v>1363</v>
      </c>
      <c r="Y1200" s="167">
        <v>44671.311782407407</v>
      </c>
    </row>
    <row r="1201" spans="1:25">
      <c r="A1201" s="131" t="s">
        <v>80</v>
      </c>
      <c r="B1201" s="109" t="s">
        <v>1320</v>
      </c>
      <c r="C1201" s="245" t="s">
        <v>3693</v>
      </c>
      <c r="D1201" s="162" t="s">
        <v>3016</v>
      </c>
      <c r="E1201" s="65" t="s">
        <v>1359</v>
      </c>
      <c r="F1201" s="162" t="s">
        <v>1422</v>
      </c>
      <c r="G1201" s="65" t="s">
        <v>3694</v>
      </c>
      <c r="H1201" s="218">
        <v>4</v>
      </c>
      <c r="I1201" s="65"/>
      <c r="J1201" s="218">
        <v>1.0249999999999999</v>
      </c>
      <c r="K1201" s="108"/>
      <c r="L1201" s="275">
        <v>4.0999999999999996</v>
      </c>
      <c r="M1201" s="65" t="s">
        <v>2625</v>
      </c>
      <c r="N1201" s="219"/>
      <c r="O1201" s="65" t="s">
        <v>55</v>
      </c>
      <c r="P1201" s="162" t="s">
        <v>1362</v>
      </c>
      <c r="Q1201" s="158"/>
      <c r="R1201" s="157" t="s">
        <v>1837</v>
      </c>
      <c r="S1201" s="114"/>
      <c r="T1201" s="162" t="s">
        <v>25</v>
      </c>
      <c r="U1201" s="65" t="s">
        <v>19</v>
      </c>
      <c r="V1201" s="162">
        <v>1234</v>
      </c>
      <c r="W1201" s="165"/>
      <c r="X1201" s="225" t="s">
        <v>1363</v>
      </c>
      <c r="Y1201" s="167">
        <v>44671.312465277777</v>
      </c>
    </row>
    <row r="1202" spans="1:25">
      <c r="A1202" s="131" t="s">
        <v>80</v>
      </c>
      <c r="B1202" s="109" t="s">
        <v>1320</v>
      </c>
      <c r="C1202" s="245" t="s">
        <v>3695</v>
      </c>
      <c r="D1202" s="162" t="s">
        <v>3016</v>
      </c>
      <c r="E1202" s="65" t="s">
        <v>1359</v>
      </c>
      <c r="F1202" s="162" t="s">
        <v>1422</v>
      </c>
      <c r="G1202" s="65" t="s">
        <v>3696</v>
      </c>
      <c r="H1202" s="218">
        <v>4</v>
      </c>
      <c r="I1202" s="65"/>
      <c r="J1202" s="218">
        <v>1.0249999999999999</v>
      </c>
      <c r="K1202" s="108"/>
      <c r="L1202" s="275">
        <v>4.0999999999999996</v>
      </c>
      <c r="M1202" s="65" t="s">
        <v>2625</v>
      </c>
      <c r="N1202" s="219"/>
      <c r="O1202" s="65" t="s">
        <v>55</v>
      </c>
      <c r="P1202" s="162" t="s">
        <v>1362</v>
      </c>
      <c r="Q1202" s="158"/>
      <c r="R1202" s="157" t="s">
        <v>1655</v>
      </c>
      <c r="S1202" s="114"/>
      <c r="T1202" s="162" t="s">
        <v>25</v>
      </c>
      <c r="U1202" s="65" t="s">
        <v>19</v>
      </c>
      <c r="V1202" s="162">
        <v>1324</v>
      </c>
      <c r="W1202" s="165"/>
      <c r="X1202" s="225" t="s">
        <v>1363</v>
      </c>
      <c r="Y1202" s="167">
        <v>44671.384942129633</v>
      </c>
    </row>
    <row r="1203" spans="1:25">
      <c r="A1203" s="131" t="s">
        <v>46</v>
      </c>
      <c r="B1203" s="109" t="s">
        <v>1385</v>
      </c>
      <c r="C1203" s="245" t="s">
        <v>3697</v>
      </c>
      <c r="D1203" s="162" t="s">
        <v>3698</v>
      </c>
      <c r="E1203" s="65" t="s">
        <v>1419</v>
      </c>
      <c r="F1203" s="162" t="s">
        <v>17</v>
      </c>
      <c r="G1203" s="65" t="s">
        <v>208</v>
      </c>
      <c r="H1203" s="218">
        <v>126</v>
      </c>
      <c r="I1203" s="65">
        <v>5.6</v>
      </c>
      <c r="J1203" s="218">
        <v>6</v>
      </c>
      <c r="K1203" s="108">
        <v>705.59999999999991</v>
      </c>
      <c r="L1203" s="275">
        <v>756</v>
      </c>
      <c r="M1203" s="65" t="s">
        <v>3699</v>
      </c>
      <c r="N1203" s="219">
        <v>0</v>
      </c>
      <c r="O1203" s="65" t="s">
        <v>1285</v>
      </c>
      <c r="P1203" s="162" t="s">
        <v>1407</v>
      </c>
      <c r="Q1203" s="158"/>
      <c r="R1203" s="157" t="s">
        <v>2065</v>
      </c>
      <c r="S1203" s="114"/>
      <c r="T1203" s="162" t="s">
        <v>29</v>
      </c>
      <c r="U1203" s="65" t="s">
        <v>17</v>
      </c>
      <c r="V1203" s="162">
        <v>1868</v>
      </c>
      <c r="W1203" s="165"/>
      <c r="X1203" s="225" t="s">
        <v>1400</v>
      </c>
      <c r="Y1203" s="167">
        <v>44679.620509259257</v>
      </c>
    </row>
    <row r="1204" spans="1:25">
      <c r="A1204" s="131" t="s">
        <v>100</v>
      </c>
      <c r="B1204" s="109" t="s">
        <v>1385</v>
      </c>
      <c r="C1204" s="245" t="s">
        <v>3700</v>
      </c>
      <c r="D1204" s="162" t="s">
        <v>3701</v>
      </c>
      <c r="E1204" s="65" t="s">
        <v>1359</v>
      </c>
      <c r="F1204" s="162" t="s">
        <v>2284</v>
      </c>
      <c r="G1204" s="65" t="s">
        <v>208</v>
      </c>
      <c r="H1204" s="218">
        <v>1</v>
      </c>
      <c r="I1204" s="65"/>
      <c r="J1204" s="218">
        <v>200</v>
      </c>
      <c r="K1204" s="108"/>
      <c r="L1204" s="275">
        <v>200</v>
      </c>
      <c r="M1204" s="65" t="s">
        <v>1615</v>
      </c>
      <c r="N1204" s="219">
        <v>0</v>
      </c>
      <c r="O1204" s="65" t="s">
        <v>1285</v>
      </c>
      <c r="P1204" s="162" t="s">
        <v>1403</v>
      </c>
      <c r="Q1204" s="158"/>
      <c r="R1204" s="157" t="s">
        <v>1532</v>
      </c>
      <c r="S1204" s="114"/>
      <c r="T1204" s="162" t="s">
        <v>29</v>
      </c>
      <c r="U1204" s="65" t="s">
        <v>15</v>
      </c>
      <c r="V1204" s="162">
        <v>1984</v>
      </c>
      <c r="W1204" s="165"/>
      <c r="X1204" s="225" t="s">
        <v>1481</v>
      </c>
      <c r="Y1204" s="167">
        <v>44679.712037037039</v>
      </c>
    </row>
    <row r="1205" spans="1:25">
      <c r="A1205" s="131" t="s">
        <v>100</v>
      </c>
      <c r="B1205" s="109" t="s">
        <v>1385</v>
      </c>
      <c r="C1205" s="245" t="s">
        <v>3700</v>
      </c>
      <c r="D1205" s="162" t="s">
        <v>3702</v>
      </c>
      <c r="E1205" s="65"/>
      <c r="F1205" s="162" t="s">
        <v>21</v>
      </c>
      <c r="G1205" s="65"/>
      <c r="H1205" s="218"/>
      <c r="I1205" s="65"/>
      <c r="J1205" s="218"/>
      <c r="K1205" s="108"/>
      <c r="L1205" s="275">
        <v>200</v>
      </c>
      <c r="M1205" s="65"/>
      <c r="N1205" s="219"/>
      <c r="O1205" s="65" t="s">
        <v>1285</v>
      </c>
      <c r="P1205" s="162"/>
      <c r="Q1205" s="158"/>
      <c r="R1205" s="157" t="s">
        <v>208</v>
      </c>
      <c r="S1205" s="114"/>
      <c r="T1205" s="162" t="s">
        <v>29</v>
      </c>
      <c r="U1205" s="65" t="s">
        <v>20</v>
      </c>
      <c r="V1205" s="162" t="s">
        <v>208</v>
      </c>
      <c r="W1205" s="165" t="s">
        <v>3703</v>
      </c>
      <c r="X1205" s="225"/>
      <c r="Y1205" s="167" t="s">
        <v>208</v>
      </c>
    </row>
    <row r="1206" spans="1:25">
      <c r="A1206" s="131" t="s">
        <v>100</v>
      </c>
      <c r="B1206" s="109" t="s">
        <v>1320</v>
      </c>
      <c r="C1206" s="245" t="s">
        <v>111</v>
      </c>
      <c r="D1206" s="162" t="s">
        <v>112</v>
      </c>
      <c r="E1206" s="65" t="s">
        <v>1429</v>
      </c>
      <c r="F1206" s="162" t="s">
        <v>1388</v>
      </c>
      <c r="G1206" s="65" t="s">
        <v>113</v>
      </c>
      <c r="H1206" s="218">
        <v>1</v>
      </c>
      <c r="I1206" s="65"/>
      <c r="J1206" s="218">
        <v>85</v>
      </c>
      <c r="K1206" s="108"/>
      <c r="L1206" s="275">
        <v>85</v>
      </c>
      <c r="M1206" s="65" t="s">
        <v>1891</v>
      </c>
      <c r="N1206" s="219"/>
      <c r="O1206" s="65" t="s">
        <v>55</v>
      </c>
      <c r="P1206" s="162" t="s">
        <v>1407</v>
      </c>
      <c r="Q1206" s="158"/>
      <c r="R1206" s="157" t="s">
        <v>1744</v>
      </c>
      <c r="S1206" s="114"/>
      <c r="T1206" s="162" t="s">
        <v>25</v>
      </c>
      <c r="U1206" s="65" t="s">
        <v>1388</v>
      </c>
      <c r="V1206" s="162">
        <v>1674</v>
      </c>
      <c r="W1206" s="165"/>
      <c r="X1206" s="225" t="s">
        <v>1363</v>
      </c>
      <c r="Y1206" s="167">
        <v>44671.514456018522</v>
      </c>
    </row>
    <row r="1207" spans="1:25">
      <c r="A1207" s="131" t="s">
        <v>62</v>
      </c>
      <c r="B1207" s="109" t="s">
        <v>1320</v>
      </c>
      <c r="C1207" s="245" t="s">
        <v>3704</v>
      </c>
      <c r="D1207" s="162" t="s">
        <v>1568</v>
      </c>
      <c r="E1207" s="65" t="s">
        <v>1469</v>
      </c>
      <c r="F1207" s="162" t="s">
        <v>18</v>
      </c>
      <c r="G1207" s="65" t="s">
        <v>3705</v>
      </c>
      <c r="H1207" s="218">
        <v>1</v>
      </c>
      <c r="I1207" s="65"/>
      <c r="J1207" s="218">
        <v>285</v>
      </c>
      <c r="K1207" s="108"/>
      <c r="L1207" s="275">
        <v>285</v>
      </c>
      <c r="M1207" s="65" t="s">
        <v>2009</v>
      </c>
      <c r="N1207" s="219">
        <v>2500</v>
      </c>
      <c r="O1207" s="65" t="s">
        <v>55</v>
      </c>
      <c r="P1207" s="162" t="s">
        <v>1403</v>
      </c>
      <c r="Q1207" s="158"/>
      <c r="R1207" s="157" t="s">
        <v>2958</v>
      </c>
      <c r="S1207" s="114"/>
      <c r="T1207" s="162" t="s">
        <v>25</v>
      </c>
      <c r="U1207" s="65" t="s">
        <v>18</v>
      </c>
      <c r="V1207" s="162">
        <v>1235</v>
      </c>
      <c r="W1207" s="165"/>
      <c r="X1207" s="225" t="s">
        <v>1363</v>
      </c>
      <c r="Y1207" s="167">
        <v>44747.470173611109</v>
      </c>
    </row>
    <row r="1208" spans="1:25">
      <c r="A1208" s="131" t="s">
        <v>62</v>
      </c>
      <c r="B1208" s="109" t="s">
        <v>1320</v>
      </c>
      <c r="C1208" s="245" t="s">
        <v>3704</v>
      </c>
      <c r="D1208" s="162" t="s">
        <v>1568</v>
      </c>
      <c r="E1208" s="65" t="s">
        <v>1469</v>
      </c>
      <c r="F1208" s="162" t="s">
        <v>18</v>
      </c>
      <c r="G1208" s="65" t="s">
        <v>3706</v>
      </c>
      <c r="H1208" s="218">
        <v>1</v>
      </c>
      <c r="I1208" s="65"/>
      <c r="J1208" s="218">
        <v>285</v>
      </c>
      <c r="K1208" s="108"/>
      <c r="L1208" s="275">
        <v>285</v>
      </c>
      <c r="M1208" s="65" t="s">
        <v>2009</v>
      </c>
      <c r="N1208" s="219">
        <v>2500</v>
      </c>
      <c r="O1208" s="65" t="s">
        <v>55</v>
      </c>
      <c r="P1208" s="162" t="s">
        <v>1403</v>
      </c>
      <c r="Q1208" s="158"/>
      <c r="R1208" s="157" t="s">
        <v>2958</v>
      </c>
      <c r="S1208" s="114"/>
      <c r="T1208" s="162" t="s">
        <v>25</v>
      </c>
      <c r="U1208" s="65" t="s">
        <v>18</v>
      </c>
      <c r="V1208" s="162">
        <v>1235</v>
      </c>
      <c r="W1208" s="165"/>
      <c r="X1208" s="225" t="s">
        <v>1363</v>
      </c>
      <c r="Y1208" s="167">
        <v>44747.470173611109</v>
      </c>
    </row>
    <row r="1209" spans="1:25">
      <c r="A1209" s="131" t="s">
        <v>62</v>
      </c>
      <c r="B1209" s="109" t="s">
        <v>1320</v>
      </c>
      <c r="C1209" s="245" t="s">
        <v>3707</v>
      </c>
      <c r="D1209" s="162" t="s">
        <v>301</v>
      </c>
      <c r="E1209" s="65" t="s">
        <v>1539</v>
      </c>
      <c r="F1209" s="162" t="s">
        <v>18</v>
      </c>
      <c r="G1209" s="65" t="s">
        <v>3708</v>
      </c>
      <c r="H1209" s="218">
        <v>1</v>
      </c>
      <c r="I1209" s="65"/>
      <c r="J1209" s="218">
        <v>4.5</v>
      </c>
      <c r="K1209" s="108"/>
      <c r="L1209" s="275">
        <v>4.5</v>
      </c>
      <c r="M1209" s="65" t="s">
        <v>2149</v>
      </c>
      <c r="N1209" s="219"/>
      <c r="O1209" s="65" t="s">
        <v>55</v>
      </c>
      <c r="P1209" s="162" t="s">
        <v>1362</v>
      </c>
      <c r="Q1209" s="158"/>
      <c r="R1209" s="157"/>
      <c r="S1209" s="114"/>
      <c r="T1209" s="162" t="s">
        <v>25</v>
      </c>
      <c r="U1209" s="65" t="s">
        <v>18</v>
      </c>
      <c r="V1209" s="162">
        <v>1236</v>
      </c>
      <c r="W1209" s="165"/>
      <c r="X1209" s="225" t="s">
        <v>1400</v>
      </c>
      <c r="Y1209" s="167">
        <v>44671.314004629632</v>
      </c>
    </row>
    <row r="1210" spans="1:25">
      <c r="A1210" s="131" t="s">
        <v>80</v>
      </c>
      <c r="B1210" s="109" t="s">
        <v>1385</v>
      </c>
      <c r="C1210" s="245" t="s">
        <v>3709</v>
      </c>
      <c r="D1210" s="162" t="s">
        <v>3710</v>
      </c>
      <c r="E1210" s="65" t="s">
        <v>1419</v>
      </c>
      <c r="F1210" s="162" t="s">
        <v>17</v>
      </c>
      <c r="G1210" s="65" t="s">
        <v>208</v>
      </c>
      <c r="H1210" s="218">
        <v>76</v>
      </c>
      <c r="I1210" s="65">
        <v>3</v>
      </c>
      <c r="J1210" s="218">
        <v>4</v>
      </c>
      <c r="K1210" s="108">
        <v>228</v>
      </c>
      <c r="L1210" s="275">
        <v>304</v>
      </c>
      <c r="M1210" s="65" t="s">
        <v>3711</v>
      </c>
      <c r="N1210" s="219"/>
      <c r="O1210" s="65" t="s">
        <v>1285</v>
      </c>
      <c r="P1210" s="162" t="s">
        <v>1407</v>
      </c>
      <c r="Q1210" s="158"/>
      <c r="R1210" s="157"/>
      <c r="S1210" s="114"/>
      <c r="T1210" s="162" t="s">
        <v>29</v>
      </c>
      <c r="U1210" s="65" t="s">
        <v>17</v>
      </c>
      <c r="V1210" s="162">
        <v>1237</v>
      </c>
      <c r="W1210" s="165"/>
      <c r="X1210" s="225" t="s">
        <v>1363</v>
      </c>
      <c r="Y1210" s="167">
        <v>44673.553761574076</v>
      </c>
    </row>
    <row r="1211" spans="1:25">
      <c r="A1211" s="131" t="s">
        <v>100</v>
      </c>
      <c r="B1211" s="109" t="s">
        <v>1385</v>
      </c>
      <c r="C1211" s="245" t="s">
        <v>3712</v>
      </c>
      <c r="D1211" s="162" t="s">
        <v>3713</v>
      </c>
      <c r="E1211" s="65" t="s">
        <v>1429</v>
      </c>
      <c r="F1211" s="162" t="s">
        <v>1388</v>
      </c>
      <c r="G1211" s="65" t="s">
        <v>208</v>
      </c>
      <c r="H1211" s="218">
        <v>19</v>
      </c>
      <c r="I1211" s="65"/>
      <c r="J1211" s="218">
        <v>4</v>
      </c>
      <c r="K1211" s="108"/>
      <c r="L1211" s="275">
        <v>76</v>
      </c>
      <c r="M1211" s="65" t="s">
        <v>2484</v>
      </c>
      <c r="N1211" s="219"/>
      <c r="O1211" s="65" t="s">
        <v>1285</v>
      </c>
      <c r="P1211" s="162" t="s">
        <v>1407</v>
      </c>
      <c r="Q1211" s="158"/>
      <c r="R1211" s="157"/>
      <c r="S1211" s="114"/>
      <c r="T1211" s="162" t="s">
        <v>29</v>
      </c>
      <c r="U1211" s="65" t="s">
        <v>1388</v>
      </c>
      <c r="V1211" s="162">
        <v>1996</v>
      </c>
      <c r="W1211" s="165"/>
      <c r="X1211" s="225"/>
      <c r="Y1211" s="167">
        <v>44746.435833333337</v>
      </c>
    </row>
    <row r="1212" spans="1:25">
      <c r="A1212" s="131" t="s">
        <v>46</v>
      </c>
      <c r="B1212" s="109" t="s">
        <v>1385</v>
      </c>
      <c r="C1212" s="245" t="s">
        <v>118</v>
      </c>
      <c r="D1212" s="162" t="s">
        <v>119</v>
      </c>
      <c r="E1212" s="65" t="s">
        <v>1391</v>
      </c>
      <c r="F1212" s="162" t="s">
        <v>21</v>
      </c>
      <c r="G1212" s="65" t="s">
        <v>208</v>
      </c>
      <c r="H1212" s="218">
        <v>1</v>
      </c>
      <c r="I1212" s="65"/>
      <c r="J1212" s="218">
        <v>0</v>
      </c>
      <c r="K1212" s="108"/>
      <c r="L1212" s="275">
        <v>0</v>
      </c>
      <c r="M1212" s="65" t="s">
        <v>1600</v>
      </c>
      <c r="N1212" s="219">
        <v>30</v>
      </c>
      <c r="O1212" s="65" t="s">
        <v>1285</v>
      </c>
      <c r="P1212" s="162" t="s">
        <v>1403</v>
      </c>
      <c r="Q1212" s="158"/>
      <c r="R1212" s="157"/>
      <c r="S1212" s="114"/>
      <c r="T1212" s="162" t="s">
        <v>29</v>
      </c>
      <c r="U1212" s="65" t="s">
        <v>20</v>
      </c>
      <c r="V1212" s="162">
        <v>1716</v>
      </c>
      <c r="W1212" s="165"/>
      <c r="X1212" s="225" t="s">
        <v>1453</v>
      </c>
      <c r="Y1212" s="167">
        <v>44747.387395833335</v>
      </c>
    </row>
    <row r="1213" spans="1:25">
      <c r="A1213" s="131" t="s">
        <v>46</v>
      </c>
      <c r="B1213" s="109" t="s">
        <v>1385</v>
      </c>
      <c r="C1213" s="245" t="s">
        <v>118</v>
      </c>
      <c r="D1213" s="162" t="s">
        <v>119</v>
      </c>
      <c r="E1213" s="65" t="s">
        <v>1429</v>
      </c>
      <c r="F1213" s="162" t="s">
        <v>1388</v>
      </c>
      <c r="G1213" s="65" t="s">
        <v>208</v>
      </c>
      <c r="H1213" s="218">
        <v>1</v>
      </c>
      <c r="I1213" s="65"/>
      <c r="J1213" s="218">
        <v>280</v>
      </c>
      <c r="K1213" s="108"/>
      <c r="L1213" s="275">
        <v>280</v>
      </c>
      <c r="M1213" s="65" t="s">
        <v>1797</v>
      </c>
      <c r="N1213" s="219"/>
      <c r="O1213" s="65" t="s">
        <v>27</v>
      </c>
      <c r="P1213" s="162" t="s">
        <v>1407</v>
      </c>
      <c r="Q1213" s="158" t="s">
        <v>2578</v>
      </c>
      <c r="R1213" s="157" t="s">
        <v>1700</v>
      </c>
      <c r="S1213" s="114"/>
      <c r="T1213" s="162" t="s">
        <v>27</v>
      </c>
      <c r="U1213" s="65" t="s">
        <v>1388</v>
      </c>
      <c r="V1213" s="162">
        <v>1716</v>
      </c>
      <c r="W1213" s="165"/>
      <c r="X1213" s="225" t="s">
        <v>1453</v>
      </c>
      <c r="Y1213" s="167">
        <v>44747.387395833335</v>
      </c>
    </row>
    <row r="1214" spans="1:25">
      <c r="A1214" s="131" t="s">
        <v>100</v>
      </c>
      <c r="B1214" s="109" t="s">
        <v>1320</v>
      </c>
      <c r="C1214" s="245" t="s">
        <v>3714</v>
      </c>
      <c r="D1214" s="162" t="s">
        <v>75</v>
      </c>
      <c r="E1214" s="65" t="s">
        <v>1359</v>
      </c>
      <c r="F1214" s="162" t="s">
        <v>1422</v>
      </c>
      <c r="G1214" s="65" t="s">
        <v>3715</v>
      </c>
      <c r="H1214" s="218">
        <v>7</v>
      </c>
      <c r="I1214" s="65"/>
      <c r="J1214" s="218">
        <v>1.123</v>
      </c>
      <c r="K1214" s="108"/>
      <c r="L1214" s="275">
        <v>7.8609999999999998</v>
      </c>
      <c r="M1214" s="65" t="s">
        <v>3716</v>
      </c>
      <c r="N1214" s="219"/>
      <c r="O1214" s="65" t="s">
        <v>55</v>
      </c>
      <c r="P1214" s="162" t="s">
        <v>1362</v>
      </c>
      <c r="Q1214" s="158"/>
      <c r="R1214" s="157" t="s">
        <v>1496</v>
      </c>
      <c r="S1214" s="114"/>
      <c r="T1214" s="162" t="s">
        <v>25</v>
      </c>
      <c r="U1214" s="65" t="s">
        <v>19</v>
      </c>
      <c r="V1214" s="162">
        <v>1238</v>
      </c>
      <c r="W1214" s="165"/>
      <c r="X1214" s="225" t="s">
        <v>1363</v>
      </c>
      <c r="Y1214" s="167">
        <v>44671.314768518518</v>
      </c>
    </row>
    <row r="1215" spans="1:25">
      <c r="A1215" s="131" t="s">
        <v>100</v>
      </c>
      <c r="B1215" s="109" t="s">
        <v>1385</v>
      </c>
      <c r="C1215" s="245" t="s">
        <v>3717</v>
      </c>
      <c r="D1215" s="162" t="s">
        <v>3318</v>
      </c>
      <c r="E1215" s="65"/>
      <c r="F1215" s="162" t="s">
        <v>3319</v>
      </c>
      <c r="G1215" s="65"/>
      <c r="H1215" s="218"/>
      <c r="I1215" s="65"/>
      <c r="J1215" s="218"/>
      <c r="K1215" s="108"/>
      <c r="L1215" s="275">
        <v>600</v>
      </c>
      <c r="M1215" s="65"/>
      <c r="N1215" s="219"/>
      <c r="O1215" s="65" t="s">
        <v>1285</v>
      </c>
      <c r="P1215" s="162"/>
      <c r="Q1215" s="158"/>
      <c r="R1215" s="157" t="s">
        <v>208</v>
      </c>
      <c r="S1215" s="114"/>
      <c r="T1215" s="162" t="s">
        <v>29</v>
      </c>
      <c r="U1215" s="65" t="s">
        <v>14</v>
      </c>
      <c r="V1215" s="162" t="s">
        <v>208</v>
      </c>
      <c r="W1215" s="165" t="s">
        <v>3718</v>
      </c>
      <c r="X1215" s="225"/>
      <c r="Y1215" s="167" t="s">
        <v>208</v>
      </c>
    </row>
    <row r="1216" spans="1:25">
      <c r="A1216" s="131" t="s">
        <v>46</v>
      </c>
      <c r="B1216" s="109" t="s">
        <v>1385</v>
      </c>
      <c r="C1216" s="245" t="s">
        <v>3719</v>
      </c>
      <c r="D1216" s="162" t="s">
        <v>2441</v>
      </c>
      <c r="E1216" s="65" t="s">
        <v>1581</v>
      </c>
      <c r="F1216" s="162" t="s">
        <v>17</v>
      </c>
      <c r="G1216" s="65" t="s">
        <v>208</v>
      </c>
      <c r="H1216" s="218">
        <v>1</v>
      </c>
      <c r="I1216" s="65"/>
      <c r="J1216" s="218">
        <v>1600</v>
      </c>
      <c r="K1216" s="108"/>
      <c r="L1216" s="275">
        <v>1600</v>
      </c>
      <c r="M1216" s="65" t="s">
        <v>3720</v>
      </c>
      <c r="N1216" s="219"/>
      <c r="O1216" s="65" t="s">
        <v>1285</v>
      </c>
      <c r="P1216" s="162" t="s">
        <v>1407</v>
      </c>
      <c r="Q1216" s="158"/>
      <c r="R1216" s="157"/>
      <c r="S1216" s="114"/>
      <c r="T1216" s="162" t="s">
        <v>29</v>
      </c>
      <c r="U1216" s="65" t="s">
        <v>17</v>
      </c>
      <c r="V1216" s="162">
        <v>2028</v>
      </c>
      <c r="W1216" s="165" t="s">
        <v>3939</v>
      </c>
      <c r="X1216" s="225"/>
      <c r="Y1216" s="167">
        <v>44722.46371527778</v>
      </c>
    </row>
    <row r="1217" spans="1:25">
      <c r="A1217" s="131" t="s">
        <v>100</v>
      </c>
      <c r="B1217" s="109" t="s">
        <v>1320</v>
      </c>
      <c r="C1217" s="245" t="s">
        <v>3721</v>
      </c>
      <c r="D1217" s="162" t="s">
        <v>3722</v>
      </c>
      <c r="E1217" s="65" t="s">
        <v>1419</v>
      </c>
      <c r="F1217" s="162" t="s">
        <v>17</v>
      </c>
      <c r="G1217" s="65" t="s">
        <v>3723</v>
      </c>
      <c r="H1217" s="218">
        <v>6</v>
      </c>
      <c r="I1217" s="65"/>
      <c r="J1217" s="218">
        <v>2</v>
      </c>
      <c r="K1217" s="108"/>
      <c r="L1217" s="275">
        <v>12</v>
      </c>
      <c r="M1217" s="65" t="s">
        <v>1392</v>
      </c>
      <c r="N1217" s="219"/>
      <c r="O1217" s="65" t="s">
        <v>55</v>
      </c>
      <c r="P1217" s="162" t="s">
        <v>1362</v>
      </c>
      <c r="Q1217" s="158"/>
      <c r="R1217" s="157"/>
      <c r="S1217" s="114"/>
      <c r="T1217" s="162" t="s">
        <v>25</v>
      </c>
      <c r="U1217" s="65" t="s">
        <v>17</v>
      </c>
      <c r="V1217" s="162">
        <v>1239</v>
      </c>
      <c r="W1217" s="165"/>
      <c r="X1217" s="225" t="s">
        <v>1400</v>
      </c>
      <c r="Y1217" s="167">
        <v>43769.416655092595</v>
      </c>
    </row>
    <row r="1218" spans="1:25" ht="22.5">
      <c r="A1218" s="131" t="s">
        <v>46</v>
      </c>
      <c r="B1218" s="109" t="s">
        <v>1320</v>
      </c>
      <c r="C1218" s="245" t="s">
        <v>3724</v>
      </c>
      <c r="D1218" s="162" t="s">
        <v>3725</v>
      </c>
      <c r="E1218" s="65" t="s">
        <v>1359</v>
      </c>
      <c r="F1218" s="162" t="s">
        <v>1422</v>
      </c>
      <c r="G1218" s="65" t="s">
        <v>3726</v>
      </c>
      <c r="H1218" s="218">
        <v>7</v>
      </c>
      <c r="I1218" s="65"/>
      <c r="J1218" s="218">
        <v>1.0649999999999999</v>
      </c>
      <c r="K1218" s="108"/>
      <c r="L1218" s="275">
        <v>7.4550000000000001</v>
      </c>
      <c r="M1218" s="65" t="s">
        <v>3362</v>
      </c>
      <c r="N1218" s="219"/>
      <c r="O1218" s="65" t="s">
        <v>55</v>
      </c>
      <c r="P1218" s="162" t="s">
        <v>1362</v>
      </c>
      <c r="Q1218" s="158"/>
      <c r="R1218" s="157"/>
      <c r="S1218" s="114"/>
      <c r="T1218" s="162" t="s">
        <v>25</v>
      </c>
      <c r="U1218" s="65" t="s">
        <v>19</v>
      </c>
      <c r="V1218" s="162">
        <v>1241</v>
      </c>
      <c r="W1218" s="165"/>
      <c r="X1218" s="225" t="s">
        <v>1363</v>
      </c>
      <c r="Y1218" s="167">
        <v>43245.097013888888</v>
      </c>
    </row>
    <row r="1219" spans="1:25">
      <c r="A1219" s="131" t="s">
        <v>46</v>
      </c>
      <c r="B1219" s="109" t="s">
        <v>1320</v>
      </c>
      <c r="C1219" s="245" t="s">
        <v>3727</v>
      </c>
      <c r="D1219" s="162" t="s">
        <v>3728</v>
      </c>
      <c r="E1219" s="65" t="s">
        <v>1419</v>
      </c>
      <c r="F1219" s="162" t="s">
        <v>17</v>
      </c>
      <c r="G1219" s="65" t="s">
        <v>3729</v>
      </c>
      <c r="H1219" s="218">
        <v>23</v>
      </c>
      <c r="I1219" s="65"/>
      <c r="J1219" s="218">
        <v>2.1</v>
      </c>
      <c r="K1219" s="108"/>
      <c r="L1219" s="275">
        <v>48.300000000000004</v>
      </c>
      <c r="M1219" s="65" t="s">
        <v>3730</v>
      </c>
      <c r="N1219" s="219"/>
      <c r="O1219" s="65" t="s">
        <v>55</v>
      </c>
      <c r="P1219" s="162" t="s">
        <v>1407</v>
      </c>
      <c r="Q1219" s="158"/>
      <c r="R1219" s="157" t="s">
        <v>1405</v>
      </c>
      <c r="S1219" s="114"/>
      <c r="T1219" s="162" t="s">
        <v>25</v>
      </c>
      <c r="U1219" s="65" t="s">
        <v>17</v>
      </c>
      <c r="V1219" s="162">
        <v>1240</v>
      </c>
      <c r="W1219" s="165"/>
      <c r="X1219" s="225" t="s">
        <v>1363</v>
      </c>
      <c r="Y1219" s="167">
        <v>44671.315578703703</v>
      </c>
    </row>
    <row r="1220" spans="1:25">
      <c r="A1220" s="131" t="s">
        <v>62</v>
      </c>
      <c r="B1220" s="109" t="s">
        <v>1320</v>
      </c>
      <c r="C1220" s="245" t="s">
        <v>3731</v>
      </c>
      <c r="D1220" s="162" t="s">
        <v>1393</v>
      </c>
      <c r="E1220" s="65" t="s">
        <v>1398</v>
      </c>
      <c r="F1220" s="162" t="s">
        <v>1388</v>
      </c>
      <c r="G1220" s="65" t="s">
        <v>208</v>
      </c>
      <c r="H1220" s="218">
        <v>1</v>
      </c>
      <c r="I1220" s="65"/>
      <c r="J1220" s="218">
        <v>0.29599999999999999</v>
      </c>
      <c r="K1220" s="108"/>
      <c r="L1220" s="275">
        <v>0.29559999999999997</v>
      </c>
      <c r="M1220" s="65" t="s">
        <v>3732</v>
      </c>
      <c r="N1220" s="219"/>
      <c r="O1220" s="65" t="s">
        <v>55</v>
      </c>
      <c r="P1220" s="162" t="s">
        <v>1362</v>
      </c>
      <c r="Q1220" s="158"/>
      <c r="R1220" s="157"/>
      <c r="S1220" s="114"/>
      <c r="T1220" s="162" t="s">
        <v>25</v>
      </c>
      <c r="U1220" s="65" t="s">
        <v>1388</v>
      </c>
      <c r="V1220" s="162">
        <v>87</v>
      </c>
      <c r="W1220" s="165"/>
      <c r="X1220" s="225" t="s">
        <v>208</v>
      </c>
      <c r="Y1220" s="167">
        <v>43312</v>
      </c>
    </row>
    <row r="1221" spans="1:25">
      <c r="A1221" s="131" t="s">
        <v>95</v>
      </c>
      <c r="B1221" s="109" t="s">
        <v>1320</v>
      </c>
      <c r="C1221" s="245" t="s">
        <v>3733</v>
      </c>
      <c r="D1221" s="162" t="s">
        <v>3734</v>
      </c>
      <c r="E1221" s="65" t="s">
        <v>1419</v>
      </c>
      <c r="F1221" s="162" t="s">
        <v>17</v>
      </c>
      <c r="G1221" s="65" t="s">
        <v>3735</v>
      </c>
      <c r="H1221" s="218">
        <v>25</v>
      </c>
      <c r="I1221" s="65"/>
      <c r="J1221" s="218">
        <v>3</v>
      </c>
      <c r="K1221" s="108"/>
      <c r="L1221" s="275">
        <v>75</v>
      </c>
      <c r="M1221" s="65" t="s">
        <v>3736</v>
      </c>
      <c r="N1221" s="219"/>
      <c r="O1221" s="65" t="s">
        <v>55</v>
      </c>
      <c r="P1221" s="162" t="s">
        <v>1362</v>
      </c>
      <c r="Q1221" s="158"/>
      <c r="R1221" s="157" t="s">
        <v>1532</v>
      </c>
      <c r="S1221" s="114"/>
      <c r="T1221" s="162" t="s">
        <v>25</v>
      </c>
      <c r="U1221" s="65" t="s">
        <v>17</v>
      </c>
      <c r="V1221" s="162">
        <v>1242</v>
      </c>
      <c r="W1221" s="165"/>
      <c r="X1221" s="225" t="s">
        <v>1363</v>
      </c>
      <c r="Y1221" s="167">
        <v>44671.347060185188</v>
      </c>
    </row>
    <row r="1222" spans="1:25">
      <c r="A1222" s="131" t="s">
        <v>95</v>
      </c>
      <c r="B1222" s="109" t="s">
        <v>1320</v>
      </c>
      <c r="C1222" s="245" t="s">
        <v>3733</v>
      </c>
      <c r="D1222" s="162" t="s">
        <v>3734</v>
      </c>
      <c r="E1222" s="65" t="s">
        <v>1419</v>
      </c>
      <c r="F1222" s="162" t="s">
        <v>17</v>
      </c>
      <c r="G1222" s="65" t="s">
        <v>3735</v>
      </c>
      <c r="H1222" s="218">
        <v>37</v>
      </c>
      <c r="I1222" s="65"/>
      <c r="J1222" s="218">
        <v>1.75</v>
      </c>
      <c r="K1222" s="108"/>
      <c r="L1222" s="275">
        <v>64.75</v>
      </c>
      <c r="M1222" s="65" t="s">
        <v>3737</v>
      </c>
      <c r="N1222" s="219"/>
      <c r="O1222" s="65" t="s">
        <v>55</v>
      </c>
      <c r="P1222" s="162" t="s">
        <v>1362</v>
      </c>
      <c r="Q1222" s="158"/>
      <c r="R1222" s="157" t="s">
        <v>1532</v>
      </c>
      <c r="S1222" s="114"/>
      <c r="T1222" s="162" t="s">
        <v>25</v>
      </c>
      <c r="U1222" s="65" t="s">
        <v>17</v>
      </c>
      <c r="V1222" s="162">
        <v>1242</v>
      </c>
      <c r="W1222" s="165"/>
      <c r="X1222" s="225" t="s">
        <v>1363</v>
      </c>
      <c r="Y1222" s="167">
        <v>44671.347060185188</v>
      </c>
    </row>
    <row r="1223" spans="1:25" ht="22.5">
      <c r="A1223" s="131" t="s">
        <v>62</v>
      </c>
      <c r="B1223" s="109" t="s">
        <v>1385</v>
      </c>
      <c r="C1223" s="245" t="s">
        <v>4111</v>
      </c>
      <c r="D1223" s="162" t="s">
        <v>4112</v>
      </c>
      <c r="E1223" s="65"/>
      <c r="F1223" s="162" t="s">
        <v>21</v>
      </c>
      <c r="G1223" s="65"/>
      <c r="H1223" s="218"/>
      <c r="I1223" s="65"/>
      <c r="J1223" s="218"/>
      <c r="K1223" s="108"/>
      <c r="L1223" s="275">
        <v>176</v>
      </c>
      <c r="M1223" s="65"/>
      <c r="N1223" s="219"/>
      <c r="O1223" s="65" t="s">
        <v>1285</v>
      </c>
      <c r="P1223" s="162"/>
      <c r="Q1223" s="158"/>
      <c r="R1223" s="157"/>
      <c r="S1223" s="114"/>
      <c r="T1223" s="162" t="s">
        <v>29</v>
      </c>
      <c r="U1223" s="65" t="s">
        <v>20</v>
      </c>
      <c r="V1223" s="162">
        <v>1961</v>
      </c>
      <c r="W1223" s="165" t="s">
        <v>4113</v>
      </c>
      <c r="X1223" s="225" t="s">
        <v>1395</v>
      </c>
      <c r="Y1223" s="167">
        <v>44427</v>
      </c>
    </row>
    <row r="1224" spans="1:25">
      <c r="A1224" s="131" t="s">
        <v>62</v>
      </c>
      <c r="B1224" s="109" t="s">
        <v>1385</v>
      </c>
      <c r="C1224" s="245" t="s">
        <v>305</v>
      </c>
      <c r="D1224" s="162" t="s">
        <v>306</v>
      </c>
      <c r="E1224" s="65" t="s">
        <v>1429</v>
      </c>
      <c r="F1224" s="162" t="s">
        <v>1388</v>
      </c>
      <c r="G1224" s="65" t="s">
        <v>208</v>
      </c>
      <c r="H1224" s="218">
        <v>89</v>
      </c>
      <c r="I1224" s="65"/>
      <c r="J1224" s="218">
        <v>2.5</v>
      </c>
      <c r="K1224" s="108"/>
      <c r="L1224" s="275">
        <v>222.5</v>
      </c>
      <c r="M1224" s="65" t="s">
        <v>3738</v>
      </c>
      <c r="N1224" s="219"/>
      <c r="O1224" s="65" t="s">
        <v>27</v>
      </c>
      <c r="P1224" s="162" t="s">
        <v>1407</v>
      </c>
      <c r="Q1224" s="158" t="s">
        <v>1537</v>
      </c>
      <c r="R1224" s="157"/>
      <c r="S1224" s="114"/>
      <c r="T1224" s="162" t="s">
        <v>27</v>
      </c>
      <c r="U1224" s="65" t="s">
        <v>1388</v>
      </c>
      <c r="V1224" s="162">
        <v>1672</v>
      </c>
      <c r="W1224" s="165"/>
      <c r="X1224" s="225" t="s">
        <v>1453</v>
      </c>
      <c r="Y1224" s="167">
        <v>44726.498101851852</v>
      </c>
    </row>
    <row r="1225" spans="1:25">
      <c r="A1225" s="131" t="s">
        <v>100</v>
      </c>
      <c r="B1225" s="109" t="s">
        <v>1385</v>
      </c>
      <c r="C1225" s="245" t="s">
        <v>3739</v>
      </c>
      <c r="D1225" s="162" t="s">
        <v>3740</v>
      </c>
      <c r="E1225" s="65" t="s">
        <v>1419</v>
      </c>
      <c r="F1225" s="162" t="s">
        <v>17</v>
      </c>
      <c r="G1225" s="65" t="s">
        <v>208</v>
      </c>
      <c r="H1225" s="218">
        <v>20</v>
      </c>
      <c r="I1225" s="65"/>
      <c r="J1225" s="218">
        <v>3.65</v>
      </c>
      <c r="K1225" s="108"/>
      <c r="L1225" s="275">
        <v>73</v>
      </c>
      <c r="M1225" s="65" t="s">
        <v>3741</v>
      </c>
      <c r="N1225" s="219"/>
      <c r="O1225" s="65" t="s">
        <v>1285</v>
      </c>
      <c r="P1225" s="162" t="s">
        <v>1407</v>
      </c>
      <c r="Q1225" s="158"/>
      <c r="R1225" s="157"/>
      <c r="S1225" s="114"/>
      <c r="T1225" s="162" t="s">
        <v>29</v>
      </c>
      <c r="U1225" s="65" t="s">
        <v>17</v>
      </c>
      <c r="V1225" s="162">
        <v>1243</v>
      </c>
      <c r="W1225" s="165"/>
      <c r="X1225" s="225" t="s">
        <v>1453</v>
      </c>
      <c r="Y1225" s="167">
        <v>44684.609537037039</v>
      </c>
    </row>
    <row r="1226" spans="1:25">
      <c r="A1226" s="131" t="s">
        <v>100</v>
      </c>
      <c r="B1226" s="109" t="s">
        <v>1385</v>
      </c>
      <c r="C1226" s="245" t="s">
        <v>137</v>
      </c>
      <c r="D1226" s="162" t="s">
        <v>138</v>
      </c>
      <c r="E1226" s="65" t="s">
        <v>1391</v>
      </c>
      <c r="F1226" s="162" t="s">
        <v>21</v>
      </c>
      <c r="G1226" s="65" t="s">
        <v>208</v>
      </c>
      <c r="H1226" s="218">
        <v>1</v>
      </c>
      <c r="I1226" s="65"/>
      <c r="J1226" s="218">
        <v>350</v>
      </c>
      <c r="K1226" s="108"/>
      <c r="L1226" s="275">
        <v>350</v>
      </c>
      <c r="M1226" s="65" t="s">
        <v>1819</v>
      </c>
      <c r="N1226" s="219">
        <v>1400</v>
      </c>
      <c r="O1226" s="65" t="s">
        <v>28</v>
      </c>
      <c r="P1226" s="162" t="s">
        <v>1393</v>
      </c>
      <c r="Q1226" s="158" t="s">
        <v>3742</v>
      </c>
      <c r="R1226" s="157"/>
      <c r="S1226" s="114"/>
      <c r="T1226" s="162" t="s">
        <v>28</v>
      </c>
      <c r="U1226" s="65" t="s">
        <v>20</v>
      </c>
      <c r="V1226" s="162">
        <v>1876</v>
      </c>
      <c r="W1226" s="165"/>
      <c r="X1226" s="225" t="s">
        <v>1453</v>
      </c>
      <c r="Y1226" s="167">
        <v>44742.613576388889</v>
      </c>
    </row>
    <row r="1227" spans="1:25">
      <c r="A1227" s="131" t="s">
        <v>100</v>
      </c>
      <c r="B1227" s="109" t="s">
        <v>1385</v>
      </c>
      <c r="C1227" s="245" t="s">
        <v>274</v>
      </c>
      <c r="D1227" s="162" t="s">
        <v>275</v>
      </c>
      <c r="E1227" s="65" t="s">
        <v>1429</v>
      </c>
      <c r="F1227" s="162" t="s">
        <v>1388</v>
      </c>
      <c r="G1227" s="65" t="s">
        <v>208</v>
      </c>
      <c r="H1227" s="218">
        <v>1</v>
      </c>
      <c r="I1227" s="65"/>
      <c r="J1227" s="218">
        <v>75</v>
      </c>
      <c r="K1227" s="108"/>
      <c r="L1227" s="275">
        <v>75</v>
      </c>
      <c r="M1227" s="65" t="s">
        <v>3736</v>
      </c>
      <c r="N1227" s="219">
        <v>0</v>
      </c>
      <c r="O1227" s="65" t="s">
        <v>28</v>
      </c>
      <c r="P1227" s="162" t="s">
        <v>1407</v>
      </c>
      <c r="Q1227" s="158"/>
      <c r="R1227" s="157"/>
      <c r="S1227" s="114"/>
      <c r="T1227" s="162" t="s">
        <v>28</v>
      </c>
      <c r="U1227" s="65" t="s">
        <v>1388</v>
      </c>
      <c r="V1227" s="162">
        <v>1929</v>
      </c>
      <c r="W1227" s="165"/>
      <c r="X1227" s="225" t="s">
        <v>1453</v>
      </c>
      <c r="Y1227" s="167">
        <v>44741.488703703704</v>
      </c>
    </row>
    <row r="1228" spans="1:25">
      <c r="A1228" s="131" t="s">
        <v>46</v>
      </c>
      <c r="B1228" s="109" t="s">
        <v>1385</v>
      </c>
      <c r="C1228" s="245" t="s">
        <v>190</v>
      </c>
      <c r="D1228" s="162" t="s">
        <v>191</v>
      </c>
      <c r="E1228" s="65" t="s">
        <v>1429</v>
      </c>
      <c r="F1228" s="162" t="s">
        <v>1388</v>
      </c>
      <c r="G1228" s="65" t="s">
        <v>208</v>
      </c>
      <c r="H1228" s="218">
        <v>38</v>
      </c>
      <c r="I1228" s="65"/>
      <c r="J1228" s="218">
        <v>1.64</v>
      </c>
      <c r="K1228" s="108"/>
      <c r="L1228" s="275">
        <v>62.319999999999993</v>
      </c>
      <c r="M1228" s="65" t="s">
        <v>3743</v>
      </c>
      <c r="N1228" s="219">
        <v>0</v>
      </c>
      <c r="O1228" s="65" t="s">
        <v>27</v>
      </c>
      <c r="P1228" s="162" t="s">
        <v>1407</v>
      </c>
      <c r="Q1228" s="158" t="s">
        <v>3144</v>
      </c>
      <c r="R1228" s="157" t="s">
        <v>1484</v>
      </c>
      <c r="S1228" s="114"/>
      <c r="T1228" s="162" t="s">
        <v>27</v>
      </c>
      <c r="U1228" s="65" t="s">
        <v>1388</v>
      </c>
      <c r="V1228" s="162">
        <v>1865</v>
      </c>
      <c r="W1228" s="165"/>
      <c r="X1228" s="225" t="s">
        <v>1453</v>
      </c>
      <c r="Y1228" s="167">
        <v>44684.329606481479</v>
      </c>
    </row>
    <row r="1229" spans="1:25">
      <c r="A1229" s="131" t="s">
        <v>46</v>
      </c>
      <c r="B1229" s="109" t="s">
        <v>1320</v>
      </c>
      <c r="C1229" s="245" t="s">
        <v>3744</v>
      </c>
      <c r="D1229" s="162" t="s">
        <v>3745</v>
      </c>
      <c r="E1229" s="65" t="s">
        <v>1539</v>
      </c>
      <c r="F1229" s="162" t="s">
        <v>18</v>
      </c>
      <c r="G1229" s="65" t="s">
        <v>3746</v>
      </c>
      <c r="H1229" s="218">
        <v>1</v>
      </c>
      <c r="I1229" s="65"/>
      <c r="J1229" s="218">
        <v>20</v>
      </c>
      <c r="K1229" s="108"/>
      <c r="L1229" s="275">
        <v>20</v>
      </c>
      <c r="M1229" s="65" t="s">
        <v>1433</v>
      </c>
      <c r="N1229" s="219"/>
      <c r="O1229" s="65" t="s">
        <v>55</v>
      </c>
      <c r="P1229" s="162" t="s">
        <v>1362</v>
      </c>
      <c r="Q1229" s="158"/>
      <c r="R1229" s="157"/>
      <c r="S1229" s="114"/>
      <c r="T1229" s="162" t="s">
        <v>25</v>
      </c>
      <c r="U1229" s="65" t="s">
        <v>18</v>
      </c>
      <c r="V1229" s="162">
        <v>1254</v>
      </c>
      <c r="W1229" s="165"/>
      <c r="X1229" s="225" t="s">
        <v>1400</v>
      </c>
      <c r="Y1229" s="167">
        <v>43769.416655092595</v>
      </c>
    </row>
    <row r="1230" spans="1:25">
      <c r="A1230" s="131" t="s">
        <v>46</v>
      </c>
      <c r="B1230" s="109" t="s">
        <v>1320</v>
      </c>
      <c r="C1230" s="245" t="s">
        <v>3747</v>
      </c>
      <c r="D1230" s="162" t="s">
        <v>525</v>
      </c>
      <c r="E1230" s="65" t="s">
        <v>1539</v>
      </c>
      <c r="F1230" s="162" t="s">
        <v>18</v>
      </c>
      <c r="G1230" s="65" t="s">
        <v>3748</v>
      </c>
      <c r="H1230" s="218">
        <v>1</v>
      </c>
      <c r="I1230" s="65"/>
      <c r="J1230" s="218">
        <v>4</v>
      </c>
      <c r="K1230" s="108"/>
      <c r="L1230" s="275">
        <v>4</v>
      </c>
      <c r="M1230" s="65" t="s">
        <v>2738</v>
      </c>
      <c r="N1230" s="219"/>
      <c r="O1230" s="65" t="s">
        <v>55</v>
      </c>
      <c r="P1230" s="162" t="s">
        <v>1362</v>
      </c>
      <c r="Q1230" s="158"/>
      <c r="R1230" s="157"/>
      <c r="S1230" s="114"/>
      <c r="T1230" s="162" t="s">
        <v>25</v>
      </c>
      <c r="U1230" s="65" t="s">
        <v>18</v>
      </c>
      <c r="V1230" s="162">
        <v>1255</v>
      </c>
      <c r="W1230" s="165"/>
      <c r="X1230" s="225" t="s">
        <v>1400</v>
      </c>
      <c r="Y1230" s="167">
        <v>43769.416655092595</v>
      </c>
    </row>
    <row r="1231" spans="1:25">
      <c r="A1231" s="131" t="s">
        <v>100</v>
      </c>
      <c r="B1231" s="109" t="s">
        <v>1320</v>
      </c>
      <c r="C1231" s="245" t="s">
        <v>3749</v>
      </c>
      <c r="D1231" s="162" t="s">
        <v>75</v>
      </c>
      <c r="E1231" s="65" t="s">
        <v>1359</v>
      </c>
      <c r="F1231" s="162" t="s">
        <v>1486</v>
      </c>
      <c r="G1231" s="65" t="s">
        <v>3750</v>
      </c>
      <c r="H1231" s="218">
        <v>1</v>
      </c>
      <c r="I1231" s="65"/>
      <c r="J1231" s="218">
        <v>0.78</v>
      </c>
      <c r="K1231" s="108"/>
      <c r="L1231" s="275">
        <v>0.78</v>
      </c>
      <c r="M1231" s="65" t="s">
        <v>3214</v>
      </c>
      <c r="N1231" s="219"/>
      <c r="O1231" s="65" t="s">
        <v>55</v>
      </c>
      <c r="P1231" s="162" t="s">
        <v>1362</v>
      </c>
      <c r="Q1231" s="158"/>
      <c r="R1231" s="157"/>
      <c r="S1231" s="114"/>
      <c r="T1231" s="162" t="s">
        <v>25</v>
      </c>
      <c r="U1231" s="65" t="s">
        <v>19</v>
      </c>
      <c r="V1231" s="162">
        <v>1245</v>
      </c>
      <c r="W1231" s="165"/>
      <c r="X1231" s="225" t="s">
        <v>1400</v>
      </c>
      <c r="Y1231" s="167">
        <v>43769.416655092595</v>
      </c>
    </row>
    <row r="1232" spans="1:25">
      <c r="A1232" s="131" t="s">
        <v>100</v>
      </c>
      <c r="B1232" s="109" t="s">
        <v>1320</v>
      </c>
      <c r="C1232" s="245" t="s">
        <v>3749</v>
      </c>
      <c r="D1232" s="162" t="s">
        <v>75</v>
      </c>
      <c r="E1232" s="65" t="s">
        <v>1359</v>
      </c>
      <c r="F1232" s="162" t="s">
        <v>1486</v>
      </c>
      <c r="G1232" s="65" t="s">
        <v>3750</v>
      </c>
      <c r="H1232" s="218">
        <v>1</v>
      </c>
      <c r="I1232" s="65"/>
      <c r="J1232" s="218">
        <v>1.123</v>
      </c>
      <c r="K1232" s="108"/>
      <c r="L1232" s="275">
        <v>1.123</v>
      </c>
      <c r="M1232" s="65" t="s">
        <v>1423</v>
      </c>
      <c r="N1232" s="219"/>
      <c r="O1232" s="65" t="s">
        <v>55</v>
      </c>
      <c r="P1232" s="162" t="s">
        <v>1362</v>
      </c>
      <c r="Q1232" s="158"/>
      <c r="R1232" s="157"/>
      <c r="S1232" s="114"/>
      <c r="T1232" s="162" t="s">
        <v>25</v>
      </c>
      <c r="U1232" s="65" t="s">
        <v>19</v>
      </c>
      <c r="V1232" s="162">
        <v>1245</v>
      </c>
      <c r="W1232" s="165"/>
      <c r="X1232" s="225" t="s">
        <v>1400</v>
      </c>
      <c r="Y1232" s="167">
        <v>43769.416655092595</v>
      </c>
    </row>
    <row r="1233" spans="1:25">
      <c r="A1233" s="131" t="s">
        <v>46</v>
      </c>
      <c r="B1233" s="109" t="s">
        <v>1320</v>
      </c>
      <c r="C1233" s="245" t="s">
        <v>3751</v>
      </c>
      <c r="D1233" s="162" t="s">
        <v>1513</v>
      </c>
      <c r="E1233" s="65" t="s">
        <v>1359</v>
      </c>
      <c r="F1233" s="162" t="s">
        <v>1486</v>
      </c>
      <c r="G1233" s="65" t="s">
        <v>481</v>
      </c>
      <c r="H1233" s="218">
        <v>2</v>
      </c>
      <c r="I1233" s="65"/>
      <c r="J1233" s="218">
        <v>1.123</v>
      </c>
      <c r="K1233" s="108"/>
      <c r="L1233" s="275">
        <v>2.246</v>
      </c>
      <c r="M1233" s="65" t="s">
        <v>3327</v>
      </c>
      <c r="N1233" s="219"/>
      <c r="O1233" s="65" t="s">
        <v>55</v>
      </c>
      <c r="P1233" s="162" t="s">
        <v>1362</v>
      </c>
      <c r="Q1233" s="158"/>
      <c r="R1233" s="157"/>
      <c r="S1233" s="114"/>
      <c r="T1233" s="162" t="s">
        <v>25</v>
      </c>
      <c r="U1233" s="65" t="s">
        <v>19</v>
      </c>
      <c r="V1233" s="162">
        <v>1339</v>
      </c>
      <c r="W1233" s="165"/>
      <c r="X1233" s="225" t="s">
        <v>1400</v>
      </c>
      <c r="Y1233" s="167">
        <v>43769.416655092595</v>
      </c>
    </row>
    <row r="1234" spans="1:25" ht="22.5">
      <c r="A1234" s="131" t="s">
        <v>62</v>
      </c>
      <c r="B1234" s="109" t="s">
        <v>1385</v>
      </c>
      <c r="C1234" s="245" t="s">
        <v>3752</v>
      </c>
      <c r="D1234" s="162" t="s">
        <v>1712</v>
      </c>
      <c r="E1234" s="65"/>
      <c r="F1234" s="162" t="s">
        <v>21</v>
      </c>
      <c r="G1234" s="65"/>
      <c r="H1234" s="218"/>
      <c r="I1234" s="65"/>
      <c r="J1234" s="218"/>
      <c r="K1234" s="108"/>
      <c r="L1234" s="275">
        <v>40</v>
      </c>
      <c r="M1234" s="65"/>
      <c r="N1234" s="219"/>
      <c r="O1234" s="65" t="s">
        <v>1285</v>
      </c>
      <c r="P1234" s="162"/>
      <c r="Q1234" s="158"/>
      <c r="R1234" s="157" t="s">
        <v>208</v>
      </c>
      <c r="S1234" s="114"/>
      <c r="T1234" s="162" t="s">
        <v>29</v>
      </c>
      <c r="U1234" s="65" t="s">
        <v>20</v>
      </c>
      <c r="V1234" s="162" t="s">
        <v>208</v>
      </c>
      <c r="W1234" s="165" t="s">
        <v>3753</v>
      </c>
      <c r="X1234" s="225"/>
      <c r="Y1234" s="167" t="s">
        <v>208</v>
      </c>
    </row>
    <row r="1235" spans="1:25">
      <c r="A1235" s="131" t="s">
        <v>62</v>
      </c>
      <c r="B1235" s="109" t="s">
        <v>1385</v>
      </c>
      <c r="C1235" s="245" t="s">
        <v>3754</v>
      </c>
      <c r="D1235" s="162" t="s">
        <v>1801</v>
      </c>
      <c r="E1235" s="65"/>
      <c r="F1235" s="162" t="s">
        <v>1388</v>
      </c>
      <c r="G1235" s="65"/>
      <c r="H1235" s="218"/>
      <c r="I1235" s="65"/>
      <c r="J1235" s="218"/>
      <c r="K1235" s="108"/>
      <c r="L1235" s="275">
        <v>108</v>
      </c>
      <c r="M1235" s="65"/>
      <c r="N1235" s="219"/>
      <c r="O1235" s="65" t="s">
        <v>1285</v>
      </c>
      <c r="P1235" s="162"/>
      <c r="Q1235" s="158"/>
      <c r="R1235" s="157"/>
      <c r="S1235" s="114"/>
      <c r="T1235" s="162" t="s">
        <v>29</v>
      </c>
      <c r="U1235" s="65" t="s">
        <v>1388</v>
      </c>
      <c r="V1235" s="162" t="s">
        <v>208</v>
      </c>
      <c r="W1235" s="165" t="s">
        <v>3755</v>
      </c>
      <c r="X1235" s="225"/>
      <c r="Y1235" s="167" t="s">
        <v>208</v>
      </c>
    </row>
    <row r="1236" spans="1:25" ht="22.5">
      <c r="A1236" s="131" t="s">
        <v>100</v>
      </c>
      <c r="B1236" s="109" t="s">
        <v>1385</v>
      </c>
      <c r="C1236" s="245" t="s">
        <v>3756</v>
      </c>
      <c r="D1236" s="162" t="s">
        <v>2947</v>
      </c>
      <c r="E1236" s="65"/>
      <c r="F1236" s="162" t="s">
        <v>3319</v>
      </c>
      <c r="G1236" s="65"/>
      <c r="H1236" s="218"/>
      <c r="I1236" s="65"/>
      <c r="J1236" s="218"/>
      <c r="K1236" s="108"/>
      <c r="L1236" s="275">
        <v>1000</v>
      </c>
      <c r="M1236" s="65"/>
      <c r="N1236" s="219"/>
      <c r="O1236" s="65" t="s">
        <v>1285</v>
      </c>
      <c r="P1236" s="162"/>
      <c r="Q1236" s="158"/>
      <c r="R1236" s="157" t="s">
        <v>208</v>
      </c>
      <c r="S1236" s="114"/>
      <c r="T1236" s="162" t="s">
        <v>29</v>
      </c>
      <c r="U1236" s="65" t="s">
        <v>14</v>
      </c>
      <c r="V1236" s="162" t="s">
        <v>208</v>
      </c>
      <c r="W1236" s="165" t="s">
        <v>3757</v>
      </c>
      <c r="X1236" s="225"/>
      <c r="Y1236" s="167" t="s">
        <v>208</v>
      </c>
    </row>
    <row r="1237" spans="1:25" ht="22.5">
      <c r="A1237" s="131" t="s">
        <v>100</v>
      </c>
      <c r="B1237" s="109" t="s">
        <v>1385</v>
      </c>
      <c r="C1237" s="245" t="s">
        <v>3758</v>
      </c>
      <c r="D1237" s="162" t="s">
        <v>2947</v>
      </c>
      <c r="E1237" s="65"/>
      <c r="F1237" s="162" t="s">
        <v>3319</v>
      </c>
      <c r="G1237" s="65"/>
      <c r="H1237" s="218"/>
      <c r="I1237" s="65"/>
      <c r="J1237" s="218"/>
      <c r="K1237" s="108"/>
      <c r="L1237" s="275">
        <v>1000</v>
      </c>
      <c r="M1237" s="65"/>
      <c r="N1237" s="219"/>
      <c r="O1237" s="65" t="s">
        <v>1285</v>
      </c>
      <c r="P1237" s="162"/>
      <c r="Q1237" s="158"/>
      <c r="R1237" s="157" t="s">
        <v>208</v>
      </c>
      <c r="S1237" s="114"/>
      <c r="T1237" s="162" t="s">
        <v>29</v>
      </c>
      <c r="U1237" s="65" t="s">
        <v>14</v>
      </c>
      <c r="V1237" s="162" t="s">
        <v>208</v>
      </c>
      <c r="W1237" s="165" t="s">
        <v>3759</v>
      </c>
      <c r="X1237" s="225"/>
      <c r="Y1237" s="167" t="s">
        <v>208</v>
      </c>
    </row>
    <row r="1238" spans="1:25">
      <c r="A1238" s="131" t="s">
        <v>100</v>
      </c>
      <c r="B1238" s="109" t="s">
        <v>1320</v>
      </c>
      <c r="C1238" s="245" t="s">
        <v>3760</v>
      </c>
      <c r="D1238" s="162" t="s">
        <v>3761</v>
      </c>
      <c r="E1238" s="65" t="s">
        <v>1596</v>
      </c>
      <c r="F1238" s="162" t="s">
        <v>2683</v>
      </c>
      <c r="G1238" s="65" t="s">
        <v>3762</v>
      </c>
      <c r="H1238" s="218">
        <v>1</v>
      </c>
      <c r="I1238" s="65"/>
      <c r="J1238" s="218">
        <v>350</v>
      </c>
      <c r="K1238" s="108"/>
      <c r="L1238" s="275">
        <v>350</v>
      </c>
      <c r="M1238" s="65" t="s">
        <v>1819</v>
      </c>
      <c r="N1238" s="219"/>
      <c r="O1238" s="65" t="s">
        <v>55</v>
      </c>
      <c r="P1238" s="162" t="s">
        <v>1403</v>
      </c>
      <c r="Q1238" s="158"/>
      <c r="R1238" s="157" t="s">
        <v>1820</v>
      </c>
      <c r="S1238" s="114"/>
      <c r="T1238" s="162" t="s">
        <v>25</v>
      </c>
      <c r="U1238" s="65" t="s">
        <v>12</v>
      </c>
      <c r="V1238" s="162">
        <v>1247</v>
      </c>
      <c r="W1238" s="165"/>
      <c r="X1238" s="225" t="s">
        <v>1363</v>
      </c>
      <c r="Y1238" s="167">
        <v>44746.539895833332</v>
      </c>
    </row>
    <row r="1239" spans="1:25">
      <c r="A1239" s="131" t="s">
        <v>100</v>
      </c>
      <c r="B1239" s="109" t="s">
        <v>1320</v>
      </c>
      <c r="C1239" s="245" t="s">
        <v>3760</v>
      </c>
      <c r="D1239" s="162" t="s">
        <v>3761</v>
      </c>
      <c r="E1239" s="65" t="s">
        <v>1596</v>
      </c>
      <c r="F1239" s="162" t="s">
        <v>2683</v>
      </c>
      <c r="G1239" s="65" t="s">
        <v>3763</v>
      </c>
      <c r="H1239" s="218">
        <v>1</v>
      </c>
      <c r="I1239" s="65"/>
      <c r="J1239" s="218">
        <v>350</v>
      </c>
      <c r="K1239" s="108"/>
      <c r="L1239" s="275">
        <v>350</v>
      </c>
      <c r="M1239" s="65" t="s">
        <v>1819</v>
      </c>
      <c r="N1239" s="219"/>
      <c r="O1239" s="65" t="s">
        <v>55</v>
      </c>
      <c r="P1239" s="162" t="s">
        <v>1403</v>
      </c>
      <c r="Q1239" s="158"/>
      <c r="R1239" s="157" t="s">
        <v>1820</v>
      </c>
      <c r="S1239" s="114"/>
      <c r="T1239" s="162" t="s">
        <v>25</v>
      </c>
      <c r="U1239" s="65" t="s">
        <v>12</v>
      </c>
      <c r="V1239" s="162">
        <v>1247</v>
      </c>
      <c r="W1239" s="165"/>
      <c r="X1239" s="225" t="s">
        <v>1363</v>
      </c>
      <c r="Y1239" s="167">
        <v>44746.539895833332</v>
      </c>
    </row>
    <row r="1240" spans="1:25">
      <c r="A1240" s="131" t="s">
        <v>100</v>
      </c>
      <c r="B1240" s="109" t="s">
        <v>1320</v>
      </c>
      <c r="C1240" s="245" t="s">
        <v>3760</v>
      </c>
      <c r="D1240" s="162" t="s">
        <v>3761</v>
      </c>
      <c r="E1240" s="65" t="s">
        <v>1596</v>
      </c>
      <c r="F1240" s="162" t="s">
        <v>2683</v>
      </c>
      <c r="G1240" s="65" t="s">
        <v>3764</v>
      </c>
      <c r="H1240" s="218">
        <v>1</v>
      </c>
      <c r="I1240" s="65"/>
      <c r="J1240" s="218">
        <v>375</v>
      </c>
      <c r="K1240" s="108"/>
      <c r="L1240" s="275">
        <v>375</v>
      </c>
      <c r="M1240" s="65" t="s">
        <v>3765</v>
      </c>
      <c r="N1240" s="219"/>
      <c r="O1240" s="65" t="s">
        <v>55</v>
      </c>
      <c r="P1240" s="162" t="s">
        <v>1403</v>
      </c>
      <c r="Q1240" s="158"/>
      <c r="R1240" s="157" t="s">
        <v>1820</v>
      </c>
      <c r="S1240" s="114"/>
      <c r="T1240" s="162" t="s">
        <v>25</v>
      </c>
      <c r="U1240" s="65" t="s">
        <v>12</v>
      </c>
      <c r="V1240" s="162">
        <v>1247</v>
      </c>
      <c r="W1240" s="165"/>
      <c r="X1240" s="225" t="s">
        <v>1363</v>
      </c>
      <c r="Y1240" s="167">
        <v>44746.539895833332</v>
      </c>
    </row>
    <row r="1241" spans="1:25">
      <c r="A1241" s="131" t="s">
        <v>100</v>
      </c>
      <c r="B1241" s="109" t="s">
        <v>1320</v>
      </c>
      <c r="C1241" s="245" t="s">
        <v>3760</v>
      </c>
      <c r="D1241" s="162" t="s">
        <v>3761</v>
      </c>
      <c r="E1241" s="65" t="s">
        <v>1596</v>
      </c>
      <c r="F1241" s="162" t="s">
        <v>2683</v>
      </c>
      <c r="G1241" s="65" t="s">
        <v>3766</v>
      </c>
      <c r="H1241" s="218">
        <v>1</v>
      </c>
      <c r="I1241" s="65"/>
      <c r="J1241" s="218">
        <v>375</v>
      </c>
      <c r="K1241" s="108"/>
      <c r="L1241" s="275">
        <v>375</v>
      </c>
      <c r="M1241" s="65" t="s">
        <v>3765</v>
      </c>
      <c r="N1241" s="219"/>
      <c r="O1241" s="65" t="s">
        <v>55</v>
      </c>
      <c r="P1241" s="162" t="s">
        <v>1403</v>
      </c>
      <c r="Q1241" s="158"/>
      <c r="R1241" s="157" t="s">
        <v>1820</v>
      </c>
      <c r="S1241" s="114"/>
      <c r="T1241" s="162" t="s">
        <v>25</v>
      </c>
      <c r="U1241" s="65" t="s">
        <v>12</v>
      </c>
      <c r="V1241" s="162">
        <v>1247</v>
      </c>
      <c r="W1241" s="165"/>
      <c r="X1241" s="225" t="s">
        <v>1363</v>
      </c>
      <c r="Y1241" s="167">
        <v>44746.539895833332</v>
      </c>
    </row>
    <row r="1242" spans="1:25">
      <c r="A1242" s="131" t="s">
        <v>100</v>
      </c>
      <c r="B1242" s="109" t="s">
        <v>1320</v>
      </c>
      <c r="C1242" s="245" t="s">
        <v>3767</v>
      </c>
      <c r="D1242" s="162" t="s">
        <v>3768</v>
      </c>
      <c r="E1242" s="65" t="s">
        <v>1419</v>
      </c>
      <c r="F1242" s="162" t="s">
        <v>17</v>
      </c>
      <c r="G1242" s="65" t="s">
        <v>3769</v>
      </c>
      <c r="H1242" s="218">
        <v>14</v>
      </c>
      <c r="I1242" s="65"/>
      <c r="J1242" s="218">
        <v>2.0499999999999998</v>
      </c>
      <c r="K1242" s="108"/>
      <c r="L1242" s="275">
        <v>28.699999999999996</v>
      </c>
      <c r="M1242" s="65" t="s">
        <v>3770</v>
      </c>
      <c r="N1242" s="219"/>
      <c r="O1242" s="65" t="s">
        <v>55</v>
      </c>
      <c r="P1242" s="162" t="s">
        <v>1362</v>
      </c>
      <c r="Q1242" s="158"/>
      <c r="R1242" s="157"/>
      <c r="S1242" s="114"/>
      <c r="T1242" s="162" t="s">
        <v>25</v>
      </c>
      <c r="U1242" s="65" t="s">
        <v>17</v>
      </c>
      <c r="V1242" s="162">
        <v>1567</v>
      </c>
      <c r="W1242" s="165"/>
      <c r="X1242" s="225" t="s">
        <v>1363</v>
      </c>
      <c r="Y1242" s="167">
        <v>44671.475821759261</v>
      </c>
    </row>
    <row r="1243" spans="1:25" ht="22.5">
      <c r="A1243" s="131" t="s">
        <v>80</v>
      </c>
      <c r="B1243" s="109" t="s">
        <v>1320</v>
      </c>
      <c r="C1243" s="245" t="s">
        <v>3771</v>
      </c>
      <c r="D1243" s="162" t="s">
        <v>1393</v>
      </c>
      <c r="E1243" s="65" t="s">
        <v>1398</v>
      </c>
      <c r="F1243" s="162" t="s">
        <v>1388</v>
      </c>
      <c r="G1243" s="65" t="s">
        <v>208</v>
      </c>
      <c r="H1243" s="218">
        <v>1</v>
      </c>
      <c r="I1243" s="65"/>
      <c r="J1243" s="218">
        <v>1.1399999999999999</v>
      </c>
      <c r="K1243" s="108"/>
      <c r="L1243" s="275">
        <v>1.1399999999999999</v>
      </c>
      <c r="M1243" s="65" t="s">
        <v>3772</v>
      </c>
      <c r="N1243" s="219"/>
      <c r="O1243" s="65" t="s">
        <v>55</v>
      </c>
      <c r="P1243" s="162" t="s">
        <v>1362</v>
      </c>
      <c r="Q1243" s="158"/>
      <c r="R1243" s="157"/>
      <c r="S1243" s="114"/>
      <c r="T1243" s="162" t="s">
        <v>25</v>
      </c>
      <c r="U1243" s="65" t="s">
        <v>1388</v>
      </c>
      <c r="V1243" s="162">
        <v>42</v>
      </c>
      <c r="W1243" s="165"/>
      <c r="X1243" s="225" t="s">
        <v>208</v>
      </c>
      <c r="Y1243" s="167">
        <v>43312</v>
      </c>
    </row>
    <row r="1244" spans="1:25" ht="22.5">
      <c r="A1244" s="131" t="s">
        <v>80</v>
      </c>
      <c r="B1244" s="109" t="s">
        <v>1320</v>
      </c>
      <c r="C1244" s="245" t="s">
        <v>3773</v>
      </c>
      <c r="D1244" s="162" t="s">
        <v>1393</v>
      </c>
      <c r="E1244" s="65" t="s">
        <v>1398</v>
      </c>
      <c r="F1244" s="162" t="s">
        <v>1388</v>
      </c>
      <c r="G1244" s="65" t="s">
        <v>208</v>
      </c>
      <c r="H1244" s="218">
        <v>1</v>
      </c>
      <c r="I1244" s="65"/>
      <c r="J1244" s="218">
        <v>0.2</v>
      </c>
      <c r="K1244" s="108"/>
      <c r="L1244" s="275">
        <v>0.2</v>
      </c>
      <c r="M1244" s="65" t="s">
        <v>2101</v>
      </c>
      <c r="N1244" s="219"/>
      <c r="O1244" s="65" t="s">
        <v>55</v>
      </c>
      <c r="P1244" s="162" t="s">
        <v>1362</v>
      </c>
      <c r="Q1244" s="158"/>
      <c r="R1244" s="157"/>
      <c r="S1244" s="114"/>
      <c r="T1244" s="162" t="s">
        <v>25</v>
      </c>
      <c r="U1244" s="65" t="s">
        <v>1388</v>
      </c>
      <c r="V1244" s="162">
        <v>43</v>
      </c>
      <c r="W1244" s="165"/>
      <c r="X1244" s="225" t="s">
        <v>208</v>
      </c>
      <c r="Y1244" s="167">
        <v>43312</v>
      </c>
    </row>
    <row r="1245" spans="1:25">
      <c r="A1245" s="131" t="s">
        <v>100</v>
      </c>
      <c r="B1245" s="109" t="s">
        <v>1320</v>
      </c>
      <c r="C1245" s="245" t="s">
        <v>3774</v>
      </c>
      <c r="D1245" s="162" t="s">
        <v>3383</v>
      </c>
      <c r="E1245" s="65" t="s">
        <v>1419</v>
      </c>
      <c r="F1245" s="162" t="s">
        <v>17</v>
      </c>
      <c r="G1245" s="65" t="s">
        <v>3775</v>
      </c>
      <c r="H1245" s="218">
        <v>20</v>
      </c>
      <c r="I1245" s="65"/>
      <c r="J1245" s="218">
        <v>1.5</v>
      </c>
      <c r="K1245" s="108"/>
      <c r="L1245" s="275">
        <v>30</v>
      </c>
      <c r="M1245" s="65" t="s">
        <v>1435</v>
      </c>
      <c r="N1245" s="219"/>
      <c r="O1245" s="65" t="s">
        <v>55</v>
      </c>
      <c r="P1245" s="162" t="s">
        <v>1362</v>
      </c>
      <c r="Q1245" s="158"/>
      <c r="R1245" s="157"/>
      <c r="S1245" s="114"/>
      <c r="T1245" s="162" t="s">
        <v>25</v>
      </c>
      <c r="U1245" s="65" t="s">
        <v>17</v>
      </c>
      <c r="V1245" s="162">
        <v>1164</v>
      </c>
      <c r="W1245" s="165"/>
      <c r="X1245" s="225" t="s">
        <v>1363</v>
      </c>
      <c r="Y1245" s="167">
        <v>44670.557488425926</v>
      </c>
    </row>
    <row r="1246" spans="1:25">
      <c r="A1246" s="131" t="s">
        <v>46</v>
      </c>
      <c r="B1246" s="109" t="s">
        <v>1385</v>
      </c>
      <c r="C1246" s="245" t="s">
        <v>227</v>
      </c>
      <c r="D1246" s="162" t="s">
        <v>3776</v>
      </c>
      <c r="E1246" s="65" t="s">
        <v>1429</v>
      </c>
      <c r="F1246" s="162" t="s">
        <v>1388</v>
      </c>
      <c r="G1246" s="65" t="s">
        <v>208</v>
      </c>
      <c r="H1246" s="218">
        <v>1</v>
      </c>
      <c r="I1246" s="65"/>
      <c r="J1246" s="218">
        <v>60</v>
      </c>
      <c r="K1246" s="108"/>
      <c r="L1246" s="275">
        <v>60</v>
      </c>
      <c r="M1246" s="65" t="s">
        <v>1651</v>
      </c>
      <c r="N1246" s="219"/>
      <c r="O1246" s="65" t="s">
        <v>28</v>
      </c>
      <c r="P1246" s="162" t="s">
        <v>1407</v>
      </c>
      <c r="Q1246" s="158"/>
      <c r="R1246" s="157"/>
      <c r="S1246" s="114"/>
      <c r="T1246" s="162" t="s">
        <v>28</v>
      </c>
      <c r="U1246" s="65" t="s">
        <v>1388</v>
      </c>
      <c r="V1246" s="162">
        <v>1928</v>
      </c>
      <c r="W1246" s="165"/>
      <c r="X1246" s="225" t="s">
        <v>1453</v>
      </c>
      <c r="Y1246" s="167">
        <v>44743.445081018515</v>
      </c>
    </row>
    <row r="1247" spans="1:25">
      <c r="A1247" s="131" t="s">
        <v>46</v>
      </c>
      <c r="B1247" s="109" t="s">
        <v>1385</v>
      </c>
      <c r="C1247" s="245" t="s">
        <v>3777</v>
      </c>
      <c r="D1247" s="162" t="s">
        <v>3223</v>
      </c>
      <c r="E1247" s="65" t="s">
        <v>1429</v>
      </c>
      <c r="F1247" s="162" t="s">
        <v>1388</v>
      </c>
      <c r="G1247" s="65" t="s">
        <v>208</v>
      </c>
      <c r="H1247" s="218">
        <v>161</v>
      </c>
      <c r="I1247" s="65"/>
      <c r="J1247" s="218">
        <v>3.63</v>
      </c>
      <c r="K1247" s="108"/>
      <c r="L1247" s="275">
        <v>584.42999999999995</v>
      </c>
      <c r="M1247" s="65" t="s">
        <v>3778</v>
      </c>
      <c r="N1247" s="219">
        <v>0</v>
      </c>
      <c r="O1247" s="65" t="s">
        <v>1285</v>
      </c>
      <c r="P1247" s="162" t="s">
        <v>1407</v>
      </c>
      <c r="Q1247" s="158"/>
      <c r="R1247" s="157"/>
      <c r="S1247" s="114"/>
      <c r="T1247" s="162" t="s">
        <v>29</v>
      </c>
      <c r="U1247" s="65" t="s">
        <v>1388</v>
      </c>
      <c r="V1247" s="162">
        <v>1484</v>
      </c>
      <c r="W1247" s="165"/>
      <c r="X1247" s="225" t="s">
        <v>1453</v>
      </c>
      <c r="Y1247" s="167">
        <v>44741.489803240744</v>
      </c>
    </row>
    <row r="1248" spans="1:25">
      <c r="A1248" s="131" t="s">
        <v>62</v>
      </c>
      <c r="B1248" s="109" t="s">
        <v>1320</v>
      </c>
      <c r="C1248" s="245" t="s">
        <v>254</v>
      </c>
      <c r="D1248" s="162" t="s">
        <v>255</v>
      </c>
      <c r="E1248" s="65" t="s">
        <v>1429</v>
      </c>
      <c r="F1248" s="162" t="s">
        <v>1388</v>
      </c>
      <c r="G1248" s="65" t="s">
        <v>256</v>
      </c>
      <c r="H1248" s="218">
        <v>44</v>
      </c>
      <c r="I1248" s="65"/>
      <c r="J1248" s="218">
        <v>2.34</v>
      </c>
      <c r="K1248" s="108"/>
      <c r="L1248" s="275">
        <v>102.96</v>
      </c>
      <c r="M1248" s="65" t="s">
        <v>3779</v>
      </c>
      <c r="N1248" s="219">
        <v>0</v>
      </c>
      <c r="O1248" s="65" t="s">
        <v>55</v>
      </c>
      <c r="P1248" s="162" t="s">
        <v>1407</v>
      </c>
      <c r="Q1248" s="158"/>
      <c r="R1248" s="157" t="s">
        <v>1558</v>
      </c>
      <c r="S1248" s="114"/>
      <c r="T1248" s="162" t="s">
        <v>25</v>
      </c>
      <c r="U1248" s="65" t="s">
        <v>1388</v>
      </c>
      <c r="V1248" s="162">
        <v>1599</v>
      </c>
      <c r="W1248" s="165"/>
      <c r="X1248" s="225" t="s">
        <v>1404</v>
      </c>
      <c r="Y1248" s="167">
        <v>44732.475949074076</v>
      </c>
    </row>
    <row r="1249" spans="1:25">
      <c r="A1249" s="131" t="s">
        <v>100</v>
      </c>
      <c r="B1249" s="109" t="s">
        <v>1320</v>
      </c>
      <c r="C1249" s="245" t="s">
        <v>3780</v>
      </c>
      <c r="D1249" s="162" t="s">
        <v>49</v>
      </c>
      <c r="E1249" s="65" t="s">
        <v>1539</v>
      </c>
      <c r="F1249" s="162" t="s">
        <v>18</v>
      </c>
      <c r="G1249" s="65" t="s">
        <v>3781</v>
      </c>
      <c r="H1249" s="218">
        <v>2</v>
      </c>
      <c r="I1249" s="65"/>
      <c r="J1249" s="218">
        <v>4.75</v>
      </c>
      <c r="K1249" s="108"/>
      <c r="L1249" s="275">
        <v>9.5</v>
      </c>
      <c r="M1249" s="65" t="s">
        <v>3782</v>
      </c>
      <c r="N1249" s="219"/>
      <c r="O1249" s="65" t="s">
        <v>55</v>
      </c>
      <c r="P1249" s="162" t="s">
        <v>1362</v>
      </c>
      <c r="Q1249" s="158"/>
      <c r="R1249" s="157"/>
      <c r="S1249" s="114"/>
      <c r="T1249" s="162" t="s">
        <v>25</v>
      </c>
      <c r="U1249" s="65" t="s">
        <v>18</v>
      </c>
      <c r="V1249" s="162">
        <v>1256</v>
      </c>
      <c r="W1249" s="165"/>
      <c r="X1249" s="225" t="s">
        <v>1363</v>
      </c>
      <c r="Y1249" s="167">
        <v>44671.626747685186</v>
      </c>
    </row>
    <row r="1250" spans="1:25">
      <c r="A1250" s="131" t="s">
        <v>62</v>
      </c>
      <c r="B1250" s="109" t="s">
        <v>1320</v>
      </c>
      <c r="C1250" s="245" t="s">
        <v>3783</v>
      </c>
      <c r="D1250" s="162" t="s">
        <v>3784</v>
      </c>
      <c r="E1250" s="65" t="s">
        <v>1980</v>
      </c>
      <c r="F1250" s="162" t="s">
        <v>1360</v>
      </c>
      <c r="G1250" s="65" t="s">
        <v>3785</v>
      </c>
      <c r="H1250" s="218">
        <v>1</v>
      </c>
      <c r="I1250" s="65"/>
      <c r="J1250" s="218">
        <v>180</v>
      </c>
      <c r="K1250" s="108"/>
      <c r="L1250" s="275">
        <v>180</v>
      </c>
      <c r="M1250" s="65" t="s">
        <v>2141</v>
      </c>
      <c r="N1250" s="219"/>
      <c r="O1250" s="65" t="s">
        <v>55</v>
      </c>
      <c r="P1250" s="162" t="s">
        <v>1362</v>
      </c>
      <c r="Q1250" s="158"/>
      <c r="R1250" s="157"/>
      <c r="S1250" s="114"/>
      <c r="T1250" s="162" t="s">
        <v>25</v>
      </c>
      <c r="U1250" s="65" t="s">
        <v>13</v>
      </c>
      <c r="V1250" s="162">
        <v>1257</v>
      </c>
      <c r="W1250" s="165"/>
      <c r="X1250" s="225" t="s">
        <v>1400</v>
      </c>
      <c r="Y1250" s="167">
        <v>43769.416655092595</v>
      </c>
    </row>
    <row r="1251" spans="1:25">
      <c r="A1251" s="131" t="s">
        <v>46</v>
      </c>
      <c r="B1251" s="109" t="s">
        <v>1385</v>
      </c>
      <c r="C1251" s="245" t="s">
        <v>3786</v>
      </c>
      <c r="D1251" s="162" t="s">
        <v>3787</v>
      </c>
      <c r="E1251" s="65"/>
      <c r="F1251" s="162" t="s">
        <v>1388</v>
      </c>
      <c r="G1251" s="65"/>
      <c r="H1251" s="218"/>
      <c r="I1251" s="65"/>
      <c r="J1251" s="218"/>
      <c r="K1251" s="108"/>
      <c r="L1251" s="275">
        <v>80</v>
      </c>
      <c r="M1251" s="65"/>
      <c r="N1251" s="219"/>
      <c r="O1251" s="65" t="s">
        <v>1285</v>
      </c>
      <c r="P1251" s="162"/>
      <c r="Q1251" s="158"/>
      <c r="R1251" s="157" t="s">
        <v>208</v>
      </c>
      <c r="S1251" s="114"/>
      <c r="T1251" s="162" t="s">
        <v>29</v>
      </c>
      <c r="U1251" s="65" t="s">
        <v>1388</v>
      </c>
      <c r="V1251" s="162" t="s">
        <v>208</v>
      </c>
      <c r="W1251" s="165" t="s">
        <v>3788</v>
      </c>
      <c r="X1251" s="225"/>
      <c r="Y1251" s="167" t="s">
        <v>208</v>
      </c>
    </row>
    <row r="1252" spans="1:25">
      <c r="A1252" s="131" t="s">
        <v>100</v>
      </c>
      <c r="B1252" s="109" t="s">
        <v>1320</v>
      </c>
      <c r="C1252" s="245" t="s">
        <v>205</v>
      </c>
      <c r="D1252" s="162" t="s">
        <v>206</v>
      </c>
      <c r="E1252" s="65" t="s">
        <v>1429</v>
      </c>
      <c r="F1252" s="162" t="s">
        <v>1388</v>
      </c>
      <c r="G1252" s="65" t="s">
        <v>207</v>
      </c>
      <c r="H1252" s="218">
        <v>16</v>
      </c>
      <c r="I1252" s="65"/>
      <c r="J1252" s="218">
        <v>2.75</v>
      </c>
      <c r="K1252" s="108"/>
      <c r="L1252" s="275">
        <v>44</v>
      </c>
      <c r="M1252" s="65" t="s">
        <v>3244</v>
      </c>
      <c r="N1252" s="219"/>
      <c r="O1252" s="65" t="s">
        <v>55</v>
      </c>
      <c r="P1252" s="162" t="s">
        <v>1407</v>
      </c>
      <c r="Q1252" s="158"/>
      <c r="R1252" s="157" t="s">
        <v>1532</v>
      </c>
      <c r="S1252" s="114"/>
      <c r="T1252" s="162" t="s">
        <v>25</v>
      </c>
      <c r="U1252" s="65" t="s">
        <v>1388</v>
      </c>
      <c r="V1252" s="162">
        <v>1423</v>
      </c>
      <c r="W1252" s="165"/>
      <c r="X1252" s="225" t="s">
        <v>1404</v>
      </c>
      <c r="Y1252" s="167">
        <v>44706.472511574073</v>
      </c>
    </row>
    <row r="1253" spans="1:25">
      <c r="A1253" s="131" t="s">
        <v>100</v>
      </c>
      <c r="B1253" s="109" t="s">
        <v>1320</v>
      </c>
      <c r="C1253" s="245" t="s">
        <v>205</v>
      </c>
      <c r="D1253" s="162" t="s">
        <v>206</v>
      </c>
      <c r="E1253" s="65" t="s">
        <v>1429</v>
      </c>
      <c r="F1253" s="162" t="s">
        <v>1388</v>
      </c>
      <c r="G1253" s="65" t="s">
        <v>207</v>
      </c>
      <c r="H1253" s="218">
        <v>20</v>
      </c>
      <c r="I1253" s="65"/>
      <c r="J1253" s="218">
        <v>2.5</v>
      </c>
      <c r="K1253" s="108"/>
      <c r="L1253" s="275">
        <v>50</v>
      </c>
      <c r="M1253" s="65" t="s">
        <v>1489</v>
      </c>
      <c r="N1253" s="219"/>
      <c r="O1253" s="65" t="s">
        <v>55</v>
      </c>
      <c r="P1253" s="162" t="s">
        <v>1407</v>
      </c>
      <c r="Q1253" s="158"/>
      <c r="R1253" s="157" t="s">
        <v>1532</v>
      </c>
      <c r="S1253" s="114"/>
      <c r="T1253" s="162" t="s">
        <v>25</v>
      </c>
      <c r="U1253" s="65" t="s">
        <v>1388</v>
      </c>
      <c r="V1253" s="162">
        <v>1423</v>
      </c>
      <c r="W1253" s="165"/>
      <c r="X1253" s="225" t="s">
        <v>1404</v>
      </c>
      <c r="Y1253" s="167">
        <v>44706.472511574073</v>
      </c>
    </row>
    <row r="1254" spans="1:25">
      <c r="A1254" s="131" t="s">
        <v>100</v>
      </c>
      <c r="B1254" s="109" t="s">
        <v>1320</v>
      </c>
      <c r="C1254" s="245" t="s">
        <v>3789</v>
      </c>
      <c r="D1254" s="162" t="s">
        <v>3443</v>
      </c>
      <c r="E1254" s="65" t="s">
        <v>1419</v>
      </c>
      <c r="F1254" s="162" t="s">
        <v>17</v>
      </c>
      <c r="G1254" s="65" t="s">
        <v>3790</v>
      </c>
      <c r="H1254" s="218">
        <v>2</v>
      </c>
      <c r="I1254" s="65"/>
      <c r="J1254" s="218">
        <v>3.6</v>
      </c>
      <c r="K1254" s="108"/>
      <c r="L1254" s="275">
        <v>7.2</v>
      </c>
      <c r="M1254" s="65" t="s">
        <v>2117</v>
      </c>
      <c r="N1254" s="219">
        <v>0</v>
      </c>
      <c r="O1254" s="65" t="s">
        <v>55</v>
      </c>
      <c r="P1254" s="162" t="s">
        <v>1362</v>
      </c>
      <c r="Q1254" s="158"/>
      <c r="R1254" s="157"/>
      <c r="S1254" s="114"/>
      <c r="T1254" s="162" t="s">
        <v>25</v>
      </c>
      <c r="U1254" s="65" t="s">
        <v>17</v>
      </c>
      <c r="V1254" s="162">
        <v>1495</v>
      </c>
      <c r="W1254" s="165"/>
      <c r="X1254" s="225" t="s">
        <v>1400</v>
      </c>
      <c r="Y1254" s="167">
        <v>44679.720451388886</v>
      </c>
    </row>
    <row r="1255" spans="1:25">
      <c r="A1255" s="131" t="s">
        <v>100</v>
      </c>
      <c r="B1255" s="109" t="s">
        <v>1320</v>
      </c>
      <c r="C1255" s="245" t="s">
        <v>485</v>
      </c>
      <c r="D1255" s="162" t="s">
        <v>362</v>
      </c>
      <c r="E1255" s="65" t="s">
        <v>1419</v>
      </c>
      <c r="F1255" s="162" t="s">
        <v>17</v>
      </c>
      <c r="G1255" s="65" t="s">
        <v>486</v>
      </c>
      <c r="H1255" s="218">
        <v>38</v>
      </c>
      <c r="I1255" s="65"/>
      <c r="J1255" s="218">
        <v>3.8</v>
      </c>
      <c r="K1255" s="108"/>
      <c r="L1255" s="275">
        <v>144.4</v>
      </c>
      <c r="M1255" s="65" t="s">
        <v>3791</v>
      </c>
      <c r="N1255" s="219">
        <v>0</v>
      </c>
      <c r="O1255" s="65" t="s">
        <v>131</v>
      </c>
      <c r="P1255" s="162" t="s">
        <v>1407</v>
      </c>
      <c r="Q1255" s="158" t="s">
        <v>1453</v>
      </c>
      <c r="R1255" s="157" t="s">
        <v>1547</v>
      </c>
      <c r="S1255" s="114"/>
      <c r="T1255" s="162" t="s">
        <v>25</v>
      </c>
      <c r="U1255" s="65" t="s">
        <v>17</v>
      </c>
      <c r="V1255" s="162">
        <v>1114</v>
      </c>
      <c r="W1255" s="165"/>
      <c r="X1255" s="225" t="s">
        <v>1404</v>
      </c>
      <c r="Y1255" s="167">
        <v>44693.455046296294</v>
      </c>
    </row>
    <row r="1256" spans="1:25">
      <c r="A1256" s="131" t="s">
        <v>80</v>
      </c>
      <c r="B1256" s="109" t="s">
        <v>1320</v>
      </c>
      <c r="C1256" s="245" t="s">
        <v>3792</v>
      </c>
      <c r="D1256" s="162" t="s">
        <v>3793</v>
      </c>
      <c r="E1256" s="65" t="s">
        <v>1398</v>
      </c>
      <c r="F1256" s="162" t="s">
        <v>1388</v>
      </c>
      <c r="G1256" s="65" t="s">
        <v>208</v>
      </c>
      <c r="H1256" s="218">
        <v>20</v>
      </c>
      <c r="I1256" s="65"/>
      <c r="J1256" s="218">
        <v>0.05</v>
      </c>
      <c r="K1256" s="108"/>
      <c r="L1256" s="275">
        <v>1</v>
      </c>
      <c r="M1256" s="65" t="s">
        <v>1366</v>
      </c>
      <c r="N1256" s="219"/>
      <c r="O1256" s="65" t="s">
        <v>55</v>
      </c>
      <c r="P1256" s="162" t="s">
        <v>1362</v>
      </c>
      <c r="Q1256" s="158"/>
      <c r="R1256" s="157"/>
      <c r="S1256" s="114"/>
      <c r="T1256" s="162" t="s">
        <v>25</v>
      </c>
      <c r="U1256" s="65" t="s">
        <v>1388</v>
      </c>
      <c r="V1256" s="162">
        <v>1548</v>
      </c>
      <c r="W1256" s="165"/>
      <c r="X1256" s="225" t="s">
        <v>1400</v>
      </c>
      <c r="Y1256" s="167">
        <v>43769.416655092595</v>
      </c>
    </row>
    <row r="1257" spans="1:25">
      <c r="A1257" s="131" t="s">
        <v>80</v>
      </c>
      <c r="B1257" s="109" t="s">
        <v>1385</v>
      </c>
      <c r="C1257" s="245" t="s">
        <v>3794</v>
      </c>
      <c r="D1257" s="162" t="s">
        <v>3795</v>
      </c>
      <c r="E1257" s="65" t="s">
        <v>1419</v>
      </c>
      <c r="F1257" s="162" t="s">
        <v>17</v>
      </c>
      <c r="G1257" s="65" t="s">
        <v>208</v>
      </c>
      <c r="H1257" s="218">
        <v>187</v>
      </c>
      <c r="I1257" s="65"/>
      <c r="J1257" s="218">
        <v>3.4</v>
      </c>
      <c r="K1257" s="108"/>
      <c r="L1257" s="275">
        <v>635.79999999999995</v>
      </c>
      <c r="M1257" s="65" t="s">
        <v>3796</v>
      </c>
      <c r="N1257" s="219"/>
      <c r="O1257" s="65" t="s">
        <v>1285</v>
      </c>
      <c r="P1257" s="162" t="s">
        <v>1407</v>
      </c>
      <c r="Q1257" s="158" t="s">
        <v>1975</v>
      </c>
      <c r="R1257" s="157"/>
      <c r="S1257" s="114"/>
      <c r="T1257" s="162" t="s">
        <v>29</v>
      </c>
      <c r="U1257" s="65" t="s">
        <v>17</v>
      </c>
      <c r="V1257" s="162">
        <v>1615</v>
      </c>
      <c r="W1257" s="165"/>
      <c r="X1257" s="225" t="s">
        <v>1400</v>
      </c>
      <c r="Y1257" s="167">
        <v>43769.416655092595</v>
      </c>
    </row>
    <row r="1258" spans="1:25">
      <c r="A1258" s="131" t="s">
        <v>62</v>
      </c>
      <c r="B1258" s="109" t="s">
        <v>1385</v>
      </c>
      <c r="C1258" s="245" t="s">
        <v>3797</v>
      </c>
      <c r="D1258" s="162" t="s">
        <v>69</v>
      </c>
      <c r="E1258" s="65" t="s">
        <v>1398</v>
      </c>
      <c r="F1258" s="162" t="s">
        <v>1388</v>
      </c>
      <c r="G1258" s="65" t="s">
        <v>208</v>
      </c>
      <c r="H1258" s="218">
        <v>1</v>
      </c>
      <c r="I1258" s="65"/>
      <c r="J1258" s="218">
        <v>150</v>
      </c>
      <c r="K1258" s="108"/>
      <c r="L1258" s="275">
        <v>150</v>
      </c>
      <c r="M1258" s="65" t="s">
        <v>1480</v>
      </c>
      <c r="N1258" s="219"/>
      <c r="O1258" s="65" t="s">
        <v>1285</v>
      </c>
      <c r="P1258" s="162" t="s">
        <v>1407</v>
      </c>
      <c r="Q1258" s="158"/>
      <c r="R1258" s="157"/>
      <c r="S1258" s="114"/>
      <c r="T1258" s="162" t="s">
        <v>29</v>
      </c>
      <c r="U1258" s="65" t="s">
        <v>1388</v>
      </c>
      <c r="V1258" s="162">
        <v>1577</v>
      </c>
      <c r="W1258" s="165"/>
      <c r="X1258" s="225" t="s">
        <v>1363</v>
      </c>
      <c r="Y1258" s="167">
        <v>44671.478541666664</v>
      </c>
    </row>
    <row r="1259" spans="1:25">
      <c r="A1259" s="131" t="s">
        <v>100</v>
      </c>
      <c r="B1259" s="109" t="s">
        <v>1320</v>
      </c>
      <c r="C1259" s="245" t="s">
        <v>3798</v>
      </c>
      <c r="D1259" s="162" t="s">
        <v>1393</v>
      </c>
      <c r="E1259" s="65" t="s">
        <v>1398</v>
      </c>
      <c r="F1259" s="162" t="s">
        <v>1388</v>
      </c>
      <c r="G1259" s="65" t="s">
        <v>208</v>
      </c>
      <c r="H1259" s="218">
        <v>1</v>
      </c>
      <c r="I1259" s="65"/>
      <c r="J1259" s="218">
        <v>0.113</v>
      </c>
      <c r="K1259" s="108"/>
      <c r="L1259" s="275">
        <v>0.1134</v>
      </c>
      <c r="M1259" s="65" t="s">
        <v>3799</v>
      </c>
      <c r="N1259" s="219"/>
      <c r="O1259" s="65" t="s">
        <v>55</v>
      </c>
      <c r="P1259" s="162" t="s">
        <v>1362</v>
      </c>
      <c r="Q1259" s="158"/>
      <c r="R1259" s="157"/>
      <c r="S1259" s="114"/>
      <c r="T1259" s="162" t="s">
        <v>25</v>
      </c>
      <c r="U1259" s="65" t="s">
        <v>1388</v>
      </c>
      <c r="V1259" s="162">
        <v>71</v>
      </c>
      <c r="W1259" s="165"/>
      <c r="X1259" s="225" t="s">
        <v>208</v>
      </c>
      <c r="Y1259" s="167">
        <v>43312</v>
      </c>
    </row>
    <row r="1260" spans="1:25">
      <c r="A1260" s="4" t="s">
        <v>3800</v>
      </c>
      <c r="B1260" s="4"/>
      <c r="C1260" s="4"/>
      <c r="D1260" s="4"/>
      <c r="E1260" s="4"/>
      <c r="F1260" s="4"/>
      <c r="G1260" s="4"/>
      <c r="H1260" s="4"/>
      <c r="I1260" s="4"/>
      <c r="J1260" s="4"/>
      <c r="K1260" s="4"/>
      <c r="L1260" s="4"/>
      <c r="M1260" s="284"/>
      <c r="N1260" s="4"/>
      <c r="O1260" s="4"/>
      <c r="P1260" s="4"/>
      <c r="Q1260" s="4"/>
      <c r="R1260" s="4"/>
      <c r="S1260" s="4"/>
      <c r="T1260" s="5"/>
      <c r="U1260" s="4"/>
      <c r="W1260" s="4"/>
      <c r="X1260" s="221"/>
      <c r="Y1260" s="4"/>
    </row>
    <row r="1261" spans="1:25">
      <c r="A1261" s="6" t="s">
        <v>3801</v>
      </c>
      <c r="B1261" s="4"/>
      <c r="C1261" s="4"/>
      <c r="D1261" s="4"/>
      <c r="E1261" s="4"/>
      <c r="F1261" s="4"/>
      <c r="G1261" s="4"/>
      <c r="H1261" s="4"/>
      <c r="I1261" s="4"/>
      <c r="J1261" s="4"/>
      <c r="K1261" s="4"/>
      <c r="L1261" s="4"/>
      <c r="M1261" s="284"/>
      <c r="N1261" s="4"/>
      <c r="O1261" s="4"/>
      <c r="P1261" s="4"/>
      <c r="Q1261" s="4"/>
      <c r="R1261" s="4"/>
      <c r="S1261" s="4"/>
      <c r="T1261" s="5"/>
      <c r="U1261" s="4"/>
      <c r="W1261" s="4"/>
      <c r="X1261" s="221"/>
      <c r="Y1261" s="4"/>
    </row>
    <row r="1262" spans="1:25">
      <c r="A1262" s="4" t="s">
        <v>3802</v>
      </c>
      <c r="B1262" s="4"/>
      <c r="C1262" s="4"/>
      <c r="D1262" s="4"/>
      <c r="E1262" s="4"/>
      <c r="F1262" s="4"/>
      <c r="G1262" s="4"/>
      <c r="H1262" s="4"/>
      <c r="I1262" s="4"/>
      <c r="J1262" s="4"/>
      <c r="K1262" s="4"/>
      <c r="L1262" s="4"/>
      <c r="M1262" s="284"/>
      <c r="N1262" s="4"/>
      <c r="O1262" s="4"/>
      <c r="P1262" s="4"/>
      <c r="Q1262" s="4"/>
      <c r="R1262" s="4"/>
      <c r="S1262" s="4"/>
      <c r="T1262" s="5"/>
      <c r="U1262" s="4"/>
      <c r="W1262" s="4"/>
      <c r="X1262" s="221"/>
      <c r="Y1262" s="4"/>
    </row>
    <row r="1263" spans="1:25">
      <c r="A1263" s="4" t="s">
        <v>3803</v>
      </c>
      <c r="B1263" s="4"/>
      <c r="C1263" s="4"/>
      <c r="D1263" s="4"/>
      <c r="E1263" s="4"/>
      <c r="F1263" s="4"/>
      <c r="G1263" s="4"/>
      <c r="H1263" s="4"/>
      <c r="I1263" s="4"/>
      <c r="J1263" s="4"/>
      <c r="K1263" s="4"/>
      <c r="L1263" s="4"/>
      <c r="M1263" s="284"/>
      <c r="N1263" s="4"/>
      <c r="O1263" s="4"/>
      <c r="P1263" s="4"/>
      <c r="Q1263" s="4"/>
      <c r="R1263" s="4"/>
      <c r="S1263" s="4"/>
      <c r="T1263" s="5"/>
      <c r="U1263" s="4"/>
      <c r="W1263" s="4"/>
      <c r="X1263" s="221"/>
      <c r="Y1263" s="4"/>
    </row>
    <row r="1264" spans="1:25">
      <c r="A1264" s="6" t="s">
        <v>3804</v>
      </c>
      <c r="B1264" s="4"/>
      <c r="C1264" s="4"/>
      <c r="D1264" s="4"/>
      <c r="E1264" s="4"/>
      <c r="F1264" s="4"/>
      <c r="G1264" s="4"/>
      <c r="H1264" s="4"/>
      <c r="I1264" s="4"/>
      <c r="J1264" s="4"/>
      <c r="K1264" s="4"/>
      <c r="L1264" s="4"/>
      <c r="M1264" s="284"/>
      <c r="N1264" s="4"/>
      <c r="O1264" s="4"/>
      <c r="P1264" s="4"/>
      <c r="Q1264" s="4"/>
      <c r="R1264" s="4"/>
      <c r="S1264" s="4"/>
      <c r="T1264" s="5"/>
      <c r="U1264" s="4"/>
      <c r="W1264" s="4"/>
      <c r="X1264" s="221"/>
      <c r="Y1264" s="4"/>
    </row>
  </sheetData>
  <sheetProtection algorithmName="SHA-512" hashValue="nMdUaq9hVBaMAaVF56eWSI6/BpyeQCbmiFmHTK5XJra7tIAF06S47MUG1ZSsyETEiqPhOQmux+MGcO/kBCq17w==" saltValue="hxowAiOeSjKKlomQ2AXLNw==" spinCount="100000" sheet="1" formatColumns="0" formatRows="0" sort="0" autoFilter="0" pivotTables="0"/>
  <conditionalFormatting sqref="A4:F10 A88:F109 A179:F184 A295:B332 D295:F332 D334:F376 A334:B376 A379:B381 D379:F381 D463:F478 A463:B478 D460:F461 A460:B461 A515:B684 D515:F684 A1128:B1181 D1128:F1181 A480:B513 D480:F513 A1186:F1186 A186:F245 A386:F388">
    <cfRule type="expression" dxfId="1758" priority="2363">
      <formula>AND($C4=OFFSET($C4,-1,0,1,1),A4=OFFSET(A4,-1,0,1,1))</formula>
    </cfRule>
  </conditionalFormatting>
  <conditionalFormatting sqref="Q4:Q10 Q88:Q109 Q179:Q184 Q295:Q332 Q334:Q376 Q379:Q381 Q463:Q478 Q460:Q461 Q515:Q684 Q1128:Q1181 Q480:Q513 Q1186 Q186:Q245 Q386:Q388">
    <cfRule type="expression" dxfId="1757" priority="2353">
      <formula>OR(AND(ISNUMBER(DATEVALUE($Q4)),MONTH(DATEVALUE($Q4))=12,DATEVALUE("31/12/"&amp;TEXT(YEAR(DATEVALUE($Q4)),"####"))&lt;TODAY()),AND(ISNUMBER(DATEVALUE($Q4)),MONTH(DATEVALUE($Q4))&lt;12,DATEVALUE("01/"&amp;TEXT(MONTH(DATEVALUE($Q4))+1,"##")&amp;"/"&amp;TEXT(YEAR(DATEVALUE($Q4)),"####"))-1&lt;TODAY()))</formula>
    </cfRule>
  </conditionalFormatting>
  <conditionalFormatting sqref="T4:T10 T88:T109 T179:T184 T295:T332 T334:T376 T379:T381 T463:T478 T460:T461 T515:T684 T1128:T1181 T480:T513 T186:T245 T1186:T1222 T1224:T1259 T386:T388">
    <cfRule type="cellIs" dxfId="1756" priority="2354" operator="equal">
      <formula>"Withdrawn"</formula>
    </cfRule>
    <cfRule type="cellIs" dxfId="1755" priority="2355" operator="equal">
      <formula>"Proposed"</formula>
    </cfRule>
    <cfRule type="cellIs" dxfId="1754" priority="2356" operator="equal">
      <formula>"Committed"</formula>
    </cfRule>
    <cfRule type="cellIs" dxfId="1753" priority="2357" operator="equal">
      <formula>"Upgrade"</formula>
    </cfRule>
    <cfRule type="cellIs" dxfId="1752" priority="2358" operator="equal">
      <formula>"Existing less Announced Withdrawal"</formula>
    </cfRule>
    <cfRule type="cellIs" dxfId="1751" priority="2359" operator="equal">
      <formula>"Announced Withdrawal"</formula>
    </cfRule>
  </conditionalFormatting>
  <conditionalFormatting sqref="C4:C10 C88:C109 C179:C184 C1186 C186:C245 C386:C388">
    <cfRule type="expression" dxfId="1750" priority="2360">
      <formula>$C4&lt;&gt;OFFSET($C4,-1,0,1,1)</formula>
    </cfRule>
    <cfRule type="expression" dxfId="1749" priority="2362">
      <formula>$C4=OFFSET($C4,-1,0,1,1)</formula>
    </cfRule>
    <cfRule type="expression" dxfId="1748" priority="2364">
      <formula>$B4="Project"</formula>
    </cfRule>
  </conditionalFormatting>
  <conditionalFormatting sqref="B4:W10 Y4:Y10 Y88:Y109 B88:W109 B179:W184 Y179:Y184 Y295:Y332 B295:B332 D295:W332 D334:W353 B334:B376 Y334:Y376 Y379:Y381 B379:B381 D379:W381 D463:W478 B463:B478 Y463:Y478 D460:W461 B460:B461 Y460:Y461 B515:B684 Y1128:Y1181 B1128:B1181 D1128:W1135 Y480:Y513 B480:B513 D480:W513 D515:W653 D666:W679 D664:T665 V664:W665 B1186:W1186 Y186:Y245 B186:W209 Y515:Y684 X1128:X1186 B211:W245 B210:K210 M210:W210 D355:W376 D354:K354 M354:W354 D655:W663 D654:K654 M654:W654 D681:W684 D680:K680 M680:W680 D1137:W1181 D1136:K1136 M1136:W1136 X378:X382 D1187:W1222 D1224:W1259 B386:Y388 X459:X684">
    <cfRule type="expression" dxfId="1747" priority="2247">
      <formula>$B4="Project"</formula>
    </cfRule>
  </conditionalFormatting>
  <conditionalFormatting sqref="H4:W10 Y4:Y10 Y88:Y109 H88:W109 H179:W184 Y179:Y184 H295:W332 Y295:Y332 Y334:Y376 H334:W353 H379:W381 Y379:Y381 Y463:Y478 H463:W478 Y460:Y461 H460:W461 H1128:W1135 Y1128:Y1181 H480:W513 Y480:Y513 H515:W653 H666:W679 H664:T665 V664:W665 Y186:Y245 H186:W209 Y515:Y684 X1128:X1186 H211:W245 H210:K210 M210:W210 H355:W376 H354:K354 M354:W354 H655:W663 H654:K654 M654:W654 H681:W684 H680:K680 M680:W680 H1137:W1181 H1136:K1136 M1136:W1136 X378:X382 H1186:W1222 H1224:W1259 H386:Y388 X459:X684">
    <cfRule type="expression" dxfId="1746" priority="2250">
      <formula>AND($C4=OFFSET($C4,-1,0,1,1),$G4=OFFSET($G4,-1,0,1,1),H4&lt;&gt;OFFSET(H4,-1,0,1,1))</formula>
    </cfRule>
  </conditionalFormatting>
  <conditionalFormatting sqref="A4:W10 Y4:Y10 Y88:Y109 A88:W109 A179:W184 Y179:Y184 Y295:Y332 A295:B332 D295:W332 D334:W353 A334:B376 Y334:Y376 Y379:Y381 A379:B381 D379:W381 D463:W478 A463:B478 Y463:Y478 D460:W461 A460:B461 Y460:Y461 A515:B684 Y1128:Y1181 A1128:B1181 D1128:W1135 Y480:Y513 A480:B513 D480:W513 D515:W653 D666:W679 D664:T665 V664:W665 Y186:Y245 A186:W209 Y515:Y684 X1128:X1186 A211:W245 A210:K210 M210:W210 D355:W376 D354:K354 M354:W354 D655:W663 D654:K654 M654:W654 D681:W684 D680:K680 M680:W680 D1137:W1181 D1136:K1136 M1136:W1136 X378:X382 D1187:W1222 D1224:W1259 A386:B388 D386:Y388 X459:X684">
    <cfRule type="expression" dxfId="1745" priority="2246">
      <formula>$C4&lt;&gt;OFFSET($C4,-1,0,1,1)</formula>
    </cfRule>
  </conditionalFormatting>
  <conditionalFormatting sqref="D4:W10 Y4:Y10 Y88:Y109 D88:W109 D179:W184 Y179:Y184 D295:W332 Y295:Y332 Y334:Y376 D334:W353 D379:W381 Y379:Y381 Y463:Y478 D463:W478 Y460:Y461 D460:W461 D1128:W1135 Y1128:Y1181 D480:W513 Y480:Y513 D515:W653 D666:W679 D664:T665 V664:W665 Y186:Y245 D186:W209 Y515:Y684 X1128:X1186 D211:W245 D210:K210 M210:W210 D355:W376 D354:K354 M354:W354 D655:W663 D654:K654 M654:W654 D681:W684 D680:K680 M680:W680 D1137:W1181 D1136:K1136 M1136:W1136 X378:X382 D1186:W1222 D1224:W1259 D386:Y388 X459:X684">
    <cfRule type="expression" dxfId="1744" priority="2248">
      <formula>AND($C4=OFFSET($C4,-1,0,1,1),$G4&lt;&gt;OFFSET($G4,-1,0,1,1))</formula>
    </cfRule>
    <cfRule type="expression" dxfId="1743" priority="2249">
      <formula>AND($C4=OFFSET($C4,-1,0,1,1),$G4=OFFSET($G4,-1,0,1,1),D4=OFFSET(D4,-1,0,1,1))</formula>
    </cfRule>
  </conditionalFormatting>
  <conditionalFormatting sqref="Y88:Y90">
    <cfRule type="expression" dxfId="1742" priority="2241">
      <formula>$B88="Project"</formula>
    </cfRule>
  </conditionalFormatting>
  <conditionalFormatting sqref="Y88:Y90">
    <cfRule type="expression" dxfId="1741" priority="2244">
      <formula>AND($C88=OFFSET($C88,-1,0,1,1),$G88=OFFSET($G88,-1,0,1,1),Y88&lt;&gt;OFFSET(Y88,-1,0,1,1))</formula>
    </cfRule>
  </conditionalFormatting>
  <conditionalFormatting sqref="Y88:Y90">
    <cfRule type="expression" dxfId="1740" priority="2240">
      <formula>$C88&lt;&gt;OFFSET($C88,-1,0,1,1)</formula>
    </cfRule>
  </conditionalFormatting>
  <conditionalFormatting sqref="Y88:Y90">
    <cfRule type="expression" dxfId="1739" priority="2242">
      <formula>AND($C88=OFFSET($C88,-1,0,1,1),$G88&lt;&gt;OFFSET($G88,-1,0,1,1))</formula>
    </cfRule>
    <cfRule type="expression" dxfId="1738" priority="2243">
      <formula>AND($C88=OFFSET($C88,-1,0,1,1),$G88=OFFSET($G88,-1,0,1,1),Y88=OFFSET(Y88,-1,0,1,1))</formula>
    </cfRule>
  </conditionalFormatting>
  <conditionalFormatting sqref="Y88:Y90">
    <cfRule type="colorScale" priority="2245">
      <colorScale>
        <cfvo type="min"/>
        <cfvo type="formula" val="TODAY()-365"/>
        <cfvo type="max"/>
        <color rgb="FFFFD1D1"/>
        <color theme="7" tint="0.79998168889431442"/>
        <color theme="0"/>
      </colorScale>
    </cfRule>
  </conditionalFormatting>
  <conditionalFormatting sqref="A218:F225">
    <cfRule type="expression" dxfId="1737" priority="2120">
      <formula>AND($C218=OFFSET($C218,-1,0,1,1),A218=OFFSET(A218,-1,0,1,1))</formula>
    </cfRule>
  </conditionalFormatting>
  <conditionalFormatting sqref="Q218:Q225">
    <cfRule type="expression" dxfId="1736" priority="2110">
      <formula>OR(AND(ISNUMBER(DATEVALUE($Q218)),MONTH(DATEVALUE($Q218))=12,DATEVALUE("31/12/"&amp;TEXT(YEAR(DATEVALUE($Q218)),"####"))&lt;TODAY()),AND(ISNUMBER(DATEVALUE($Q218)),MONTH(DATEVALUE($Q218))&lt;12,DATEVALUE("01/"&amp;TEXT(MONTH(DATEVALUE($Q218))+1,"##")&amp;"/"&amp;TEXT(YEAR(DATEVALUE($Q218)),"####"))-1&lt;TODAY()))</formula>
    </cfRule>
  </conditionalFormatting>
  <conditionalFormatting sqref="T218:T225">
    <cfRule type="cellIs" dxfId="1735" priority="2111" operator="equal">
      <formula>"Withdrawn"</formula>
    </cfRule>
    <cfRule type="cellIs" dxfId="1734" priority="2112" operator="equal">
      <formula>"Proposed"</formula>
    </cfRule>
    <cfRule type="cellIs" dxfId="1733" priority="2113" operator="equal">
      <formula>"Committed"</formula>
    </cfRule>
    <cfRule type="cellIs" dxfId="1732" priority="2114" operator="equal">
      <formula>"Upgrade"</formula>
    </cfRule>
    <cfRule type="cellIs" dxfId="1731" priority="2115" operator="equal">
      <formula>"Existing less Announced Withdrawal"</formula>
    </cfRule>
    <cfRule type="cellIs" dxfId="1730" priority="2116" operator="equal">
      <formula>"Announced Withdrawal"</formula>
    </cfRule>
  </conditionalFormatting>
  <conditionalFormatting sqref="C218:C225">
    <cfRule type="expression" dxfId="1729" priority="2117">
      <formula>$C218&lt;&gt;OFFSET($C218,-1,0,1,1)</formula>
    </cfRule>
    <cfRule type="expression" dxfId="1728" priority="2119">
      <formula>$C218=OFFSET($C218,-1,0,1,1)</formula>
    </cfRule>
    <cfRule type="expression" dxfId="1727" priority="2121">
      <formula>$B218="Project"</formula>
    </cfRule>
  </conditionalFormatting>
  <conditionalFormatting sqref="Y218:Y225">
    <cfRule type="colorScale" priority="2127">
      <colorScale>
        <cfvo type="min"/>
        <cfvo type="formula" val="TODAY()-365"/>
        <cfvo type="max"/>
        <color rgb="FFFFD1D1"/>
        <color theme="7" tint="0.79998168889431442"/>
        <color theme="0"/>
      </colorScale>
    </cfRule>
  </conditionalFormatting>
  <conditionalFormatting sqref="A306:B307 D306:F307">
    <cfRule type="expression" dxfId="1726" priority="2061">
      <formula>AND($C306=OFFSET($C306,-1,0,1,1),A306=OFFSET(A306,-1,0,1,1))</formula>
    </cfRule>
  </conditionalFormatting>
  <conditionalFormatting sqref="Q306:Q307">
    <cfRule type="expression" dxfId="1725" priority="2051">
      <formula>OR(AND(ISNUMBER(DATEVALUE($Q306)),MONTH(DATEVALUE($Q306))=12,DATEVALUE("31/12/"&amp;TEXT(YEAR(DATEVALUE($Q306)),"####"))&lt;TODAY()),AND(ISNUMBER(DATEVALUE($Q306)),MONTH(DATEVALUE($Q306))&lt;12,DATEVALUE("01/"&amp;TEXT(MONTH(DATEVALUE($Q306))+1,"##")&amp;"/"&amp;TEXT(YEAR(DATEVALUE($Q306)),"####"))-1&lt;TODAY()))</formula>
    </cfRule>
  </conditionalFormatting>
  <conditionalFormatting sqref="T306:T307">
    <cfRule type="cellIs" dxfId="1724" priority="2052" operator="equal">
      <formula>"Withdrawn"</formula>
    </cfRule>
    <cfRule type="cellIs" dxfId="1723" priority="2053" operator="equal">
      <formula>"Proposed"</formula>
    </cfRule>
    <cfRule type="cellIs" dxfId="1722" priority="2054" operator="equal">
      <formula>"Committed"</formula>
    </cfRule>
    <cfRule type="cellIs" dxfId="1721" priority="2055" operator="equal">
      <formula>"Upgrade"</formula>
    </cfRule>
    <cfRule type="cellIs" dxfId="1720" priority="2056" operator="equal">
      <formula>"Existing less Announced Withdrawal"</formula>
    </cfRule>
    <cfRule type="cellIs" dxfId="1719" priority="2057" operator="equal">
      <formula>"Announced Withdrawal"</formula>
    </cfRule>
  </conditionalFormatting>
  <conditionalFormatting sqref="Y306:Y307">
    <cfRule type="colorScale" priority="2068">
      <colorScale>
        <cfvo type="min"/>
        <cfvo type="formula" val="TODAY()-365"/>
        <cfvo type="max"/>
        <color rgb="FFFFD1D1"/>
        <color theme="7" tint="0.79998168889431442"/>
        <color theme="0"/>
      </colorScale>
    </cfRule>
  </conditionalFormatting>
  <conditionalFormatting sqref="A308:B322 D308:F322">
    <cfRule type="expression" dxfId="1718" priority="2043">
      <formula>AND($C308=OFFSET($C308,-1,0,1,1),A308=OFFSET(A308,-1,0,1,1))</formula>
    </cfRule>
  </conditionalFormatting>
  <conditionalFormatting sqref="Q308:Q322">
    <cfRule type="expression" dxfId="1717" priority="2033">
      <formula>OR(AND(ISNUMBER(DATEVALUE($Q308)),MONTH(DATEVALUE($Q308))=12,DATEVALUE("31/12/"&amp;TEXT(YEAR(DATEVALUE($Q308)),"####"))&lt;TODAY()),AND(ISNUMBER(DATEVALUE($Q308)),MONTH(DATEVALUE($Q308))&lt;12,DATEVALUE("01/"&amp;TEXT(MONTH(DATEVALUE($Q308))+1,"##")&amp;"/"&amp;TEXT(YEAR(DATEVALUE($Q308)),"####"))-1&lt;TODAY()))</formula>
    </cfRule>
  </conditionalFormatting>
  <conditionalFormatting sqref="T308:T322">
    <cfRule type="cellIs" dxfId="1716" priority="2034" operator="equal">
      <formula>"Withdrawn"</formula>
    </cfRule>
    <cfRule type="cellIs" dxfId="1715" priority="2035" operator="equal">
      <formula>"Proposed"</formula>
    </cfRule>
    <cfRule type="cellIs" dxfId="1714" priority="2036" operator="equal">
      <formula>"Committed"</formula>
    </cfRule>
    <cfRule type="cellIs" dxfId="1713" priority="2037" operator="equal">
      <formula>"Upgrade"</formula>
    </cfRule>
    <cfRule type="cellIs" dxfId="1712" priority="2038" operator="equal">
      <formula>"Existing less Announced Withdrawal"</formula>
    </cfRule>
    <cfRule type="cellIs" dxfId="1711" priority="2039" operator="equal">
      <formula>"Announced Withdrawal"</formula>
    </cfRule>
  </conditionalFormatting>
  <conditionalFormatting sqref="Y308:Y322">
    <cfRule type="colorScale" priority="2050">
      <colorScale>
        <cfvo type="min"/>
        <cfvo type="formula" val="TODAY()-365"/>
        <cfvo type="max"/>
        <color rgb="FFFFD1D1"/>
        <color theme="7" tint="0.79998168889431442"/>
        <color theme="0"/>
      </colorScale>
    </cfRule>
  </conditionalFormatting>
  <conditionalFormatting sqref="Y463:Y478 Y323:Y332 Y341:Y376 Y334:Y339 Y379:Y381 Y460:Y461 Y515:Y616 Y480:Y513 Y386:Y388">
    <cfRule type="colorScale" priority="7128">
      <colorScale>
        <cfvo type="min"/>
        <cfvo type="formula" val="TODAY()-365"/>
        <cfvo type="max"/>
        <color rgb="FFFFD1D1"/>
        <color theme="7" tint="0.79998168889431442"/>
        <color theme="0"/>
      </colorScale>
    </cfRule>
  </conditionalFormatting>
  <conditionalFormatting sqref="X1260:X1048576 X1:X2">
    <cfRule type="colorScale" priority="1991">
      <colorScale>
        <cfvo type="min"/>
        <cfvo type="formula" val="TODAY()-365"/>
        <cfvo type="max"/>
        <color rgb="FFFFD1D1"/>
        <color theme="7" tint="0.79998168889431442"/>
        <color theme="0"/>
      </colorScale>
    </cfRule>
  </conditionalFormatting>
  <conditionalFormatting sqref="A340:B340 D340:F340">
    <cfRule type="expression" dxfId="1710" priority="1946">
      <formula>AND($C340=OFFSET($C340,-1,0,1,1),A340=OFFSET(A340,-1,0,1,1))</formula>
    </cfRule>
  </conditionalFormatting>
  <conditionalFormatting sqref="Q340">
    <cfRule type="expression" dxfId="1709" priority="1937">
      <formula>OR(AND(ISNUMBER(DATEVALUE($Q340)),MONTH(DATEVALUE($Q340))=12,DATEVALUE("31/12/"&amp;TEXT(YEAR(DATEVALUE($Q340)),"####"))&lt;TODAY()),AND(ISNUMBER(DATEVALUE($Q340)),MONTH(DATEVALUE($Q340))&lt;12,DATEVALUE("01/"&amp;TEXT(MONTH(DATEVALUE($Q340))+1,"##")&amp;"/"&amp;TEXT(YEAR(DATEVALUE($Q340)),"####"))-1&lt;TODAY()))</formula>
    </cfRule>
  </conditionalFormatting>
  <conditionalFormatting sqref="T340">
    <cfRule type="cellIs" dxfId="1708" priority="1938" operator="equal">
      <formula>"Withdrawn"</formula>
    </cfRule>
    <cfRule type="cellIs" dxfId="1707" priority="1939" operator="equal">
      <formula>"Proposed"</formula>
    </cfRule>
    <cfRule type="cellIs" dxfId="1706" priority="1940" operator="equal">
      <formula>"Committed"</formula>
    </cfRule>
    <cfRule type="cellIs" dxfId="1705" priority="1941" operator="equal">
      <formula>"Upgrade"</formula>
    </cfRule>
    <cfRule type="cellIs" dxfId="1704" priority="1942" operator="equal">
      <formula>"Existing less Announced Withdrawal"</formula>
    </cfRule>
    <cfRule type="cellIs" dxfId="1703" priority="1943" operator="equal">
      <formula>"Announced Withdrawal"</formula>
    </cfRule>
  </conditionalFormatting>
  <conditionalFormatting sqref="Y340">
    <cfRule type="colorScale" priority="1948">
      <colorScale>
        <cfvo type="min"/>
        <cfvo type="formula" val="TODAY()-365"/>
        <cfvo type="max"/>
        <color rgb="FFFFD1D1"/>
        <color theme="7" tint="0.79998168889431442"/>
        <color theme="0"/>
      </colorScale>
    </cfRule>
  </conditionalFormatting>
  <conditionalFormatting sqref="V4:V10 H4:N10 V88:V109 H88:N109 H179:N184 V179:V184 H295:N332 V295:V332 V334:V376 H334:N353 H379:N381 V379:V381 V463:V478 H463:N478 V460:V461 H460:N461 H515:N653 V515:V684 H1128:N1135 V1128:V1181 H480:N513 V480:V513 H1186:N1186 V186:V245 H186:N209 H211:N245 H210:K210 M210:N210 H355:N376 H354:K354 M354:N354 H655:N679 H654:K654 M654:N654 H681:N684 H680:K680 M680:N680 H1137:N1181 H1136:K1136 M1136:N1136 V1187:V1222 V1224:V1259 V386:V388 H386:N388">
    <cfRule type="expression" dxfId="1702" priority="1911">
      <formula>MOD(H4,1)=0</formula>
    </cfRule>
  </conditionalFormatting>
  <conditionalFormatting sqref="V3:V40 H3:N40">
    <cfRule type="expression" dxfId="1701" priority="1869">
      <formula>MOD(H3,1)=0</formula>
    </cfRule>
  </conditionalFormatting>
  <conditionalFormatting sqref="B3:Y40">
    <cfRule type="expression" dxfId="1700" priority="1865">
      <formula>$B3="Project"</formula>
    </cfRule>
  </conditionalFormatting>
  <conditionalFormatting sqref="A3:F40">
    <cfRule type="expression" dxfId="1699" priority="1863">
      <formula>AND($C3=OFFSET($C3,-1,0,1,1),A3=OFFSET(A3,-1,0,1,1))</formula>
    </cfRule>
  </conditionalFormatting>
  <conditionalFormatting sqref="H3:Y40">
    <cfRule type="expression" dxfId="1698" priority="1868">
      <formula>AND($C3=OFFSET($C3,-1,0,1,1),$G3=OFFSET($G3,-1,0,1,1),H3&lt;&gt;OFFSET(H3,-1,0,1,1))</formula>
    </cfRule>
  </conditionalFormatting>
  <conditionalFormatting sqref="A3:Y40">
    <cfRule type="expression" dxfId="1697" priority="1861">
      <formula>$C3&lt;&gt;OFFSET($C3,-1,0,1,1)</formula>
    </cfRule>
  </conditionalFormatting>
  <conditionalFormatting sqref="Q3:Q40">
    <cfRule type="expression" dxfId="1696" priority="1853">
      <formula>OR(AND(ISNUMBER(DATEVALUE($Q3)),MONTH(DATEVALUE($Q3))=12,DATEVALUE("31/12/"&amp;TEXT(YEAR(DATEVALUE($Q3)),"####"))&lt;TODAY()),AND(ISNUMBER(DATEVALUE($Q3)),MONTH(DATEVALUE($Q3))&lt;12,DATEVALUE("01/"&amp;TEXT(MONTH(DATEVALUE($Q3))+1,"##")&amp;"/"&amp;TEXT(YEAR(DATEVALUE($Q3)),"####"))-1&lt;TODAY()))</formula>
    </cfRule>
  </conditionalFormatting>
  <conditionalFormatting sqref="T3:T40">
    <cfRule type="cellIs" dxfId="1695" priority="1854" operator="equal">
      <formula>"Withdrawn"</formula>
    </cfRule>
    <cfRule type="cellIs" dxfId="1694" priority="1855" operator="equal">
      <formula>"Proposed"</formula>
    </cfRule>
    <cfRule type="cellIs" dxfId="1693" priority="1856" operator="equal">
      <formula>"Committed"</formula>
    </cfRule>
    <cfRule type="cellIs" dxfId="1692" priority="1857" operator="equal">
      <formula>"Upgrade"</formula>
    </cfRule>
    <cfRule type="cellIs" dxfId="1691" priority="1858" operator="equal">
      <formula>"Existing less Announced Withdrawal"</formula>
    </cfRule>
    <cfRule type="cellIs" dxfId="1690" priority="1859" operator="equal">
      <formula>"Announced Withdrawal"</formula>
    </cfRule>
  </conditionalFormatting>
  <conditionalFormatting sqref="C3:C40">
    <cfRule type="expression" dxfId="1689" priority="1860">
      <formula>$C3&lt;&gt;OFFSET($C3,-1,0,1,1)</formula>
    </cfRule>
    <cfRule type="expression" dxfId="1688" priority="1862">
      <formula>$C3=OFFSET($C3,-1,0,1,1)</formula>
    </cfRule>
    <cfRule type="expression" dxfId="1687" priority="1864">
      <formula>$B3="Project"</formula>
    </cfRule>
  </conditionalFormatting>
  <conditionalFormatting sqref="D3:Y40">
    <cfRule type="expression" dxfId="1686" priority="1866">
      <formula>AND($C3=OFFSET($C3,-1,0,1,1),$G3&lt;&gt;OFFSET($G3,-1,0,1,1))</formula>
    </cfRule>
    <cfRule type="expression" dxfId="1685" priority="1867">
      <formula>AND($C3=OFFSET($C3,-1,0,1,1),$G3=OFFSET($G3,-1,0,1,1),D3=OFFSET(D3,-1,0,1,1))</formula>
    </cfRule>
  </conditionalFormatting>
  <conditionalFormatting sqref="Y3:Y40">
    <cfRule type="colorScale" priority="1870">
      <colorScale>
        <cfvo type="min"/>
        <cfvo type="formula" val="TODAY()-365"/>
        <cfvo type="max"/>
        <color rgb="FFFFD1D1"/>
        <color theme="7" tint="0.79998168889431442"/>
        <color theme="0"/>
      </colorScale>
    </cfRule>
  </conditionalFormatting>
  <conditionalFormatting sqref="X4:X10">
    <cfRule type="expression" dxfId="1684" priority="1831">
      <formula>$B4="Project"</formula>
    </cfRule>
  </conditionalFormatting>
  <conditionalFormatting sqref="X4:X10">
    <cfRule type="expression" dxfId="1683" priority="1834">
      <formula>AND($C4=OFFSET($C4,-1,0,1,1),$G4=OFFSET($G4,-1,0,1,1),X4&lt;&gt;OFFSET(X4,-1,0,1,1))</formula>
    </cfRule>
  </conditionalFormatting>
  <conditionalFormatting sqref="X4:X10">
    <cfRule type="expression" dxfId="1682" priority="1830">
      <formula>$C4&lt;&gt;OFFSET($C4,-1,0,1,1)</formula>
    </cfRule>
  </conditionalFormatting>
  <conditionalFormatting sqref="X4:X10">
    <cfRule type="expression" dxfId="1681" priority="1832">
      <formula>AND($C4=OFFSET($C4,-1,0,1,1),$G4&lt;&gt;OFFSET($G4,-1,0,1,1))</formula>
    </cfRule>
    <cfRule type="expression" dxfId="1680" priority="1833">
      <formula>AND($C4=OFFSET($C4,-1,0,1,1),$G4=OFFSET($G4,-1,0,1,1),X4=OFFSET(X4,-1,0,1,1))</formula>
    </cfRule>
  </conditionalFormatting>
  <conditionalFormatting sqref="X88:X100 X103:X108">
    <cfRule type="expression" dxfId="1679" priority="1816">
      <formula>$B88="Project"</formula>
    </cfRule>
  </conditionalFormatting>
  <conditionalFormatting sqref="X88:X100 X103:X108">
    <cfRule type="expression" dxfId="1678" priority="1819">
      <formula>AND($C88=OFFSET($C88,-1,0,1,1),$G88=OFFSET($G88,-1,0,1,1),X88&lt;&gt;OFFSET(X88,-1,0,1,1))</formula>
    </cfRule>
  </conditionalFormatting>
  <conditionalFormatting sqref="X88:X100 X103:X108">
    <cfRule type="expression" dxfId="1677" priority="1815">
      <formula>$C88&lt;&gt;OFFSET($C88,-1,0,1,1)</formula>
    </cfRule>
  </conditionalFormatting>
  <conditionalFormatting sqref="X88:X100 X103:X108">
    <cfRule type="expression" dxfId="1676" priority="1817">
      <formula>AND($C88=OFFSET($C88,-1,0,1,1),$G88&lt;&gt;OFFSET($G88,-1,0,1,1))</formula>
    </cfRule>
    <cfRule type="expression" dxfId="1675" priority="1818">
      <formula>AND($C88=OFFSET($C88,-1,0,1,1),$G88=OFFSET($G88,-1,0,1,1),X88=OFFSET(X88,-1,0,1,1))</formula>
    </cfRule>
  </conditionalFormatting>
  <conditionalFormatting sqref="X109 X196:X197 X199:X200 X202:X211 X213 X215:X222 X183:X184 X186:X194">
    <cfRule type="expression" dxfId="1674" priority="1811">
      <formula>$B109="Project"</formula>
    </cfRule>
  </conditionalFormatting>
  <conditionalFormatting sqref="X109 X196:X197 X199:X200 X202:X211 X213 X215:X222 X183:X184 X186:X194">
    <cfRule type="expression" dxfId="1673" priority="1814">
      <formula>AND($C109=OFFSET($C109,-1,0,1,1),$G109=OFFSET($G109,-1,0,1,1),X109&lt;&gt;OFFSET(X109,-1,0,1,1))</formula>
    </cfRule>
  </conditionalFormatting>
  <conditionalFormatting sqref="X109 X196:X197 X199:X200 X202:X211 X213 X215:X222 X183:X184 X186:X194">
    <cfRule type="expression" dxfId="1672" priority="1810">
      <formula>$C109&lt;&gt;OFFSET($C109,-1,0,1,1)</formula>
    </cfRule>
  </conditionalFormatting>
  <conditionalFormatting sqref="X109 X196:X197 X199:X200 X202:X211 X213 X215:X222 X183:X184 X186:X194">
    <cfRule type="expression" dxfId="1671" priority="1812">
      <formula>AND($C109=OFFSET($C109,-1,0,1,1),$G109&lt;&gt;OFFSET($G109,-1,0,1,1))</formula>
    </cfRule>
    <cfRule type="expression" dxfId="1670" priority="1813">
      <formula>AND($C109=OFFSET($C109,-1,0,1,1),$G109=OFFSET($G109,-1,0,1,1),X109=OFFSET(X109,-1,0,1,1))</formula>
    </cfRule>
  </conditionalFormatting>
  <conditionalFormatting sqref="X223:X234 X237:X238 X240:X244 X310:X316 X318:X331 X334:X338 X363:X371 X296:X308 X340:X361">
    <cfRule type="expression" dxfId="1669" priority="1806">
      <formula>$B223="Project"</formula>
    </cfRule>
  </conditionalFormatting>
  <conditionalFormatting sqref="X223:X234 X237:X238 X240:X244 X310:X316 X318:X331 X334:X338 X363:X371 X296:X308 X340:X361">
    <cfRule type="expression" dxfId="1668" priority="1809">
      <formula>AND($C223=OFFSET($C223,-1,0,1,1),$G223=OFFSET($G223,-1,0,1,1),X223&lt;&gt;OFFSET(X223,-1,0,1,1))</formula>
    </cfRule>
  </conditionalFormatting>
  <conditionalFormatting sqref="X223:X234 X237:X238 X240:X244 X310:X316 X318:X331 X334:X338 X363:X371 X296:X308 X340:X361">
    <cfRule type="expression" dxfId="1667" priority="1805">
      <formula>$C223&lt;&gt;OFFSET($C223,-1,0,1,1)</formula>
    </cfRule>
  </conditionalFormatting>
  <conditionalFormatting sqref="X223:X234 X237:X238 X240:X244 X310:X316 X318:X331 X334:X338 X363:X371 X296:X308 X340:X361">
    <cfRule type="expression" dxfId="1666" priority="1807">
      <formula>AND($C223=OFFSET($C223,-1,0,1,1),$G223&lt;&gt;OFFSET($G223,-1,0,1,1))</formula>
    </cfRule>
    <cfRule type="expression" dxfId="1665" priority="1808">
      <formula>AND($C223=OFFSET($C223,-1,0,1,1),$G223=OFFSET($G223,-1,0,1,1),X223=OFFSET(X223,-1,0,1,1))</formula>
    </cfRule>
  </conditionalFormatting>
  <conditionalFormatting sqref="X373:X376">
    <cfRule type="expression" dxfId="1664" priority="1801">
      <formula>$B373="Project"</formula>
    </cfRule>
  </conditionalFormatting>
  <conditionalFormatting sqref="X373:X376">
    <cfRule type="expression" dxfId="1663" priority="1804">
      <formula>AND($C373=OFFSET($C373,-1,0,1,1),$G373=OFFSET($G373,-1,0,1,1),X373&lt;&gt;OFFSET(X373,-1,0,1,1))</formula>
    </cfRule>
  </conditionalFormatting>
  <conditionalFormatting sqref="X373:X376">
    <cfRule type="expression" dxfId="1662" priority="1800">
      <formula>$C373&lt;&gt;OFFSET($C373,-1,0,1,1)</formula>
    </cfRule>
  </conditionalFormatting>
  <conditionalFormatting sqref="X373:X376">
    <cfRule type="expression" dxfId="1661" priority="1802">
      <formula>AND($C373=OFFSET($C373,-1,0,1,1),$G373&lt;&gt;OFFSET($G373,-1,0,1,1))</formula>
    </cfRule>
    <cfRule type="expression" dxfId="1660" priority="1803">
      <formula>AND($C373=OFFSET($C373,-1,0,1,1),$G373=OFFSET($G373,-1,0,1,1),X373=OFFSET(X373,-1,0,1,1))</formula>
    </cfRule>
  </conditionalFormatting>
  <conditionalFormatting sqref="V3:V40 H3:N40">
    <cfRule type="expression" dxfId="1659" priority="1788">
      <formula>MOD(H3,1)=0</formula>
    </cfRule>
  </conditionalFormatting>
  <conditionalFormatting sqref="B3:Y40">
    <cfRule type="expression" dxfId="1658" priority="1784">
      <formula>$B3="Project"</formula>
    </cfRule>
  </conditionalFormatting>
  <conditionalFormatting sqref="A3:F40">
    <cfRule type="expression" dxfId="1657" priority="1782">
      <formula>AND($C3=OFFSET($C3,-1,0,1,1),A3=OFFSET(A3,-1,0,1,1))</formula>
    </cfRule>
  </conditionalFormatting>
  <conditionalFormatting sqref="H3:Y40">
    <cfRule type="expression" dxfId="1656" priority="1787">
      <formula>AND($C3=OFFSET($C3,-1,0,1,1),$G3=OFFSET($G3,-1,0,1,1),H3&lt;&gt;OFFSET(H3,-1,0,1,1))</formula>
    </cfRule>
  </conditionalFormatting>
  <conditionalFormatting sqref="A3:Y40">
    <cfRule type="expression" dxfId="1655" priority="1780">
      <formula>$C3&lt;&gt;OFFSET($C3,-1,0,1,1)</formula>
    </cfRule>
  </conditionalFormatting>
  <conditionalFormatting sqref="Q3:Q40">
    <cfRule type="expression" dxfId="1654" priority="1772">
      <formula>OR(AND(ISNUMBER(DATEVALUE($Q3)),MONTH(DATEVALUE($Q3))=12,DATEVALUE("31/12/"&amp;TEXT(YEAR(DATEVALUE($Q3)),"####"))&lt;TODAY()),AND(ISNUMBER(DATEVALUE($Q3)),MONTH(DATEVALUE($Q3))&lt;12,DATEVALUE("01/"&amp;TEXT(MONTH(DATEVALUE($Q3))+1,"##")&amp;"/"&amp;TEXT(YEAR(DATEVALUE($Q3)),"####"))-1&lt;TODAY()))</formula>
    </cfRule>
  </conditionalFormatting>
  <conditionalFormatting sqref="T3:T40">
    <cfRule type="cellIs" dxfId="1653" priority="1773" operator="equal">
      <formula>"Withdrawn"</formula>
    </cfRule>
    <cfRule type="cellIs" dxfId="1652" priority="1774" operator="equal">
      <formula>"Proposed"</formula>
    </cfRule>
    <cfRule type="cellIs" dxfId="1651" priority="1775" operator="equal">
      <formula>"Committed"</formula>
    </cfRule>
    <cfRule type="cellIs" dxfId="1650" priority="1776" operator="equal">
      <formula>"Upgrade"</formula>
    </cfRule>
    <cfRule type="cellIs" dxfId="1649" priority="1777" operator="equal">
      <formula>"Existing less Announced Withdrawal"</formula>
    </cfRule>
    <cfRule type="cellIs" dxfId="1648" priority="1778" operator="equal">
      <formula>"Announced Withdrawal"</formula>
    </cfRule>
  </conditionalFormatting>
  <conditionalFormatting sqref="C3:C40">
    <cfRule type="expression" dxfId="1647" priority="1779">
      <formula>$C3&lt;&gt;OFFSET($C3,-1,0,1,1)</formula>
    </cfRule>
    <cfRule type="expression" dxfId="1646" priority="1781">
      <formula>$C3=OFFSET($C3,-1,0,1,1)</formula>
    </cfRule>
    <cfRule type="expression" dxfId="1645" priority="1783">
      <formula>$B3="Project"</formula>
    </cfRule>
  </conditionalFormatting>
  <conditionalFormatting sqref="D3:Y40">
    <cfRule type="expression" dxfId="1644" priority="1785">
      <formula>AND($C3=OFFSET($C3,-1,0,1,1),$G3&lt;&gt;OFFSET($G3,-1,0,1,1))</formula>
    </cfRule>
    <cfRule type="expression" dxfId="1643" priority="1786">
      <formula>AND($C3=OFFSET($C3,-1,0,1,1),$G3=OFFSET($G3,-1,0,1,1),D3=OFFSET(D3,-1,0,1,1))</formula>
    </cfRule>
  </conditionalFormatting>
  <conditionalFormatting sqref="Y3:Y40">
    <cfRule type="colorScale" priority="1789">
      <colorScale>
        <cfvo type="min"/>
        <cfvo type="formula" val="TODAY()-365"/>
        <cfvo type="max"/>
        <color rgb="FFFFD1D1"/>
        <color theme="7" tint="0.79998168889431442"/>
        <color theme="0"/>
      </colorScale>
    </cfRule>
  </conditionalFormatting>
  <conditionalFormatting sqref="A17:F21 A24:F31 A34:F34 A38:F40">
    <cfRule type="expression" dxfId="1642" priority="1769">
      <formula>AND($C17=OFFSET($C17,-1,0,1,1),A17=OFFSET(A17,-1,0,1,1))</formula>
    </cfRule>
  </conditionalFormatting>
  <conditionalFormatting sqref="Q17:Q21 Q24:Q31 Q34 Q38:Q40">
    <cfRule type="expression" dxfId="1641" priority="1760">
      <formula>OR(AND(ISNUMBER(DATEVALUE($Q17)),MONTH(DATEVALUE($Q17))=12,DATEVALUE("31/12/"&amp;TEXT(YEAR(DATEVALUE($Q17)),"####"))&lt;TODAY()),AND(ISNUMBER(DATEVALUE($Q17)),MONTH(DATEVALUE($Q17))&lt;12,DATEVALUE("01/"&amp;TEXT(MONTH(DATEVALUE($Q17))+1,"##")&amp;"/"&amp;TEXT(YEAR(DATEVALUE($Q17)),"####"))-1&lt;TODAY()))</formula>
    </cfRule>
  </conditionalFormatting>
  <conditionalFormatting sqref="T17:T21 T24:T31 T34 T38:T40">
    <cfRule type="cellIs" dxfId="1640" priority="1761" operator="equal">
      <formula>"Withdrawn"</formula>
    </cfRule>
    <cfRule type="cellIs" dxfId="1639" priority="1762" operator="equal">
      <formula>"Proposed"</formula>
    </cfRule>
    <cfRule type="cellIs" dxfId="1638" priority="1763" operator="equal">
      <formula>"Committed"</formula>
    </cfRule>
    <cfRule type="cellIs" dxfId="1637" priority="1764" operator="equal">
      <formula>"Upgrade"</formula>
    </cfRule>
    <cfRule type="cellIs" dxfId="1636" priority="1765" operator="equal">
      <formula>"Existing less Announced Withdrawal"</formula>
    </cfRule>
    <cfRule type="cellIs" dxfId="1635" priority="1766" operator="equal">
      <formula>"Announced Withdrawal"</formula>
    </cfRule>
  </conditionalFormatting>
  <conditionalFormatting sqref="C17:C21 C24:C31 C34 C38:C40">
    <cfRule type="expression" dxfId="1634" priority="1767">
      <formula>$C17&lt;&gt;OFFSET($C17,-1,0,1,1)</formula>
    </cfRule>
    <cfRule type="expression" dxfId="1633" priority="1768">
      <formula>$C17=OFFSET($C17,-1,0,1,1)</formula>
    </cfRule>
    <cfRule type="expression" dxfId="1632" priority="1770">
      <formula>$B17="Project"</formula>
    </cfRule>
  </conditionalFormatting>
  <conditionalFormatting sqref="B17:W21 B24:W31 B34:W34 Y17:Y21 Y24:Y31 Y34 Y38:Y40 B38:W40">
    <cfRule type="expression" dxfId="1631" priority="1756">
      <formula>$B17="Project"</formula>
    </cfRule>
  </conditionalFormatting>
  <conditionalFormatting sqref="H17:W21 H24:W31 H34:W34 Y17:Y21 Y24:Y31 Y34 Y38:Y40 H38:W40">
    <cfRule type="expression" dxfId="1630" priority="1759">
      <formula>AND($C17=OFFSET($C17,-1,0,1,1),$G17=OFFSET($G17,-1,0,1,1),H17&lt;&gt;OFFSET(H17,-1,0,1,1))</formula>
    </cfRule>
  </conditionalFormatting>
  <conditionalFormatting sqref="A17:W21 A24:W31 A34:W34 Y17:Y21 Y24:Y31 Y34 Y38:Y40 A38:W40">
    <cfRule type="expression" dxfId="1629" priority="1755">
      <formula>$C17&lt;&gt;OFFSET($C17,-1,0,1,1)</formula>
    </cfRule>
  </conditionalFormatting>
  <conditionalFormatting sqref="D17:W21 D24:W31 D34:W34 Y17:Y21 Y24:Y31 Y34 Y38:Y40 D38:W40">
    <cfRule type="expression" dxfId="1628" priority="1757">
      <formula>AND($C17=OFFSET($C17,-1,0,1,1),$G17&lt;&gt;OFFSET($G17,-1,0,1,1))</formula>
    </cfRule>
    <cfRule type="expression" dxfId="1627" priority="1758">
      <formula>AND($C17=OFFSET($C17,-1,0,1,1),$G17=OFFSET($G17,-1,0,1,1),D17=OFFSET(D17,-1,0,1,1))</formula>
    </cfRule>
  </conditionalFormatting>
  <conditionalFormatting sqref="V17:V21 V24:V31 V34 H17:N21 H24:N31 H34:N34 H38:N40 V38:V40">
    <cfRule type="expression" dxfId="1626" priority="1754">
      <formula>MOD(H17,1)=0</formula>
    </cfRule>
  </conditionalFormatting>
  <conditionalFormatting sqref="V23 V33 H23:N23 H33:N33">
    <cfRule type="expression" dxfId="1625" priority="1752">
      <formula>MOD(H23,1)=0</formula>
    </cfRule>
  </conditionalFormatting>
  <conditionalFormatting sqref="B23:Y23 B33:Y33">
    <cfRule type="expression" dxfId="1624" priority="1748">
      <formula>$B23="Project"</formula>
    </cfRule>
  </conditionalFormatting>
  <conditionalFormatting sqref="A23:F23 A33:F33">
    <cfRule type="expression" dxfId="1623" priority="1746">
      <formula>AND($C23=OFFSET($C23,-1,0,1,1),A23=OFFSET(A23,-1,0,1,1))</formula>
    </cfRule>
  </conditionalFormatting>
  <conditionalFormatting sqref="H23:Y23 H33:Y33">
    <cfRule type="expression" dxfId="1622" priority="1751">
      <formula>AND($C23=OFFSET($C23,-1,0,1,1),$G23=OFFSET($G23,-1,0,1,1),H23&lt;&gt;OFFSET(H23,-1,0,1,1))</formula>
    </cfRule>
  </conditionalFormatting>
  <conditionalFormatting sqref="A23:Y23 A33:Y33">
    <cfRule type="expression" dxfId="1621" priority="1744">
      <formula>$C23&lt;&gt;OFFSET($C23,-1,0,1,1)</formula>
    </cfRule>
  </conditionalFormatting>
  <conditionalFormatting sqref="Q23 Q33">
    <cfRule type="expression" dxfId="1620" priority="1736">
      <formula>OR(AND(ISNUMBER(DATEVALUE($Q23)),MONTH(DATEVALUE($Q23))=12,DATEVALUE("31/12/"&amp;TEXT(YEAR(DATEVALUE($Q23)),"####"))&lt;TODAY()),AND(ISNUMBER(DATEVALUE($Q23)),MONTH(DATEVALUE($Q23))&lt;12,DATEVALUE("01/"&amp;TEXT(MONTH(DATEVALUE($Q23))+1,"##")&amp;"/"&amp;TEXT(YEAR(DATEVALUE($Q23)),"####"))-1&lt;TODAY()))</formula>
    </cfRule>
  </conditionalFormatting>
  <conditionalFormatting sqref="T23 T33">
    <cfRule type="cellIs" dxfId="1619" priority="1737" operator="equal">
      <formula>"Withdrawn"</formula>
    </cfRule>
    <cfRule type="cellIs" dxfId="1618" priority="1738" operator="equal">
      <formula>"Proposed"</formula>
    </cfRule>
    <cfRule type="cellIs" dxfId="1617" priority="1739" operator="equal">
      <formula>"Committed"</formula>
    </cfRule>
    <cfRule type="cellIs" dxfId="1616" priority="1740" operator="equal">
      <formula>"Upgrade"</formula>
    </cfRule>
    <cfRule type="cellIs" dxfId="1615" priority="1741" operator="equal">
      <formula>"Existing less Announced Withdrawal"</formula>
    </cfRule>
    <cfRule type="cellIs" dxfId="1614" priority="1742" operator="equal">
      <formula>"Announced Withdrawal"</formula>
    </cfRule>
  </conditionalFormatting>
  <conditionalFormatting sqref="C23 C33">
    <cfRule type="expression" dxfId="1613" priority="1743">
      <formula>$C23&lt;&gt;OFFSET($C23,-1,0,1,1)</formula>
    </cfRule>
    <cfRule type="expression" dxfId="1612" priority="1745">
      <formula>$C23=OFFSET($C23,-1,0,1,1)</formula>
    </cfRule>
    <cfRule type="expression" dxfId="1611" priority="1747">
      <formula>$B23="Project"</formula>
    </cfRule>
  </conditionalFormatting>
  <conditionalFormatting sqref="D23:Y23 D33:Y33">
    <cfRule type="expression" dxfId="1610" priority="1749">
      <formula>AND($C23=OFFSET($C23,-1,0,1,1),$G23&lt;&gt;OFFSET($G23,-1,0,1,1))</formula>
    </cfRule>
    <cfRule type="expression" dxfId="1609" priority="1750">
      <formula>AND($C23=OFFSET($C23,-1,0,1,1),$G23=OFFSET($G23,-1,0,1,1),D23=OFFSET(D23,-1,0,1,1))</formula>
    </cfRule>
  </conditionalFormatting>
  <conditionalFormatting sqref="Y23 Y33">
    <cfRule type="colorScale" priority="1753">
      <colorScale>
        <cfvo type="min"/>
        <cfvo type="formula" val="TODAY()-365"/>
        <cfvo type="max"/>
        <color rgb="FFFFD1D1"/>
        <color theme="7" tint="0.79998168889431442"/>
        <color theme="0"/>
      </colorScale>
    </cfRule>
  </conditionalFormatting>
  <conditionalFormatting sqref="X17:X21 X24:X31 X34 X38:X40">
    <cfRule type="expression" dxfId="1608" priority="1732">
      <formula>$B17="Project"</formula>
    </cfRule>
  </conditionalFormatting>
  <conditionalFormatting sqref="X17:X21 X24:X31 X34 X38:X40">
    <cfRule type="expression" dxfId="1607" priority="1735">
      <formula>AND($C17=OFFSET($C17,-1,0,1,1),$G17=OFFSET($G17,-1,0,1,1),X17&lt;&gt;OFFSET(X17,-1,0,1,1))</formula>
    </cfRule>
  </conditionalFormatting>
  <conditionalFormatting sqref="X17:X21 X24:X31 X34 X38:X40">
    <cfRule type="expression" dxfId="1606" priority="1731">
      <formula>$C17&lt;&gt;OFFSET($C17,-1,0,1,1)</formula>
    </cfRule>
  </conditionalFormatting>
  <conditionalFormatting sqref="X17:X21 X24:X31 X34 X38:X40">
    <cfRule type="expression" dxfId="1605" priority="1733">
      <formula>AND($C17=OFFSET($C17,-1,0,1,1),$G17&lt;&gt;OFFSET($G17,-1,0,1,1))</formula>
    </cfRule>
    <cfRule type="expression" dxfId="1604" priority="1734">
      <formula>AND($C17=OFFSET($C17,-1,0,1,1),$G17=OFFSET($G17,-1,0,1,1),X17=OFFSET(X17,-1,0,1,1))</formula>
    </cfRule>
  </conditionalFormatting>
  <conditionalFormatting sqref="Y17:Y21 Y24:Y31 Y34 Y38:Y40">
    <cfRule type="colorScale" priority="1771">
      <colorScale>
        <cfvo type="min"/>
        <cfvo type="formula" val="TODAY()-365"/>
        <cfvo type="max"/>
        <color rgb="FFFFD1D1"/>
        <color theme="7" tint="0.79998168889431442"/>
        <color theme="0"/>
      </colorScale>
    </cfRule>
  </conditionalFormatting>
  <conditionalFormatting sqref="V17:V34 H17:N34 H38:N40 V38:V40">
    <cfRule type="expression" dxfId="1603" priority="1729">
      <formula>MOD(H17,1)=0</formula>
    </cfRule>
  </conditionalFormatting>
  <conditionalFormatting sqref="B17:Y34 B38:Y40">
    <cfRule type="expression" dxfId="1602" priority="1725">
      <formula>$B17="Project"</formula>
    </cfRule>
  </conditionalFormatting>
  <conditionalFormatting sqref="A17:F34 A38:F40">
    <cfRule type="expression" dxfId="1601" priority="1723">
      <formula>AND($C17=OFFSET($C17,-1,0,1,1),A17=OFFSET(A17,-1,0,1,1))</formula>
    </cfRule>
  </conditionalFormatting>
  <conditionalFormatting sqref="H17:Y34 H38:Y40">
    <cfRule type="expression" dxfId="1600" priority="1728">
      <formula>AND($C17=OFFSET($C17,-1,0,1,1),$G17=OFFSET($G17,-1,0,1,1),H17&lt;&gt;OFFSET(H17,-1,0,1,1))</formula>
    </cfRule>
  </conditionalFormatting>
  <conditionalFormatting sqref="A17:Y34 A38:Y40">
    <cfRule type="expression" dxfId="1599" priority="1721">
      <formula>$C17&lt;&gt;OFFSET($C17,-1,0,1,1)</formula>
    </cfRule>
  </conditionalFormatting>
  <conditionalFormatting sqref="Q17:Q34 Q38:Q40">
    <cfRule type="expression" dxfId="1598" priority="1713">
      <formula>OR(AND(ISNUMBER(DATEVALUE($Q17)),MONTH(DATEVALUE($Q17))=12,DATEVALUE("31/12/"&amp;TEXT(YEAR(DATEVALUE($Q17)),"####"))&lt;TODAY()),AND(ISNUMBER(DATEVALUE($Q17)),MONTH(DATEVALUE($Q17))&lt;12,DATEVALUE("01/"&amp;TEXT(MONTH(DATEVALUE($Q17))+1,"##")&amp;"/"&amp;TEXT(YEAR(DATEVALUE($Q17)),"####"))-1&lt;TODAY()))</formula>
    </cfRule>
  </conditionalFormatting>
  <conditionalFormatting sqref="T17:T34 T38:T40">
    <cfRule type="cellIs" dxfId="1597" priority="1714" operator="equal">
      <formula>"Withdrawn"</formula>
    </cfRule>
    <cfRule type="cellIs" dxfId="1596" priority="1715" operator="equal">
      <formula>"Proposed"</formula>
    </cfRule>
    <cfRule type="cellIs" dxfId="1595" priority="1716" operator="equal">
      <formula>"Committed"</formula>
    </cfRule>
    <cfRule type="cellIs" dxfId="1594" priority="1717" operator="equal">
      <formula>"Upgrade"</formula>
    </cfRule>
    <cfRule type="cellIs" dxfId="1593" priority="1718" operator="equal">
      <formula>"Existing less Announced Withdrawal"</formula>
    </cfRule>
    <cfRule type="cellIs" dxfId="1592" priority="1719" operator="equal">
      <formula>"Announced Withdrawal"</formula>
    </cfRule>
  </conditionalFormatting>
  <conditionalFormatting sqref="C17:C34 C38:C40">
    <cfRule type="expression" dxfId="1591" priority="1720">
      <formula>$C17&lt;&gt;OFFSET($C17,-1,0,1,1)</formula>
    </cfRule>
    <cfRule type="expression" dxfId="1590" priority="1722">
      <formula>$C17=OFFSET($C17,-1,0,1,1)</formula>
    </cfRule>
    <cfRule type="expression" dxfId="1589" priority="1724">
      <formula>$B17="Project"</formula>
    </cfRule>
  </conditionalFormatting>
  <conditionalFormatting sqref="D17:Y34 D38:Y40">
    <cfRule type="expression" dxfId="1588" priority="1726">
      <formula>AND($C17=OFFSET($C17,-1,0,1,1),$G17&lt;&gt;OFFSET($G17,-1,0,1,1))</formula>
    </cfRule>
    <cfRule type="expression" dxfId="1587" priority="1727">
      <formula>AND($C17=OFFSET($C17,-1,0,1,1),$G17=OFFSET($G17,-1,0,1,1),D17=OFFSET(D17,-1,0,1,1))</formula>
    </cfRule>
  </conditionalFormatting>
  <conditionalFormatting sqref="Y17:Y34 Y38:Y40">
    <cfRule type="colorScale" priority="1730">
      <colorScale>
        <cfvo type="min"/>
        <cfvo type="formula" val="TODAY()-365"/>
        <cfvo type="max"/>
        <color rgb="FFFFD1D1"/>
        <color theme="7" tint="0.79998168889431442"/>
        <color theme="0"/>
      </colorScale>
    </cfRule>
  </conditionalFormatting>
  <conditionalFormatting sqref="A382:F382">
    <cfRule type="expression" dxfId="1586" priority="1364">
      <formula>AND($C382=OFFSET($C382,-1,0,1,1),A382=OFFSET(A382,-1,0,1,1))</formula>
    </cfRule>
  </conditionalFormatting>
  <conditionalFormatting sqref="Q382">
    <cfRule type="expression" dxfId="1585" priority="1355">
      <formula>OR(AND(ISNUMBER(DATEVALUE($Q382)),MONTH(DATEVALUE($Q382))=12,DATEVALUE("31/12/"&amp;TEXT(YEAR(DATEVALUE($Q382)),"####"))&lt;TODAY()),AND(ISNUMBER(DATEVALUE($Q382)),MONTH(DATEVALUE($Q382))&lt;12,DATEVALUE("01/"&amp;TEXT(MONTH(DATEVALUE($Q382))+1,"##")&amp;"/"&amp;TEXT(YEAR(DATEVALUE($Q382)),"####"))-1&lt;TODAY()))</formula>
    </cfRule>
  </conditionalFormatting>
  <conditionalFormatting sqref="T382">
    <cfRule type="cellIs" dxfId="1584" priority="1356" operator="equal">
      <formula>"Withdrawn"</formula>
    </cfRule>
    <cfRule type="cellIs" dxfId="1583" priority="1357" operator="equal">
      <formula>"Proposed"</formula>
    </cfRule>
    <cfRule type="cellIs" dxfId="1582" priority="1358" operator="equal">
      <formula>"Committed"</formula>
    </cfRule>
    <cfRule type="cellIs" dxfId="1581" priority="1359" operator="equal">
      <formula>"Upgrade"</formula>
    </cfRule>
    <cfRule type="cellIs" dxfId="1580" priority="1360" operator="equal">
      <formula>"Existing less Announced Withdrawal"</formula>
    </cfRule>
    <cfRule type="cellIs" dxfId="1579" priority="1361" operator="equal">
      <formula>"Announced Withdrawal"</formula>
    </cfRule>
  </conditionalFormatting>
  <conditionalFormatting sqref="C382">
    <cfRule type="expression" dxfId="1578" priority="1362">
      <formula>$C382&lt;&gt;OFFSET($C382,-1,0,1,1)</formula>
    </cfRule>
    <cfRule type="expression" dxfId="1577" priority="1363">
      <formula>$C382=OFFSET($C382,-1,0,1,1)</formula>
    </cfRule>
    <cfRule type="expression" dxfId="1576" priority="1365">
      <formula>$B382="Project"</formula>
    </cfRule>
  </conditionalFormatting>
  <conditionalFormatting sqref="V88:V109 H88:N109 H179:N184 V179:V184 V186:V245 H186:N209 H211:N245 H210:K210 M210:N210">
    <cfRule type="expression" dxfId="1575" priority="1693">
      <formula>MOD(H88,1)=0</formula>
    </cfRule>
  </conditionalFormatting>
  <conditionalFormatting sqref="B88:Y100 B101:W102 Y101:Y102 B196:Y197 B195:W195 Y195 B199:Y200 B198:W198 Y198 B202:Y209 B201:W201 Y201 B213:Y213 B212:W212 Y212 B215:Y234 B214:W214 Y214 B237:Y238 B235:W236 Y235:Y236 B240:Y244 B239:W239 Y239 B245:W245 Y245 Y295 Y309 Y317 Y332 Y339 Y362 Y372 B103:Y109 B183:Y184 D295:W295 B295:B332 D674:W679 D463:W478 D372:W372 D373:Y376 D362:W362 D363:Y371 D339:W339 D332:W332 D334:Y338 D317:W317 D318:Y331 D309:W309 D310:Y316 B334:B376 B379:B381 D379:W381 B463:B478 B460:B461 D460:W461 B515:B684 D515:W653 B1128:B1181 D1128:W1135 B480:B513 D480:W513 B186:Y194 D296:Y308 D340:Y353 Y379:Y381 Y460:Y461 Y463:Y478 Y480:Y513 Y515:Y655 Y674:Y684 Y1128:Y1181 B211:Y211 B210:K210 M210:Y210 D355:Y361 D354:K354 M354:Y354 D655:W655 D654:K654 M654:W654 D681:W684 D680:K680 M680:W680 D1137:W1181 D1136:K1136 M1136:W1136 B179:W182 Y179:Y182 D386:W388">
    <cfRule type="expression" dxfId="1574" priority="1689">
      <formula>$B88="Project"</formula>
    </cfRule>
  </conditionalFormatting>
  <conditionalFormatting sqref="A88:F109 A179:F184 A186:F245">
    <cfRule type="expression" dxfId="1573" priority="1687">
      <formula>AND($C88=OFFSET($C88,-1,0,1,1),A88=OFFSET(A88,-1,0,1,1))</formula>
    </cfRule>
  </conditionalFormatting>
  <conditionalFormatting sqref="H88:Y100 H101:W102 Y101:Y102 H196:Y197 H195:W195 Y195 H199:Y200 H198:W198 Y198 H202:Y209 H201:W201 Y201 H213:Y213 H212:W212 Y212 H215:Y234 H214:W214 Y214 H237:Y238 H235:W236 Y235:Y236 H240:Y244 H239:W239 Y239 H245:W245 Y245 H295:W295 Y295 H310:Y316 H309:W309 Y309 H318:Y331 H317:W317 Y317 H334:Y338 H332:W332 Y332 H339:W339 Y339 H363:Y371 H362:W362 Y362 H373:Y376 H372:W372 Y372 H463:W478 H674:W679 H103:Y109 H183:Y184 H379:W381 H460:W461 H515:W653 H1128:W1135 H480:W513 H186:Y194 H296:Y308 H340:Y353 Y379:Y381 Y460:Y461 Y1128:Y1181 Y674:Y684 Y515:Y655 Y480:Y513 Y463:Y478 H211:Y211 H210:K210 M210:Y210 H355:Y361 H354:K354 M354:Y354 H655:W655 H654:K654 M654:W654 H681:W684 H680:K680 M680:W680 H1137:W1181 H1136:K1136 M1136:W1136 H179:W182 Y179:Y182 H386:W388">
    <cfRule type="expression" dxfId="1572" priority="1692">
      <formula>AND($C88=OFFSET($C88,-1,0,1,1),$G88=OFFSET($G88,-1,0,1,1),H88&lt;&gt;OFFSET(H88,-1,0,1,1))</formula>
    </cfRule>
  </conditionalFormatting>
  <conditionalFormatting sqref="A88:Y100 A101:W102 Y101:Y102 A196:Y197 A195:W195 Y195 A199:Y200 A198:W198 Y198 A202:Y209 A201:W201 Y201 A213:Y213 A212:W212 Y212 A215:Y234 A214:W214 Y214 A237:Y238 A235:W236 Y235:Y236 A240:Y244 A239:W239 Y239 A245:W245 Y245 Y295 Y309 Y317 Y332 Y339 Y362 Y372 A103:Y109 A183:Y184 D295:W295 A295:B332 D674:W679 D463:W478 D372:W372 D373:Y376 D362:W362 D363:Y371 D339:W339 D332:W332 D334:Y338 D317:W317 D318:Y331 D309:W309 D310:Y316 A334:B376 A379:B381 D379:W381 A463:B478 A460:B461 D460:W461 A515:B684 D515:W653 A1128:B1181 D1128:W1135 A480:B513 D480:W513 A186:Y194 D296:Y308 D340:Y353 Y379:Y381 Y460:Y461 Y463:Y478 Y480:Y513 Y515:Y655 Y674:Y684 Y1128:Y1181 A211:Y211 A210:K210 M210:Y210 D355:Y361 D354:K354 M354:Y354 D655:W655 D654:K654 M654:W654 D681:W684 D680:K680 M680:W680 D1137:W1181 D1136:K1136 M1136:W1136 A179:W182 Y179:Y182 D386:W388">
    <cfRule type="expression" dxfId="1571" priority="1685">
      <formula>$C88&lt;&gt;OFFSET($C88,-1,0,1,1)</formula>
    </cfRule>
  </conditionalFormatting>
  <conditionalFormatting sqref="Q88:Q109 Q179:Q184 Q186:Q245">
    <cfRule type="expression" dxfId="1570" priority="1677">
      <formula>OR(AND(ISNUMBER(DATEVALUE($Q88)),MONTH(DATEVALUE($Q88))=12,DATEVALUE("31/12/"&amp;TEXT(YEAR(DATEVALUE($Q88)),"####"))&lt;TODAY()),AND(ISNUMBER(DATEVALUE($Q88)),MONTH(DATEVALUE($Q88))&lt;12,DATEVALUE("01/"&amp;TEXT(MONTH(DATEVALUE($Q88))+1,"##")&amp;"/"&amp;TEXT(YEAR(DATEVALUE($Q88)),"####"))-1&lt;TODAY()))</formula>
    </cfRule>
  </conditionalFormatting>
  <conditionalFormatting sqref="T88:T109 T179:T184 T186:T245">
    <cfRule type="cellIs" dxfId="1569" priority="1678" operator="equal">
      <formula>"Withdrawn"</formula>
    </cfRule>
    <cfRule type="cellIs" dxfId="1568" priority="1679" operator="equal">
      <formula>"Proposed"</formula>
    </cfRule>
    <cfRule type="cellIs" dxfId="1567" priority="1680" operator="equal">
      <formula>"Committed"</formula>
    </cfRule>
    <cfRule type="cellIs" dxfId="1566" priority="1681" operator="equal">
      <formula>"Upgrade"</formula>
    </cfRule>
    <cfRule type="cellIs" dxfId="1565" priority="1682" operator="equal">
      <formula>"Existing less Announced Withdrawal"</formula>
    </cfRule>
    <cfRule type="cellIs" dxfId="1564" priority="1683" operator="equal">
      <formula>"Announced Withdrawal"</formula>
    </cfRule>
  </conditionalFormatting>
  <conditionalFormatting sqref="C88:C109 C179:C184 C186:C245">
    <cfRule type="expression" dxfId="1563" priority="1684">
      <formula>$C88&lt;&gt;OFFSET($C88,-1,0,1,1)</formula>
    </cfRule>
    <cfRule type="expression" dxfId="1562" priority="1686">
      <formula>$C88=OFFSET($C88,-1,0,1,1)</formula>
    </cfRule>
    <cfRule type="expression" dxfId="1561" priority="1688">
      <formula>$B88="Project"</formula>
    </cfRule>
  </conditionalFormatting>
  <conditionalFormatting sqref="D88:Y100 D101:W102 Y101:Y102 D196:Y197 D195:W195 Y195 D199:Y200 D198:W198 Y198 D202:Y209 D201:W201 Y201 D213:Y213 D212:W212 Y212 D215:Y234 D214:W214 Y214 D237:Y238 D235:W236 Y235:Y236 D240:Y244 D239:W239 Y239 D245:W245 Y245 D295:W295 Y295 D310:Y316 D309:W309 Y309 D318:Y331 D317:W317 Y317 D334:Y338 D332:W332 Y332 D339:W339 Y339 D363:Y371 D362:W362 Y362 D373:Y376 D372:W372 Y372 D463:W478 D674:W679 D103:Y109 D183:Y184 D379:W381 D460:W461 D515:W653 D1128:W1135 D480:W513 D186:Y194 D296:Y308 D340:Y353 Y379:Y381 Y460:Y461 Y1128:Y1181 Y674:Y684 Y515:Y655 Y480:Y513 Y463:Y478 D211:Y211 D210:K210 M210:Y210 D355:Y361 D354:K354 M354:Y354 D655:W655 D654:K654 M654:W654 D681:W684 D680:K680 M680:W680 D1137:W1181 D1136:K1136 M1136:W1136 D179:W182 Y179:Y182 D386:W388">
    <cfRule type="expression" dxfId="1560" priority="1690">
      <formula>AND($C88=OFFSET($C88,-1,0,1,1),$G88&lt;&gt;OFFSET($G88,-1,0,1,1))</formula>
    </cfRule>
    <cfRule type="expression" dxfId="1559" priority="1691">
      <formula>AND($C88=OFFSET($C88,-1,0,1,1),$G88=OFFSET($G88,-1,0,1,1),D88=OFFSET(D88,-1,0,1,1))</formula>
    </cfRule>
  </conditionalFormatting>
  <conditionalFormatting sqref="V88:V109 H88:N109 H179:N184 V179:V184 V186:V245 H186:N209 H211:N245 H210:K210 M210:N210">
    <cfRule type="expression" dxfId="1558" priority="1670">
      <formula>MOD(H88,1)=0</formula>
    </cfRule>
  </conditionalFormatting>
  <conditionalFormatting sqref="B88:Y100 B101:W102 Y101:Y102 B196:Y197 B195:W195 Y195 B199:Y200 B198:W198 Y198 B202:Y209 B201:W201 Y201 B213:Y213 B212:W212 Y212 B215:Y234 B214:W214 Y214 B237:Y238 B235:W236 Y235:Y236 B240:Y244 B239:W239 Y239 B245:W245 Y245 Y295 Y309 Y317 Y332 Y339 Y362 Y372 B103:Y109 B183:Y184 D295:W295 B295:B332 D674:W679 D463:W478 D372:W372 D373:Y376 D362:W362 D363:Y371 D339:W339 D332:W332 D334:Y338 D317:W317 D318:Y331 D309:W309 D310:Y316 B334:B376 B379:B381 D379:W381 B463:B478 B460:B461 D460:W461 B515:B684 D515:W653 B1128:B1181 D1128:W1135 B480:B513 D480:W513 B186:Y194 D296:Y308 D340:Y353 Y379:Y381 Y460:Y461 Y463:Y478 Y480:Y513 Y515:Y655 Y674:Y684 Y1128:Y1181 B211:Y211 B210:K210 M210:Y210 D355:Y361 D354:K354 M354:Y354 D655:W655 D654:K654 M654:W654 D681:W684 D680:K680 M680:W680 D1137:W1181 D1136:K1136 M1136:W1136 B179:W182 Y179:Y182 D386:W388">
    <cfRule type="expression" dxfId="1557" priority="1666">
      <formula>$B88="Project"</formula>
    </cfRule>
  </conditionalFormatting>
  <conditionalFormatting sqref="A88:F109 A179:F184 A186:F245">
    <cfRule type="expression" dxfId="1556" priority="1664">
      <formula>AND($C88=OFFSET($C88,-1,0,1,1),A88=OFFSET(A88,-1,0,1,1))</formula>
    </cfRule>
  </conditionalFormatting>
  <conditionalFormatting sqref="H88:Y100 H101:W102 Y101:Y102 H196:Y197 H195:W195 Y195 H199:Y200 H198:W198 Y198 H202:Y209 H201:W201 Y201 H213:Y213 H212:W212 Y212 H215:Y234 H214:W214 Y214 H237:Y238 H235:W236 Y235:Y236 H240:Y244 H239:W239 Y239 H245:W245 Y245 H295:W295 Y295 H310:Y316 H309:W309 Y309 H318:Y331 H317:W317 Y317 H334:Y338 H332:W332 Y332 H339:W339 Y339 H363:Y371 H362:W362 Y362 H373:Y376 H372:W372 Y372 H463:W478 H674:W679 H103:Y109 H183:Y184 H379:W381 H460:W461 H515:W653 H1128:W1135 H480:W513 H186:Y194 H296:Y308 H340:Y353 Y379:Y381 Y460:Y461 Y1128:Y1181 Y674:Y684 Y515:Y655 Y480:Y513 Y463:Y478 H211:Y211 H210:K210 M210:Y210 H355:Y361 H354:K354 M354:Y354 H655:W655 H654:K654 M654:W654 H681:W684 H680:K680 M680:W680 H1137:W1181 H1136:K1136 M1136:W1136 H179:W182 Y179:Y182 H386:W388">
    <cfRule type="expression" dxfId="1555" priority="1669">
      <formula>AND($C88=OFFSET($C88,-1,0,1,1),$G88=OFFSET($G88,-1,0,1,1),H88&lt;&gt;OFFSET(H88,-1,0,1,1))</formula>
    </cfRule>
  </conditionalFormatting>
  <conditionalFormatting sqref="A88:Y100 A101:W102 Y101:Y102 A196:Y197 A195:W195 Y195 A199:Y200 A198:W198 Y198 A202:Y209 A201:W201 Y201 A213:Y213 A212:W212 Y212 A215:Y234 A214:W214 Y214 A237:Y238 A235:W236 Y235:Y236 A240:Y244 A239:W239 Y239 A245:W245 Y245 Y295 Y309 Y317 Y332 Y339 Y362 Y372 A103:Y109 A183:Y184 D295:W295 A295:B332 D674:W679 D463:W478 D372:W372 D373:Y376 D362:W362 D363:Y371 D339:W339 D332:W332 D334:Y338 D317:W317 D318:Y331 D309:W309 D310:Y316 A334:B376 A379:B381 D379:W381 A463:B478 A460:B461 D460:W461 A515:B684 D515:W653 A1128:B1181 D1128:W1135 A480:B513 D480:W513 A186:Y194 D296:Y308 D340:Y353 Y379:Y381 Y460:Y461 Y463:Y478 Y480:Y513 Y515:Y655 Y674:Y684 Y1128:Y1181 A211:Y211 A210:K210 M210:Y210 D355:Y361 D354:K354 M354:Y354 D655:W655 D654:K654 M654:W654 D681:W684 D680:K680 M680:W680 D1137:W1181 D1136:K1136 M1136:W1136 A179:W182 Y179:Y182 D386:W388">
    <cfRule type="expression" dxfId="1554" priority="1662">
      <formula>$C88&lt;&gt;OFFSET($C88,-1,0,1,1)</formula>
    </cfRule>
  </conditionalFormatting>
  <conditionalFormatting sqref="Q88:Q109 Q179:Q184 Q186:Q245">
    <cfRule type="expression" dxfId="1553" priority="1654">
      <formula>OR(AND(ISNUMBER(DATEVALUE($Q88)),MONTH(DATEVALUE($Q88))=12,DATEVALUE("31/12/"&amp;TEXT(YEAR(DATEVALUE($Q88)),"####"))&lt;TODAY()),AND(ISNUMBER(DATEVALUE($Q88)),MONTH(DATEVALUE($Q88))&lt;12,DATEVALUE("01/"&amp;TEXT(MONTH(DATEVALUE($Q88))+1,"##")&amp;"/"&amp;TEXT(YEAR(DATEVALUE($Q88)),"####"))-1&lt;TODAY()))</formula>
    </cfRule>
  </conditionalFormatting>
  <conditionalFormatting sqref="T88:T109 T179:T184 T186:T245">
    <cfRule type="cellIs" dxfId="1552" priority="1655" operator="equal">
      <formula>"Withdrawn"</formula>
    </cfRule>
    <cfRule type="cellIs" dxfId="1551" priority="1656" operator="equal">
      <formula>"Proposed"</formula>
    </cfRule>
    <cfRule type="cellIs" dxfId="1550" priority="1657" operator="equal">
      <formula>"Committed"</formula>
    </cfRule>
    <cfRule type="cellIs" dxfId="1549" priority="1658" operator="equal">
      <formula>"Upgrade"</formula>
    </cfRule>
    <cfRule type="cellIs" dxfId="1548" priority="1659" operator="equal">
      <formula>"Existing less Announced Withdrawal"</formula>
    </cfRule>
    <cfRule type="cellIs" dxfId="1547" priority="1660" operator="equal">
      <formula>"Announced Withdrawal"</formula>
    </cfRule>
  </conditionalFormatting>
  <conditionalFormatting sqref="C88:C109 C179:C184 C186:C245">
    <cfRule type="expression" dxfId="1546" priority="1661">
      <formula>$C88&lt;&gt;OFFSET($C88,-1,0,1,1)</formula>
    </cfRule>
    <cfRule type="expression" dxfId="1545" priority="1663">
      <formula>$C88=OFFSET($C88,-1,0,1,1)</formula>
    </cfRule>
    <cfRule type="expression" dxfId="1544" priority="1665">
      <formula>$B88="Project"</formula>
    </cfRule>
  </conditionalFormatting>
  <conditionalFormatting sqref="D88:Y100 D101:W102 Y101:Y102 D196:Y197 D195:W195 Y195 D199:Y200 D198:W198 Y198 D202:Y209 D201:W201 Y201 D213:Y213 D212:W212 Y212 D215:Y234 D214:W214 Y214 D237:Y238 D235:W236 Y235:Y236 D240:Y244 D239:W239 Y239 D245:W245 Y245 D295:W295 Y295 D310:Y316 D309:W309 Y309 D318:Y331 D317:W317 Y317 D334:Y338 D332:W332 Y332 D339:W339 Y339 D363:Y371 D362:W362 Y362 D373:Y376 D372:W372 Y372 D463:W478 D674:W679 D103:Y109 D183:Y184 D379:W381 D460:W461 D515:W653 D1128:W1135 D480:W513 D186:Y194 D296:Y308 D340:Y353 Y379:Y381 Y460:Y461 Y1128:Y1181 Y674:Y684 Y515:Y655 Y480:Y513 Y463:Y478 D211:Y211 D210:K210 M210:Y210 D355:Y361 D354:K354 M354:Y354 D655:W655 D654:K654 M654:W654 D681:W684 D680:K680 M680:W680 D1137:W1181 D1136:K1136 M1136:W1136 D179:W182 Y179:Y182 D386:W388">
    <cfRule type="expression" dxfId="1543" priority="1667">
      <formula>AND($C88=OFFSET($C88,-1,0,1,1),$G88&lt;&gt;OFFSET($G88,-1,0,1,1))</formula>
    </cfRule>
    <cfRule type="expression" dxfId="1542" priority="1668">
      <formula>AND($C88=OFFSET($C88,-1,0,1,1),$G88=OFFSET($G88,-1,0,1,1),D88=OFFSET(D88,-1,0,1,1))</formula>
    </cfRule>
  </conditionalFormatting>
  <conditionalFormatting sqref="X372 X362 X339 X332 X317 X309 X295 X245 X239 X235:X236 X214 X212 X201 X198 X195 X101:X102">
    <cfRule type="expression" dxfId="1541" priority="1650">
      <formula>$B101="Project"</formula>
    </cfRule>
  </conditionalFormatting>
  <conditionalFormatting sqref="X372 X362 X339 X332 X317 X309 X295 X245 X239 X235:X236 X214 X212 X201 X198 X195 X101:X102">
    <cfRule type="expression" dxfId="1540" priority="1653">
      <formula>AND($C101=OFFSET($C101,-1,0,1,1),$G101=OFFSET($G101,-1,0,1,1),X101&lt;&gt;OFFSET(X101,-1,0,1,1))</formula>
    </cfRule>
  </conditionalFormatting>
  <conditionalFormatting sqref="X372 X362 X339 X332 X317 X309 X295 X245 X239 X235:X236 X214 X212 X201 X198 X195 X101:X102">
    <cfRule type="expression" dxfId="1539" priority="1649">
      <formula>$C101&lt;&gt;OFFSET($C101,-1,0,1,1)</formula>
    </cfRule>
  </conditionalFormatting>
  <conditionalFormatting sqref="X372 X362 X339 X332 X317 X309 X295 X245 X239 X235:X236 X214 X212 X201 X198 X195 X101:X102">
    <cfRule type="expression" dxfId="1538" priority="1651">
      <formula>AND($C101=OFFSET($C101,-1,0,1,1),$G101&lt;&gt;OFFSET($G101,-1,0,1,1))</formula>
    </cfRule>
    <cfRule type="expression" dxfId="1537" priority="1652">
      <formula>AND($C101=OFFSET($C101,-1,0,1,1),$G101=OFFSET($G101,-1,0,1,1),X101=OFFSET(X101,-1,0,1,1))</formula>
    </cfRule>
  </conditionalFormatting>
  <conditionalFormatting sqref="X372 X362 X339 X332 X317 X309 X295 X245 X239 X235:X236 X214 X212 X201 X198 X195 X101:X102">
    <cfRule type="expression" dxfId="1536" priority="1645">
      <formula>$B101="Project"</formula>
    </cfRule>
  </conditionalFormatting>
  <conditionalFormatting sqref="X372 X362 X339 X332 X317 X309 X295 X245 X239 X235:X236 X214 X212 X201 X198 X195 X101:X102">
    <cfRule type="expression" dxfId="1535" priority="1648">
      <formula>AND($C101=OFFSET($C101,-1,0,1,1),$G101=OFFSET($G101,-1,0,1,1),X101&lt;&gt;OFFSET(X101,-1,0,1,1))</formula>
    </cfRule>
  </conditionalFormatting>
  <conditionalFormatting sqref="X372 X362 X339 X332 X317 X309 X295 X245 X239 X235:X236 X214 X212 X201 X198 X195 X101:X102">
    <cfRule type="expression" dxfId="1534" priority="1644">
      <formula>$C101&lt;&gt;OFFSET($C101,-1,0,1,1)</formula>
    </cfRule>
  </conditionalFormatting>
  <conditionalFormatting sqref="X372 X362 X339 X332 X317 X309 X295 X245 X239 X235:X236 X214 X212 X201 X198 X195 X101:X102">
    <cfRule type="expression" dxfId="1533" priority="1646">
      <formula>AND($C101=OFFSET($C101,-1,0,1,1),$G101&lt;&gt;OFFSET($G101,-1,0,1,1))</formula>
    </cfRule>
    <cfRule type="expression" dxfId="1532" priority="1647">
      <formula>AND($C101=OFFSET($C101,-1,0,1,1),$G101=OFFSET($G101,-1,0,1,1),X101=OFFSET(X101,-1,0,1,1))</formula>
    </cfRule>
  </conditionalFormatting>
  <conditionalFormatting sqref="H35:N37">
    <cfRule type="expression" dxfId="1531" priority="1638">
      <formula>MOD(H35,1)=0</formula>
    </cfRule>
  </conditionalFormatting>
  <conditionalFormatting sqref="B35:W37">
    <cfRule type="expression" dxfId="1530" priority="1637">
      <formula>$B35="Project"</formula>
    </cfRule>
  </conditionalFormatting>
  <conditionalFormatting sqref="A35:F37">
    <cfRule type="expression" dxfId="1529" priority="1635">
      <formula>AND($C35=OFFSET($C35,-1,0,1,1),A35=OFFSET(A35,-1,0,1,1))</formula>
    </cfRule>
  </conditionalFormatting>
  <conditionalFormatting sqref="C35:C37">
    <cfRule type="expression" dxfId="1528" priority="1633">
      <formula>$C35&lt;&gt;OFFSET($C35,-1,0,1,1)</formula>
    </cfRule>
    <cfRule type="expression" dxfId="1527" priority="1634">
      <formula>$C35=OFFSET($C35,-1,0,1,1)</formula>
    </cfRule>
    <cfRule type="expression" dxfId="1526" priority="1636">
      <formula>$B35="Project"</formula>
    </cfRule>
  </conditionalFormatting>
  <conditionalFormatting sqref="H35:W37">
    <cfRule type="expression" dxfId="1525" priority="1641">
      <formula>AND($C35=OFFSET($C35,-1,0,1,1),$G35=OFFSET($G35,-1,0,1,1),H35&lt;&gt;OFFSET(H35,-1,0,1,1))</formula>
    </cfRule>
  </conditionalFormatting>
  <conditionalFormatting sqref="T35:T37">
    <cfRule type="cellIs" dxfId="1524" priority="1627" operator="equal">
      <formula>"Withdrawn"</formula>
    </cfRule>
    <cfRule type="cellIs" dxfId="1523" priority="1628" operator="equal">
      <formula>"Proposed"</formula>
    </cfRule>
    <cfRule type="cellIs" dxfId="1522" priority="1629" operator="equal">
      <formula>"Committed"</formula>
    </cfRule>
    <cfRule type="cellIs" dxfId="1521" priority="1630" operator="equal">
      <formula>"Upgrade"</formula>
    </cfRule>
    <cfRule type="cellIs" dxfId="1520" priority="1631" operator="equal">
      <formula>"Existing less Announced Withdrawal"</formula>
    </cfRule>
    <cfRule type="cellIs" dxfId="1519" priority="1632" operator="equal">
      <formula>"Announced Withdrawal"</formula>
    </cfRule>
  </conditionalFormatting>
  <conditionalFormatting sqref="Q35:Q37">
    <cfRule type="expression" dxfId="1518" priority="1626">
      <formula>OR(AND(ISNUMBER(DATEVALUE($Q35)),MONTH(DATEVALUE($Q35))=12,DATEVALUE("31/12/"&amp;TEXT(YEAR(DATEVALUE($Q35)),"####"))&lt;TODAY()),AND(ISNUMBER(DATEVALUE($Q35)),MONTH(DATEVALUE($Q35))&lt;12,DATEVALUE("01/"&amp;TEXT(MONTH(DATEVALUE($Q35))+1,"##")&amp;"/"&amp;TEXT(YEAR(DATEVALUE($Q35)),"####"))-1&lt;TODAY()))</formula>
    </cfRule>
  </conditionalFormatting>
  <conditionalFormatting sqref="D35:W37">
    <cfRule type="expression" dxfId="1517" priority="1639">
      <formula>AND($C35=OFFSET($C35,-1,0,1,1),$G35&lt;&gt;OFFSET($G35,-1,0,1,1))</formula>
    </cfRule>
    <cfRule type="expression" dxfId="1516" priority="1640">
      <formula>AND($C35=OFFSET($C35,-1,0,1,1),$G35=OFFSET($G35,-1,0,1,1),D35=OFFSET(D35,-1,0,1,1))</formula>
    </cfRule>
  </conditionalFormatting>
  <conditionalFormatting sqref="X35:X37">
    <cfRule type="expression" dxfId="1515" priority="1625">
      <formula>ISBLANK(X35)=FALSE</formula>
    </cfRule>
  </conditionalFormatting>
  <conditionalFormatting sqref="A35:W37 C515:C684 A1186:W1186 C1187:C1222 C1224:C1259 C386:C388">
    <cfRule type="expression" dxfId="1514" priority="1642">
      <formula>COUNTBLANK($A35:$W35)=25</formula>
    </cfRule>
    <cfRule type="expression" dxfId="1513" priority="1643">
      <formula>$C35&lt;&gt;OFFSET($C35,-1,0,1,1)</formula>
    </cfRule>
  </conditionalFormatting>
  <conditionalFormatting sqref="H178:N178">
    <cfRule type="expression" dxfId="1512" priority="1619">
      <formula>MOD(H178,1)=0</formula>
    </cfRule>
  </conditionalFormatting>
  <conditionalFormatting sqref="B178:W178">
    <cfRule type="expression" dxfId="1511" priority="1618">
      <formula>$B178="Project"</formula>
    </cfRule>
  </conditionalFormatting>
  <conditionalFormatting sqref="A178:F178">
    <cfRule type="expression" dxfId="1510" priority="1616">
      <formula>AND($C178=OFFSET($C178,-1,0,1,1),A178=OFFSET(A178,-1,0,1,1))</formula>
    </cfRule>
  </conditionalFormatting>
  <conditionalFormatting sqref="C178">
    <cfRule type="expression" dxfId="1509" priority="1614">
      <formula>$C178&lt;&gt;OFFSET($C178,-1,0,1,1)</formula>
    </cfRule>
    <cfRule type="expression" dxfId="1508" priority="1615">
      <formula>$C178=OFFSET($C178,-1,0,1,1)</formula>
    </cfRule>
    <cfRule type="expression" dxfId="1507" priority="1617">
      <formula>$B178="Project"</formula>
    </cfRule>
  </conditionalFormatting>
  <conditionalFormatting sqref="H178:W178">
    <cfRule type="expression" dxfId="1506" priority="1622">
      <formula>AND($C178=OFFSET($C178,-1,0,1,1),$G178=OFFSET($G178,-1,0,1,1),H178&lt;&gt;OFFSET(H178,-1,0,1,1))</formula>
    </cfRule>
  </conditionalFormatting>
  <conditionalFormatting sqref="T178">
    <cfRule type="cellIs" dxfId="1505" priority="1608" operator="equal">
      <formula>"Withdrawn"</formula>
    </cfRule>
    <cfRule type="cellIs" dxfId="1504" priority="1609" operator="equal">
      <formula>"Proposed"</formula>
    </cfRule>
    <cfRule type="cellIs" dxfId="1503" priority="1610" operator="equal">
      <formula>"Committed"</formula>
    </cfRule>
    <cfRule type="cellIs" dxfId="1502" priority="1611" operator="equal">
      <formula>"Upgrade"</formula>
    </cfRule>
    <cfRule type="cellIs" dxfId="1501" priority="1612" operator="equal">
      <formula>"Existing less Announced Withdrawal"</formula>
    </cfRule>
    <cfRule type="cellIs" dxfId="1500" priority="1613" operator="equal">
      <formula>"Announced Withdrawal"</formula>
    </cfRule>
  </conditionalFormatting>
  <conditionalFormatting sqref="Q178">
    <cfRule type="expression" dxfId="1499" priority="1607">
      <formula>OR(AND(ISNUMBER(DATEVALUE($Q178)),MONTH(DATEVALUE($Q178))=12,DATEVALUE("31/12/"&amp;TEXT(YEAR(DATEVALUE($Q178)),"####"))&lt;TODAY()),AND(ISNUMBER(DATEVALUE($Q178)),MONTH(DATEVALUE($Q178))&lt;12,DATEVALUE("01/"&amp;TEXT(MONTH(DATEVALUE($Q178))+1,"##")&amp;"/"&amp;TEXT(YEAR(DATEVALUE($Q178)),"####"))-1&lt;TODAY()))</formula>
    </cfRule>
  </conditionalFormatting>
  <conditionalFormatting sqref="D178:W178">
    <cfRule type="expression" dxfId="1498" priority="1620">
      <formula>AND($C178=OFFSET($C178,-1,0,1,1),$G178&lt;&gt;OFFSET($G178,-1,0,1,1))</formula>
    </cfRule>
    <cfRule type="expression" dxfId="1497" priority="1621">
      <formula>AND($C178=OFFSET($C178,-1,0,1,1),$G178=OFFSET($G178,-1,0,1,1),D178=OFFSET(D178,-1,0,1,1))</formula>
    </cfRule>
  </conditionalFormatting>
  <conditionalFormatting sqref="A178:W178">
    <cfRule type="expression" dxfId="1496" priority="1623">
      <formula>COUNTBLANK($A178:$W178)=25</formula>
    </cfRule>
    <cfRule type="expression" dxfId="1495" priority="1624">
      <formula>$C178&lt;&gt;OFFSET($C178,-1,0,1,1)</formula>
    </cfRule>
  </conditionalFormatting>
  <conditionalFormatting sqref="Y295:Y307 Y226:Y245">
    <cfRule type="colorScale" priority="7280">
      <colorScale>
        <cfvo type="min"/>
        <cfvo type="formula" val="TODAY()-365"/>
        <cfvo type="max"/>
        <color rgb="FFFFD1D1"/>
        <color theme="7" tint="0.79998168889431442"/>
        <color theme="0"/>
      </colorScale>
    </cfRule>
  </conditionalFormatting>
  <conditionalFormatting sqref="C295">
    <cfRule type="expression" dxfId="1494" priority="1486">
      <formula>$B295="Project"</formula>
    </cfRule>
  </conditionalFormatting>
  <conditionalFormatting sqref="C295">
    <cfRule type="expression" dxfId="1493" priority="1484">
      <formula>AND($C295=OFFSET($C295,-1,0,1,1),C295=OFFSET(C295,-1,0,1,1))</formula>
    </cfRule>
  </conditionalFormatting>
  <conditionalFormatting sqref="C295">
    <cfRule type="expression" dxfId="1492" priority="1482">
      <formula>$C295&lt;&gt;OFFSET($C295,-1,0,1,1)</formula>
    </cfRule>
    <cfRule type="expression" dxfId="1491" priority="1483">
      <formula>$C295=OFFSET($C295,-1,0,1,1)</formula>
    </cfRule>
    <cfRule type="expression" dxfId="1490" priority="1485">
      <formula>$B295="Project"</formula>
    </cfRule>
  </conditionalFormatting>
  <conditionalFormatting sqref="C295">
    <cfRule type="expression" dxfId="1489" priority="1487">
      <formula>COUNTBLANK($A295:$W295)=25</formula>
    </cfRule>
    <cfRule type="expression" dxfId="1488" priority="1488">
      <formula>$C295&lt;&gt;OFFSET($C295,-1,0,1,1)</formula>
    </cfRule>
  </conditionalFormatting>
  <conditionalFormatting sqref="C296:C306">
    <cfRule type="expression" dxfId="1487" priority="1479">
      <formula>$B296="Project"</formula>
    </cfRule>
  </conditionalFormatting>
  <conditionalFormatting sqref="C296:C306">
    <cfRule type="expression" dxfId="1486" priority="1477">
      <formula>AND($C296=OFFSET($C296,-1,0,1,1),C296=OFFSET(C296,-1,0,1,1))</formula>
    </cfRule>
  </conditionalFormatting>
  <conditionalFormatting sqref="C296:C306">
    <cfRule type="expression" dxfId="1485" priority="1475">
      <formula>$C296&lt;&gt;OFFSET($C296,-1,0,1,1)</formula>
    </cfRule>
    <cfRule type="expression" dxfId="1484" priority="1476">
      <formula>$C296=OFFSET($C296,-1,0,1,1)</formula>
    </cfRule>
    <cfRule type="expression" dxfId="1483" priority="1478">
      <formula>$B296="Project"</formula>
    </cfRule>
  </conditionalFormatting>
  <conditionalFormatting sqref="C296:C306">
    <cfRule type="expression" dxfId="1482" priority="1480">
      <formula>COUNTBLANK($A296:$W296)=25</formula>
    </cfRule>
    <cfRule type="expression" dxfId="1481" priority="1481">
      <formula>$C296&lt;&gt;OFFSET($C296,-1,0,1,1)</formula>
    </cfRule>
  </conditionalFormatting>
  <conditionalFormatting sqref="C307:C332 C334:C376 C379:C381 C463:C478 C460:C461 C515:C684 C1128:C1181 C480:C513">
    <cfRule type="expression" dxfId="1480" priority="1472">
      <formula>$B307="Project"</formula>
    </cfRule>
  </conditionalFormatting>
  <conditionalFormatting sqref="C307:C332 C334:C376 C379:C381 C463:C478 C460:C461 C515:C684 C1128:C1181 C480:C513">
    <cfRule type="expression" dxfId="1479" priority="1470">
      <formula>AND($C307=OFFSET($C307,-1,0,1,1),C307=OFFSET(C307,-1,0,1,1))</formula>
    </cfRule>
  </conditionalFormatting>
  <conditionalFormatting sqref="C307:C332 C334:C376 C379:C381 C463:C478 C460:C461 C515:C684 C1128:C1181 C480:C513">
    <cfRule type="expression" dxfId="1478" priority="1468">
      <formula>$C307&lt;&gt;OFFSET($C307,-1,0,1,1)</formula>
    </cfRule>
    <cfRule type="expression" dxfId="1477" priority="1469">
      <formula>$C307=OFFSET($C307,-1,0,1,1)</formula>
    </cfRule>
    <cfRule type="expression" dxfId="1476" priority="1471">
      <formula>$B307="Project"</formula>
    </cfRule>
  </conditionalFormatting>
  <conditionalFormatting sqref="C307:C332 C334:C376 C379:C381 C463:C478 C460:C461 C1128:C1181 C480:C513">
    <cfRule type="expression" dxfId="1475" priority="1473">
      <formula>COUNTBLANK($A307:$W307)=25</formula>
    </cfRule>
    <cfRule type="expression" dxfId="1474" priority="1474">
      <formula>$C307&lt;&gt;OFFSET($C307,-1,0,1,1)</formula>
    </cfRule>
  </conditionalFormatting>
  <conditionalFormatting sqref="H333:N333">
    <cfRule type="expression" dxfId="1473" priority="1462">
      <formula>MOD(H333,1)=0</formula>
    </cfRule>
  </conditionalFormatting>
  <conditionalFormatting sqref="B333:W333">
    <cfRule type="expression" dxfId="1472" priority="1461">
      <formula>$B333="Project"</formula>
    </cfRule>
  </conditionalFormatting>
  <conditionalFormatting sqref="A333:F333">
    <cfRule type="expression" dxfId="1471" priority="1459">
      <formula>AND($C333=OFFSET($C333,-1,0,1,1),A333=OFFSET(A333,-1,0,1,1))</formula>
    </cfRule>
  </conditionalFormatting>
  <conditionalFormatting sqref="C333">
    <cfRule type="expression" dxfId="1470" priority="1457">
      <formula>$C333&lt;&gt;OFFSET($C333,-1,0,1,1)</formula>
    </cfRule>
    <cfRule type="expression" dxfId="1469" priority="1458">
      <formula>$C333=OFFSET($C333,-1,0,1,1)</formula>
    </cfRule>
    <cfRule type="expression" dxfId="1468" priority="1460">
      <formula>$B333="Project"</formula>
    </cfRule>
  </conditionalFormatting>
  <conditionalFormatting sqref="H333:W333">
    <cfRule type="expression" dxfId="1467" priority="1465">
      <formula>AND($C333=OFFSET($C333,-1,0,1,1),$G333=OFFSET($G333,-1,0,1,1),H333&lt;&gt;OFFSET(H333,-1,0,1,1))</formula>
    </cfRule>
  </conditionalFormatting>
  <conditionalFormatting sqref="T333">
    <cfRule type="cellIs" dxfId="1466" priority="1451" operator="equal">
      <formula>"Withdrawn"</formula>
    </cfRule>
    <cfRule type="cellIs" dxfId="1465" priority="1452" operator="equal">
      <formula>"Proposed"</formula>
    </cfRule>
    <cfRule type="cellIs" dxfId="1464" priority="1453" operator="equal">
      <formula>"Committed"</formula>
    </cfRule>
    <cfRule type="cellIs" dxfId="1463" priority="1454" operator="equal">
      <formula>"Upgrade"</formula>
    </cfRule>
    <cfRule type="cellIs" dxfId="1462" priority="1455" operator="equal">
      <formula>"Existing less Announced Withdrawal"</formula>
    </cfRule>
    <cfRule type="cellIs" dxfId="1461" priority="1456" operator="equal">
      <formula>"Announced Withdrawal"</formula>
    </cfRule>
  </conditionalFormatting>
  <conditionalFormatting sqref="Q333">
    <cfRule type="expression" dxfId="1460" priority="1450">
      <formula>OR(AND(ISNUMBER(DATEVALUE($Q333)),MONTH(DATEVALUE($Q333))=12,DATEVALUE("31/12/"&amp;TEXT(YEAR(DATEVALUE($Q333)),"####"))&lt;TODAY()),AND(ISNUMBER(DATEVALUE($Q333)),MONTH(DATEVALUE($Q333))&lt;12,DATEVALUE("01/"&amp;TEXT(MONTH(DATEVALUE($Q333))+1,"##")&amp;"/"&amp;TEXT(YEAR(DATEVALUE($Q333)),"####"))-1&lt;TODAY()))</formula>
    </cfRule>
  </conditionalFormatting>
  <conditionalFormatting sqref="D333:W333">
    <cfRule type="expression" dxfId="1459" priority="1463">
      <formula>AND($C333=OFFSET($C333,-1,0,1,1),$G333&lt;&gt;OFFSET($G333,-1,0,1,1))</formula>
    </cfRule>
    <cfRule type="expression" dxfId="1458" priority="1464">
      <formula>AND($C333=OFFSET($C333,-1,0,1,1),$G333=OFFSET($G333,-1,0,1,1),D333=OFFSET(D333,-1,0,1,1))</formula>
    </cfRule>
  </conditionalFormatting>
  <conditionalFormatting sqref="A333:W333">
    <cfRule type="expression" dxfId="1457" priority="1466">
      <formula>COUNTBLANK($A333:$W333)=25</formula>
    </cfRule>
    <cfRule type="expression" dxfId="1456" priority="1467">
      <formula>$C333&lt;&gt;OFFSET($C333,-1,0,1,1)</formula>
    </cfRule>
  </conditionalFormatting>
  <conditionalFormatting sqref="H377:N378">
    <cfRule type="expression" dxfId="1455" priority="1443">
      <formula>MOD(H377,1)=0</formula>
    </cfRule>
  </conditionalFormatting>
  <conditionalFormatting sqref="B377:W378">
    <cfRule type="expression" dxfId="1454" priority="1442">
      <formula>$B377="Project"</formula>
    </cfRule>
  </conditionalFormatting>
  <conditionalFormatting sqref="A377:F378">
    <cfRule type="expression" dxfId="1453" priority="1440">
      <formula>AND($C377=OFFSET($C377,-1,0,1,1),A377=OFFSET(A377,-1,0,1,1))</formula>
    </cfRule>
  </conditionalFormatting>
  <conditionalFormatting sqref="C377:C378">
    <cfRule type="expression" dxfId="1452" priority="1438">
      <formula>$C377&lt;&gt;OFFSET($C377,-1,0,1,1)</formula>
    </cfRule>
    <cfRule type="expression" dxfId="1451" priority="1439">
      <formula>$C377=OFFSET($C377,-1,0,1,1)</formula>
    </cfRule>
    <cfRule type="expression" dxfId="1450" priority="1441">
      <formula>$B377="Project"</formula>
    </cfRule>
  </conditionalFormatting>
  <conditionalFormatting sqref="H377:W378">
    <cfRule type="expression" dxfId="1449" priority="1446">
      <formula>AND($C377=OFFSET($C377,-1,0,1,1),$G377=OFFSET($G377,-1,0,1,1),H377&lt;&gt;OFFSET(H377,-1,0,1,1))</formula>
    </cfRule>
  </conditionalFormatting>
  <conditionalFormatting sqref="T377:T378">
    <cfRule type="cellIs" dxfId="1448" priority="1432" operator="equal">
      <formula>"Withdrawn"</formula>
    </cfRule>
    <cfRule type="cellIs" dxfId="1447" priority="1433" operator="equal">
      <formula>"Proposed"</formula>
    </cfRule>
    <cfRule type="cellIs" dxfId="1446" priority="1434" operator="equal">
      <formula>"Committed"</formula>
    </cfRule>
    <cfRule type="cellIs" dxfId="1445" priority="1435" operator="equal">
      <formula>"Upgrade"</formula>
    </cfRule>
    <cfRule type="cellIs" dxfId="1444" priority="1436" operator="equal">
      <formula>"Existing less Announced Withdrawal"</formula>
    </cfRule>
    <cfRule type="cellIs" dxfId="1443" priority="1437" operator="equal">
      <formula>"Announced Withdrawal"</formula>
    </cfRule>
  </conditionalFormatting>
  <conditionalFormatting sqref="Q377:Q378">
    <cfRule type="expression" dxfId="1442" priority="1431">
      <formula>OR(AND(ISNUMBER(DATEVALUE($Q377)),MONTH(DATEVALUE($Q377))=12,DATEVALUE("31/12/"&amp;TEXT(YEAR(DATEVALUE($Q377)),"####"))&lt;TODAY()),AND(ISNUMBER(DATEVALUE($Q377)),MONTH(DATEVALUE($Q377))&lt;12,DATEVALUE("01/"&amp;TEXT(MONTH(DATEVALUE($Q377))+1,"##")&amp;"/"&amp;TEXT(YEAR(DATEVALUE($Q377)),"####"))-1&lt;TODAY()))</formula>
    </cfRule>
  </conditionalFormatting>
  <conditionalFormatting sqref="D377:W378">
    <cfRule type="expression" dxfId="1441" priority="1444">
      <formula>AND($C377=OFFSET($C377,-1,0,1,1),$G377&lt;&gt;OFFSET($G377,-1,0,1,1))</formula>
    </cfRule>
    <cfRule type="expression" dxfId="1440" priority="1445">
      <formula>AND($C377=OFFSET($C377,-1,0,1,1),$G377=OFFSET($G377,-1,0,1,1),D377=OFFSET(D377,-1,0,1,1))</formula>
    </cfRule>
  </conditionalFormatting>
  <conditionalFormatting sqref="A377:W378">
    <cfRule type="expression" dxfId="1439" priority="1447">
      <formula>COUNTBLANK($A377:$W377)=25</formula>
    </cfRule>
    <cfRule type="expression" dxfId="1438" priority="1448">
      <formula>$C377&lt;&gt;OFFSET($C377,-1,0,1,1)</formula>
    </cfRule>
  </conditionalFormatting>
  <conditionalFormatting sqref="H462:N462">
    <cfRule type="expression" dxfId="1437" priority="1424">
      <formula>MOD(H462,1)=0</formula>
    </cfRule>
  </conditionalFormatting>
  <conditionalFormatting sqref="B462:W462">
    <cfRule type="expression" dxfId="1436" priority="1423">
      <formula>$B462="Project"</formula>
    </cfRule>
  </conditionalFormatting>
  <conditionalFormatting sqref="A462:F462">
    <cfRule type="expression" dxfId="1435" priority="1421">
      <formula>AND($C462=OFFSET($C462,-1,0,1,1),A462=OFFSET(A462,-1,0,1,1))</formula>
    </cfRule>
  </conditionalFormatting>
  <conditionalFormatting sqref="C462">
    <cfRule type="expression" dxfId="1434" priority="1419">
      <formula>$C462&lt;&gt;OFFSET($C462,-1,0,1,1)</formula>
    </cfRule>
    <cfRule type="expression" dxfId="1433" priority="1420">
      <formula>$C462=OFFSET($C462,-1,0,1,1)</formula>
    </cfRule>
    <cfRule type="expression" dxfId="1432" priority="1422">
      <formula>$B462="Project"</formula>
    </cfRule>
  </conditionalFormatting>
  <conditionalFormatting sqref="H462:W462">
    <cfRule type="expression" dxfId="1431" priority="1427">
      <formula>AND($C462=OFFSET($C462,-1,0,1,1),$G462=OFFSET($G462,-1,0,1,1),H462&lt;&gt;OFFSET(H462,-1,0,1,1))</formula>
    </cfRule>
  </conditionalFormatting>
  <conditionalFormatting sqref="T462">
    <cfRule type="cellIs" dxfId="1430" priority="1413" operator="equal">
      <formula>"Withdrawn"</formula>
    </cfRule>
    <cfRule type="cellIs" dxfId="1429" priority="1414" operator="equal">
      <formula>"Proposed"</formula>
    </cfRule>
    <cfRule type="cellIs" dxfId="1428" priority="1415" operator="equal">
      <formula>"Committed"</formula>
    </cfRule>
    <cfRule type="cellIs" dxfId="1427" priority="1416" operator="equal">
      <formula>"Upgrade"</formula>
    </cfRule>
    <cfRule type="cellIs" dxfId="1426" priority="1417" operator="equal">
      <formula>"Existing less Announced Withdrawal"</formula>
    </cfRule>
    <cfRule type="cellIs" dxfId="1425" priority="1418" operator="equal">
      <formula>"Announced Withdrawal"</formula>
    </cfRule>
  </conditionalFormatting>
  <conditionalFormatting sqref="Q462">
    <cfRule type="expression" dxfId="1424" priority="1412">
      <formula>OR(AND(ISNUMBER(DATEVALUE($Q462)),MONTH(DATEVALUE($Q462))=12,DATEVALUE("31/12/"&amp;TEXT(YEAR(DATEVALUE($Q462)),"####"))&lt;TODAY()),AND(ISNUMBER(DATEVALUE($Q462)),MONTH(DATEVALUE($Q462))&lt;12,DATEVALUE("01/"&amp;TEXT(MONTH(DATEVALUE($Q462))+1,"##")&amp;"/"&amp;TEXT(YEAR(DATEVALUE($Q462)),"####"))-1&lt;TODAY()))</formula>
    </cfRule>
  </conditionalFormatting>
  <conditionalFormatting sqref="D462:W462">
    <cfRule type="expression" dxfId="1423" priority="1425">
      <formula>AND($C462=OFFSET($C462,-1,0,1,1),$G462&lt;&gt;OFFSET($G462,-1,0,1,1))</formula>
    </cfRule>
    <cfRule type="expression" dxfId="1422" priority="1426">
      <formula>AND($C462=OFFSET($C462,-1,0,1,1),$G462=OFFSET($G462,-1,0,1,1),D462=OFFSET(D462,-1,0,1,1))</formula>
    </cfRule>
  </conditionalFormatting>
  <conditionalFormatting sqref="A462:W462">
    <cfRule type="expression" dxfId="1421" priority="1428">
      <formula>COUNTBLANK($A462:$W462)=25</formula>
    </cfRule>
    <cfRule type="expression" dxfId="1420" priority="1429">
      <formula>$C462&lt;&gt;OFFSET($C462,-1,0,1,1)</formula>
    </cfRule>
  </conditionalFormatting>
  <conditionalFormatting sqref="H459:N459">
    <cfRule type="expression" dxfId="1419" priority="1405">
      <formula>MOD(H459,1)=0</formula>
    </cfRule>
  </conditionalFormatting>
  <conditionalFormatting sqref="B459:W459">
    <cfRule type="expression" dxfId="1418" priority="1404">
      <formula>$B459="Project"</formula>
    </cfRule>
  </conditionalFormatting>
  <conditionalFormatting sqref="A459:F459">
    <cfRule type="expression" dxfId="1417" priority="1402">
      <formula>AND($C459=OFFSET($C459,-1,0,1,1),A459=OFFSET(A459,-1,0,1,1))</formula>
    </cfRule>
  </conditionalFormatting>
  <conditionalFormatting sqref="C459">
    <cfRule type="expression" dxfId="1416" priority="1400">
      <formula>$C459&lt;&gt;OFFSET($C459,-1,0,1,1)</formula>
    </cfRule>
    <cfRule type="expression" dxfId="1415" priority="1401">
      <formula>$C459=OFFSET($C459,-1,0,1,1)</formula>
    </cfRule>
    <cfRule type="expression" dxfId="1414" priority="1403">
      <formula>$B459="Project"</formula>
    </cfRule>
  </conditionalFormatting>
  <conditionalFormatting sqref="H459:W459">
    <cfRule type="expression" dxfId="1413" priority="1408">
      <formula>AND($C459=OFFSET($C459,-1,0,1,1),$G459=OFFSET($G459,-1,0,1,1),H459&lt;&gt;OFFSET(H459,-1,0,1,1))</formula>
    </cfRule>
  </conditionalFormatting>
  <conditionalFormatting sqref="T459">
    <cfRule type="cellIs" dxfId="1412" priority="1394" operator="equal">
      <formula>"Withdrawn"</formula>
    </cfRule>
    <cfRule type="cellIs" dxfId="1411" priority="1395" operator="equal">
      <formula>"Proposed"</formula>
    </cfRule>
    <cfRule type="cellIs" dxfId="1410" priority="1396" operator="equal">
      <formula>"Committed"</formula>
    </cfRule>
    <cfRule type="cellIs" dxfId="1409" priority="1397" operator="equal">
      <formula>"Upgrade"</formula>
    </cfRule>
    <cfRule type="cellIs" dxfId="1408" priority="1398" operator="equal">
      <formula>"Existing less Announced Withdrawal"</formula>
    </cfRule>
    <cfRule type="cellIs" dxfId="1407" priority="1399" operator="equal">
      <formula>"Announced Withdrawal"</formula>
    </cfRule>
  </conditionalFormatting>
  <conditionalFormatting sqref="Q459">
    <cfRule type="expression" dxfId="1406" priority="1393">
      <formula>OR(AND(ISNUMBER(DATEVALUE($Q459)),MONTH(DATEVALUE($Q459))=12,DATEVALUE("31/12/"&amp;TEXT(YEAR(DATEVALUE($Q459)),"####"))&lt;TODAY()),AND(ISNUMBER(DATEVALUE($Q459)),MONTH(DATEVALUE($Q459))&lt;12,DATEVALUE("01/"&amp;TEXT(MONTH(DATEVALUE($Q459))+1,"##")&amp;"/"&amp;TEXT(YEAR(DATEVALUE($Q459)),"####"))-1&lt;TODAY()))</formula>
    </cfRule>
  </conditionalFormatting>
  <conditionalFormatting sqref="D459:W459">
    <cfRule type="expression" dxfId="1405" priority="1406">
      <formula>AND($C459=OFFSET($C459,-1,0,1,1),$G459&lt;&gt;OFFSET($G459,-1,0,1,1))</formula>
    </cfRule>
    <cfRule type="expression" dxfId="1404" priority="1407">
      <formula>AND($C459=OFFSET($C459,-1,0,1,1),$G459=OFFSET($G459,-1,0,1,1),D459=OFFSET(D459,-1,0,1,1))</formula>
    </cfRule>
  </conditionalFormatting>
  <conditionalFormatting sqref="A459:W459">
    <cfRule type="expression" dxfId="1403" priority="1409">
      <formula>COUNTBLANK($A459:$W459)=25</formula>
    </cfRule>
    <cfRule type="expression" dxfId="1402" priority="1410">
      <formula>$C459&lt;&gt;OFFSET($C459,-1,0,1,1)</formula>
    </cfRule>
  </conditionalFormatting>
  <conditionalFormatting sqref="H514:N514">
    <cfRule type="expression" dxfId="1401" priority="1386">
      <formula>MOD(H514,1)=0</formula>
    </cfRule>
  </conditionalFormatting>
  <conditionalFormatting sqref="B514:W514">
    <cfRule type="expression" dxfId="1400" priority="1385">
      <formula>$B514="Project"</formula>
    </cfRule>
  </conditionalFormatting>
  <conditionalFormatting sqref="A514:F514">
    <cfRule type="expression" dxfId="1399" priority="1383">
      <formula>AND($C514=OFFSET($C514,-1,0,1,1),A514=OFFSET(A514,-1,0,1,1))</formula>
    </cfRule>
  </conditionalFormatting>
  <conditionalFormatting sqref="C514">
    <cfRule type="expression" dxfId="1398" priority="1381">
      <formula>$C514&lt;&gt;OFFSET($C514,-1,0,1,1)</formula>
    </cfRule>
    <cfRule type="expression" dxfId="1397" priority="1382">
      <formula>$C514=OFFSET($C514,-1,0,1,1)</formula>
    </cfRule>
    <cfRule type="expression" dxfId="1396" priority="1384">
      <formula>$B514="Project"</formula>
    </cfRule>
  </conditionalFormatting>
  <conditionalFormatting sqref="H514:W514">
    <cfRule type="expression" dxfId="1395" priority="1389">
      <formula>AND($C514=OFFSET($C514,-1,0,1,1),$G514=OFFSET($G514,-1,0,1,1),H514&lt;&gt;OFFSET(H514,-1,0,1,1))</formula>
    </cfRule>
  </conditionalFormatting>
  <conditionalFormatting sqref="T514">
    <cfRule type="cellIs" dxfId="1394" priority="1375" operator="equal">
      <formula>"Withdrawn"</formula>
    </cfRule>
    <cfRule type="cellIs" dxfId="1393" priority="1376" operator="equal">
      <formula>"Proposed"</formula>
    </cfRule>
    <cfRule type="cellIs" dxfId="1392" priority="1377" operator="equal">
      <formula>"Committed"</formula>
    </cfRule>
    <cfRule type="cellIs" dxfId="1391" priority="1378" operator="equal">
      <formula>"Upgrade"</formula>
    </cfRule>
    <cfRule type="cellIs" dxfId="1390" priority="1379" operator="equal">
      <formula>"Existing less Announced Withdrawal"</formula>
    </cfRule>
    <cfRule type="cellIs" dxfId="1389" priority="1380" operator="equal">
      <formula>"Announced Withdrawal"</formula>
    </cfRule>
  </conditionalFormatting>
  <conditionalFormatting sqref="Q514">
    <cfRule type="expression" dxfId="1388" priority="1374">
      <formula>OR(AND(ISNUMBER(DATEVALUE($Q514)),MONTH(DATEVALUE($Q514))=12,DATEVALUE("31/12/"&amp;TEXT(YEAR(DATEVALUE($Q514)),"####"))&lt;TODAY()),AND(ISNUMBER(DATEVALUE($Q514)),MONTH(DATEVALUE($Q514))&lt;12,DATEVALUE("01/"&amp;TEXT(MONTH(DATEVALUE($Q514))+1,"##")&amp;"/"&amp;TEXT(YEAR(DATEVALUE($Q514)),"####"))-1&lt;TODAY()))</formula>
    </cfRule>
  </conditionalFormatting>
  <conditionalFormatting sqref="D514:W514">
    <cfRule type="expression" dxfId="1387" priority="1387">
      <formula>AND($C514=OFFSET($C514,-1,0,1,1),$G514&lt;&gt;OFFSET($G514,-1,0,1,1))</formula>
    </cfRule>
    <cfRule type="expression" dxfId="1386" priority="1388">
      <formula>AND($C514=OFFSET($C514,-1,0,1,1),$G514=OFFSET($G514,-1,0,1,1),D514=OFFSET(D514,-1,0,1,1))</formula>
    </cfRule>
  </conditionalFormatting>
  <conditionalFormatting sqref="A514:W514">
    <cfRule type="expression" dxfId="1385" priority="1390">
      <formula>COUNTBLANK($A514:$W514)=25</formula>
    </cfRule>
    <cfRule type="expression" dxfId="1384" priority="1391">
      <formula>$C514&lt;&gt;OFFSET($C514,-1,0,1,1)</formula>
    </cfRule>
  </conditionalFormatting>
  <conditionalFormatting sqref="H382:N382">
    <cfRule type="expression" dxfId="1383" priority="1367">
      <formula>MOD(H382,1)=0</formula>
    </cfRule>
  </conditionalFormatting>
  <conditionalFormatting sqref="B382:W382">
    <cfRule type="expression" dxfId="1382" priority="1366">
      <formula>$B382="Project"</formula>
    </cfRule>
  </conditionalFormatting>
  <conditionalFormatting sqref="H382:W382">
    <cfRule type="expression" dxfId="1381" priority="1370">
      <formula>AND($C382=OFFSET($C382,-1,0,1,1),$G382=OFFSET($G382,-1,0,1,1),H382&lt;&gt;OFFSET(H382,-1,0,1,1))</formula>
    </cfRule>
  </conditionalFormatting>
  <conditionalFormatting sqref="D382:W382">
    <cfRule type="expression" dxfId="1380" priority="1368">
      <formula>AND($C382=OFFSET($C382,-1,0,1,1),$G382&lt;&gt;OFFSET($G382,-1,0,1,1))</formula>
    </cfRule>
    <cfRule type="expression" dxfId="1379" priority="1369">
      <formula>AND($C382=OFFSET($C382,-1,0,1,1),$G382=OFFSET($G382,-1,0,1,1),D382=OFFSET(D382,-1,0,1,1))</formula>
    </cfRule>
  </conditionalFormatting>
  <conditionalFormatting sqref="A382:W382">
    <cfRule type="expression" dxfId="1378" priority="1371">
      <formula>COUNTBLANK($A382:$W382)=25</formula>
    </cfRule>
    <cfRule type="expression" dxfId="1377" priority="1372">
      <formula>$C382&lt;&gt;OFFSET($C382,-1,0,1,1)</formula>
    </cfRule>
  </conditionalFormatting>
  <conditionalFormatting sqref="D479:F479 A479:B479">
    <cfRule type="expression" dxfId="1376" priority="1252">
      <formula>AND($C479=OFFSET($C479,-1,0,1,1),A479=OFFSET(A479,-1,0,1,1))</formula>
    </cfRule>
  </conditionalFormatting>
  <conditionalFormatting sqref="Q479">
    <cfRule type="expression" dxfId="1375" priority="1245">
      <formula>OR(AND(ISNUMBER(DATEVALUE($Q479)),MONTH(DATEVALUE($Q479))=12,DATEVALUE("31/12/"&amp;TEXT(YEAR(DATEVALUE($Q479)),"####"))&lt;TODAY()),AND(ISNUMBER(DATEVALUE($Q479)),MONTH(DATEVALUE($Q479))&lt;12,DATEVALUE("01/"&amp;TEXT(MONTH(DATEVALUE($Q479))+1,"##")&amp;"/"&amp;TEXT(YEAR(DATEVALUE($Q479)),"####"))-1&lt;TODAY()))</formula>
    </cfRule>
  </conditionalFormatting>
  <conditionalFormatting sqref="T479">
    <cfRule type="cellIs" dxfId="1374" priority="1246" operator="equal">
      <formula>"Withdrawn"</formula>
    </cfRule>
    <cfRule type="cellIs" dxfId="1373" priority="1247" operator="equal">
      <formula>"Proposed"</formula>
    </cfRule>
    <cfRule type="cellIs" dxfId="1372" priority="1248" operator="equal">
      <formula>"Committed"</formula>
    </cfRule>
    <cfRule type="cellIs" dxfId="1371" priority="1249" operator="equal">
      <formula>"Upgrade"</formula>
    </cfRule>
    <cfRule type="cellIs" dxfId="1370" priority="1250" operator="equal">
      <formula>"Existing less Announced Withdrawal"</formula>
    </cfRule>
    <cfRule type="cellIs" dxfId="1369" priority="1251" operator="equal">
      <formula>"Announced Withdrawal"</formula>
    </cfRule>
  </conditionalFormatting>
  <conditionalFormatting sqref="D479:W479 B479 Y479">
    <cfRule type="expression" dxfId="1368" priority="1241">
      <formula>$B479="Project"</formula>
    </cfRule>
  </conditionalFormatting>
  <conditionalFormatting sqref="Y479 H479:W479">
    <cfRule type="expression" dxfId="1367" priority="1244">
      <formula>AND($C479=OFFSET($C479,-1,0,1,1),$G479=OFFSET($G479,-1,0,1,1),H479&lt;&gt;OFFSET(H479,-1,0,1,1))</formula>
    </cfRule>
  </conditionalFormatting>
  <conditionalFormatting sqref="D479:W479 A479:B479 Y479">
    <cfRule type="expression" dxfId="1366" priority="1240">
      <formula>$C479&lt;&gt;OFFSET($C479,-1,0,1,1)</formula>
    </cfRule>
  </conditionalFormatting>
  <conditionalFormatting sqref="Y479 D479:W479">
    <cfRule type="expression" dxfId="1365" priority="1242">
      <formula>AND($C479=OFFSET($C479,-1,0,1,1),$G479&lt;&gt;OFFSET($G479,-1,0,1,1))</formula>
    </cfRule>
    <cfRule type="expression" dxfId="1364" priority="1243">
      <formula>AND($C479=OFFSET($C479,-1,0,1,1),$G479=OFFSET($G479,-1,0,1,1),D479=OFFSET(D479,-1,0,1,1))</formula>
    </cfRule>
  </conditionalFormatting>
  <conditionalFormatting sqref="Y479">
    <cfRule type="colorScale" priority="1253">
      <colorScale>
        <cfvo type="min"/>
        <cfvo type="formula" val="TODAY()-365"/>
        <cfvo type="max"/>
        <color rgb="FFFFD1D1"/>
        <color theme="7" tint="0.79998168889431442"/>
        <color theme="0"/>
      </colorScale>
    </cfRule>
  </conditionalFormatting>
  <conditionalFormatting sqref="V479 H479:N479">
    <cfRule type="expression" dxfId="1363" priority="1239">
      <formula>MOD(H479,1)=0</formula>
    </cfRule>
  </conditionalFormatting>
  <conditionalFormatting sqref="D479:W479 B479 Y479">
    <cfRule type="expression" dxfId="1362" priority="1230">
      <formula>$B479="Project"</formula>
    </cfRule>
  </conditionalFormatting>
  <conditionalFormatting sqref="H479:W479 Y479">
    <cfRule type="expression" dxfId="1361" priority="1233">
      <formula>AND($C479=OFFSET($C479,-1,0,1,1),$G479=OFFSET($G479,-1,0,1,1),H479&lt;&gt;OFFSET(H479,-1,0,1,1))</formula>
    </cfRule>
  </conditionalFormatting>
  <conditionalFormatting sqref="D479:W479 A479:B479 Y479">
    <cfRule type="expression" dxfId="1360" priority="1229">
      <formula>$C479&lt;&gt;OFFSET($C479,-1,0,1,1)</formula>
    </cfRule>
  </conditionalFormatting>
  <conditionalFormatting sqref="D479:W479 Y479">
    <cfRule type="expression" dxfId="1359" priority="1231">
      <formula>AND($C479=OFFSET($C479,-1,0,1,1),$G479&lt;&gt;OFFSET($G479,-1,0,1,1))</formula>
    </cfRule>
    <cfRule type="expression" dxfId="1358" priority="1232">
      <formula>AND($C479=OFFSET($C479,-1,0,1,1),$G479=OFFSET($G479,-1,0,1,1),D479=OFFSET(D479,-1,0,1,1))</formula>
    </cfRule>
  </conditionalFormatting>
  <conditionalFormatting sqref="D479:W479 B479 Y479">
    <cfRule type="expression" dxfId="1357" priority="1225">
      <formula>$B479="Project"</formula>
    </cfRule>
  </conditionalFormatting>
  <conditionalFormatting sqref="H479:W479 Y479">
    <cfRule type="expression" dxfId="1356" priority="1228">
      <formula>AND($C479=OFFSET($C479,-1,0,1,1),$G479=OFFSET($G479,-1,0,1,1),H479&lt;&gt;OFFSET(H479,-1,0,1,1))</formula>
    </cfRule>
  </conditionalFormatting>
  <conditionalFormatting sqref="D479:W479 A479:B479 Y479">
    <cfRule type="expression" dxfId="1355" priority="1224">
      <formula>$C479&lt;&gt;OFFSET($C479,-1,0,1,1)</formula>
    </cfRule>
  </conditionalFormatting>
  <conditionalFormatting sqref="D479:W479 Y479">
    <cfRule type="expression" dxfId="1354" priority="1226">
      <formula>AND($C479=OFFSET($C479,-1,0,1,1),$G479&lt;&gt;OFFSET($G479,-1,0,1,1))</formula>
    </cfRule>
    <cfRule type="expression" dxfId="1353" priority="1227">
      <formula>AND($C479=OFFSET($C479,-1,0,1,1),$G479=OFFSET($G479,-1,0,1,1),D479=OFFSET(D479,-1,0,1,1))</formula>
    </cfRule>
  </conditionalFormatting>
  <conditionalFormatting sqref="Y479">
    <cfRule type="colorScale" priority="1254">
      <colorScale>
        <cfvo type="min"/>
        <cfvo type="formula" val="TODAY()-365"/>
        <cfvo type="max"/>
        <color rgb="FFFFD1D1"/>
        <color theme="7" tint="0.79998168889431442"/>
        <color theme="0"/>
      </colorScale>
    </cfRule>
  </conditionalFormatting>
  <conditionalFormatting sqref="Y479">
    <cfRule type="colorScale" priority="1255">
      <colorScale>
        <cfvo type="min"/>
        <cfvo type="formula" val="TODAY()-365"/>
        <cfvo type="max"/>
        <color rgb="FFFFD1D1"/>
        <color theme="7" tint="0.79998168889431442"/>
        <color theme="0"/>
      </colorScale>
    </cfRule>
  </conditionalFormatting>
  <conditionalFormatting sqref="Y479">
    <cfRule type="colorScale" priority="1256">
      <colorScale>
        <cfvo type="min"/>
        <cfvo type="formula" val="TODAY()-365"/>
        <cfvo type="max"/>
        <color rgb="FFFFD1D1"/>
        <color theme="7" tint="0.79998168889431442"/>
        <color theme="0"/>
      </colorScale>
    </cfRule>
  </conditionalFormatting>
  <conditionalFormatting sqref="C479">
    <cfRule type="expression" dxfId="1352" priority="1221">
      <formula>$B479="Project"</formula>
    </cfRule>
  </conditionalFormatting>
  <conditionalFormatting sqref="C479">
    <cfRule type="expression" dxfId="1351" priority="1219">
      <formula>AND($C479=OFFSET($C479,-1,0,1,1),C479=OFFSET(C479,-1,0,1,1))</formula>
    </cfRule>
  </conditionalFormatting>
  <conditionalFormatting sqref="C479">
    <cfRule type="expression" dxfId="1350" priority="1217">
      <formula>$C479&lt;&gt;OFFSET($C479,-1,0,1,1)</formula>
    </cfRule>
    <cfRule type="expression" dxfId="1349" priority="1218">
      <formula>$C479=OFFSET($C479,-1,0,1,1)</formula>
    </cfRule>
    <cfRule type="expression" dxfId="1348" priority="1220">
      <formula>$B479="Project"</formula>
    </cfRule>
  </conditionalFormatting>
  <conditionalFormatting sqref="C479">
    <cfRule type="expression" dxfId="1347" priority="1222">
      <formula>COUNTBLANK($A479:$W479)=25</formula>
    </cfRule>
    <cfRule type="expression" dxfId="1346" priority="1223">
      <formula>$C479&lt;&gt;OFFSET($C479,-1,0,1,1)</formula>
    </cfRule>
  </conditionalFormatting>
  <conditionalFormatting sqref="U665">
    <cfRule type="expression" dxfId="1345" priority="7316">
      <formula>$B664="Project"</formula>
    </cfRule>
  </conditionalFormatting>
  <conditionalFormatting sqref="U665">
    <cfRule type="expression" dxfId="1344" priority="7318">
      <formula>AND($C664=OFFSET($C664,-1,0,1,1),$G664=OFFSET($G664,-1,0,1,1),U665&lt;&gt;OFFSET(U665,-1,0,1,1))</formula>
    </cfRule>
  </conditionalFormatting>
  <conditionalFormatting sqref="U665">
    <cfRule type="expression" dxfId="1343" priority="7320">
      <formula>$C664&lt;&gt;OFFSET($C664,-1,0,1,1)</formula>
    </cfRule>
  </conditionalFormatting>
  <conditionalFormatting sqref="U665">
    <cfRule type="expression" dxfId="1342" priority="7323">
      <formula>AND($C664=OFFSET($C664,-1,0,1,1),$G664&lt;&gt;OFFSET($G664,-1,0,1,1))</formula>
    </cfRule>
    <cfRule type="expression" dxfId="1341" priority="7324">
      <formula>AND($C664=OFFSET($C664,-1,0,1,1),$G664=OFFSET($G664,-1,0,1,1),U665=OFFSET(U665,-1,0,1,1))</formula>
    </cfRule>
  </conditionalFormatting>
  <conditionalFormatting sqref="Y1128:Y1181 Y617:Y684">
    <cfRule type="colorScale" priority="7346">
      <colorScale>
        <cfvo type="min"/>
        <cfvo type="formula" val="TODAY()-365"/>
        <cfvo type="max"/>
        <color rgb="FFFFD1D1"/>
        <color theme="7" tint="0.79998168889431442"/>
        <color theme="0"/>
      </colorScale>
    </cfRule>
  </conditionalFormatting>
  <conditionalFormatting sqref="Y1128:Y1181 Y179:Y184 Y88:Y109 Y295:Y332 Y334:Y376 Y379:Y381 Y463:Y478 Y460:Y461 Y515:Y684 Y480:Y513 Y186:Y245 Y386:Y388">
    <cfRule type="colorScale" priority="7367">
      <colorScale>
        <cfvo type="min"/>
        <cfvo type="formula" val="TODAY()-365"/>
        <cfvo type="max"/>
        <color rgb="FFFFD1D1"/>
        <color theme="7" tint="0.79998168889431442"/>
        <color theme="0"/>
      </colorScale>
    </cfRule>
  </conditionalFormatting>
  <conditionalFormatting sqref="Y1128:Y1181 Y179:Y184 Y4:Y10 Y88:Y109 Y295:Y332 Y334:Y376 Y379:Y381 Y463:Y478 Y460:Y461 Y515:Y684 Y480:Y513 Y186:Y245 Y386:Y388">
    <cfRule type="colorScale" priority="7382">
      <colorScale>
        <cfvo type="min"/>
        <cfvo type="formula" val="TODAY()-365"/>
        <cfvo type="max"/>
        <color rgb="FFFFD1D1"/>
        <color theme="7" tint="0.79998168889431442"/>
        <color theme="0"/>
      </colorScale>
    </cfRule>
  </conditionalFormatting>
  <conditionalFormatting sqref="Y179:Y184 Y186:Y245">
    <cfRule type="colorScale" priority="7398">
      <colorScale>
        <cfvo type="min"/>
        <cfvo type="formula" val="TODAY()-365"/>
        <cfvo type="max"/>
        <color rgb="FFFFD1D1"/>
        <color theme="7" tint="0.79998168889431442"/>
        <color theme="0"/>
      </colorScale>
    </cfRule>
  </conditionalFormatting>
  <conditionalFormatting sqref="A1182:B1185 D1182:F1185">
    <cfRule type="expression" dxfId="1340" priority="1193">
      <formula>AND($C1182=OFFSET($C1182,-1,0,1,1),A1182=OFFSET(A1182,-1,0,1,1))</formula>
    </cfRule>
  </conditionalFormatting>
  <conditionalFormatting sqref="Q1182:Q1185">
    <cfRule type="expression" dxfId="1339" priority="1186">
      <formula>OR(AND(ISNUMBER(DATEVALUE($Q1182)),MONTH(DATEVALUE($Q1182))=12,DATEVALUE("31/12/"&amp;TEXT(YEAR(DATEVALUE($Q1182)),"####"))&lt;TODAY()),AND(ISNUMBER(DATEVALUE($Q1182)),MONTH(DATEVALUE($Q1182))&lt;12,DATEVALUE("01/"&amp;TEXT(MONTH(DATEVALUE($Q1182))+1,"##")&amp;"/"&amp;TEXT(YEAR(DATEVALUE($Q1182)),"####"))-1&lt;TODAY()))</formula>
    </cfRule>
  </conditionalFormatting>
  <conditionalFormatting sqref="T1182:T1185">
    <cfRule type="cellIs" dxfId="1338" priority="1187" operator="equal">
      <formula>"Withdrawn"</formula>
    </cfRule>
    <cfRule type="cellIs" dxfId="1337" priority="1188" operator="equal">
      <formula>"Proposed"</formula>
    </cfRule>
    <cfRule type="cellIs" dxfId="1336" priority="1189" operator="equal">
      <formula>"Committed"</formula>
    </cfRule>
    <cfRule type="cellIs" dxfId="1335" priority="1190" operator="equal">
      <formula>"Upgrade"</formula>
    </cfRule>
    <cfRule type="cellIs" dxfId="1334" priority="1191" operator="equal">
      <formula>"Existing less Announced Withdrawal"</formula>
    </cfRule>
    <cfRule type="cellIs" dxfId="1333" priority="1192" operator="equal">
      <formula>"Announced Withdrawal"</formula>
    </cfRule>
  </conditionalFormatting>
  <conditionalFormatting sqref="Y1182:Y1185 B1182:B1185 D1182:W1185">
    <cfRule type="expression" dxfId="1332" priority="1182">
      <formula>$B1182="Project"</formula>
    </cfRule>
  </conditionalFormatting>
  <conditionalFormatting sqref="H1182:W1185 Y1182:Y1185">
    <cfRule type="expression" dxfId="1331" priority="1185">
      <formula>AND($C1182=OFFSET($C1182,-1,0,1,1),$G1182=OFFSET($G1182,-1,0,1,1),H1182&lt;&gt;OFFSET(H1182,-1,0,1,1))</formula>
    </cfRule>
  </conditionalFormatting>
  <conditionalFormatting sqref="Y1182:Y1185 A1182:B1185 D1182:W1185">
    <cfRule type="expression" dxfId="1330" priority="1181">
      <formula>$C1182&lt;&gt;OFFSET($C1182,-1,0,1,1)</formula>
    </cfRule>
  </conditionalFormatting>
  <conditionalFormatting sqref="D1182:W1185 Y1182:Y1185">
    <cfRule type="expression" dxfId="1329" priority="1183">
      <formula>AND($C1182=OFFSET($C1182,-1,0,1,1),$G1182&lt;&gt;OFFSET($G1182,-1,0,1,1))</formula>
    </cfRule>
    <cfRule type="expression" dxfId="1328" priority="1184">
      <formula>AND($C1182=OFFSET($C1182,-1,0,1,1),$G1182=OFFSET($G1182,-1,0,1,1),D1182=OFFSET(D1182,-1,0,1,1))</formula>
    </cfRule>
  </conditionalFormatting>
  <conditionalFormatting sqref="H1182:N1185 V1182:V1185">
    <cfRule type="expression" dxfId="1327" priority="1180">
      <formula>MOD(H1182,1)=0</formula>
    </cfRule>
  </conditionalFormatting>
  <conditionalFormatting sqref="D1182:W1185 B1182:B1185 Y1182:Y1185">
    <cfRule type="expression" dxfId="1326" priority="1171">
      <formula>$B1182="Project"</formula>
    </cfRule>
  </conditionalFormatting>
  <conditionalFormatting sqref="H1182:W1185 Y1182:Y1185">
    <cfRule type="expression" dxfId="1325" priority="1174">
      <formula>AND($C1182=OFFSET($C1182,-1,0,1,1),$G1182=OFFSET($G1182,-1,0,1,1),H1182&lt;&gt;OFFSET(H1182,-1,0,1,1))</formula>
    </cfRule>
  </conditionalFormatting>
  <conditionalFormatting sqref="D1182:W1185 A1182:B1185 Y1182:Y1185">
    <cfRule type="expression" dxfId="1324" priority="1170">
      <formula>$C1182&lt;&gt;OFFSET($C1182,-1,0,1,1)</formula>
    </cfRule>
  </conditionalFormatting>
  <conditionalFormatting sqref="D1182:W1185 Y1182:Y1185">
    <cfRule type="expression" dxfId="1323" priority="1172">
      <formula>AND($C1182=OFFSET($C1182,-1,0,1,1),$G1182&lt;&gt;OFFSET($G1182,-1,0,1,1))</formula>
    </cfRule>
    <cfRule type="expression" dxfId="1322" priority="1173">
      <formula>AND($C1182=OFFSET($C1182,-1,0,1,1),$G1182=OFFSET($G1182,-1,0,1,1),D1182=OFFSET(D1182,-1,0,1,1))</formula>
    </cfRule>
  </conditionalFormatting>
  <conditionalFormatting sqref="D1182:W1185 B1182:B1185 Y1182:Y1185">
    <cfRule type="expression" dxfId="1321" priority="1166">
      <formula>$B1182="Project"</formula>
    </cfRule>
  </conditionalFormatting>
  <conditionalFormatting sqref="H1182:W1185 Y1182:Y1185">
    <cfRule type="expression" dxfId="1320" priority="1169">
      <formula>AND($C1182=OFFSET($C1182,-1,0,1,1),$G1182=OFFSET($G1182,-1,0,1,1),H1182&lt;&gt;OFFSET(H1182,-1,0,1,1))</formula>
    </cfRule>
  </conditionalFormatting>
  <conditionalFormatting sqref="D1182:W1185 A1182:B1185 Y1182:Y1185">
    <cfRule type="expression" dxfId="1319" priority="1165">
      <formula>$C1182&lt;&gt;OFFSET($C1182,-1,0,1,1)</formula>
    </cfRule>
  </conditionalFormatting>
  <conditionalFormatting sqref="D1182:W1185 Y1182:Y1185">
    <cfRule type="expression" dxfId="1318" priority="1167">
      <formula>AND($C1182=OFFSET($C1182,-1,0,1,1),$G1182&lt;&gt;OFFSET($G1182,-1,0,1,1))</formula>
    </cfRule>
    <cfRule type="expression" dxfId="1317" priority="1168">
      <formula>AND($C1182=OFFSET($C1182,-1,0,1,1),$G1182=OFFSET($G1182,-1,0,1,1),D1182=OFFSET(D1182,-1,0,1,1))</formula>
    </cfRule>
  </conditionalFormatting>
  <conditionalFormatting sqref="C1182:C1185">
    <cfRule type="expression" dxfId="1316" priority="1162">
      <formula>$B1182="Project"</formula>
    </cfRule>
  </conditionalFormatting>
  <conditionalFormatting sqref="C1182:C1185">
    <cfRule type="expression" dxfId="1315" priority="1160">
      <formula>AND($C1182=OFFSET($C1182,-1,0,1,1),C1182=OFFSET(C1182,-1,0,1,1))</formula>
    </cfRule>
  </conditionalFormatting>
  <conditionalFormatting sqref="C1182:C1185">
    <cfRule type="expression" dxfId="1314" priority="1158">
      <formula>$C1182&lt;&gt;OFFSET($C1182,-1,0,1,1)</formula>
    </cfRule>
    <cfRule type="expression" dxfId="1313" priority="1159">
      <formula>$C1182=OFFSET($C1182,-1,0,1,1)</formula>
    </cfRule>
    <cfRule type="expression" dxfId="1312" priority="1161">
      <formula>$B1182="Project"</formula>
    </cfRule>
  </conditionalFormatting>
  <conditionalFormatting sqref="C1182:C1185">
    <cfRule type="expression" dxfId="1311" priority="1163">
      <formula>COUNTBLANK($A1182:$W1182)=25</formula>
    </cfRule>
    <cfRule type="expression" dxfId="1310" priority="1164">
      <formula>$C1182&lt;&gt;OFFSET($C1182,-1,0,1,1)</formula>
    </cfRule>
  </conditionalFormatting>
  <conditionalFormatting sqref="Y1182:Y1185">
    <cfRule type="colorScale" priority="1194">
      <colorScale>
        <cfvo type="min"/>
        <cfvo type="formula" val="TODAY()-365"/>
        <cfvo type="max"/>
        <color rgb="FFFFD1D1"/>
        <color theme="7" tint="0.79998168889431442"/>
        <color theme="0"/>
      </colorScale>
    </cfRule>
  </conditionalFormatting>
  <conditionalFormatting sqref="Y1182:Y1185">
    <cfRule type="colorScale" priority="1195">
      <colorScale>
        <cfvo type="min"/>
        <cfvo type="formula" val="TODAY()-365"/>
        <cfvo type="max"/>
        <color rgb="FFFFD1D1"/>
        <color theme="7" tint="0.79998168889431442"/>
        <color theme="0"/>
      </colorScale>
    </cfRule>
  </conditionalFormatting>
  <conditionalFormatting sqref="Y1182:Y1185">
    <cfRule type="colorScale" priority="1196">
      <colorScale>
        <cfvo type="min"/>
        <cfvo type="formula" val="TODAY()-365"/>
        <cfvo type="max"/>
        <color rgb="FFFFD1D1"/>
        <color theme="7" tint="0.79998168889431442"/>
        <color theme="0"/>
      </colorScale>
    </cfRule>
  </conditionalFormatting>
  <conditionalFormatting sqref="Y1182:Y1185">
    <cfRule type="colorScale" priority="1197">
      <colorScale>
        <cfvo type="min"/>
        <cfvo type="formula" val="TODAY()-365"/>
        <cfvo type="max"/>
        <color rgb="FFFFD1D1"/>
        <color theme="7" tint="0.79998168889431442"/>
        <color theme="0"/>
      </colorScale>
    </cfRule>
  </conditionalFormatting>
  <conditionalFormatting sqref="V11:V16 H11:N16">
    <cfRule type="expression" dxfId="1309" priority="1156">
      <formula>MOD(H11,1)=0</formula>
    </cfRule>
  </conditionalFormatting>
  <conditionalFormatting sqref="B11:Y16">
    <cfRule type="expression" dxfId="1308" priority="1152">
      <formula>$B11="Project"</formula>
    </cfRule>
  </conditionalFormatting>
  <conditionalFormatting sqref="A11:F16">
    <cfRule type="expression" dxfId="1307" priority="1150">
      <formula>AND($C11=OFFSET($C11,-1,0,1,1),A11=OFFSET(A11,-1,0,1,1))</formula>
    </cfRule>
  </conditionalFormatting>
  <conditionalFormatting sqref="H11:Y16">
    <cfRule type="expression" dxfId="1306" priority="1155">
      <formula>AND($C11=OFFSET($C11,-1,0,1,1),$G11=OFFSET($G11,-1,0,1,1),H11&lt;&gt;OFFSET(H11,-1,0,1,1))</formula>
    </cfRule>
  </conditionalFormatting>
  <conditionalFormatting sqref="A11:Y16">
    <cfRule type="expression" dxfId="1305" priority="1148">
      <formula>$C11&lt;&gt;OFFSET($C11,-1,0,1,1)</formula>
    </cfRule>
  </conditionalFormatting>
  <conditionalFormatting sqref="Q11:Q16">
    <cfRule type="expression" dxfId="1304" priority="1140">
      <formula>OR(AND(ISNUMBER(DATEVALUE($Q11)),MONTH(DATEVALUE($Q11))=12,DATEVALUE("31/12/"&amp;TEXT(YEAR(DATEVALUE($Q11)),"####"))&lt;TODAY()),AND(ISNUMBER(DATEVALUE($Q11)),MONTH(DATEVALUE($Q11))&lt;12,DATEVALUE("01/"&amp;TEXT(MONTH(DATEVALUE($Q11))+1,"##")&amp;"/"&amp;TEXT(YEAR(DATEVALUE($Q11)),"####"))-1&lt;TODAY()))</formula>
    </cfRule>
  </conditionalFormatting>
  <conditionalFormatting sqref="T11:T16">
    <cfRule type="cellIs" dxfId="1303" priority="1141" operator="equal">
      <formula>"Withdrawn"</formula>
    </cfRule>
    <cfRule type="cellIs" dxfId="1302" priority="1142" operator="equal">
      <formula>"Proposed"</formula>
    </cfRule>
    <cfRule type="cellIs" dxfId="1301" priority="1143" operator="equal">
      <formula>"Committed"</formula>
    </cfRule>
    <cfRule type="cellIs" dxfId="1300" priority="1144" operator="equal">
      <formula>"Upgrade"</formula>
    </cfRule>
    <cfRule type="cellIs" dxfId="1299" priority="1145" operator="equal">
      <formula>"Existing less Announced Withdrawal"</formula>
    </cfRule>
    <cfRule type="cellIs" dxfId="1298" priority="1146" operator="equal">
      <formula>"Announced Withdrawal"</formula>
    </cfRule>
  </conditionalFormatting>
  <conditionalFormatting sqref="C11:C16">
    <cfRule type="expression" dxfId="1297" priority="1147">
      <formula>$C11&lt;&gt;OFFSET($C11,-1,0,1,1)</formula>
    </cfRule>
    <cfRule type="expression" dxfId="1296" priority="1149">
      <formula>$C11=OFFSET($C11,-1,0,1,1)</formula>
    </cfRule>
    <cfRule type="expression" dxfId="1295" priority="1151">
      <formula>$B11="Project"</formula>
    </cfRule>
  </conditionalFormatting>
  <conditionalFormatting sqref="D11:Y16">
    <cfRule type="expression" dxfId="1294" priority="1153">
      <formula>AND($C11=OFFSET($C11,-1,0,1,1),$G11&lt;&gt;OFFSET($G11,-1,0,1,1))</formula>
    </cfRule>
    <cfRule type="expression" dxfId="1293" priority="1154">
      <formula>AND($C11=OFFSET($C11,-1,0,1,1),$G11=OFFSET($G11,-1,0,1,1),D11=OFFSET(D11,-1,0,1,1))</formula>
    </cfRule>
  </conditionalFormatting>
  <conditionalFormatting sqref="Y11:Y16">
    <cfRule type="colorScale" priority="1157">
      <colorScale>
        <cfvo type="min"/>
        <cfvo type="formula" val="TODAY()-365"/>
        <cfvo type="max"/>
        <color rgb="FFFFD1D1"/>
        <color theme="7" tint="0.79998168889431442"/>
        <color theme="0"/>
      </colorScale>
    </cfRule>
  </conditionalFormatting>
  <conditionalFormatting sqref="V11:V16 H11:N16">
    <cfRule type="expression" dxfId="1292" priority="1138">
      <formula>MOD(H11,1)=0</formula>
    </cfRule>
  </conditionalFormatting>
  <conditionalFormatting sqref="B11:Y16">
    <cfRule type="expression" dxfId="1291" priority="1134">
      <formula>$B11="Project"</formula>
    </cfRule>
  </conditionalFormatting>
  <conditionalFormatting sqref="A11:F16">
    <cfRule type="expression" dxfId="1290" priority="1132">
      <formula>AND($C11=OFFSET($C11,-1,0,1,1),A11=OFFSET(A11,-1,0,1,1))</formula>
    </cfRule>
  </conditionalFormatting>
  <conditionalFormatting sqref="H11:Y16">
    <cfRule type="expression" dxfId="1289" priority="1137">
      <formula>AND($C11=OFFSET($C11,-1,0,1,1),$G11=OFFSET($G11,-1,0,1,1),H11&lt;&gt;OFFSET(H11,-1,0,1,1))</formula>
    </cfRule>
  </conditionalFormatting>
  <conditionalFormatting sqref="A11:Y16">
    <cfRule type="expression" dxfId="1288" priority="1130">
      <formula>$C11&lt;&gt;OFFSET($C11,-1,0,1,1)</formula>
    </cfRule>
  </conditionalFormatting>
  <conditionalFormatting sqref="Q11:Q16">
    <cfRule type="expression" dxfId="1287" priority="1122">
      <formula>OR(AND(ISNUMBER(DATEVALUE($Q11)),MONTH(DATEVALUE($Q11))=12,DATEVALUE("31/12/"&amp;TEXT(YEAR(DATEVALUE($Q11)),"####"))&lt;TODAY()),AND(ISNUMBER(DATEVALUE($Q11)),MONTH(DATEVALUE($Q11))&lt;12,DATEVALUE("01/"&amp;TEXT(MONTH(DATEVALUE($Q11))+1,"##")&amp;"/"&amp;TEXT(YEAR(DATEVALUE($Q11)),"####"))-1&lt;TODAY()))</formula>
    </cfRule>
  </conditionalFormatting>
  <conditionalFormatting sqref="T11:T16">
    <cfRule type="cellIs" dxfId="1286" priority="1123" operator="equal">
      <formula>"Withdrawn"</formula>
    </cfRule>
    <cfRule type="cellIs" dxfId="1285" priority="1124" operator="equal">
      <formula>"Proposed"</formula>
    </cfRule>
    <cfRule type="cellIs" dxfId="1284" priority="1125" operator="equal">
      <formula>"Committed"</formula>
    </cfRule>
    <cfRule type="cellIs" dxfId="1283" priority="1126" operator="equal">
      <formula>"Upgrade"</formula>
    </cfRule>
    <cfRule type="cellIs" dxfId="1282" priority="1127" operator="equal">
      <formula>"Existing less Announced Withdrawal"</formula>
    </cfRule>
    <cfRule type="cellIs" dxfId="1281" priority="1128" operator="equal">
      <formula>"Announced Withdrawal"</formula>
    </cfRule>
  </conditionalFormatting>
  <conditionalFormatting sqref="C11:C16">
    <cfRule type="expression" dxfId="1280" priority="1129">
      <formula>$C11&lt;&gt;OFFSET($C11,-1,0,1,1)</formula>
    </cfRule>
    <cfRule type="expression" dxfId="1279" priority="1131">
      <formula>$C11=OFFSET($C11,-1,0,1,1)</formula>
    </cfRule>
    <cfRule type="expression" dxfId="1278" priority="1133">
      <formula>$B11="Project"</formula>
    </cfRule>
  </conditionalFormatting>
  <conditionalFormatting sqref="D11:Y16">
    <cfRule type="expression" dxfId="1277" priority="1135">
      <formula>AND($C11=OFFSET($C11,-1,0,1,1),$G11&lt;&gt;OFFSET($G11,-1,0,1,1))</formula>
    </cfRule>
    <cfRule type="expression" dxfId="1276" priority="1136">
      <formula>AND($C11=OFFSET($C11,-1,0,1,1),$G11=OFFSET($G11,-1,0,1,1),D11=OFFSET(D11,-1,0,1,1))</formula>
    </cfRule>
  </conditionalFormatting>
  <conditionalFormatting sqref="Y11:Y16">
    <cfRule type="colorScale" priority="1139">
      <colorScale>
        <cfvo type="min"/>
        <cfvo type="formula" val="TODAY()-365"/>
        <cfvo type="max"/>
        <color rgb="FFFFD1D1"/>
        <color theme="7" tint="0.79998168889431442"/>
        <color theme="0"/>
      </colorScale>
    </cfRule>
  </conditionalFormatting>
  <conditionalFormatting sqref="A42:F48 A80:F86">
    <cfRule type="expression" dxfId="1275" priority="1119">
      <formula>AND($C42=OFFSET($C42,-1,0,1,1),A42=OFFSET(A42,-1,0,1,1))</formula>
    </cfRule>
  </conditionalFormatting>
  <conditionalFormatting sqref="Q42:Q48 Q80:Q86">
    <cfRule type="expression" dxfId="1274" priority="1110">
      <formula>OR(AND(ISNUMBER(DATEVALUE($Q42)),MONTH(DATEVALUE($Q42))=12,DATEVALUE("31/12/"&amp;TEXT(YEAR(DATEVALUE($Q42)),"####"))&lt;TODAY()),AND(ISNUMBER(DATEVALUE($Q42)),MONTH(DATEVALUE($Q42))&lt;12,DATEVALUE("01/"&amp;TEXT(MONTH(DATEVALUE($Q42))+1,"##")&amp;"/"&amp;TEXT(YEAR(DATEVALUE($Q42)),"####"))-1&lt;TODAY()))</formula>
    </cfRule>
  </conditionalFormatting>
  <conditionalFormatting sqref="T42:T48 T80:T86">
    <cfRule type="cellIs" dxfId="1273" priority="1111" operator="equal">
      <formula>"Withdrawn"</formula>
    </cfRule>
    <cfRule type="cellIs" dxfId="1272" priority="1112" operator="equal">
      <formula>"Proposed"</formula>
    </cfRule>
    <cfRule type="cellIs" dxfId="1271" priority="1113" operator="equal">
      <formula>"Committed"</formula>
    </cfRule>
    <cfRule type="cellIs" dxfId="1270" priority="1114" operator="equal">
      <formula>"Upgrade"</formula>
    </cfRule>
    <cfRule type="cellIs" dxfId="1269" priority="1115" operator="equal">
      <formula>"Existing less Announced Withdrawal"</formula>
    </cfRule>
    <cfRule type="cellIs" dxfId="1268" priority="1116" operator="equal">
      <formula>"Announced Withdrawal"</formula>
    </cfRule>
  </conditionalFormatting>
  <conditionalFormatting sqref="C42:C48 C80:C86">
    <cfRule type="expression" dxfId="1267" priority="1117">
      <formula>$C42&lt;&gt;OFFSET($C42,-1,0,1,1)</formula>
    </cfRule>
    <cfRule type="expression" dxfId="1266" priority="1118">
      <formula>$C42=OFFSET($C42,-1,0,1,1)</formula>
    </cfRule>
    <cfRule type="expression" dxfId="1265" priority="1120">
      <formula>$B42="Project"</formula>
    </cfRule>
  </conditionalFormatting>
  <conditionalFormatting sqref="B42:W48 B80:W86 Y42:Y48 Y80:Y86">
    <cfRule type="expression" dxfId="1264" priority="1106">
      <formula>$B42="Project"</formula>
    </cfRule>
  </conditionalFormatting>
  <conditionalFormatting sqref="H42:W48 H80:W86 Y42:Y48 Y80:Y86">
    <cfRule type="expression" dxfId="1263" priority="1109">
      <formula>AND($C42=OFFSET($C42,-1,0,1,1),$G42=OFFSET($G42,-1,0,1,1),H42&lt;&gt;OFFSET(H42,-1,0,1,1))</formula>
    </cfRule>
  </conditionalFormatting>
  <conditionalFormatting sqref="A42:W48 A80:W86 Y42:Y48 Y80:Y86">
    <cfRule type="expression" dxfId="1262" priority="1105">
      <formula>$C42&lt;&gt;OFFSET($C42,-1,0,1,1)</formula>
    </cfRule>
  </conditionalFormatting>
  <conditionalFormatting sqref="D42:W48 D80:W86 Y42:Y48 Y80:Y86">
    <cfRule type="expression" dxfId="1261" priority="1107">
      <formula>AND($C42=OFFSET($C42,-1,0,1,1),$G42&lt;&gt;OFFSET($G42,-1,0,1,1))</formula>
    </cfRule>
    <cfRule type="expression" dxfId="1260" priority="1108">
      <formula>AND($C42=OFFSET($C42,-1,0,1,1),$G42=OFFSET($G42,-1,0,1,1),D42=OFFSET(D42,-1,0,1,1))</formula>
    </cfRule>
  </conditionalFormatting>
  <conditionalFormatting sqref="V42:V48 V80:V86 H42:N48 H80:N86">
    <cfRule type="expression" dxfId="1259" priority="1104">
      <formula>MOD(H42,1)=0</formula>
    </cfRule>
  </conditionalFormatting>
  <conditionalFormatting sqref="V41:V72 H41:N72 H76:N87 V76:V87">
    <cfRule type="expression" dxfId="1258" priority="1102">
      <formula>MOD(H41,1)=0</formula>
    </cfRule>
  </conditionalFormatting>
  <conditionalFormatting sqref="B41:Y72 B76:Y87">
    <cfRule type="expression" dxfId="1257" priority="1098">
      <formula>$B41="Project"</formula>
    </cfRule>
  </conditionalFormatting>
  <conditionalFormatting sqref="A41:F72 A76:F87">
    <cfRule type="expression" dxfId="1256" priority="1096">
      <formula>AND($C41=OFFSET($C41,-1,0,1,1),A41=OFFSET(A41,-1,0,1,1))</formula>
    </cfRule>
  </conditionalFormatting>
  <conditionalFormatting sqref="H41:Y72 H76:Y87">
    <cfRule type="expression" dxfId="1255" priority="1101">
      <formula>AND($C41=OFFSET($C41,-1,0,1,1),$G41=OFFSET($G41,-1,0,1,1),H41&lt;&gt;OFFSET(H41,-1,0,1,1))</formula>
    </cfRule>
  </conditionalFormatting>
  <conditionalFormatting sqref="A41:Y72 A76:Y87">
    <cfRule type="expression" dxfId="1254" priority="1094">
      <formula>$C41&lt;&gt;OFFSET($C41,-1,0,1,1)</formula>
    </cfRule>
  </conditionalFormatting>
  <conditionalFormatting sqref="Q41:Q72 Q76:Q87">
    <cfRule type="expression" dxfId="1253" priority="1086">
      <formula>OR(AND(ISNUMBER(DATEVALUE($Q41)),MONTH(DATEVALUE($Q41))=12,DATEVALUE("31/12/"&amp;TEXT(YEAR(DATEVALUE($Q41)),"####"))&lt;TODAY()),AND(ISNUMBER(DATEVALUE($Q41)),MONTH(DATEVALUE($Q41))&lt;12,DATEVALUE("01/"&amp;TEXT(MONTH(DATEVALUE($Q41))+1,"##")&amp;"/"&amp;TEXT(YEAR(DATEVALUE($Q41)),"####"))-1&lt;TODAY()))</formula>
    </cfRule>
  </conditionalFormatting>
  <conditionalFormatting sqref="T41:T72 T76:T87">
    <cfRule type="cellIs" dxfId="1252" priority="1087" operator="equal">
      <formula>"Withdrawn"</formula>
    </cfRule>
    <cfRule type="cellIs" dxfId="1251" priority="1088" operator="equal">
      <formula>"Proposed"</formula>
    </cfRule>
    <cfRule type="cellIs" dxfId="1250" priority="1089" operator="equal">
      <formula>"Committed"</formula>
    </cfRule>
    <cfRule type="cellIs" dxfId="1249" priority="1090" operator="equal">
      <formula>"Upgrade"</formula>
    </cfRule>
    <cfRule type="cellIs" dxfId="1248" priority="1091" operator="equal">
      <formula>"Existing less Announced Withdrawal"</formula>
    </cfRule>
    <cfRule type="cellIs" dxfId="1247" priority="1092" operator="equal">
      <formula>"Announced Withdrawal"</formula>
    </cfRule>
  </conditionalFormatting>
  <conditionalFormatting sqref="C41:C72 C76:C87">
    <cfRule type="expression" dxfId="1246" priority="1093">
      <formula>$C41&lt;&gt;OFFSET($C41,-1,0,1,1)</formula>
    </cfRule>
    <cfRule type="expression" dxfId="1245" priority="1095">
      <formula>$C41=OFFSET($C41,-1,0,1,1)</formula>
    </cfRule>
    <cfRule type="expression" dxfId="1244" priority="1097">
      <formula>$B41="Project"</formula>
    </cfRule>
  </conditionalFormatting>
  <conditionalFormatting sqref="D41:Y72 D76:Y87">
    <cfRule type="expression" dxfId="1243" priority="1099">
      <formula>AND($C41=OFFSET($C41,-1,0,1,1),$G41&lt;&gt;OFFSET($G41,-1,0,1,1))</formula>
    </cfRule>
    <cfRule type="expression" dxfId="1242" priority="1100">
      <formula>AND($C41=OFFSET($C41,-1,0,1,1),$G41=OFFSET($G41,-1,0,1,1),D41=OFFSET(D41,-1,0,1,1))</formula>
    </cfRule>
  </conditionalFormatting>
  <conditionalFormatting sqref="Y41:Y72 Y76:Y87">
    <cfRule type="colorScale" priority="1103">
      <colorScale>
        <cfvo type="min"/>
        <cfvo type="formula" val="TODAY()-365"/>
        <cfvo type="max"/>
        <color rgb="FFFFD1D1"/>
        <color theme="7" tint="0.79998168889431442"/>
        <color theme="0"/>
      </colorScale>
    </cfRule>
  </conditionalFormatting>
  <conditionalFormatting sqref="X42:X48 X80:X86">
    <cfRule type="expression" dxfId="1241" priority="1082">
      <formula>$B42="Project"</formula>
    </cfRule>
  </conditionalFormatting>
  <conditionalFormatting sqref="X42:X48 X80:X86">
    <cfRule type="expression" dxfId="1240" priority="1085">
      <formula>AND($C42=OFFSET($C42,-1,0,1,1),$G42=OFFSET($G42,-1,0,1,1),X42&lt;&gt;OFFSET(X42,-1,0,1,1))</formula>
    </cfRule>
  </conditionalFormatting>
  <conditionalFormatting sqref="X42:X48 X80:X86">
    <cfRule type="expression" dxfId="1239" priority="1081">
      <formula>$C42&lt;&gt;OFFSET($C42,-1,0,1,1)</formula>
    </cfRule>
  </conditionalFormatting>
  <conditionalFormatting sqref="X42:X48 X80:X86">
    <cfRule type="expression" dxfId="1238" priority="1083">
      <formula>AND($C42=OFFSET($C42,-1,0,1,1),$G42&lt;&gt;OFFSET($G42,-1,0,1,1))</formula>
    </cfRule>
    <cfRule type="expression" dxfId="1237" priority="1084">
      <formula>AND($C42=OFFSET($C42,-1,0,1,1),$G42=OFFSET($G42,-1,0,1,1),X42=OFFSET(X42,-1,0,1,1))</formula>
    </cfRule>
  </conditionalFormatting>
  <conditionalFormatting sqref="V41:V72 H41:N72 H76:N87 V76:V87">
    <cfRule type="expression" dxfId="1236" priority="1079">
      <formula>MOD(H41,1)=0</formula>
    </cfRule>
  </conditionalFormatting>
  <conditionalFormatting sqref="B41:Y72 B76:Y87">
    <cfRule type="expression" dxfId="1235" priority="1075">
      <formula>$B41="Project"</formula>
    </cfRule>
  </conditionalFormatting>
  <conditionalFormatting sqref="A41:F72 A76:F87">
    <cfRule type="expression" dxfId="1234" priority="1073">
      <formula>AND($C41=OFFSET($C41,-1,0,1,1),A41=OFFSET(A41,-1,0,1,1))</formula>
    </cfRule>
  </conditionalFormatting>
  <conditionalFormatting sqref="H41:Y72 H76:Y87">
    <cfRule type="expression" dxfId="1233" priority="1078">
      <formula>AND($C41=OFFSET($C41,-1,0,1,1),$G41=OFFSET($G41,-1,0,1,1),H41&lt;&gt;OFFSET(H41,-1,0,1,1))</formula>
    </cfRule>
  </conditionalFormatting>
  <conditionalFormatting sqref="A41:Y72 A76:Y87">
    <cfRule type="expression" dxfId="1232" priority="1071">
      <formula>$C41&lt;&gt;OFFSET($C41,-1,0,1,1)</formula>
    </cfRule>
  </conditionalFormatting>
  <conditionalFormatting sqref="Q41:Q72 Q76:Q87">
    <cfRule type="expression" dxfId="1231" priority="1063">
      <formula>OR(AND(ISNUMBER(DATEVALUE($Q41)),MONTH(DATEVALUE($Q41))=12,DATEVALUE("31/12/"&amp;TEXT(YEAR(DATEVALUE($Q41)),"####"))&lt;TODAY()),AND(ISNUMBER(DATEVALUE($Q41)),MONTH(DATEVALUE($Q41))&lt;12,DATEVALUE("01/"&amp;TEXT(MONTH(DATEVALUE($Q41))+1,"##")&amp;"/"&amp;TEXT(YEAR(DATEVALUE($Q41)),"####"))-1&lt;TODAY()))</formula>
    </cfRule>
  </conditionalFormatting>
  <conditionalFormatting sqref="T41:T72 T76:T87">
    <cfRule type="cellIs" dxfId="1230" priority="1064" operator="equal">
      <formula>"Withdrawn"</formula>
    </cfRule>
    <cfRule type="cellIs" dxfId="1229" priority="1065" operator="equal">
      <formula>"Proposed"</formula>
    </cfRule>
    <cfRule type="cellIs" dxfId="1228" priority="1066" operator="equal">
      <formula>"Committed"</formula>
    </cfRule>
    <cfRule type="cellIs" dxfId="1227" priority="1067" operator="equal">
      <formula>"Upgrade"</formula>
    </cfRule>
    <cfRule type="cellIs" dxfId="1226" priority="1068" operator="equal">
      <formula>"Existing less Announced Withdrawal"</formula>
    </cfRule>
    <cfRule type="cellIs" dxfId="1225" priority="1069" operator="equal">
      <formula>"Announced Withdrawal"</formula>
    </cfRule>
  </conditionalFormatting>
  <conditionalFormatting sqref="C41:C72 C76:C87">
    <cfRule type="expression" dxfId="1224" priority="1070">
      <formula>$C41&lt;&gt;OFFSET($C41,-1,0,1,1)</formula>
    </cfRule>
    <cfRule type="expression" dxfId="1223" priority="1072">
      <formula>$C41=OFFSET($C41,-1,0,1,1)</formula>
    </cfRule>
    <cfRule type="expression" dxfId="1222" priority="1074">
      <formula>$B41="Project"</formula>
    </cfRule>
  </conditionalFormatting>
  <conditionalFormatting sqref="D41:Y72 D76:Y87">
    <cfRule type="expression" dxfId="1221" priority="1076">
      <formula>AND($C41=OFFSET($C41,-1,0,1,1),$G41&lt;&gt;OFFSET($G41,-1,0,1,1))</formula>
    </cfRule>
    <cfRule type="expression" dxfId="1220" priority="1077">
      <formula>AND($C41=OFFSET($C41,-1,0,1,1),$G41=OFFSET($G41,-1,0,1,1),D41=OFFSET(D41,-1,0,1,1))</formula>
    </cfRule>
  </conditionalFormatting>
  <conditionalFormatting sqref="Y41:Y72 Y76:Y87">
    <cfRule type="colorScale" priority="1080">
      <colorScale>
        <cfvo type="min"/>
        <cfvo type="formula" val="TODAY()-365"/>
        <cfvo type="max"/>
        <color rgb="FFFFD1D1"/>
        <color theme="7" tint="0.79998168889431442"/>
        <color theme="0"/>
      </colorScale>
    </cfRule>
  </conditionalFormatting>
  <conditionalFormatting sqref="A55:F59 A62:F69 A72:F72 A76:F78">
    <cfRule type="expression" dxfId="1219" priority="1060">
      <formula>AND($C55=OFFSET($C55,-1,0,1,1),A55=OFFSET(A55,-1,0,1,1))</formula>
    </cfRule>
  </conditionalFormatting>
  <conditionalFormatting sqref="Q55:Q59 Q62:Q69 Q72 Q76:Q78">
    <cfRule type="expression" dxfId="1218" priority="1051">
      <formula>OR(AND(ISNUMBER(DATEVALUE($Q55)),MONTH(DATEVALUE($Q55))=12,DATEVALUE("31/12/"&amp;TEXT(YEAR(DATEVALUE($Q55)),"####"))&lt;TODAY()),AND(ISNUMBER(DATEVALUE($Q55)),MONTH(DATEVALUE($Q55))&lt;12,DATEVALUE("01/"&amp;TEXT(MONTH(DATEVALUE($Q55))+1,"##")&amp;"/"&amp;TEXT(YEAR(DATEVALUE($Q55)),"####"))-1&lt;TODAY()))</formula>
    </cfRule>
  </conditionalFormatting>
  <conditionalFormatting sqref="T55:T59 T62:T69 T72 T76:T78">
    <cfRule type="cellIs" dxfId="1217" priority="1052" operator="equal">
      <formula>"Withdrawn"</formula>
    </cfRule>
    <cfRule type="cellIs" dxfId="1216" priority="1053" operator="equal">
      <formula>"Proposed"</formula>
    </cfRule>
    <cfRule type="cellIs" dxfId="1215" priority="1054" operator="equal">
      <formula>"Committed"</formula>
    </cfRule>
    <cfRule type="cellIs" dxfId="1214" priority="1055" operator="equal">
      <formula>"Upgrade"</formula>
    </cfRule>
    <cfRule type="cellIs" dxfId="1213" priority="1056" operator="equal">
      <formula>"Existing less Announced Withdrawal"</formula>
    </cfRule>
    <cfRule type="cellIs" dxfId="1212" priority="1057" operator="equal">
      <formula>"Announced Withdrawal"</formula>
    </cfRule>
  </conditionalFormatting>
  <conditionalFormatting sqref="C55:C59 C62:C69 C72 C76:C78">
    <cfRule type="expression" dxfId="1211" priority="1058">
      <formula>$C55&lt;&gt;OFFSET($C55,-1,0,1,1)</formula>
    </cfRule>
    <cfRule type="expression" dxfId="1210" priority="1059">
      <formula>$C55=OFFSET($C55,-1,0,1,1)</formula>
    </cfRule>
    <cfRule type="expression" dxfId="1209" priority="1061">
      <formula>$B55="Project"</formula>
    </cfRule>
  </conditionalFormatting>
  <conditionalFormatting sqref="B55:W59 B62:W69 B72:W72 Y55:Y59 Y62:Y69 Y72 Y76:Y78 B76:W78">
    <cfRule type="expression" dxfId="1208" priority="1047">
      <formula>$B55="Project"</formula>
    </cfRule>
  </conditionalFormatting>
  <conditionalFormatting sqref="H55:W59 H62:W69 H72:W72 Y55:Y59 Y62:Y69 Y72 Y76:Y78 H76:W78">
    <cfRule type="expression" dxfId="1207" priority="1050">
      <formula>AND($C55=OFFSET($C55,-1,0,1,1),$G55=OFFSET($G55,-1,0,1,1),H55&lt;&gt;OFFSET(H55,-1,0,1,1))</formula>
    </cfRule>
  </conditionalFormatting>
  <conditionalFormatting sqref="A55:W59 A62:W69 A72:W72 Y55:Y59 Y62:Y69 Y72 Y76:Y78 A76:W78">
    <cfRule type="expression" dxfId="1206" priority="1046">
      <formula>$C55&lt;&gt;OFFSET($C55,-1,0,1,1)</formula>
    </cfRule>
  </conditionalFormatting>
  <conditionalFormatting sqref="D55:W59 D62:W69 D72:W72 Y55:Y59 Y62:Y69 Y72 Y76:Y78 D76:W78">
    <cfRule type="expression" dxfId="1205" priority="1048">
      <formula>AND($C55=OFFSET($C55,-1,0,1,1),$G55&lt;&gt;OFFSET($G55,-1,0,1,1))</formula>
    </cfRule>
    <cfRule type="expression" dxfId="1204" priority="1049">
      <formula>AND($C55=OFFSET($C55,-1,0,1,1),$G55=OFFSET($G55,-1,0,1,1),D55=OFFSET(D55,-1,0,1,1))</formula>
    </cfRule>
  </conditionalFormatting>
  <conditionalFormatting sqref="V55:V59 V62:V69 V72 H55:N59 H62:N69 H72:N72 H76:N78 V76:V78">
    <cfRule type="expression" dxfId="1203" priority="1045">
      <formula>MOD(H55,1)=0</formula>
    </cfRule>
  </conditionalFormatting>
  <conditionalFormatting sqref="V61 V71 H61:N61 H71:N71">
    <cfRule type="expression" dxfId="1202" priority="1043">
      <formula>MOD(H61,1)=0</formula>
    </cfRule>
  </conditionalFormatting>
  <conditionalFormatting sqref="B61:Y61 B71:Y71">
    <cfRule type="expression" dxfId="1201" priority="1039">
      <formula>$B61="Project"</formula>
    </cfRule>
  </conditionalFormatting>
  <conditionalFormatting sqref="A61:F61 A71:F71">
    <cfRule type="expression" dxfId="1200" priority="1037">
      <formula>AND($C61=OFFSET($C61,-1,0,1,1),A61=OFFSET(A61,-1,0,1,1))</formula>
    </cfRule>
  </conditionalFormatting>
  <conditionalFormatting sqref="H61:Y61 H71:Y71">
    <cfRule type="expression" dxfId="1199" priority="1042">
      <formula>AND($C61=OFFSET($C61,-1,0,1,1),$G61=OFFSET($G61,-1,0,1,1),H61&lt;&gt;OFFSET(H61,-1,0,1,1))</formula>
    </cfRule>
  </conditionalFormatting>
  <conditionalFormatting sqref="A61:Y61 A71:Y71">
    <cfRule type="expression" dxfId="1198" priority="1035">
      <formula>$C61&lt;&gt;OFFSET($C61,-1,0,1,1)</formula>
    </cfRule>
  </conditionalFormatting>
  <conditionalFormatting sqref="Q61 Q71">
    <cfRule type="expression" dxfId="1197" priority="1027">
      <formula>OR(AND(ISNUMBER(DATEVALUE($Q61)),MONTH(DATEVALUE($Q61))=12,DATEVALUE("31/12/"&amp;TEXT(YEAR(DATEVALUE($Q61)),"####"))&lt;TODAY()),AND(ISNUMBER(DATEVALUE($Q61)),MONTH(DATEVALUE($Q61))&lt;12,DATEVALUE("01/"&amp;TEXT(MONTH(DATEVALUE($Q61))+1,"##")&amp;"/"&amp;TEXT(YEAR(DATEVALUE($Q61)),"####"))-1&lt;TODAY()))</formula>
    </cfRule>
  </conditionalFormatting>
  <conditionalFormatting sqref="T61 T71">
    <cfRule type="cellIs" dxfId="1196" priority="1028" operator="equal">
      <formula>"Withdrawn"</formula>
    </cfRule>
    <cfRule type="cellIs" dxfId="1195" priority="1029" operator="equal">
      <formula>"Proposed"</formula>
    </cfRule>
    <cfRule type="cellIs" dxfId="1194" priority="1030" operator="equal">
      <formula>"Committed"</formula>
    </cfRule>
    <cfRule type="cellIs" dxfId="1193" priority="1031" operator="equal">
      <formula>"Upgrade"</formula>
    </cfRule>
    <cfRule type="cellIs" dxfId="1192" priority="1032" operator="equal">
      <formula>"Existing less Announced Withdrawal"</formula>
    </cfRule>
    <cfRule type="cellIs" dxfId="1191" priority="1033" operator="equal">
      <formula>"Announced Withdrawal"</formula>
    </cfRule>
  </conditionalFormatting>
  <conditionalFormatting sqref="C61 C71">
    <cfRule type="expression" dxfId="1190" priority="1034">
      <formula>$C61&lt;&gt;OFFSET($C61,-1,0,1,1)</formula>
    </cfRule>
    <cfRule type="expression" dxfId="1189" priority="1036">
      <formula>$C61=OFFSET($C61,-1,0,1,1)</formula>
    </cfRule>
    <cfRule type="expression" dxfId="1188" priority="1038">
      <formula>$B61="Project"</formula>
    </cfRule>
  </conditionalFormatting>
  <conditionalFormatting sqref="D61:Y61 D71:Y71">
    <cfRule type="expression" dxfId="1187" priority="1040">
      <formula>AND($C61=OFFSET($C61,-1,0,1,1),$G61&lt;&gt;OFFSET($G61,-1,0,1,1))</formula>
    </cfRule>
    <cfRule type="expression" dxfId="1186" priority="1041">
      <formula>AND($C61=OFFSET($C61,-1,0,1,1),$G61=OFFSET($G61,-1,0,1,1),D61=OFFSET(D61,-1,0,1,1))</formula>
    </cfRule>
  </conditionalFormatting>
  <conditionalFormatting sqref="Y61 Y71">
    <cfRule type="colorScale" priority="1044">
      <colorScale>
        <cfvo type="min"/>
        <cfvo type="formula" val="TODAY()-365"/>
        <cfvo type="max"/>
        <color rgb="FFFFD1D1"/>
        <color theme="7" tint="0.79998168889431442"/>
        <color theme="0"/>
      </colorScale>
    </cfRule>
  </conditionalFormatting>
  <conditionalFormatting sqref="X55:X59 X62:X69 X72 X76:X78">
    <cfRule type="expression" dxfId="1185" priority="1023">
      <formula>$B55="Project"</formula>
    </cfRule>
  </conditionalFormatting>
  <conditionalFormatting sqref="X55:X59 X62:X69 X72 X76:X78">
    <cfRule type="expression" dxfId="1184" priority="1026">
      <formula>AND($C55=OFFSET($C55,-1,0,1,1),$G55=OFFSET($G55,-1,0,1,1),X55&lt;&gt;OFFSET(X55,-1,0,1,1))</formula>
    </cfRule>
  </conditionalFormatting>
  <conditionalFormatting sqref="X55:X59 X62:X69 X72 X76:X78">
    <cfRule type="expression" dxfId="1183" priority="1022">
      <formula>$C55&lt;&gt;OFFSET($C55,-1,0,1,1)</formula>
    </cfRule>
  </conditionalFormatting>
  <conditionalFormatting sqref="X55:X59 X62:X69 X72 X76:X78">
    <cfRule type="expression" dxfId="1182" priority="1024">
      <formula>AND($C55=OFFSET($C55,-1,0,1,1),$G55&lt;&gt;OFFSET($G55,-1,0,1,1))</formula>
    </cfRule>
    <cfRule type="expression" dxfId="1181" priority="1025">
      <formula>AND($C55=OFFSET($C55,-1,0,1,1),$G55=OFFSET($G55,-1,0,1,1),X55=OFFSET(X55,-1,0,1,1))</formula>
    </cfRule>
  </conditionalFormatting>
  <conditionalFormatting sqref="Y55:Y59 Y62:Y69 Y72 Y76:Y78">
    <cfRule type="colorScale" priority="1062">
      <colorScale>
        <cfvo type="min"/>
        <cfvo type="formula" val="TODAY()-365"/>
        <cfvo type="max"/>
        <color rgb="FFFFD1D1"/>
        <color theme="7" tint="0.79998168889431442"/>
        <color theme="0"/>
      </colorScale>
    </cfRule>
  </conditionalFormatting>
  <conditionalFormatting sqref="V55:V72 H55:N72 H76:N78 V76:V78">
    <cfRule type="expression" dxfId="1180" priority="1020">
      <formula>MOD(H55,1)=0</formula>
    </cfRule>
  </conditionalFormatting>
  <conditionalFormatting sqref="B55:Y72 B76:Y78">
    <cfRule type="expression" dxfId="1179" priority="1016">
      <formula>$B55="Project"</formula>
    </cfRule>
  </conditionalFormatting>
  <conditionalFormatting sqref="A55:F72 A76:F78">
    <cfRule type="expression" dxfId="1178" priority="1014">
      <formula>AND($C55=OFFSET($C55,-1,0,1,1),A55=OFFSET(A55,-1,0,1,1))</formula>
    </cfRule>
  </conditionalFormatting>
  <conditionalFormatting sqref="H55:Y72 H76:Y78">
    <cfRule type="expression" dxfId="1177" priority="1019">
      <formula>AND($C55=OFFSET($C55,-1,0,1,1),$G55=OFFSET($G55,-1,0,1,1),H55&lt;&gt;OFFSET(H55,-1,0,1,1))</formula>
    </cfRule>
  </conditionalFormatting>
  <conditionalFormatting sqref="A55:Y72 A76:Y78">
    <cfRule type="expression" dxfId="1176" priority="1012">
      <formula>$C55&lt;&gt;OFFSET($C55,-1,0,1,1)</formula>
    </cfRule>
  </conditionalFormatting>
  <conditionalFormatting sqref="Q55:Q72 Q76:Q78">
    <cfRule type="expression" dxfId="1175" priority="1004">
      <formula>OR(AND(ISNUMBER(DATEVALUE($Q55)),MONTH(DATEVALUE($Q55))=12,DATEVALUE("31/12/"&amp;TEXT(YEAR(DATEVALUE($Q55)),"####"))&lt;TODAY()),AND(ISNUMBER(DATEVALUE($Q55)),MONTH(DATEVALUE($Q55))&lt;12,DATEVALUE("01/"&amp;TEXT(MONTH(DATEVALUE($Q55))+1,"##")&amp;"/"&amp;TEXT(YEAR(DATEVALUE($Q55)),"####"))-1&lt;TODAY()))</formula>
    </cfRule>
  </conditionalFormatting>
  <conditionalFormatting sqref="T55:T72 T76:T78">
    <cfRule type="cellIs" dxfId="1174" priority="1005" operator="equal">
      <formula>"Withdrawn"</formula>
    </cfRule>
    <cfRule type="cellIs" dxfId="1173" priority="1006" operator="equal">
      <formula>"Proposed"</formula>
    </cfRule>
    <cfRule type="cellIs" dxfId="1172" priority="1007" operator="equal">
      <formula>"Committed"</formula>
    </cfRule>
    <cfRule type="cellIs" dxfId="1171" priority="1008" operator="equal">
      <formula>"Upgrade"</formula>
    </cfRule>
    <cfRule type="cellIs" dxfId="1170" priority="1009" operator="equal">
      <formula>"Existing less Announced Withdrawal"</formula>
    </cfRule>
    <cfRule type="cellIs" dxfId="1169" priority="1010" operator="equal">
      <formula>"Announced Withdrawal"</formula>
    </cfRule>
  </conditionalFormatting>
  <conditionalFormatting sqref="C55:C72 C76:C78">
    <cfRule type="expression" dxfId="1168" priority="1011">
      <formula>$C55&lt;&gt;OFFSET($C55,-1,0,1,1)</formula>
    </cfRule>
    <cfRule type="expression" dxfId="1167" priority="1013">
      <formula>$C55=OFFSET($C55,-1,0,1,1)</formula>
    </cfRule>
    <cfRule type="expression" dxfId="1166" priority="1015">
      <formula>$B55="Project"</formula>
    </cfRule>
  </conditionalFormatting>
  <conditionalFormatting sqref="D55:Y72 D76:Y78">
    <cfRule type="expression" dxfId="1165" priority="1017">
      <formula>AND($C55=OFFSET($C55,-1,0,1,1),$G55&lt;&gt;OFFSET($G55,-1,0,1,1))</formula>
    </cfRule>
    <cfRule type="expression" dxfId="1164" priority="1018">
      <formula>AND($C55=OFFSET($C55,-1,0,1,1),$G55=OFFSET($G55,-1,0,1,1),D55=OFFSET(D55,-1,0,1,1))</formula>
    </cfRule>
  </conditionalFormatting>
  <conditionalFormatting sqref="Y55:Y72 Y76:Y78">
    <cfRule type="colorScale" priority="1021">
      <colorScale>
        <cfvo type="min"/>
        <cfvo type="formula" val="TODAY()-365"/>
        <cfvo type="max"/>
        <color rgb="FFFFD1D1"/>
        <color theme="7" tint="0.79998168889431442"/>
        <color theme="0"/>
      </colorScale>
    </cfRule>
  </conditionalFormatting>
  <conditionalFormatting sqref="Y42:Y48 Y80:Y86">
    <cfRule type="colorScale" priority="1121">
      <colorScale>
        <cfvo type="min"/>
        <cfvo type="formula" val="TODAY()-365"/>
        <cfvo type="max"/>
        <color rgb="FFFFD1D1"/>
        <color theme="7" tint="0.79998168889431442"/>
        <color theme="0"/>
      </colorScale>
    </cfRule>
  </conditionalFormatting>
  <conditionalFormatting sqref="V49:V54 V87 H49:N54 H87:N87">
    <cfRule type="expression" dxfId="1163" priority="983">
      <formula>MOD(H49,1)=0</formula>
    </cfRule>
  </conditionalFormatting>
  <conditionalFormatting sqref="B49:Y54 B87:Y87">
    <cfRule type="expression" dxfId="1162" priority="979">
      <formula>$B49="Project"</formula>
    </cfRule>
  </conditionalFormatting>
  <conditionalFormatting sqref="A49:F54 A87:F87">
    <cfRule type="expression" dxfId="1161" priority="977">
      <formula>AND($C49=OFFSET($C49,-1,0,1,1),A49=OFFSET(A49,-1,0,1,1))</formula>
    </cfRule>
  </conditionalFormatting>
  <conditionalFormatting sqref="H49:Y54 H87:Y87">
    <cfRule type="expression" dxfId="1160" priority="982">
      <formula>AND($C49=OFFSET($C49,-1,0,1,1),$G49=OFFSET($G49,-1,0,1,1),H49&lt;&gt;OFFSET(H49,-1,0,1,1))</formula>
    </cfRule>
  </conditionalFormatting>
  <conditionalFormatting sqref="A49:Y54 A87:Y87">
    <cfRule type="expression" dxfId="1159" priority="975">
      <formula>$C49&lt;&gt;OFFSET($C49,-1,0,1,1)</formula>
    </cfRule>
  </conditionalFormatting>
  <conditionalFormatting sqref="Q49:Q54 Q87">
    <cfRule type="expression" dxfId="1158" priority="967">
      <formula>OR(AND(ISNUMBER(DATEVALUE($Q49)),MONTH(DATEVALUE($Q49))=12,DATEVALUE("31/12/"&amp;TEXT(YEAR(DATEVALUE($Q49)),"####"))&lt;TODAY()),AND(ISNUMBER(DATEVALUE($Q49)),MONTH(DATEVALUE($Q49))&lt;12,DATEVALUE("01/"&amp;TEXT(MONTH(DATEVALUE($Q49))+1,"##")&amp;"/"&amp;TEXT(YEAR(DATEVALUE($Q49)),"####"))-1&lt;TODAY()))</formula>
    </cfRule>
  </conditionalFormatting>
  <conditionalFormatting sqref="T49:T54 T87">
    <cfRule type="cellIs" dxfId="1157" priority="968" operator="equal">
      <formula>"Withdrawn"</formula>
    </cfRule>
    <cfRule type="cellIs" dxfId="1156" priority="969" operator="equal">
      <formula>"Proposed"</formula>
    </cfRule>
    <cfRule type="cellIs" dxfId="1155" priority="970" operator="equal">
      <formula>"Committed"</formula>
    </cfRule>
    <cfRule type="cellIs" dxfId="1154" priority="971" operator="equal">
      <formula>"Upgrade"</formula>
    </cfRule>
    <cfRule type="cellIs" dxfId="1153" priority="972" operator="equal">
      <formula>"Existing less Announced Withdrawal"</formula>
    </cfRule>
    <cfRule type="cellIs" dxfId="1152" priority="973" operator="equal">
      <formula>"Announced Withdrawal"</formula>
    </cfRule>
  </conditionalFormatting>
  <conditionalFormatting sqref="C49:C54 C87">
    <cfRule type="expression" dxfId="1151" priority="974">
      <formula>$C49&lt;&gt;OFFSET($C49,-1,0,1,1)</formula>
    </cfRule>
    <cfRule type="expression" dxfId="1150" priority="976">
      <formula>$C49=OFFSET($C49,-1,0,1,1)</formula>
    </cfRule>
    <cfRule type="expression" dxfId="1149" priority="978">
      <formula>$B49="Project"</formula>
    </cfRule>
  </conditionalFormatting>
  <conditionalFormatting sqref="D49:Y54 D87:Y87">
    <cfRule type="expression" dxfId="1148" priority="980">
      <formula>AND($C49=OFFSET($C49,-1,0,1,1),$G49&lt;&gt;OFFSET($G49,-1,0,1,1))</formula>
    </cfRule>
    <cfRule type="expression" dxfId="1147" priority="981">
      <formula>AND($C49=OFFSET($C49,-1,0,1,1),$G49=OFFSET($G49,-1,0,1,1),D49=OFFSET(D49,-1,0,1,1))</formula>
    </cfRule>
  </conditionalFormatting>
  <conditionalFormatting sqref="Y49:Y54 Y87">
    <cfRule type="colorScale" priority="984">
      <colorScale>
        <cfvo type="min"/>
        <cfvo type="formula" val="TODAY()-365"/>
        <cfvo type="max"/>
        <color rgb="FFFFD1D1"/>
        <color theme="7" tint="0.79998168889431442"/>
        <color theme="0"/>
      </colorScale>
    </cfRule>
  </conditionalFormatting>
  <conditionalFormatting sqref="V49:V54 V87 H49:N54 H87:N87">
    <cfRule type="expression" dxfId="1146" priority="965">
      <formula>MOD(H49,1)=0</formula>
    </cfRule>
  </conditionalFormatting>
  <conditionalFormatting sqref="B49:Y54 B87:Y87">
    <cfRule type="expression" dxfId="1145" priority="961">
      <formula>$B49="Project"</formula>
    </cfRule>
  </conditionalFormatting>
  <conditionalFormatting sqref="A49:F54 A87:F87">
    <cfRule type="expression" dxfId="1144" priority="959">
      <formula>AND($C49=OFFSET($C49,-1,0,1,1),A49=OFFSET(A49,-1,0,1,1))</formula>
    </cfRule>
  </conditionalFormatting>
  <conditionalFormatting sqref="H49:Y54 H87:Y87">
    <cfRule type="expression" dxfId="1143" priority="964">
      <formula>AND($C49=OFFSET($C49,-1,0,1,1),$G49=OFFSET($G49,-1,0,1,1),H49&lt;&gt;OFFSET(H49,-1,0,1,1))</formula>
    </cfRule>
  </conditionalFormatting>
  <conditionalFormatting sqref="A49:Y54 A87:Y87">
    <cfRule type="expression" dxfId="1142" priority="957">
      <formula>$C49&lt;&gt;OFFSET($C49,-1,0,1,1)</formula>
    </cfRule>
  </conditionalFormatting>
  <conditionalFormatting sqref="Q49:Q54 Q87">
    <cfRule type="expression" dxfId="1141" priority="949">
      <formula>OR(AND(ISNUMBER(DATEVALUE($Q49)),MONTH(DATEVALUE($Q49))=12,DATEVALUE("31/12/"&amp;TEXT(YEAR(DATEVALUE($Q49)),"####"))&lt;TODAY()),AND(ISNUMBER(DATEVALUE($Q49)),MONTH(DATEVALUE($Q49))&lt;12,DATEVALUE("01/"&amp;TEXT(MONTH(DATEVALUE($Q49))+1,"##")&amp;"/"&amp;TEXT(YEAR(DATEVALUE($Q49)),"####"))-1&lt;TODAY()))</formula>
    </cfRule>
  </conditionalFormatting>
  <conditionalFormatting sqref="T49:T54 T87">
    <cfRule type="cellIs" dxfId="1140" priority="950" operator="equal">
      <formula>"Withdrawn"</formula>
    </cfRule>
    <cfRule type="cellIs" dxfId="1139" priority="951" operator="equal">
      <formula>"Proposed"</formula>
    </cfRule>
    <cfRule type="cellIs" dxfId="1138" priority="952" operator="equal">
      <formula>"Committed"</formula>
    </cfRule>
    <cfRule type="cellIs" dxfId="1137" priority="953" operator="equal">
      <formula>"Upgrade"</formula>
    </cfRule>
    <cfRule type="cellIs" dxfId="1136" priority="954" operator="equal">
      <formula>"Existing less Announced Withdrawal"</formula>
    </cfRule>
    <cfRule type="cellIs" dxfId="1135" priority="955" operator="equal">
      <formula>"Announced Withdrawal"</formula>
    </cfRule>
  </conditionalFormatting>
  <conditionalFormatting sqref="C49:C54 C87">
    <cfRule type="expression" dxfId="1134" priority="956">
      <formula>$C49&lt;&gt;OFFSET($C49,-1,0,1,1)</formula>
    </cfRule>
    <cfRule type="expression" dxfId="1133" priority="958">
      <formula>$C49=OFFSET($C49,-1,0,1,1)</formula>
    </cfRule>
    <cfRule type="expression" dxfId="1132" priority="960">
      <formula>$B49="Project"</formula>
    </cfRule>
  </conditionalFormatting>
  <conditionalFormatting sqref="D49:Y54 D87:Y87">
    <cfRule type="expression" dxfId="1131" priority="962">
      <formula>AND($C49=OFFSET($C49,-1,0,1,1),$G49&lt;&gt;OFFSET($G49,-1,0,1,1))</formula>
    </cfRule>
    <cfRule type="expression" dxfId="1130" priority="963">
      <formula>AND($C49=OFFSET($C49,-1,0,1,1),$G49=OFFSET($G49,-1,0,1,1),D49=OFFSET(D49,-1,0,1,1))</formula>
    </cfRule>
  </conditionalFormatting>
  <conditionalFormatting sqref="Y49:Y54 Y87">
    <cfRule type="colorScale" priority="966">
      <colorScale>
        <cfvo type="min"/>
        <cfvo type="formula" val="TODAY()-365"/>
        <cfvo type="max"/>
        <color rgb="FFFFD1D1"/>
        <color theme="7" tint="0.79998168889431442"/>
        <color theme="0"/>
      </colorScale>
    </cfRule>
  </conditionalFormatting>
  <conditionalFormatting sqref="V74:V75 H74:N75">
    <cfRule type="expression" dxfId="1129" priority="947">
      <formula>MOD(H74,1)=0</formula>
    </cfRule>
  </conditionalFormatting>
  <conditionalFormatting sqref="B74:Y75">
    <cfRule type="expression" dxfId="1128" priority="943">
      <formula>$B74="Project"</formula>
    </cfRule>
  </conditionalFormatting>
  <conditionalFormatting sqref="A74:F75">
    <cfRule type="expression" dxfId="1127" priority="941">
      <formula>AND($C74=OFFSET($C74,-1,0,1,1),A74=OFFSET(A74,-1,0,1,1))</formula>
    </cfRule>
  </conditionalFormatting>
  <conditionalFormatting sqref="H74:Y75">
    <cfRule type="expression" dxfId="1126" priority="946">
      <formula>AND($C74=OFFSET($C74,-1,0,1,1),$G74=OFFSET($G74,-1,0,1,1),H74&lt;&gt;OFFSET(H74,-1,0,1,1))</formula>
    </cfRule>
  </conditionalFormatting>
  <conditionalFormatting sqref="A74:Y75">
    <cfRule type="expression" dxfId="1125" priority="939">
      <formula>$C74&lt;&gt;OFFSET($C74,-1,0,1,1)</formula>
    </cfRule>
  </conditionalFormatting>
  <conditionalFormatting sqref="Q74:Q75">
    <cfRule type="expression" dxfId="1124" priority="931">
      <formula>OR(AND(ISNUMBER(DATEVALUE($Q74)),MONTH(DATEVALUE($Q74))=12,DATEVALUE("31/12/"&amp;TEXT(YEAR(DATEVALUE($Q74)),"####"))&lt;TODAY()),AND(ISNUMBER(DATEVALUE($Q74)),MONTH(DATEVALUE($Q74))&lt;12,DATEVALUE("01/"&amp;TEXT(MONTH(DATEVALUE($Q74))+1,"##")&amp;"/"&amp;TEXT(YEAR(DATEVALUE($Q74)),"####"))-1&lt;TODAY()))</formula>
    </cfRule>
  </conditionalFormatting>
  <conditionalFormatting sqref="T74:T75">
    <cfRule type="cellIs" dxfId="1123" priority="932" operator="equal">
      <formula>"Withdrawn"</formula>
    </cfRule>
    <cfRule type="cellIs" dxfId="1122" priority="933" operator="equal">
      <formula>"Proposed"</formula>
    </cfRule>
    <cfRule type="cellIs" dxfId="1121" priority="934" operator="equal">
      <formula>"Committed"</formula>
    </cfRule>
    <cfRule type="cellIs" dxfId="1120" priority="935" operator="equal">
      <formula>"Upgrade"</formula>
    </cfRule>
    <cfRule type="cellIs" dxfId="1119" priority="936" operator="equal">
      <formula>"Existing less Announced Withdrawal"</formula>
    </cfRule>
    <cfRule type="cellIs" dxfId="1118" priority="937" operator="equal">
      <formula>"Announced Withdrawal"</formula>
    </cfRule>
  </conditionalFormatting>
  <conditionalFormatting sqref="C74:C75">
    <cfRule type="expression" dxfId="1117" priority="938">
      <formula>$C74&lt;&gt;OFFSET($C74,-1,0,1,1)</formula>
    </cfRule>
    <cfRule type="expression" dxfId="1116" priority="940">
      <formula>$C74=OFFSET($C74,-1,0,1,1)</formula>
    </cfRule>
    <cfRule type="expression" dxfId="1115" priority="942">
      <formula>$B74="Project"</formula>
    </cfRule>
  </conditionalFormatting>
  <conditionalFormatting sqref="D74:Y75">
    <cfRule type="expression" dxfId="1114" priority="944">
      <formula>AND($C74=OFFSET($C74,-1,0,1,1),$G74&lt;&gt;OFFSET($G74,-1,0,1,1))</formula>
    </cfRule>
    <cfRule type="expression" dxfId="1113" priority="945">
      <formula>AND($C74=OFFSET($C74,-1,0,1,1),$G74=OFFSET($G74,-1,0,1,1),D74=OFFSET(D74,-1,0,1,1))</formula>
    </cfRule>
  </conditionalFormatting>
  <conditionalFormatting sqref="Y74:Y75">
    <cfRule type="colorScale" priority="948">
      <colorScale>
        <cfvo type="min"/>
        <cfvo type="formula" val="TODAY()-365"/>
        <cfvo type="max"/>
        <color rgb="FFFFD1D1"/>
        <color theme="7" tint="0.79998168889431442"/>
        <color theme="0"/>
      </colorScale>
    </cfRule>
  </conditionalFormatting>
  <conditionalFormatting sqref="V74:V75 H74:N75">
    <cfRule type="expression" dxfId="1112" priority="929">
      <formula>MOD(H74,1)=0</formula>
    </cfRule>
  </conditionalFormatting>
  <conditionalFormatting sqref="B74:Y75">
    <cfRule type="expression" dxfId="1111" priority="925">
      <formula>$B74="Project"</formula>
    </cfRule>
  </conditionalFormatting>
  <conditionalFormatting sqref="A74:F75">
    <cfRule type="expression" dxfId="1110" priority="923">
      <formula>AND($C74=OFFSET($C74,-1,0,1,1),A74=OFFSET(A74,-1,0,1,1))</formula>
    </cfRule>
  </conditionalFormatting>
  <conditionalFormatting sqref="H74:Y75">
    <cfRule type="expression" dxfId="1109" priority="928">
      <formula>AND($C74=OFFSET($C74,-1,0,1,1),$G74=OFFSET($G74,-1,0,1,1),H74&lt;&gt;OFFSET(H74,-1,0,1,1))</formula>
    </cfRule>
  </conditionalFormatting>
  <conditionalFormatting sqref="A74:Y75">
    <cfRule type="expression" dxfId="1108" priority="921">
      <formula>$C74&lt;&gt;OFFSET($C74,-1,0,1,1)</formula>
    </cfRule>
  </conditionalFormatting>
  <conditionalFormatting sqref="Q74:Q75">
    <cfRule type="expression" dxfId="1107" priority="913">
      <formula>OR(AND(ISNUMBER(DATEVALUE($Q74)),MONTH(DATEVALUE($Q74))=12,DATEVALUE("31/12/"&amp;TEXT(YEAR(DATEVALUE($Q74)),"####"))&lt;TODAY()),AND(ISNUMBER(DATEVALUE($Q74)),MONTH(DATEVALUE($Q74))&lt;12,DATEVALUE("01/"&amp;TEXT(MONTH(DATEVALUE($Q74))+1,"##")&amp;"/"&amp;TEXT(YEAR(DATEVALUE($Q74)),"####"))-1&lt;TODAY()))</formula>
    </cfRule>
  </conditionalFormatting>
  <conditionalFormatting sqref="T74:T75">
    <cfRule type="cellIs" dxfId="1106" priority="914" operator="equal">
      <formula>"Withdrawn"</formula>
    </cfRule>
    <cfRule type="cellIs" dxfId="1105" priority="915" operator="equal">
      <formula>"Proposed"</formula>
    </cfRule>
    <cfRule type="cellIs" dxfId="1104" priority="916" operator="equal">
      <formula>"Committed"</formula>
    </cfRule>
    <cfRule type="cellIs" dxfId="1103" priority="917" operator="equal">
      <formula>"Upgrade"</formula>
    </cfRule>
    <cfRule type="cellIs" dxfId="1102" priority="918" operator="equal">
      <formula>"Existing less Announced Withdrawal"</formula>
    </cfRule>
    <cfRule type="cellIs" dxfId="1101" priority="919" operator="equal">
      <formula>"Announced Withdrawal"</formula>
    </cfRule>
  </conditionalFormatting>
  <conditionalFormatting sqref="C74:C75">
    <cfRule type="expression" dxfId="1100" priority="920">
      <formula>$C74&lt;&gt;OFFSET($C74,-1,0,1,1)</formula>
    </cfRule>
    <cfRule type="expression" dxfId="1099" priority="922">
      <formula>$C74=OFFSET($C74,-1,0,1,1)</formula>
    </cfRule>
    <cfRule type="expression" dxfId="1098" priority="924">
      <formula>$B74="Project"</formula>
    </cfRule>
  </conditionalFormatting>
  <conditionalFormatting sqref="D74:Y75">
    <cfRule type="expression" dxfId="1097" priority="926">
      <formula>AND($C74=OFFSET($C74,-1,0,1,1),$G74&lt;&gt;OFFSET($G74,-1,0,1,1))</formula>
    </cfRule>
    <cfRule type="expression" dxfId="1096" priority="927">
      <formula>AND($C74=OFFSET($C74,-1,0,1,1),$G74=OFFSET($G74,-1,0,1,1),D74=OFFSET(D74,-1,0,1,1))</formula>
    </cfRule>
  </conditionalFormatting>
  <conditionalFormatting sqref="Y74:Y75">
    <cfRule type="colorScale" priority="930">
      <colorScale>
        <cfvo type="min"/>
        <cfvo type="formula" val="TODAY()-365"/>
        <cfvo type="max"/>
        <color rgb="FFFFD1D1"/>
        <color theme="7" tint="0.79998168889431442"/>
        <color theme="0"/>
      </colorScale>
    </cfRule>
  </conditionalFormatting>
  <conditionalFormatting sqref="A74:F75">
    <cfRule type="expression" dxfId="1095" priority="910">
      <formula>AND($C74=OFFSET($C74,-1,0,1,1),A74=OFFSET(A74,-1,0,1,1))</formula>
    </cfRule>
  </conditionalFormatting>
  <conditionalFormatting sqref="Q74:Q75">
    <cfRule type="expression" dxfId="1094" priority="901">
      <formula>OR(AND(ISNUMBER(DATEVALUE($Q74)),MONTH(DATEVALUE($Q74))=12,DATEVALUE("31/12/"&amp;TEXT(YEAR(DATEVALUE($Q74)),"####"))&lt;TODAY()),AND(ISNUMBER(DATEVALUE($Q74)),MONTH(DATEVALUE($Q74))&lt;12,DATEVALUE("01/"&amp;TEXT(MONTH(DATEVALUE($Q74))+1,"##")&amp;"/"&amp;TEXT(YEAR(DATEVALUE($Q74)),"####"))-1&lt;TODAY()))</formula>
    </cfRule>
  </conditionalFormatting>
  <conditionalFormatting sqref="T74:T75">
    <cfRule type="cellIs" dxfId="1093" priority="902" operator="equal">
      <formula>"Withdrawn"</formula>
    </cfRule>
    <cfRule type="cellIs" dxfId="1092" priority="903" operator="equal">
      <formula>"Proposed"</formula>
    </cfRule>
    <cfRule type="cellIs" dxfId="1091" priority="904" operator="equal">
      <formula>"Committed"</formula>
    </cfRule>
    <cfRule type="cellIs" dxfId="1090" priority="905" operator="equal">
      <formula>"Upgrade"</formula>
    </cfRule>
    <cfRule type="cellIs" dxfId="1089" priority="906" operator="equal">
      <formula>"Existing less Announced Withdrawal"</formula>
    </cfRule>
    <cfRule type="cellIs" dxfId="1088" priority="907" operator="equal">
      <formula>"Announced Withdrawal"</formula>
    </cfRule>
  </conditionalFormatting>
  <conditionalFormatting sqref="C74:C75">
    <cfRule type="expression" dxfId="1087" priority="908">
      <formula>$C74&lt;&gt;OFFSET($C74,-1,0,1,1)</formula>
    </cfRule>
    <cfRule type="expression" dxfId="1086" priority="909">
      <formula>$C74=OFFSET($C74,-1,0,1,1)</formula>
    </cfRule>
    <cfRule type="expression" dxfId="1085" priority="911">
      <formula>$B74="Project"</formula>
    </cfRule>
  </conditionalFormatting>
  <conditionalFormatting sqref="Y74:Y75 B74:W75">
    <cfRule type="expression" dxfId="1084" priority="897">
      <formula>$B74="Project"</formula>
    </cfRule>
  </conditionalFormatting>
  <conditionalFormatting sqref="Y74:Y75 H74:W75">
    <cfRule type="expression" dxfId="1083" priority="900">
      <formula>AND($C74=OFFSET($C74,-1,0,1,1),$G74=OFFSET($G74,-1,0,1,1),H74&lt;&gt;OFFSET(H74,-1,0,1,1))</formula>
    </cfRule>
  </conditionalFormatting>
  <conditionalFormatting sqref="Y74:Y75 A74:W75">
    <cfRule type="expression" dxfId="1082" priority="896">
      <formula>$C74&lt;&gt;OFFSET($C74,-1,0,1,1)</formula>
    </cfRule>
  </conditionalFormatting>
  <conditionalFormatting sqref="Y74:Y75 D74:W75">
    <cfRule type="expression" dxfId="1081" priority="898">
      <formula>AND($C74=OFFSET($C74,-1,0,1,1),$G74&lt;&gt;OFFSET($G74,-1,0,1,1))</formula>
    </cfRule>
    <cfRule type="expression" dxfId="1080" priority="899">
      <formula>AND($C74=OFFSET($C74,-1,0,1,1),$G74=OFFSET($G74,-1,0,1,1),D74=OFFSET(D74,-1,0,1,1))</formula>
    </cfRule>
  </conditionalFormatting>
  <conditionalFormatting sqref="H74:N75 V74:V75">
    <cfRule type="expression" dxfId="1079" priority="895">
      <formula>MOD(H74,1)=0</formula>
    </cfRule>
  </conditionalFormatting>
  <conditionalFormatting sqref="X74:X75">
    <cfRule type="expression" dxfId="1078" priority="891">
      <formula>$B74="Project"</formula>
    </cfRule>
  </conditionalFormatting>
  <conditionalFormatting sqref="X74:X75">
    <cfRule type="expression" dxfId="1077" priority="894">
      <formula>AND($C74=OFFSET($C74,-1,0,1,1),$G74=OFFSET($G74,-1,0,1,1),X74&lt;&gt;OFFSET(X74,-1,0,1,1))</formula>
    </cfRule>
  </conditionalFormatting>
  <conditionalFormatting sqref="X74:X75">
    <cfRule type="expression" dxfId="1076" priority="890">
      <formula>$C74&lt;&gt;OFFSET($C74,-1,0,1,1)</formula>
    </cfRule>
  </conditionalFormatting>
  <conditionalFormatting sqref="X74:X75">
    <cfRule type="expression" dxfId="1075" priority="892">
      <formula>AND($C74=OFFSET($C74,-1,0,1,1),$G74&lt;&gt;OFFSET($G74,-1,0,1,1))</formula>
    </cfRule>
    <cfRule type="expression" dxfId="1074" priority="893">
      <formula>AND($C74=OFFSET($C74,-1,0,1,1),$G74=OFFSET($G74,-1,0,1,1),X74=OFFSET(X74,-1,0,1,1))</formula>
    </cfRule>
  </conditionalFormatting>
  <conditionalFormatting sqref="Y74:Y75">
    <cfRule type="colorScale" priority="912">
      <colorScale>
        <cfvo type="min"/>
        <cfvo type="formula" val="TODAY()-365"/>
        <cfvo type="max"/>
        <color rgb="FFFFD1D1"/>
        <color theme="7" tint="0.79998168889431442"/>
        <color theme="0"/>
      </colorScale>
    </cfRule>
  </conditionalFormatting>
  <conditionalFormatting sqref="H74:N75 V74:V75">
    <cfRule type="expression" dxfId="1073" priority="888">
      <formula>MOD(H74,1)=0</formula>
    </cfRule>
  </conditionalFormatting>
  <conditionalFormatting sqref="B74:Y75">
    <cfRule type="expression" dxfId="1072" priority="884">
      <formula>$B74="Project"</formula>
    </cfRule>
  </conditionalFormatting>
  <conditionalFormatting sqref="A74:F75">
    <cfRule type="expression" dxfId="1071" priority="882">
      <formula>AND($C74=OFFSET($C74,-1,0,1,1),A74=OFFSET(A74,-1,0,1,1))</formula>
    </cfRule>
  </conditionalFormatting>
  <conditionalFormatting sqref="H74:Y75">
    <cfRule type="expression" dxfId="1070" priority="887">
      <formula>AND($C74=OFFSET($C74,-1,0,1,1),$G74=OFFSET($G74,-1,0,1,1),H74&lt;&gt;OFFSET(H74,-1,0,1,1))</formula>
    </cfRule>
  </conditionalFormatting>
  <conditionalFormatting sqref="A74:Y75">
    <cfRule type="expression" dxfId="1069" priority="880">
      <formula>$C74&lt;&gt;OFFSET($C74,-1,0,1,1)</formula>
    </cfRule>
  </conditionalFormatting>
  <conditionalFormatting sqref="Q74:Q75">
    <cfRule type="expression" dxfId="1068" priority="872">
      <formula>OR(AND(ISNUMBER(DATEVALUE($Q74)),MONTH(DATEVALUE($Q74))=12,DATEVALUE("31/12/"&amp;TEXT(YEAR(DATEVALUE($Q74)),"####"))&lt;TODAY()),AND(ISNUMBER(DATEVALUE($Q74)),MONTH(DATEVALUE($Q74))&lt;12,DATEVALUE("01/"&amp;TEXT(MONTH(DATEVALUE($Q74))+1,"##")&amp;"/"&amp;TEXT(YEAR(DATEVALUE($Q74)),"####"))-1&lt;TODAY()))</formula>
    </cfRule>
  </conditionalFormatting>
  <conditionalFormatting sqref="T74:T75">
    <cfRule type="cellIs" dxfId="1067" priority="873" operator="equal">
      <formula>"Withdrawn"</formula>
    </cfRule>
    <cfRule type="cellIs" dxfId="1066" priority="874" operator="equal">
      <formula>"Proposed"</formula>
    </cfRule>
    <cfRule type="cellIs" dxfId="1065" priority="875" operator="equal">
      <formula>"Committed"</formula>
    </cfRule>
    <cfRule type="cellIs" dxfId="1064" priority="876" operator="equal">
      <formula>"Upgrade"</formula>
    </cfRule>
    <cfRule type="cellIs" dxfId="1063" priority="877" operator="equal">
      <formula>"Existing less Announced Withdrawal"</formula>
    </cfRule>
    <cfRule type="cellIs" dxfId="1062" priority="878" operator="equal">
      <formula>"Announced Withdrawal"</formula>
    </cfRule>
  </conditionalFormatting>
  <conditionalFormatting sqref="C74:C75">
    <cfRule type="expression" dxfId="1061" priority="879">
      <formula>$C74&lt;&gt;OFFSET($C74,-1,0,1,1)</formula>
    </cfRule>
    <cfRule type="expression" dxfId="1060" priority="881">
      <formula>$C74=OFFSET($C74,-1,0,1,1)</formula>
    </cfRule>
    <cfRule type="expression" dxfId="1059" priority="883">
      <formula>$B74="Project"</formula>
    </cfRule>
  </conditionalFormatting>
  <conditionalFormatting sqref="D74:Y75">
    <cfRule type="expression" dxfId="1058" priority="885">
      <formula>AND($C74=OFFSET($C74,-1,0,1,1),$G74&lt;&gt;OFFSET($G74,-1,0,1,1))</formula>
    </cfRule>
    <cfRule type="expression" dxfId="1057" priority="886">
      <formula>AND($C74=OFFSET($C74,-1,0,1,1),$G74=OFFSET($G74,-1,0,1,1),D74=OFFSET(D74,-1,0,1,1))</formula>
    </cfRule>
  </conditionalFormatting>
  <conditionalFormatting sqref="Y74:Y75">
    <cfRule type="colorScale" priority="889">
      <colorScale>
        <cfvo type="min"/>
        <cfvo type="formula" val="TODAY()-365"/>
        <cfvo type="max"/>
        <color rgb="FFFFD1D1"/>
        <color theme="7" tint="0.79998168889431442"/>
        <color theme="0"/>
      </colorScale>
    </cfRule>
  </conditionalFormatting>
  <conditionalFormatting sqref="V73 H73:N73">
    <cfRule type="expression" dxfId="1056" priority="870">
      <formula>MOD(H73,1)=0</formula>
    </cfRule>
  </conditionalFormatting>
  <conditionalFormatting sqref="B73:Y73">
    <cfRule type="expression" dxfId="1055" priority="866">
      <formula>$B73="Project"</formula>
    </cfRule>
  </conditionalFormatting>
  <conditionalFormatting sqref="A73:F73">
    <cfRule type="expression" dxfId="1054" priority="864">
      <formula>AND($C73=OFFSET($C73,-1,0,1,1),A73=OFFSET(A73,-1,0,1,1))</formula>
    </cfRule>
  </conditionalFormatting>
  <conditionalFormatting sqref="H73:Y73">
    <cfRule type="expression" dxfId="1053" priority="869">
      <formula>AND($C73=OFFSET($C73,-1,0,1,1),$G73=OFFSET($G73,-1,0,1,1),H73&lt;&gt;OFFSET(H73,-1,0,1,1))</formula>
    </cfRule>
  </conditionalFormatting>
  <conditionalFormatting sqref="A73:Y73">
    <cfRule type="expression" dxfId="1052" priority="862">
      <formula>$C73&lt;&gt;OFFSET($C73,-1,0,1,1)</formula>
    </cfRule>
  </conditionalFormatting>
  <conditionalFormatting sqref="Q73">
    <cfRule type="expression" dxfId="1051" priority="854">
      <formula>OR(AND(ISNUMBER(DATEVALUE($Q73)),MONTH(DATEVALUE($Q73))=12,DATEVALUE("31/12/"&amp;TEXT(YEAR(DATEVALUE($Q73)),"####"))&lt;TODAY()),AND(ISNUMBER(DATEVALUE($Q73)),MONTH(DATEVALUE($Q73))&lt;12,DATEVALUE("01/"&amp;TEXT(MONTH(DATEVALUE($Q73))+1,"##")&amp;"/"&amp;TEXT(YEAR(DATEVALUE($Q73)),"####"))-1&lt;TODAY()))</formula>
    </cfRule>
  </conditionalFormatting>
  <conditionalFormatting sqref="T73">
    <cfRule type="cellIs" dxfId="1050" priority="855" operator="equal">
      <formula>"Withdrawn"</formula>
    </cfRule>
    <cfRule type="cellIs" dxfId="1049" priority="856" operator="equal">
      <formula>"Proposed"</formula>
    </cfRule>
    <cfRule type="cellIs" dxfId="1048" priority="857" operator="equal">
      <formula>"Committed"</formula>
    </cfRule>
    <cfRule type="cellIs" dxfId="1047" priority="858" operator="equal">
      <formula>"Upgrade"</formula>
    </cfRule>
    <cfRule type="cellIs" dxfId="1046" priority="859" operator="equal">
      <formula>"Existing less Announced Withdrawal"</formula>
    </cfRule>
    <cfRule type="cellIs" dxfId="1045" priority="860" operator="equal">
      <formula>"Announced Withdrawal"</formula>
    </cfRule>
  </conditionalFormatting>
  <conditionalFormatting sqref="C73">
    <cfRule type="expression" dxfId="1044" priority="861">
      <formula>$C73&lt;&gt;OFFSET($C73,-1,0,1,1)</formula>
    </cfRule>
    <cfRule type="expression" dxfId="1043" priority="863">
      <formula>$C73=OFFSET($C73,-1,0,1,1)</formula>
    </cfRule>
    <cfRule type="expression" dxfId="1042" priority="865">
      <formula>$B73="Project"</formula>
    </cfRule>
  </conditionalFormatting>
  <conditionalFormatting sqref="D73:Y73">
    <cfRule type="expression" dxfId="1041" priority="867">
      <formula>AND($C73=OFFSET($C73,-1,0,1,1),$G73&lt;&gt;OFFSET($G73,-1,0,1,1))</formula>
    </cfRule>
    <cfRule type="expression" dxfId="1040" priority="868">
      <formula>AND($C73=OFFSET($C73,-1,0,1,1),$G73=OFFSET($G73,-1,0,1,1),D73=OFFSET(D73,-1,0,1,1))</formula>
    </cfRule>
  </conditionalFormatting>
  <conditionalFormatting sqref="Y73">
    <cfRule type="colorScale" priority="871">
      <colorScale>
        <cfvo type="min"/>
        <cfvo type="formula" val="TODAY()-365"/>
        <cfvo type="max"/>
        <color rgb="FFFFD1D1"/>
        <color theme="7" tint="0.79998168889431442"/>
        <color theme="0"/>
      </colorScale>
    </cfRule>
  </conditionalFormatting>
  <conditionalFormatting sqref="V73 H73:N73">
    <cfRule type="expression" dxfId="1039" priority="852">
      <formula>MOD(H73,1)=0</formula>
    </cfRule>
  </conditionalFormatting>
  <conditionalFormatting sqref="B73:Y73">
    <cfRule type="expression" dxfId="1038" priority="848">
      <formula>$B73="Project"</formula>
    </cfRule>
  </conditionalFormatting>
  <conditionalFormatting sqref="A73:F73">
    <cfRule type="expression" dxfId="1037" priority="846">
      <formula>AND($C73=OFFSET($C73,-1,0,1,1),A73=OFFSET(A73,-1,0,1,1))</formula>
    </cfRule>
  </conditionalFormatting>
  <conditionalFormatting sqref="H73:Y73">
    <cfRule type="expression" dxfId="1036" priority="851">
      <formula>AND($C73=OFFSET($C73,-1,0,1,1),$G73=OFFSET($G73,-1,0,1,1),H73&lt;&gt;OFFSET(H73,-1,0,1,1))</formula>
    </cfRule>
  </conditionalFormatting>
  <conditionalFormatting sqref="A73:Y73">
    <cfRule type="expression" dxfId="1035" priority="844">
      <formula>$C73&lt;&gt;OFFSET($C73,-1,0,1,1)</formula>
    </cfRule>
  </conditionalFormatting>
  <conditionalFormatting sqref="Q73">
    <cfRule type="expression" dxfId="1034" priority="836">
      <formula>OR(AND(ISNUMBER(DATEVALUE($Q73)),MONTH(DATEVALUE($Q73))=12,DATEVALUE("31/12/"&amp;TEXT(YEAR(DATEVALUE($Q73)),"####"))&lt;TODAY()),AND(ISNUMBER(DATEVALUE($Q73)),MONTH(DATEVALUE($Q73))&lt;12,DATEVALUE("01/"&amp;TEXT(MONTH(DATEVALUE($Q73))+1,"##")&amp;"/"&amp;TEXT(YEAR(DATEVALUE($Q73)),"####"))-1&lt;TODAY()))</formula>
    </cfRule>
  </conditionalFormatting>
  <conditionalFormatting sqref="T73">
    <cfRule type="cellIs" dxfId="1033" priority="837" operator="equal">
      <formula>"Withdrawn"</formula>
    </cfRule>
    <cfRule type="cellIs" dxfId="1032" priority="838" operator="equal">
      <formula>"Proposed"</formula>
    </cfRule>
    <cfRule type="cellIs" dxfId="1031" priority="839" operator="equal">
      <formula>"Committed"</formula>
    </cfRule>
    <cfRule type="cellIs" dxfId="1030" priority="840" operator="equal">
      <formula>"Upgrade"</formula>
    </cfRule>
    <cfRule type="cellIs" dxfId="1029" priority="841" operator="equal">
      <formula>"Existing less Announced Withdrawal"</formula>
    </cfRule>
    <cfRule type="cellIs" dxfId="1028" priority="842" operator="equal">
      <formula>"Announced Withdrawal"</formula>
    </cfRule>
  </conditionalFormatting>
  <conditionalFormatting sqref="C73">
    <cfRule type="expression" dxfId="1027" priority="843">
      <formula>$C73&lt;&gt;OFFSET($C73,-1,0,1,1)</formula>
    </cfRule>
    <cfRule type="expression" dxfId="1026" priority="845">
      <formula>$C73=OFFSET($C73,-1,0,1,1)</formula>
    </cfRule>
    <cfRule type="expression" dxfId="1025" priority="847">
      <formula>$B73="Project"</formula>
    </cfRule>
  </conditionalFormatting>
  <conditionalFormatting sqref="D73:Y73">
    <cfRule type="expression" dxfId="1024" priority="849">
      <formula>AND($C73=OFFSET($C73,-1,0,1,1),$G73&lt;&gt;OFFSET($G73,-1,0,1,1))</formula>
    </cfRule>
    <cfRule type="expression" dxfId="1023" priority="850">
      <formula>AND($C73=OFFSET($C73,-1,0,1,1),$G73=OFFSET($G73,-1,0,1,1),D73=OFFSET(D73,-1,0,1,1))</formula>
    </cfRule>
  </conditionalFormatting>
  <conditionalFormatting sqref="Y73">
    <cfRule type="colorScale" priority="853">
      <colorScale>
        <cfvo type="min"/>
        <cfvo type="formula" val="TODAY()-365"/>
        <cfvo type="max"/>
        <color rgb="FFFFD1D1"/>
        <color theme="7" tint="0.79998168889431442"/>
        <color theme="0"/>
      </colorScale>
    </cfRule>
  </conditionalFormatting>
  <conditionalFormatting sqref="A73:F73">
    <cfRule type="expression" dxfId="1022" priority="833">
      <formula>AND($C73=OFFSET($C73,-1,0,1,1),A73=OFFSET(A73,-1,0,1,1))</formula>
    </cfRule>
  </conditionalFormatting>
  <conditionalFormatting sqref="Q73">
    <cfRule type="expression" dxfId="1021" priority="824">
      <formula>OR(AND(ISNUMBER(DATEVALUE($Q73)),MONTH(DATEVALUE($Q73))=12,DATEVALUE("31/12/"&amp;TEXT(YEAR(DATEVALUE($Q73)),"####"))&lt;TODAY()),AND(ISNUMBER(DATEVALUE($Q73)),MONTH(DATEVALUE($Q73))&lt;12,DATEVALUE("01/"&amp;TEXT(MONTH(DATEVALUE($Q73))+1,"##")&amp;"/"&amp;TEXT(YEAR(DATEVALUE($Q73)),"####"))-1&lt;TODAY()))</formula>
    </cfRule>
  </conditionalFormatting>
  <conditionalFormatting sqref="T73">
    <cfRule type="cellIs" dxfId="1020" priority="825" operator="equal">
      <formula>"Withdrawn"</formula>
    </cfRule>
    <cfRule type="cellIs" dxfId="1019" priority="826" operator="equal">
      <formula>"Proposed"</formula>
    </cfRule>
    <cfRule type="cellIs" dxfId="1018" priority="827" operator="equal">
      <formula>"Committed"</formula>
    </cfRule>
    <cfRule type="cellIs" dxfId="1017" priority="828" operator="equal">
      <formula>"Upgrade"</formula>
    </cfRule>
    <cfRule type="cellIs" dxfId="1016" priority="829" operator="equal">
      <formula>"Existing less Announced Withdrawal"</formula>
    </cfRule>
    <cfRule type="cellIs" dxfId="1015" priority="830" operator="equal">
      <formula>"Announced Withdrawal"</formula>
    </cfRule>
  </conditionalFormatting>
  <conditionalFormatting sqref="C73">
    <cfRule type="expression" dxfId="1014" priority="831">
      <formula>$C73&lt;&gt;OFFSET($C73,-1,0,1,1)</formula>
    </cfRule>
    <cfRule type="expression" dxfId="1013" priority="832">
      <formula>$C73=OFFSET($C73,-1,0,1,1)</formula>
    </cfRule>
    <cfRule type="expression" dxfId="1012" priority="834">
      <formula>$B73="Project"</formula>
    </cfRule>
  </conditionalFormatting>
  <conditionalFormatting sqref="Y73 B73:W73">
    <cfRule type="expression" dxfId="1011" priority="820">
      <formula>$B73="Project"</formula>
    </cfRule>
  </conditionalFormatting>
  <conditionalFormatting sqref="Y73 H73:W73">
    <cfRule type="expression" dxfId="1010" priority="823">
      <formula>AND($C73=OFFSET($C73,-1,0,1,1),$G73=OFFSET($G73,-1,0,1,1),H73&lt;&gt;OFFSET(H73,-1,0,1,1))</formula>
    </cfRule>
  </conditionalFormatting>
  <conditionalFormatting sqref="Y73 A73:W73">
    <cfRule type="expression" dxfId="1009" priority="819">
      <formula>$C73&lt;&gt;OFFSET($C73,-1,0,1,1)</formula>
    </cfRule>
  </conditionalFormatting>
  <conditionalFormatting sqref="Y73 D73:W73">
    <cfRule type="expression" dxfId="1008" priority="821">
      <formula>AND($C73=OFFSET($C73,-1,0,1,1),$G73&lt;&gt;OFFSET($G73,-1,0,1,1))</formula>
    </cfRule>
    <cfRule type="expression" dxfId="1007" priority="822">
      <formula>AND($C73=OFFSET($C73,-1,0,1,1),$G73=OFFSET($G73,-1,0,1,1),D73=OFFSET(D73,-1,0,1,1))</formula>
    </cfRule>
  </conditionalFormatting>
  <conditionalFormatting sqref="H73:N73 V73">
    <cfRule type="expression" dxfId="1006" priority="818">
      <formula>MOD(H73,1)=0</formula>
    </cfRule>
  </conditionalFormatting>
  <conditionalFormatting sqref="X73">
    <cfRule type="expression" dxfId="1005" priority="814">
      <formula>$B73="Project"</formula>
    </cfRule>
  </conditionalFormatting>
  <conditionalFormatting sqref="X73">
    <cfRule type="expression" dxfId="1004" priority="817">
      <formula>AND($C73=OFFSET($C73,-1,0,1,1),$G73=OFFSET($G73,-1,0,1,1),X73&lt;&gt;OFFSET(X73,-1,0,1,1))</formula>
    </cfRule>
  </conditionalFormatting>
  <conditionalFormatting sqref="X73">
    <cfRule type="expression" dxfId="1003" priority="813">
      <formula>$C73&lt;&gt;OFFSET($C73,-1,0,1,1)</formula>
    </cfRule>
  </conditionalFormatting>
  <conditionalFormatting sqref="X73">
    <cfRule type="expression" dxfId="1002" priority="815">
      <formula>AND($C73=OFFSET($C73,-1,0,1,1),$G73&lt;&gt;OFFSET($G73,-1,0,1,1))</formula>
    </cfRule>
    <cfRule type="expression" dxfId="1001" priority="816">
      <formula>AND($C73=OFFSET($C73,-1,0,1,1),$G73=OFFSET($G73,-1,0,1,1),X73=OFFSET(X73,-1,0,1,1))</formula>
    </cfRule>
  </conditionalFormatting>
  <conditionalFormatting sqref="Y73">
    <cfRule type="colorScale" priority="835">
      <colorScale>
        <cfvo type="min"/>
        <cfvo type="formula" val="TODAY()-365"/>
        <cfvo type="max"/>
        <color rgb="FFFFD1D1"/>
        <color theme="7" tint="0.79998168889431442"/>
        <color theme="0"/>
      </colorScale>
    </cfRule>
  </conditionalFormatting>
  <conditionalFormatting sqref="H73:N73 V73">
    <cfRule type="expression" dxfId="1000" priority="811">
      <formula>MOD(H73,1)=0</formula>
    </cfRule>
  </conditionalFormatting>
  <conditionalFormatting sqref="B73:Y73">
    <cfRule type="expression" dxfId="999" priority="807">
      <formula>$B73="Project"</formula>
    </cfRule>
  </conditionalFormatting>
  <conditionalFormatting sqref="A73:F73">
    <cfRule type="expression" dxfId="998" priority="805">
      <formula>AND($C73=OFFSET($C73,-1,0,1,1),A73=OFFSET(A73,-1,0,1,1))</formula>
    </cfRule>
  </conditionalFormatting>
  <conditionalFormatting sqref="H73:Y73">
    <cfRule type="expression" dxfId="997" priority="810">
      <formula>AND($C73=OFFSET($C73,-1,0,1,1),$G73=OFFSET($G73,-1,0,1,1),H73&lt;&gt;OFFSET(H73,-1,0,1,1))</formula>
    </cfRule>
  </conditionalFormatting>
  <conditionalFormatting sqref="A73:Y73">
    <cfRule type="expression" dxfId="996" priority="803">
      <formula>$C73&lt;&gt;OFFSET($C73,-1,0,1,1)</formula>
    </cfRule>
  </conditionalFormatting>
  <conditionalFormatting sqref="Q73">
    <cfRule type="expression" dxfId="995" priority="795">
      <formula>OR(AND(ISNUMBER(DATEVALUE($Q73)),MONTH(DATEVALUE($Q73))=12,DATEVALUE("31/12/"&amp;TEXT(YEAR(DATEVALUE($Q73)),"####"))&lt;TODAY()),AND(ISNUMBER(DATEVALUE($Q73)),MONTH(DATEVALUE($Q73))&lt;12,DATEVALUE("01/"&amp;TEXT(MONTH(DATEVALUE($Q73))+1,"##")&amp;"/"&amp;TEXT(YEAR(DATEVALUE($Q73)),"####"))-1&lt;TODAY()))</formula>
    </cfRule>
  </conditionalFormatting>
  <conditionalFormatting sqref="T73">
    <cfRule type="cellIs" dxfId="994" priority="796" operator="equal">
      <formula>"Withdrawn"</formula>
    </cfRule>
    <cfRule type="cellIs" dxfId="993" priority="797" operator="equal">
      <formula>"Proposed"</formula>
    </cfRule>
    <cfRule type="cellIs" dxfId="992" priority="798" operator="equal">
      <formula>"Committed"</formula>
    </cfRule>
    <cfRule type="cellIs" dxfId="991" priority="799" operator="equal">
      <formula>"Upgrade"</formula>
    </cfRule>
    <cfRule type="cellIs" dxfId="990" priority="800" operator="equal">
      <formula>"Existing less Announced Withdrawal"</formula>
    </cfRule>
    <cfRule type="cellIs" dxfId="989" priority="801" operator="equal">
      <formula>"Announced Withdrawal"</formula>
    </cfRule>
  </conditionalFormatting>
  <conditionalFormatting sqref="C73">
    <cfRule type="expression" dxfId="988" priority="802">
      <formula>$C73&lt;&gt;OFFSET($C73,-1,0,1,1)</formula>
    </cfRule>
    <cfRule type="expression" dxfId="987" priority="804">
      <formula>$C73=OFFSET($C73,-1,0,1,1)</formula>
    </cfRule>
    <cfRule type="expression" dxfId="986" priority="806">
      <formula>$B73="Project"</formula>
    </cfRule>
  </conditionalFormatting>
  <conditionalFormatting sqref="D73:Y73">
    <cfRule type="expression" dxfId="985" priority="808">
      <formula>AND($C73=OFFSET($C73,-1,0,1,1),$G73&lt;&gt;OFFSET($G73,-1,0,1,1))</formula>
    </cfRule>
    <cfRule type="expression" dxfId="984" priority="809">
      <formula>AND($C73=OFFSET($C73,-1,0,1,1),$G73=OFFSET($G73,-1,0,1,1),D73=OFFSET(D73,-1,0,1,1))</formula>
    </cfRule>
  </conditionalFormatting>
  <conditionalFormatting sqref="Y73">
    <cfRule type="colorScale" priority="812">
      <colorScale>
        <cfvo type="min"/>
        <cfvo type="formula" val="TODAY()-365"/>
        <cfvo type="max"/>
        <color rgb="FFFFD1D1"/>
        <color theme="7" tint="0.79998168889431442"/>
        <color theme="0"/>
      </colorScale>
    </cfRule>
  </conditionalFormatting>
  <conditionalFormatting sqref="A185:F185">
    <cfRule type="expression" dxfId="983" priority="712">
      <formula>AND($C185=OFFSET($C185,-1,0,1,1),A185=OFFSET(A185,-1,0,1,1))</formula>
    </cfRule>
  </conditionalFormatting>
  <conditionalFormatting sqref="Q185">
    <cfRule type="expression" dxfId="982" priority="703">
      <formula>OR(AND(ISNUMBER(DATEVALUE($Q185)),MONTH(DATEVALUE($Q185))=12,DATEVALUE("31/12/"&amp;TEXT(YEAR(DATEVALUE($Q185)),"####"))&lt;TODAY()),AND(ISNUMBER(DATEVALUE($Q185)),MONTH(DATEVALUE($Q185))&lt;12,DATEVALUE("01/"&amp;TEXT(MONTH(DATEVALUE($Q185))+1,"##")&amp;"/"&amp;TEXT(YEAR(DATEVALUE($Q185)),"####"))-1&lt;TODAY()))</formula>
    </cfRule>
  </conditionalFormatting>
  <conditionalFormatting sqref="T185">
    <cfRule type="cellIs" dxfId="981" priority="704" operator="equal">
      <formula>"Withdrawn"</formula>
    </cfRule>
    <cfRule type="cellIs" dxfId="980" priority="705" operator="equal">
      <formula>"Proposed"</formula>
    </cfRule>
    <cfRule type="cellIs" dxfId="979" priority="706" operator="equal">
      <formula>"Committed"</formula>
    </cfRule>
    <cfRule type="cellIs" dxfId="978" priority="707" operator="equal">
      <formula>"Upgrade"</formula>
    </cfRule>
    <cfRule type="cellIs" dxfId="977" priority="708" operator="equal">
      <formula>"Existing less Announced Withdrawal"</formula>
    </cfRule>
    <cfRule type="cellIs" dxfId="976" priority="709" operator="equal">
      <formula>"Announced Withdrawal"</formula>
    </cfRule>
  </conditionalFormatting>
  <conditionalFormatting sqref="C185">
    <cfRule type="expression" dxfId="975" priority="710">
      <formula>$C185&lt;&gt;OFFSET($C185,-1,0,1,1)</formula>
    </cfRule>
    <cfRule type="expression" dxfId="974" priority="711">
      <formula>$C185=OFFSET($C185,-1,0,1,1)</formula>
    </cfRule>
    <cfRule type="expression" dxfId="973" priority="713">
      <formula>$B185="Project"</formula>
    </cfRule>
  </conditionalFormatting>
  <conditionalFormatting sqref="B185:W185 Y185">
    <cfRule type="expression" dxfId="972" priority="699">
      <formula>$B185="Project"</formula>
    </cfRule>
  </conditionalFormatting>
  <conditionalFormatting sqref="H185:W185 Y185">
    <cfRule type="expression" dxfId="971" priority="702">
      <formula>AND($C185=OFFSET($C185,-1,0,1,1),$G185=OFFSET($G185,-1,0,1,1),H185&lt;&gt;OFFSET(H185,-1,0,1,1))</formula>
    </cfRule>
  </conditionalFormatting>
  <conditionalFormatting sqref="A185:W185 Y185">
    <cfRule type="expression" dxfId="970" priority="698">
      <formula>$C185&lt;&gt;OFFSET($C185,-1,0,1,1)</formula>
    </cfRule>
  </conditionalFormatting>
  <conditionalFormatting sqref="D185:W185 Y185">
    <cfRule type="expression" dxfId="969" priority="700">
      <formula>AND($C185=OFFSET($C185,-1,0,1,1),$G185&lt;&gt;OFFSET($G185,-1,0,1,1))</formula>
    </cfRule>
    <cfRule type="expression" dxfId="968" priority="701">
      <formula>AND($C185=OFFSET($C185,-1,0,1,1),$G185=OFFSET($G185,-1,0,1,1),D185=OFFSET(D185,-1,0,1,1))</formula>
    </cfRule>
  </conditionalFormatting>
  <conditionalFormatting sqref="H185:N185 V185">
    <cfRule type="expression" dxfId="967" priority="697">
      <formula>MOD(H185,1)=0</formula>
    </cfRule>
  </conditionalFormatting>
  <conditionalFormatting sqref="X185">
    <cfRule type="expression" dxfId="966" priority="693">
      <formula>$B185="Project"</formula>
    </cfRule>
  </conditionalFormatting>
  <conditionalFormatting sqref="X185">
    <cfRule type="expression" dxfId="965" priority="696">
      <formula>AND($C185=OFFSET($C185,-1,0,1,1),$G185=OFFSET($G185,-1,0,1,1),X185&lt;&gt;OFFSET(X185,-1,0,1,1))</formula>
    </cfRule>
  </conditionalFormatting>
  <conditionalFormatting sqref="X185">
    <cfRule type="expression" dxfId="964" priority="692">
      <formula>$C185&lt;&gt;OFFSET($C185,-1,0,1,1)</formula>
    </cfRule>
  </conditionalFormatting>
  <conditionalFormatting sqref="X185">
    <cfRule type="expression" dxfId="963" priority="694">
      <formula>AND($C185=OFFSET($C185,-1,0,1,1),$G185&lt;&gt;OFFSET($G185,-1,0,1,1))</formula>
    </cfRule>
    <cfRule type="expression" dxfId="962" priority="695">
      <formula>AND($C185=OFFSET($C185,-1,0,1,1),$G185=OFFSET($G185,-1,0,1,1),X185=OFFSET(X185,-1,0,1,1))</formula>
    </cfRule>
  </conditionalFormatting>
  <conditionalFormatting sqref="H185:N185 V185">
    <cfRule type="expression" dxfId="961" priority="691">
      <formula>MOD(H185,1)=0</formula>
    </cfRule>
  </conditionalFormatting>
  <conditionalFormatting sqref="B185:Y185">
    <cfRule type="expression" dxfId="960" priority="687">
      <formula>$B185="Project"</formula>
    </cfRule>
  </conditionalFormatting>
  <conditionalFormatting sqref="A185:F185">
    <cfRule type="expression" dxfId="959" priority="685">
      <formula>AND($C185=OFFSET($C185,-1,0,1,1),A185=OFFSET(A185,-1,0,1,1))</formula>
    </cfRule>
  </conditionalFormatting>
  <conditionalFormatting sqref="H185:Y185">
    <cfRule type="expression" dxfId="958" priority="690">
      <formula>AND($C185=OFFSET($C185,-1,0,1,1),$G185=OFFSET($G185,-1,0,1,1),H185&lt;&gt;OFFSET(H185,-1,0,1,1))</formula>
    </cfRule>
  </conditionalFormatting>
  <conditionalFormatting sqref="A185:Y185">
    <cfRule type="expression" dxfId="957" priority="683">
      <formula>$C185&lt;&gt;OFFSET($C185,-1,0,1,1)</formula>
    </cfRule>
  </conditionalFormatting>
  <conditionalFormatting sqref="Q185">
    <cfRule type="expression" dxfId="956" priority="675">
      <formula>OR(AND(ISNUMBER(DATEVALUE($Q185)),MONTH(DATEVALUE($Q185))=12,DATEVALUE("31/12/"&amp;TEXT(YEAR(DATEVALUE($Q185)),"####"))&lt;TODAY()),AND(ISNUMBER(DATEVALUE($Q185)),MONTH(DATEVALUE($Q185))&lt;12,DATEVALUE("01/"&amp;TEXT(MONTH(DATEVALUE($Q185))+1,"##")&amp;"/"&amp;TEXT(YEAR(DATEVALUE($Q185)),"####"))-1&lt;TODAY()))</formula>
    </cfRule>
  </conditionalFormatting>
  <conditionalFormatting sqref="T185">
    <cfRule type="cellIs" dxfId="955" priority="676" operator="equal">
      <formula>"Withdrawn"</formula>
    </cfRule>
    <cfRule type="cellIs" dxfId="954" priority="677" operator="equal">
      <formula>"Proposed"</formula>
    </cfRule>
    <cfRule type="cellIs" dxfId="953" priority="678" operator="equal">
      <formula>"Committed"</formula>
    </cfRule>
    <cfRule type="cellIs" dxfId="952" priority="679" operator="equal">
      <formula>"Upgrade"</formula>
    </cfRule>
    <cfRule type="cellIs" dxfId="951" priority="680" operator="equal">
      <formula>"Existing less Announced Withdrawal"</formula>
    </cfRule>
    <cfRule type="cellIs" dxfId="950" priority="681" operator="equal">
      <formula>"Announced Withdrawal"</formula>
    </cfRule>
  </conditionalFormatting>
  <conditionalFormatting sqref="C185">
    <cfRule type="expression" dxfId="949" priority="682">
      <formula>$C185&lt;&gt;OFFSET($C185,-1,0,1,1)</formula>
    </cfRule>
    <cfRule type="expression" dxfId="948" priority="684">
      <formula>$C185=OFFSET($C185,-1,0,1,1)</formula>
    </cfRule>
    <cfRule type="expression" dxfId="947" priority="686">
      <formula>$B185="Project"</formula>
    </cfRule>
  </conditionalFormatting>
  <conditionalFormatting sqref="D185:Y185">
    <cfRule type="expression" dxfId="946" priority="688">
      <formula>AND($C185=OFFSET($C185,-1,0,1,1),$G185&lt;&gt;OFFSET($G185,-1,0,1,1))</formula>
    </cfRule>
    <cfRule type="expression" dxfId="945" priority="689">
      <formula>AND($C185=OFFSET($C185,-1,0,1,1),$G185=OFFSET($G185,-1,0,1,1),D185=OFFSET(D185,-1,0,1,1))</formula>
    </cfRule>
  </conditionalFormatting>
  <conditionalFormatting sqref="H185:N185 V185">
    <cfRule type="expression" dxfId="944" priority="674">
      <formula>MOD(H185,1)=0</formula>
    </cfRule>
  </conditionalFormatting>
  <conditionalFormatting sqref="B185:Y185">
    <cfRule type="expression" dxfId="943" priority="670">
      <formula>$B185="Project"</formula>
    </cfRule>
  </conditionalFormatting>
  <conditionalFormatting sqref="A185:F185">
    <cfRule type="expression" dxfId="942" priority="668">
      <formula>AND($C185=OFFSET($C185,-1,0,1,1),A185=OFFSET(A185,-1,0,1,1))</formula>
    </cfRule>
  </conditionalFormatting>
  <conditionalFormatting sqref="H185:Y185">
    <cfRule type="expression" dxfId="941" priority="673">
      <formula>AND($C185=OFFSET($C185,-1,0,1,1),$G185=OFFSET($G185,-1,0,1,1),H185&lt;&gt;OFFSET(H185,-1,0,1,1))</formula>
    </cfRule>
  </conditionalFormatting>
  <conditionalFormatting sqref="A185:Y185">
    <cfRule type="expression" dxfId="940" priority="666">
      <formula>$C185&lt;&gt;OFFSET($C185,-1,0,1,1)</formula>
    </cfRule>
  </conditionalFormatting>
  <conditionalFormatting sqref="Q185">
    <cfRule type="expression" dxfId="939" priority="658">
      <formula>OR(AND(ISNUMBER(DATEVALUE($Q185)),MONTH(DATEVALUE($Q185))=12,DATEVALUE("31/12/"&amp;TEXT(YEAR(DATEVALUE($Q185)),"####"))&lt;TODAY()),AND(ISNUMBER(DATEVALUE($Q185)),MONTH(DATEVALUE($Q185))&lt;12,DATEVALUE("01/"&amp;TEXT(MONTH(DATEVALUE($Q185))+1,"##")&amp;"/"&amp;TEXT(YEAR(DATEVALUE($Q185)),"####"))-1&lt;TODAY()))</formula>
    </cfRule>
  </conditionalFormatting>
  <conditionalFormatting sqref="T185">
    <cfRule type="cellIs" dxfId="938" priority="659" operator="equal">
      <formula>"Withdrawn"</formula>
    </cfRule>
    <cfRule type="cellIs" dxfId="937" priority="660" operator="equal">
      <formula>"Proposed"</formula>
    </cfRule>
    <cfRule type="cellIs" dxfId="936" priority="661" operator="equal">
      <formula>"Committed"</formula>
    </cfRule>
    <cfRule type="cellIs" dxfId="935" priority="662" operator="equal">
      <formula>"Upgrade"</formula>
    </cfRule>
    <cfRule type="cellIs" dxfId="934" priority="663" operator="equal">
      <formula>"Existing less Announced Withdrawal"</formula>
    </cfRule>
    <cfRule type="cellIs" dxfId="933" priority="664" operator="equal">
      <formula>"Announced Withdrawal"</formula>
    </cfRule>
  </conditionalFormatting>
  <conditionalFormatting sqref="C185">
    <cfRule type="expression" dxfId="932" priority="665">
      <formula>$C185&lt;&gt;OFFSET($C185,-1,0,1,1)</formula>
    </cfRule>
    <cfRule type="expression" dxfId="931" priority="667">
      <formula>$C185=OFFSET($C185,-1,0,1,1)</formula>
    </cfRule>
    <cfRule type="expression" dxfId="930" priority="669">
      <formula>$B185="Project"</formula>
    </cfRule>
  </conditionalFormatting>
  <conditionalFormatting sqref="D185:Y185">
    <cfRule type="expression" dxfId="929" priority="671">
      <formula>AND($C185=OFFSET($C185,-1,0,1,1),$G185&lt;&gt;OFFSET($G185,-1,0,1,1))</formula>
    </cfRule>
    <cfRule type="expression" dxfId="928" priority="672">
      <formula>AND($C185=OFFSET($C185,-1,0,1,1),$G185=OFFSET($G185,-1,0,1,1),D185=OFFSET(D185,-1,0,1,1))</formula>
    </cfRule>
  </conditionalFormatting>
  <conditionalFormatting sqref="Y185">
    <cfRule type="colorScale" priority="714">
      <colorScale>
        <cfvo type="min"/>
        <cfvo type="formula" val="TODAY()-365"/>
        <cfvo type="max"/>
        <color rgb="FFFFD1D1"/>
        <color theme="7" tint="0.79998168889431442"/>
        <color theme="0"/>
      </colorScale>
    </cfRule>
  </conditionalFormatting>
  <conditionalFormatting sqref="Y185">
    <cfRule type="colorScale" priority="715">
      <colorScale>
        <cfvo type="min"/>
        <cfvo type="formula" val="TODAY()-365"/>
        <cfvo type="max"/>
        <color rgb="FFFFD1D1"/>
        <color theme="7" tint="0.79998168889431442"/>
        <color theme="0"/>
      </colorScale>
    </cfRule>
  </conditionalFormatting>
  <conditionalFormatting sqref="Y185">
    <cfRule type="colorScale" priority="716">
      <colorScale>
        <cfvo type="min"/>
        <cfvo type="formula" val="TODAY()-365"/>
        <cfvo type="max"/>
        <color rgb="FFFFD1D1"/>
        <color theme="7" tint="0.79998168889431442"/>
        <color theme="0"/>
      </colorScale>
    </cfRule>
  </conditionalFormatting>
  <conditionalFormatting sqref="A246:F246">
    <cfRule type="expression" dxfId="927" priority="652">
      <formula>AND($C246=OFFSET($C246,-1,0,1,1),A246=OFFSET(A246,-1,0,1,1))</formula>
    </cfRule>
  </conditionalFormatting>
  <conditionalFormatting sqref="Q246">
    <cfRule type="expression" dxfId="926" priority="643">
      <formula>OR(AND(ISNUMBER(DATEVALUE($Q246)),MONTH(DATEVALUE($Q246))=12,DATEVALUE("31/12/"&amp;TEXT(YEAR(DATEVALUE($Q246)),"####"))&lt;TODAY()),AND(ISNUMBER(DATEVALUE($Q246)),MONTH(DATEVALUE($Q246))&lt;12,DATEVALUE("01/"&amp;TEXT(MONTH(DATEVALUE($Q246))+1,"##")&amp;"/"&amp;TEXT(YEAR(DATEVALUE($Q246)),"####"))-1&lt;TODAY()))</formula>
    </cfRule>
  </conditionalFormatting>
  <conditionalFormatting sqref="T246">
    <cfRule type="cellIs" dxfId="925" priority="644" operator="equal">
      <formula>"Withdrawn"</formula>
    </cfRule>
    <cfRule type="cellIs" dxfId="924" priority="645" operator="equal">
      <formula>"Proposed"</formula>
    </cfRule>
    <cfRule type="cellIs" dxfId="923" priority="646" operator="equal">
      <formula>"Committed"</formula>
    </cfRule>
    <cfRule type="cellIs" dxfId="922" priority="647" operator="equal">
      <formula>"Upgrade"</formula>
    </cfRule>
    <cfRule type="cellIs" dxfId="921" priority="648" operator="equal">
      <formula>"Existing less Announced Withdrawal"</formula>
    </cfRule>
    <cfRule type="cellIs" dxfId="920" priority="649" operator="equal">
      <formula>"Announced Withdrawal"</formula>
    </cfRule>
  </conditionalFormatting>
  <conditionalFormatting sqref="C246">
    <cfRule type="expression" dxfId="919" priority="650">
      <formula>$C246&lt;&gt;OFFSET($C246,-1,0,1,1)</formula>
    </cfRule>
    <cfRule type="expression" dxfId="918" priority="651">
      <formula>$C246=OFFSET($C246,-1,0,1,1)</formula>
    </cfRule>
    <cfRule type="expression" dxfId="917" priority="653">
      <formula>$B246="Project"</formula>
    </cfRule>
  </conditionalFormatting>
  <conditionalFormatting sqref="Y246 B246:W246">
    <cfRule type="expression" dxfId="916" priority="639">
      <formula>$B246="Project"</formula>
    </cfRule>
  </conditionalFormatting>
  <conditionalFormatting sqref="Y246 H246:W246">
    <cfRule type="expression" dxfId="915" priority="642">
      <formula>AND($C246=OFFSET($C246,-1,0,1,1),$G246=OFFSET($G246,-1,0,1,1),H246&lt;&gt;OFFSET(H246,-1,0,1,1))</formula>
    </cfRule>
  </conditionalFormatting>
  <conditionalFormatting sqref="Y246 A246:W246">
    <cfRule type="expression" dxfId="914" priority="638">
      <formula>$C246&lt;&gt;OFFSET($C246,-1,0,1,1)</formula>
    </cfRule>
  </conditionalFormatting>
  <conditionalFormatting sqref="Y246 D246:W246">
    <cfRule type="expression" dxfId="913" priority="640">
      <formula>AND($C246=OFFSET($C246,-1,0,1,1),$G246&lt;&gt;OFFSET($G246,-1,0,1,1))</formula>
    </cfRule>
    <cfRule type="expression" dxfId="912" priority="641">
      <formula>AND($C246=OFFSET($C246,-1,0,1,1),$G246=OFFSET($G246,-1,0,1,1),D246=OFFSET(D246,-1,0,1,1))</formula>
    </cfRule>
  </conditionalFormatting>
  <conditionalFormatting sqref="V246 H246:N246">
    <cfRule type="expression" dxfId="911" priority="637">
      <formula>MOD(H246,1)=0</formula>
    </cfRule>
  </conditionalFormatting>
  <conditionalFormatting sqref="V246 H246:N246">
    <cfRule type="expression" dxfId="910" priority="636">
      <formula>MOD(H246,1)=0</formula>
    </cfRule>
  </conditionalFormatting>
  <conditionalFormatting sqref="B246:W246 Y246">
    <cfRule type="expression" dxfId="909" priority="632">
      <formula>$B246="Project"</formula>
    </cfRule>
  </conditionalFormatting>
  <conditionalFormatting sqref="A246:F246">
    <cfRule type="expression" dxfId="908" priority="630">
      <formula>AND($C246=OFFSET($C246,-1,0,1,1),A246=OFFSET(A246,-1,0,1,1))</formula>
    </cfRule>
  </conditionalFormatting>
  <conditionalFormatting sqref="H246:W246 Y246">
    <cfRule type="expression" dxfId="907" priority="635">
      <formula>AND($C246=OFFSET($C246,-1,0,1,1),$G246=OFFSET($G246,-1,0,1,1),H246&lt;&gt;OFFSET(H246,-1,0,1,1))</formula>
    </cfRule>
  </conditionalFormatting>
  <conditionalFormatting sqref="A246:W246 Y246">
    <cfRule type="expression" dxfId="906" priority="628">
      <formula>$C246&lt;&gt;OFFSET($C246,-1,0,1,1)</formula>
    </cfRule>
  </conditionalFormatting>
  <conditionalFormatting sqref="Q246">
    <cfRule type="expression" dxfId="905" priority="620">
      <formula>OR(AND(ISNUMBER(DATEVALUE($Q246)),MONTH(DATEVALUE($Q246))=12,DATEVALUE("31/12/"&amp;TEXT(YEAR(DATEVALUE($Q246)),"####"))&lt;TODAY()),AND(ISNUMBER(DATEVALUE($Q246)),MONTH(DATEVALUE($Q246))&lt;12,DATEVALUE("01/"&amp;TEXT(MONTH(DATEVALUE($Q246))+1,"##")&amp;"/"&amp;TEXT(YEAR(DATEVALUE($Q246)),"####"))-1&lt;TODAY()))</formula>
    </cfRule>
  </conditionalFormatting>
  <conditionalFormatting sqref="T246">
    <cfRule type="cellIs" dxfId="904" priority="621" operator="equal">
      <formula>"Withdrawn"</formula>
    </cfRule>
    <cfRule type="cellIs" dxfId="903" priority="622" operator="equal">
      <formula>"Proposed"</formula>
    </cfRule>
    <cfRule type="cellIs" dxfId="902" priority="623" operator="equal">
      <formula>"Committed"</formula>
    </cfRule>
    <cfRule type="cellIs" dxfId="901" priority="624" operator="equal">
      <formula>"Upgrade"</formula>
    </cfRule>
    <cfRule type="cellIs" dxfId="900" priority="625" operator="equal">
      <formula>"Existing less Announced Withdrawal"</formula>
    </cfRule>
    <cfRule type="cellIs" dxfId="899" priority="626" operator="equal">
      <formula>"Announced Withdrawal"</formula>
    </cfRule>
  </conditionalFormatting>
  <conditionalFormatting sqref="C246">
    <cfRule type="expression" dxfId="898" priority="627">
      <formula>$C246&lt;&gt;OFFSET($C246,-1,0,1,1)</formula>
    </cfRule>
    <cfRule type="expression" dxfId="897" priority="629">
      <formula>$C246=OFFSET($C246,-1,0,1,1)</formula>
    </cfRule>
    <cfRule type="expression" dxfId="896" priority="631">
      <formula>$B246="Project"</formula>
    </cfRule>
  </conditionalFormatting>
  <conditionalFormatting sqref="D246:W246 Y246">
    <cfRule type="expression" dxfId="895" priority="633">
      <formula>AND($C246=OFFSET($C246,-1,0,1,1),$G246&lt;&gt;OFFSET($G246,-1,0,1,1))</formula>
    </cfRule>
    <cfRule type="expression" dxfId="894" priority="634">
      <formula>AND($C246=OFFSET($C246,-1,0,1,1),$G246=OFFSET($G246,-1,0,1,1),D246=OFFSET(D246,-1,0,1,1))</formula>
    </cfRule>
  </conditionalFormatting>
  <conditionalFormatting sqref="V246 H246:N246">
    <cfRule type="expression" dxfId="893" priority="619">
      <formula>MOD(H246,1)=0</formula>
    </cfRule>
  </conditionalFormatting>
  <conditionalFormatting sqref="B246:W246 Y246">
    <cfRule type="expression" dxfId="892" priority="615">
      <formula>$B246="Project"</formula>
    </cfRule>
  </conditionalFormatting>
  <conditionalFormatting sqref="A246:F246">
    <cfRule type="expression" dxfId="891" priority="613">
      <formula>AND($C246=OFFSET($C246,-1,0,1,1),A246=OFFSET(A246,-1,0,1,1))</formula>
    </cfRule>
  </conditionalFormatting>
  <conditionalFormatting sqref="H246:W246 Y246">
    <cfRule type="expression" dxfId="890" priority="618">
      <formula>AND($C246=OFFSET($C246,-1,0,1,1),$G246=OFFSET($G246,-1,0,1,1),H246&lt;&gt;OFFSET(H246,-1,0,1,1))</formula>
    </cfRule>
  </conditionalFormatting>
  <conditionalFormatting sqref="A246:W246 Y246">
    <cfRule type="expression" dxfId="889" priority="611">
      <formula>$C246&lt;&gt;OFFSET($C246,-1,0,1,1)</formula>
    </cfRule>
  </conditionalFormatting>
  <conditionalFormatting sqref="Q246">
    <cfRule type="expression" dxfId="888" priority="603">
      <formula>OR(AND(ISNUMBER(DATEVALUE($Q246)),MONTH(DATEVALUE($Q246))=12,DATEVALUE("31/12/"&amp;TEXT(YEAR(DATEVALUE($Q246)),"####"))&lt;TODAY()),AND(ISNUMBER(DATEVALUE($Q246)),MONTH(DATEVALUE($Q246))&lt;12,DATEVALUE("01/"&amp;TEXT(MONTH(DATEVALUE($Q246))+1,"##")&amp;"/"&amp;TEXT(YEAR(DATEVALUE($Q246)),"####"))-1&lt;TODAY()))</formula>
    </cfRule>
  </conditionalFormatting>
  <conditionalFormatting sqref="T246">
    <cfRule type="cellIs" dxfId="887" priority="604" operator="equal">
      <formula>"Withdrawn"</formula>
    </cfRule>
    <cfRule type="cellIs" dxfId="886" priority="605" operator="equal">
      <formula>"Proposed"</formula>
    </cfRule>
    <cfRule type="cellIs" dxfId="885" priority="606" operator="equal">
      <formula>"Committed"</formula>
    </cfRule>
    <cfRule type="cellIs" dxfId="884" priority="607" operator="equal">
      <formula>"Upgrade"</formula>
    </cfRule>
    <cfRule type="cellIs" dxfId="883" priority="608" operator="equal">
      <formula>"Existing less Announced Withdrawal"</formula>
    </cfRule>
    <cfRule type="cellIs" dxfId="882" priority="609" operator="equal">
      <formula>"Announced Withdrawal"</formula>
    </cfRule>
  </conditionalFormatting>
  <conditionalFormatting sqref="C246">
    <cfRule type="expression" dxfId="881" priority="610">
      <formula>$C246&lt;&gt;OFFSET($C246,-1,0,1,1)</formula>
    </cfRule>
    <cfRule type="expression" dxfId="880" priority="612">
      <formula>$C246=OFFSET($C246,-1,0,1,1)</formula>
    </cfRule>
    <cfRule type="expression" dxfId="879" priority="614">
      <formula>$B246="Project"</formula>
    </cfRule>
  </conditionalFormatting>
  <conditionalFormatting sqref="D246:W246 Y246">
    <cfRule type="expression" dxfId="878" priority="616">
      <formula>AND($C246=OFFSET($C246,-1,0,1,1),$G246&lt;&gt;OFFSET($G246,-1,0,1,1))</formula>
    </cfRule>
    <cfRule type="expression" dxfId="877" priority="617">
      <formula>AND($C246=OFFSET($C246,-1,0,1,1),$G246=OFFSET($G246,-1,0,1,1),D246=OFFSET(D246,-1,0,1,1))</formula>
    </cfRule>
  </conditionalFormatting>
  <conditionalFormatting sqref="X246">
    <cfRule type="expression" dxfId="876" priority="599">
      <formula>$B246="Project"</formula>
    </cfRule>
  </conditionalFormatting>
  <conditionalFormatting sqref="X246">
    <cfRule type="expression" dxfId="875" priority="602">
      <formula>AND($C246=OFFSET($C246,-1,0,1,1),$G246=OFFSET($G246,-1,0,1,1),X246&lt;&gt;OFFSET(X246,-1,0,1,1))</formula>
    </cfRule>
  </conditionalFormatting>
  <conditionalFormatting sqref="X246">
    <cfRule type="expression" dxfId="874" priority="598">
      <formula>$C246&lt;&gt;OFFSET($C246,-1,0,1,1)</formula>
    </cfRule>
  </conditionalFormatting>
  <conditionalFormatting sqref="X246">
    <cfRule type="expression" dxfId="873" priority="600">
      <formula>AND($C246=OFFSET($C246,-1,0,1,1),$G246&lt;&gt;OFFSET($G246,-1,0,1,1))</formula>
    </cfRule>
    <cfRule type="expression" dxfId="872" priority="601">
      <formula>AND($C246=OFFSET($C246,-1,0,1,1),$G246=OFFSET($G246,-1,0,1,1),X246=OFFSET(X246,-1,0,1,1))</formula>
    </cfRule>
  </conditionalFormatting>
  <conditionalFormatting sqref="X246">
    <cfRule type="expression" dxfId="871" priority="594">
      <formula>$B246="Project"</formula>
    </cfRule>
  </conditionalFormatting>
  <conditionalFormatting sqref="X246">
    <cfRule type="expression" dxfId="870" priority="597">
      <formula>AND($C246=OFFSET($C246,-1,0,1,1),$G246=OFFSET($G246,-1,0,1,1),X246&lt;&gt;OFFSET(X246,-1,0,1,1))</formula>
    </cfRule>
  </conditionalFormatting>
  <conditionalFormatting sqref="X246">
    <cfRule type="expression" dxfId="869" priority="593">
      <formula>$C246&lt;&gt;OFFSET($C246,-1,0,1,1)</formula>
    </cfRule>
  </conditionalFormatting>
  <conditionalFormatting sqref="X246">
    <cfRule type="expression" dxfId="868" priority="595">
      <formula>AND($C246=OFFSET($C246,-1,0,1,1),$G246&lt;&gt;OFFSET($G246,-1,0,1,1))</formula>
    </cfRule>
    <cfRule type="expression" dxfId="867" priority="596">
      <formula>AND($C246=OFFSET($C246,-1,0,1,1),$G246=OFFSET($G246,-1,0,1,1),X246=OFFSET(X246,-1,0,1,1))</formula>
    </cfRule>
  </conditionalFormatting>
  <conditionalFormatting sqref="Y246">
    <cfRule type="colorScale" priority="654">
      <colorScale>
        <cfvo type="min"/>
        <cfvo type="formula" val="TODAY()-365"/>
        <cfvo type="max"/>
        <color rgb="FFFFD1D1"/>
        <color theme="7" tint="0.79998168889431442"/>
        <color theme="0"/>
      </colorScale>
    </cfRule>
  </conditionalFormatting>
  <conditionalFormatting sqref="Y246">
    <cfRule type="colorScale" priority="655">
      <colorScale>
        <cfvo type="min"/>
        <cfvo type="formula" val="TODAY()-365"/>
        <cfvo type="max"/>
        <color rgb="FFFFD1D1"/>
        <color theme="7" tint="0.79998168889431442"/>
        <color theme="0"/>
      </colorScale>
    </cfRule>
  </conditionalFormatting>
  <conditionalFormatting sqref="Y246">
    <cfRule type="colorScale" priority="656">
      <colorScale>
        <cfvo type="min"/>
        <cfvo type="formula" val="TODAY()-365"/>
        <cfvo type="max"/>
        <color rgb="FFFFD1D1"/>
        <color theme="7" tint="0.79998168889431442"/>
        <color theme="0"/>
      </colorScale>
    </cfRule>
  </conditionalFormatting>
  <conditionalFormatting sqref="Y246">
    <cfRule type="colorScale" priority="657">
      <colorScale>
        <cfvo type="min"/>
        <cfvo type="formula" val="TODAY()-365"/>
        <cfvo type="max"/>
        <color rgb="FFFFD1D1"/>
        <color theme="7" tint="0.79998168889431442"/>
        <color theme="0"/>
      </colorScale>
    </cfRule>
  </conditionalFormatting>
  <conditionalFormatting sqref="A294:F294">
    <cfRule type="expression" dxfId="866" priority="588">
      <formula>AND($C294=OFFSET($C294,-1,0,1,1),A294=OFFSET(A294,-1,0,1,1))</formula>
    </cfRule>
  </conditionalFormatting>
  <conditionalFormatting sqref="Q294">
    <cfRule type="expression" dxfId="865" priority="579">
      <formula>OR(AND(ISNUMBER(DATEVALUE($Q294)),MONTH(DATEVALUE($Q294))=12,DATEVALUE("31/12/"&amp;TEXT(YEAR(DATEVALUE($Q294)),"####"))&lt;TODAY()),AND(ISNUMBER(DATEVALUE($Q294)),MONTH(DATEVALUE($Q294))&lt;12,DATEVALUE("01/"&amp;TEXT(MONTH(DATEVALUE($Q294))+1,"##")&amp;"/"&amp;TEXT(YEAR(DATEVALUE($Q294)),"####"))-1&lt;TODAY()))</formula>
    </cfRule>
  </conditionalFormatting>
  <conditionalFormatting sqref="T294">
    <cfRule type="cellIs" dxfId="864" priority="580" operator="equal">
      <formula>"Withdrawn"</formula>
    </cfRule>
    <cfRule type="cellIs" dxfId="863" priority="581" operator="equal">
      <formula>"Proposed"</formula>
    </cfRule>
    <cfRule type="cellIs" dxfId="862" priority="582" operator="equal">
      <formula>"Committed"</formula>
    </cfRule>
    <cfRule type="cellIs" dxfId="861" priority="583" operator="equal">
      <formula>"Upgrade"</formula>
    </cfRule>
    <cfRule type="cellIs" dxfId="860" priority="584" operator="equal">
      <formula>"Existing less Announced Withdrawal"</formula>
    </cfRule>
    <cfRule type="cellIs" dxfId="859" priority="585" operator="equal">
      <formula>"Announced Withdrawal"</formula>
    </cfRule>
  </conditionalFormatting>
  <conditionalFormatting sqref="C294">
    <cfRule type="expression" dxfId="858" priority="586">
      <formula>$C294&lt;&gt;OFFSET($C294,-1,0,1,1)</formula>
    </cfRule>
    <cfRule type="expression" dxfId="857" priority="587">
      <formula>$C294=OFFSET($C294,-1,0,1,1)</formula>
    </cfRule>
    <cfRule type="expression" dxfId="856" priority="589">
      <formula>$B294="Project"</formula>
    </cfRule>
  </conditionalFormatting>
  <conditionalFormatting sqref="Y294 B294:W294">
    <cfRule type="expression" dxfId="855" priority="575">
      <formula>$B294="Project"</formula>
    </cfRule>
  </conditionalFormatting>
  <conditionalFormatting sqref="Y294 H294:W294">
    <cfRule type="expression" dxfId="854" priority="578">
      <formula>AND($C294=OFFSET($C294,-1,0,1,1),$G294=OFFSET($G294,-1,0,1,1),H294&lt;&gt;OFFSET(H294,-1,0,1,1))</formula>
    </cfRule>
  </conditionalFormatting>
  <conditionalFormatting sqref="Y294 A294:W294">
    <cfRule type="expression" dxfId="853" priority="574">
      <formula>$C294&lt;&gt;OFFSET($C294,-1,0,1,1)</formula>
    </cfRule>
  </conditionalFormatting>
  <conditionalFormatting sqref="Y294 D294:W294">
    <cfRule type="expression" dxfId="852" priority="576">
      <formula>AND($C294=OFFSET($C294,-1,0,1,1),$G294&lt;&gt;OFFSET($G294,-1,0,1,1))</formula>
    </cfRule>
    <cfRule type="expression" dxfId="851" priority="577">
      <formula>AND($C294=OFFSET($C294,-1,0,1,1),$G294=OFFSET($G294,-1,0,1,1),D294=OFFSET(D294,-1,0,1,1))</formula>
    </cfRule>
  </conditionalFormatting>
  <conditionalFormatting sqref="V294 H294:N294">
    <cfRule type="expression" dxfId="850" priority="573">
      <formula>MOD(H294,1)=0</formula>
    </cfRule>
  </conditionalFormatting>
  <conditionalFormatting sqref="X294">
    <cfRule type="expression" dxfId="849" priority="569">
      <formula>$B294="Project"</formula>
    </cfRule>
  </conditionalFormatting>
  <conditionalFormatting sqref="X294">
    <cfRule type="expression" dxfId="848" priority="572">
      <formula>AND($C294=OFFSET($C294,-1,0,1,1),$G294=OFFSET($G294,-1,0,1,1),X294&lt;&gt;OFFSET(X294,-1,0,1,1))</formula>
    </cfRule>
  </conditionalFormatting>
  <conditionalFormatting sqref="X294">
    <cfRule type="expression" dxfId="847" priority="568">
      <formula>$C294&lt;&gt;OFFSET($C294,-1,0,1,1)</formula>
    </cfRule>
  </conditionalFormatting>
  <conditionalFormatting sqref="X294">
    <cfRule type="expression" dxfId="846" priority="570">
      <formula>AND($C294=OFFSET($C294,-1,0,1,1),$G294&lt;&gt;OFFSET($G294,-1,0,1,1))</formula>
    </cfRule>
    <cfRule type="expression" dxfId="845" priority="571">
      <formula>AND($C294=OFFSET($C294,-1,0,1,1),$G294=OFFSET($G294,-1,0,1,1),X294=OFFSET(X294,-1,0,1,1))</formula>
    </cfRule>
  </conditionalFormatting>
  <conditionalFormatting sqref="V294 H294:N294">
    <cfRule type="expression" dxfId="844" priority="567">
      <formula>MOD(H294,1)=0</formula>
    </cfRule>
  </conditionalFormatting>
  <conditionalFormatting sqref="B294:Y294">
    <cfRule type="expression" dxfId="843" priority="563">
      <formula>$B294="Project"</formula>
    </cfRule>
  </conditionalFormatting>
  <conditionalFormatting sqref="A294:F294">
    <cfRule type="expression" dxfId="842" priority="561">
      <formula>AND($C294=OFFSET($C294,-1,0,1,1),A294=OFFSET(A294,-1,0,1,1))</formula>
    </cfRule>
  </conditionalFormatting>
  <conditionalFormatting sqref="H294:Y294">
    <cfRule type="expression" dxfId="841" priority="566">
      <formula>AND($C294=OFFSET($C294,-1,0,1,1),$G294=OFFSET($G294,-1,0,1,1),H294&lt;&gt;OFFSET(H294,-1,0,1,1))</formula>
    </cfRule>
  </conditionalFormatting>
  <conditionalFormatting sqref="A294:Y294">
    <cfRule type="expression" dxfId="840" priority="559">
      <formula>$C294&lt;&gt;OFFSET($C294,-1,0,1,1)</formula>
    </cfRule>
  </conditionalFormatting>
  <conditionalFormatting sqref="Q294">
    <cfRule type="expression" dxfId="839" priority="551">
      <formula>OR(AND(ISNUMBER(DATEVALUE($Q294)),MONTH(DATEVALUE($Q294))=12,DATEVALUE("31/12/"&amp;TEXT(YEAR(DATEVALUE($Q294)),"####"))&lt;TODAY()),AND(ISNUMBER(DATEVALUE($Q294)),MONTH(DATEVALUE($Q294))&lt;12,DATEVALUE("01/"&amp;TEXT(MONTH(DATEVALUE($Q294))+1,"##")&amp;"/"&amp;TEXT(YEAR(DATEVALUE($Q294)),"####"))-1&lt;TODAY()))</formula>
    </cfRule>
  </conditionalFormatting>
  <conditionalFormatting sqref="T294">
    <cfRule type="cellIs" dxfId="838" priority="552" operator="equal">
      <formula>"Withdrawn"</formula>
    </cfRule>
    <cfRule type="cellIs" dxfId="837" priority="553" operator="equal">
      <formula>"Proposed"</formula>
    </cfRule>
    <cfRule type="cellIs" dxfId="836" priority="554" operator="equal">
      <formula>"Committed"</formula>
    </cfRule>
    <cfRule type="cellIs" dxfId="835" priority="555" operator="equal">
      <formula>"Upgrade"</formula>
    </cfRule>
    <cfRule type="cellIs" dxfId="834" priority="556" operator="equal">
      <formula>"Existing less Announced Withdrawal"</formula>
    </cfRule>
    <cfRule type="cellIs" dxfId="833" priority="557" operator="equal">
      <formula>"Announced Withdrawal"</formula>
    </cfRule>
  </conditionalFormatting>
  <conditionalFormatting sqref="C294">
    <cfRule type="expression" dxfId="832" priority="558">
      <formula>$C294&lt;&gt;OFFSET($C294,-1,0,1,1)</formula>
    </cfRule>
    <cfRule type="expression" dxfId="831" priority="560">
      <formula>$C294=OFFSET($C294,-1,0,1,1)</formula>
    </cfRule>
    <cfRule type="expression" dxfId="830" priority="562">
      <formula>$B294="Project"</formula>
    </cfRule>
  </conditionalFormatting>
  <conditionalFormatting sqref="D294:Y294">
    <cfRule type="expression" dxfId="829" priority="564">
      <formula>AND($C294=OFFSET($C294,-1,0,1,1),$G294&lt;&gt;OFFSET($G294,-1,0,1,1))</formula>
    </cfRule>
    <cfRule type="expression" dxfId="828" priority="565">
      <formula>AND($C294=OFFSET($C294,-1,0,1,1),$G294=OFFSET($G294,-1,0,1,1),D294=OFFSET(D294,-1,0,1,1))</formula>
    </cfRule>
  </conditionalFormatting>
  <conditionalFormatting sqref="V294 H294:N294">
    <cfRule type="expression" dxfId="827" priority="550">
      <formula>MOD(H294,1)=0</formula>
    </cfRule>
  </conditionalFormatting>
  <conditionalFormatting sqref="B294:Y294">
    <cfRule type="expression" dxfId="826" priority="546">
      <formula>$B294="Project"</formula>
    </cfRule>
  </conditionalFormatting>
  <conditionalFormatting sqref="A294:F294">
    <cfRule type="expression" dxfId="825" priority="544">
      <formula>AND($C294=OFFSET($C294,-1,0,1,1),A294=OFFSET(A294,-1,0,1,1))</formula>
    </cfRule>
  </conditionalFormatting>
  <conditionalFormatting sqref="H294:Y294">
    <cfRule type="expression" dxfId="824" priority="549">
      <formula>AND($C294=OFFSET($C294,-1,0,1,1),$G294=OFFSET($G294,-1,0,1,1),H294&lt;&gt;OFFSET(H294,-1,0,1,1))</formula>
    </cfRule>
  </conditionalFormatting>
  <conditionalFormatting sqref="A294:Y294">
    <cfRule type="expression" dxfId="823" priority="542">
      <formula>$C294&lt;&gt;OFFSET($C294,-1,0,1,1)</formula>
    </cfRule>
  </conditionalFormatting>
  <conditionalFormatting sqref="Q294">
    <cfRule type="expression" dxfId="822" priority="534">
      <formula>OR(AND(ISNUMBER(DATEVALUE($Q294)),MONTH(DATEVALUE($Q294))=12,DATEVALUE("31/12/"&amp;TEXT(YEAR(DATEVALUE($Q294)),"####"))&lt;TODAY()),AND(ISNUMBER(DATEVALUE($Q294)),MONTH(DATEVALUE($Q294))&lt;12,DATEVALUE("01/"&amp;TEXT(MONTH(DATEVALUE($Q294))+1,"##")&amp;"/"&amp;TEXT(YEAR(DATEVALUE($Q294)),"####"))-1&lt;TODAY()))</formula>
    </cfRule>
  </conditionalFormatting>
  <conditionalFormatting sqref="T294">
    <cfRule type="cellIs" dxfId="821" priority="535" operator="equal">
      <formula>"Withdrawn"</formula>
    </cfRule>
    <cfRule type="cellIs" dxfId="820" priority="536" operator="equal">
      <formula>"Proposed"</formula>
    </cfRule>
    <cfRule type="cellIs" dxfId="819" priority="537" operator="equal">
      <formula>"Committed"</formula>
    </cfRule>
    <cfRule type="cellIs" dxfId="818" priority="538" operator="equal">
      <formula>"Upgrade"</formula>
    </cfRule>
    <cfRule type="cellIs" dxfId="817" priority="539" operator="equal">
      <formula>"Existing less Announced Withdrawal"</formula>
    </cfRule>
    <cfRule type="cellIs" dxfId="816" priority="540" operator="equal">
      <formula>"Announced Withdrawal"</formula>
    </cfRule>
  </conditionalFormatting>
  <conditionalFormatting sqref="C294">
    <cfRule type="expression" dxfId="815" priority="541">
      <formula>$C294&lt;&gt;OFFSET($C294,-1,0,1,1)</formula>
    </cfRule>
    <cfRule type="expression" dxfId="814" priority="543">
      <formula>$C294=OFFSET($C294,-1,0,1,1)</formula>
    </cfRule>
    <cfRule type="expression" dxfId="813" priority="545">
      <formula>$B294="Project"</formula>
    </cfRule>
  </conditionalFormatting>
  <conditionalFormatting sqref="D294:Y294">
    <cfRule type="expression" dxfId="812" priority="547">
      <formula>AND($C294=OFFSET($C294,-1,0,1,1),$G294&lt;&gt;OFFSET($G294,-1,0,1,1))</formula>
    </cfRule>
    <cfRule type="expression" dxfId="811" priority="548">
      <formula>AND($C294=OFFSET($C294,-1,0,1,1),$G294=OFFSET($G294,-1,0,1,1),D294=OFFSET(D294,-1,0,1,1))</formula>
    </cfRule>
  </conditionalFormatting>
  <conditionalFormatting sqref="Y294">
    <cfRule type="colorScale" priority="590">
      <colorScale>
        <cfvo type="min"/>
        <cfvo type="formula" val="TODAY()-365"/>
        <cfvo type="max"/>
        <color rgb="FFFFD1D1"/>
        <color theme="7" tint="0.79998168889431442"/>
        <color theme="0"/>
      </colorScale>
    </cfRule>
  </conditionalFormatting>
  <conditionalFormatting sqref="Y294">
    <cfRule type="colorScale" priority="591">
      <colorScale>
        <cfvo type="min"/>
        <cfvo type="formula" val="TODAY()-365"/>
        <cfvo type="max"/>
        <color rgb="FFFFD1D1"/>
        <color theme="7" tint="0.79998168889431442"/>
        <color theme="0"/>
      </colorScale>
    </cfRule>
  </conditionalFormatting>
  <conditionalFormatting sqref="Y294">
    <cfRule type="colorScale" priority="592">
      <colorScale>
        <cfvo type="min"/>
        <cfvo type="formula" val="TODAY()-365"/>
        <cfvo type="max"/>
        <color rgb="FFFFD1D1"/>
        <color theme="7" tint="0.79998168889431442"/>
        <color theme="0"/>
      </colorScale>
    </cfRule>
  </conditionalFormatting>
  <conditionalFormatting sqref="X333">
    <cfRule type="expression" dxfId="810" priority="530">
      <formula>$B333="Project"</formula>
    </cfRule>
  </conditionalFormatting>
  <conditionalFormatting sqref="X333">
    <cfRule type="expression" dxfId="809" priority="533">
      <formula>AND($C333=OFFSET($C333,-1,0,1,1),$G333=OFFSET($G333,-1,0,1,1),X333&lt;&gt;OFFSET(X333,-1,0,1,1))</formula>
    </cfRule>
  </conditionalFormatting>
  <conditionalFormatting sqref="X333">
    <cfRule type="expression" dxfId="808" priority="529">
      <formula>$C333&lt;&gt;OFFSET($C333,-1,0,1,1)</formula>
    </cfRule>
  </conditionalFormatting>
  <conditionalFormatting sqref="X333">
    <cfRule type="expression" dxfId="807" priority="531">
      <formula>AND($C333=OFFSET($C333,-1,0,1,1),$G333&lt;&gt;OFFSET($G333,-1,0,1,1))</formula>
    </cfRule>
    <cfRule type="expression" dxfId="806" priority="532">
      <formula>AND($C333=OFFSET($C333,-1,0,1,1),$G333=OFFSET($G333,-1,0,1,1),X333=OFFSET(X333,-1,0,1,1))</formula>
    </cfRule>
  </conditionalFormatting>
  <conditionalFormatting sqref="X333">
    <cfRule type="expression" dxfId="805" priority="525">
      <formula>$B333="Project"</formula>
    </cfRule>
  </conditionalFormatting>
  <conditionalFormatting sqref="X333">
    <cfRule type="expression" dxfId="804" priority="528">
      <formula>AND($C333=OFFSET($C333,-1,0,1,1),$G333=OFFSET($G333,-1,0,1,1),X333&lt;&gt;OFFSET(X333,-1,0,1,1))</formula>
    </cfRule>
  </conditionalFormatting>
  <conditionalFormatting sqref="X333">
    <cfRule type="expression" dxfId="803" priority="524">
      <formula>$C333&lt;&gt;OFFSET($C333,-1,0,1,1)</formula>
    </cfRule>
  </conditionalFormatting>
  <conditionalFormatting sqref="X333">
    <cfRule type="expression" dxfId="802" priority="526">
      <formula>AND($C333=OFFSET($C333,-1,0,1,1),$G333&lt;&gt;OFFSET($G333,-1,0,1,1))</formula>
    </cfRule>
    <cfRule type="expression" dxfId="801" priority="527">
      <formula>AND($C333=OFFSET($C333,-1,0,1,1),$G333=OFFSET($G333,-1,0,1,1),X333=OFFSET(X333,-1,0,1,1))</formula>
    </cfRule>
  </conditionalFormatting>
  <conditionalFormatting sqref="X333">
    <cfRule type="expression" dxfId="800" priority="520">
      <formula>$B333="Project"</formula>
    </cfRule>
  </conditionalFormatting>
  <conditionalFormatting sqref="X333">
    <cfRule type="expression" dxfId="799" priority="523">
      <formula>AND($C333=OFFSET($C333,-1,0,1,1),$G333=OFFSET($G333,-1,0,1,1),X333&lt;&gt;OFFSET(X333,-1,0,1,1))</formula>
    </cfRule>
  </conditionalFormatting>
  <conditionalFormatting sqref="X333">
    <cfRule type="expression" dxfId="798" priority="519">
      <formula>$C333&lt;&gt;OFFSET($C333,-1,0,1,1)</formula>
    </cfRule>
  </conditionalFormatting>
  <conditionalFormatting sqref="X333">
    <cfRule type="expression" dxfId="797" priority="521">
      <formula>AND($C333=OFFSET($C333,-1,0,1,1),$G333&lt;&gt;OFFSET($G333,-1,0,1,1))</formula>
    </cfRule>
    <cfRule type="expression" dxfId="796" priority="522">
      <formula>AND($C333=OFFSET($C333,-1,0,1,1),$G333=OFFSET($G333,-1,0,1,1),X333=OFFSET(X333,-1,0,1,1))</formula>
    </cfRule>
  </conditionalFormatting>
  <conditionalFormatting sqref="X377">
    <cfRule type="expression" dxfId="795" priority="515">
      <formula>$B377="Project"</formula>
    </cfRule>
  </conditionalFormatting>
  <conditionalFormatting sqref="X377">
    <cfRule type="expression" dxfId="794" priority="518">
      <formula>AND($C377=OFFSET($C377,-1,0,1,1),$G377=OFFSET($G377,-1,0,1,1),X377&lt;&gt;OFFSET(X377,-1,0,1,1))</formula>
    </cfRule>
  </conditionalFormatting>
  <conditionalFormatting sqref="X377">
    <cfRule type="expression" dxfId="793" priority="514">
      <formula>$C377&lt;&gt;OFFSET($C377,-1,0,1,1)</formula>
    </cfRule>
  </conditionalFormatting>
  <conditionalFormatting sqref="X377">
    <cfRule type="expression" dxfId="792" priority="516">
      <formula>AND($C377=OFFSET($C377,-1,0,1,1),$G377&lt;&gt;OFFSET($G377,-1,0,1,1))</formula>
    </cfRule>
    <cfRule type="expression" dxfId="791" priority="517">
      <formula>AND($C377=OFFSET($C377,-1,0,1,1),$G377=OFFSET($G377,-1,0,1,1),X377=OFFSET(X377,-1,0,1,1))</formula>
    </cfRule>
  </conditionalFormatting>
  <conditionalFormatting sqref="X377">
    <cfRule type="expression" dxfId="790" priority="510">
      <formula>$B377="Project"</formula>
    </cfRule>
  </conditionalFormatting>
  <conditionalFormatting sqref="X377">
    <cfRule type="expression" dxfId="789" priority="513">
      <formula>AND($C377=OFFSET($C377,-1,0,1,1),$G377=OFFSET($G377,-1,0,1,1),X377&lt;&gt;OFFSET(X377,-1,0,1,1))</formula>
    </cfRule>
  </conditionalFormatting>
  <conditionalFormatting sqref="X377">
    <cfRule type="expression" dxfId="788" priority="509">
      <formula>$C377&lt;&gt;OFFSET($C377,-1,0,1,1)</formula>
    </cfRule>
  </conditionalFormatting>
  <conditionalFormatting sqref="X377">
    <cfRule type="expression" dxfId="787" priority="511">
      <formula>AND($C377=OFFSET($C377,-1,0,1,1),$G377&lt;&gt;OFFSET($G377,-1,0,1,1))</formula>
    </cfRule>
    <cfRule type="expression" dxfId="786" priority="512">
      <formula>AND($C377=OFFSET($C377,-1,0,1,1),$G377=OFFSET($G377,-1,0,1,1),X377=OFFSET(X377,-1,0,1,1))</formula>
    </cfRule>
  </conditionalFormatting>
  <conditionalFormatting sqref="X377">
    <cfRule type="expression" dxfId="785" priority="505">
      <formula>$B377="Project"</formula>
    </cfRule>
  </conditionalFormatting>
  <conditionalFormatting sqref="X377">
    <cfRule type="expression" dxfId="784" priority="508">
      <formula>AND($C377=OFFSET($C377,-1,0,1,1),$G377=OFFSET($G377,-1,0,1,1),X377&lt;&gt;OFFSET(X377,-1,0,1,1))</formula>
    </cfRule>
  </conditionalFormatting>
  <conditionalFormatting sqref="X377">
    <cfRule type="expression" dxfId="783" priority="504">
      <formula>$C377&lt;&gt;OFFSET($C377,-1,0,1,1)</formula>
    </cfRule>
  </conditionalFormatting>
  <conditionalFormatting sqref="X377">
    <cfRule type="expression" dxfId="782" priority="506">
      <formula>AND($C377=OFFSET($C377,-1,0,1,1),$G377&lt;&gt;OFFSET($G377,-1,0,1,1))</formula>
    </cfRule>
    <cfRule type="expression" dxfId="781" priority="507">
      <formula>AND($C377=OFFSET($C377,-1,0,1,1),$G377=OFFSET($G377,-1,0,1,1),X377=OFFSET(X377,-1,0,1,1))</formula>
    </cfRule>
  </conditionalFormatting>
  <conditionalFormatting sqref="A1187:B1222 D1187:F1222 D1224:F1259 A1224:B1259">
    <cfRule type="expression" dxfId="780" priority="485">
      <formula>AND($C1187=OFFSET($C1187,-1,0,1,1),A1187=OFFSET(A1187,-1,0,1,1))</formula>
    </cfRule>
  </conditionalFormatting>
  <conditionalFormatting sqref="Q1187:Q1222 Q1224:Q1259">
    <cfRule type="expression" dxfId="779" priority="478">
      <formula>OR(AND(ISNUMBER(DATEVALUE($Q1187)),MONTH(DATEVALUE($Q1187))=12,DATEVALUE("31/12/"&amp;TEXT(YEAR(DATEVALUE($Q1187)),"####"))&lt;TODAY()),AND(ISNUMBER(DATEVALUE($Q1187)),MONTH(DATEVALUE($Q1187))&lt;12,DATEVALUE("01/"&amp;TEXT(MONTH(DATEVALUE($Q1187))+1,"##")&amp;"/"&amp;TEXT(YEAR(DATEVALUE($Q1187)),"####"))-1&lt;TODAY()))</formula>
    </cfRule>
  </conditionalFormatting>
  <conditionalFormatting sqref="B1187:B1222 Y1187:Y1222 Y1224:Y1259 B1224:B1259">
    <cfRule type="expression" dxfId="778" priority="474">
      <formula>$B1187="Project"</formula>
    </cfRule>
  </conditionalFormatting>
  <conditionalFormatting sqref="Y1187:Y1222 Y1224:Y1259">
    <cfRule type="expression" dxfId="777" priority="477">
      <formula>AND($C1187=OFFSET($C1187,-1,0,1,1),$G1187=OFFSET($G1187,-1,0,1,1),Y1187&lt;&gt;OFFSET(Y1187,-1,0,1,1))</formula>
    </cfRule>
  </conditionalFormatting>
  <conditionalFormatting sqref="A1187:B1222 Y1187:Y1222 Y1224:Y1259 A1224:B1259">
    <cfRule type="expression" dxfId="776" priority="473">
      <formula>$C1187&lt;&gt;OFFSET($C1187,-1,0,1,1)</formula>
    </cfRule>
  </conditionalFormatting>
  <conditionalFormatting sqref="Y1187:Y1222 Y1224:Y1259">
    <cfRule type="expression" dxfId="775" priority="475">
      <formula>AND($C1187=OFFSET($C1187,-1,0,1,1),$G1187&lt;&gt;OFFSET($G1187,-1,0,1,1))</formula>
    </cfRule>
    <cfRule type="expression" dxfId="774" priority="476">
      <formula>AND($C1187=OFFSET($C1187,-1,0,1,1),$G1187=OFFSET($G1187,-1,0,1,1),Y1187=OFFSET(Y1187,-1,0,1,1))</formula>
    </cfRule>
  </conditionalFormatting>
  <conditionalFormatting sqref="H1187:N1222 H1224:N1259">
    <cfRule type="expression" dxfId="773" priority="472">
      <formula>MOD(H1187,1)=0</formula>
    </cfRule>
  </conditionalFormatting>
  <conditionalFormatting sqref="B1187:B1222 Y1187:Y1222 Y1224:Y1259 B1224:B1259">
    <cfRule type="expression" dxfId="772" priority="468">
      <formula>$B1187="Project"</formula>
    </cfRule>
  </conditionalFormatting>
  <conditionalFormatting sqref="Y1187:Y1222 Y1224:Y1259">
    <cfRule type="expression" dxfId="771" priority="471">
      <formula>AND($C1187=OFFSET($C1187,-1,0,1,1),$G1187=OFFSET($G1187,-1,0,1,1),Y1187&lt;&gt;OFFSET(Y1187,-1,0,1,1))</formula>
    </cfRule>
  </conditionalFormatting>
  <conditionalFormatting sqref="A1187:B1222 Y1187:Y1222 Y1224:Y1259 A1224:B1259">
    <cfRule type="expression" dxfId="770" priority="467">
      <formula>$C1187&lt;&gt;OFFSET($C1187,-1,0,1,1)</formula>
    </cfRule>
  </conditionalFormatting>
  <conditionalFormatting sqref="Y1187:Y1222 Y1224:Y1259">
    <cfRule type="expression" dxfId="769" priority="469">
      <formula>AND($C1187=OFFSET($C1187,-1,0,1,1),$G1187&lt;&gt;OFFSET($G1187,-1,0,1,1))</formula>
    </cfRule>
    <cfRule type="expression" dxfId="768" priority="470">
      <formula>AND($C1187=OFFSET($C1187,-1,0,1,1),$G1187=OFFSET($G1187,-1,0,1,1),Y1187=OFFSET(Y1187,-1,0,1,1))</formula>
    </cfRule>
  </conditionalFormatting>
  <conditionalFormatting sqref="B1187:B1222 Y1187:Y1222 Y1224:Y1259 B1224:B1259">
    <cfRule type="expression" dxfId="767" priority="463">
      <formula>$B1187="Project"</formula>
    </cfRule>
  </conditionalFormatting>
  <conditionalFormatting sqref="Y1187:Y1222 Y1224:Y1259">
    <cfRule type="expression" dxfId="766" priority="466">
      <formula>AND($C1187=OFFSET($C1187,-1,0,1,1),$G1187=OFFSET($G1187,-1,0,1,1),Y1187&lt;&gt;OFFSET(Y1187,-1,0,1,1))</formula>
    </cfRule>
  </conditionalFormatting>
  <conditionalFormatting sqref="A1187:B1222 Y1187:Y1222 Y1224:Y1259 A1224:B1259">
    <cfRule type="expression" dxfId="765" priority="462">
      <formula>$C1187&lt;&gt;OFFSET($C1187,-1,0,1,1)</formula>
    </cfRule>
  </conditionalFormatting>
  <conditionalFormatting sqref="Y1187:Y1222 Y1224:Y1259">
    <cfRule type="expression" dxfId="764" priority="464">
      <formula>AND($C1187=OFFSET($C1187,-1,0,1,1),$G1187&lt;&gt;OFFSET($G1187,-1,0,1,1))</formula>
    </cfRule>
    <cfRule type="expression" dxfId="763" priority="465">
      <formula>AND($C1187=OFFSET($C1187,-1,0,1,1),$G1187=OFFSET($G1187,-1,0,1,1),Y1187=OFFSET(Y1187,-1,0,1,1))</formula>
    </cfRule>
  </conditionalFormatting>
  <conditionalFormatting sqref="C1187:C1222 C1224:C1259">
    <cfRule type="expression" dxfId="762" priority="459">
      <formula>$B1187="Project"</formula>
    </cfRule>
  </conditionalFormatting>
  <conditionalFormatting sqref="C1187:C1222 C1224:C1259">
    <cfRule type="expression" dxfId="761" priority="457">
      <formula>AND($C1187=OFFSET($C1187,-1,0,1,1),C1187=OFFSET(C1187,-1,0,1,1))</formula>
    </cfRule>
  </conditionalFormatting>
  <conditionalFormatting sqref="C1187:C1222 C1224:C1259">
    <cfRule type="expression" dxfId="760" priority="455">
      <formula>$C1187&lt;&gt;OFFSET($C1187,-1,0,1,1)</formula>
    </cfRule>
    <cfRule type="expression" dxfId="759" priority="456">
      <formula>$C1187=OFFSET($C1187,-1,0,1,1)</formula>
    </cfRule>
    <cfRule type="expression" dxfId="758" priority="458">
      <formula>$B1187="Project"</formula>
    </cfRule>
  </conditionalFormatting>
  <conditionalFormatting sqref="Y1187:Y1222 Y1224:Y1259">
    <cfRule type="colorScale" priority="486">
      <colorScale>
        <cfvo type="min"/>
        <cfvo type="formula" val="TODAY()-365"/>
        <cfvo type="max"/>
        <color rgb="FFFFD1D1"/>
        <color theme="7" tint="0.79998168889431442"/>
        <color theme="0"/>
      </colorScale>
    </cfRule>
  </conditionalFormatting>
  <conditionalFormatting sqref="X1187:X1222 X1224:X1259">
    <cfRule type="expression" dxfId="757" priority="451">
      <formula>$B1187="Project"</formula>
    </cfRule>
  </conditionalFormatting>
  <conditionalFormatting sqref="X1187:X1222 X1224:X1259">
    <cfRule type="expression" dxfId="756" priority="454">
      <formula>AND($C1187=OFFSET($C1187,-1,0,1,1),$G1187=OFFSET($G1187,-1,0,1,1),X1187&lt;&gt;OFFSET(X1187,-1,0,1,1))</formula>
    </cfRule>
  </conditionalFormatting>
  <conditionalFormatting sqref="X1187:X1222 X1224:X1259">
    <cfRule type="expression" dxfId="755" priority="450">
      <formula>$C1187&lt;&gt;OFFSET($C1187,-1,0,1,1)</formula>
    </cfRule>
  </conditionalFormatting>
  <conditionalFormatting sqref="X1187:X1222 X1224:X1259">
    <cfRule type="expression" dxfId="754" priority="452">
      <formula>AND($C1187=OFFSET($C1187,-1,0,1,1),$G1187&lt;&gt;OFFSET($G1187,-1,0,1,1))</formula>
    </cfRule>
    <cfRule type="expression" dxfId="753" priority="453">
      <formula>AND($C1187=OFFSET($C1187,-1,0,1,1),$G1187=OFFSET($G1187,-1,0,1,1),X1187=OFFSET(X1187,-1,0,1,1))</formula>
    </cfRule>
  </conditionalFormatting>
  <conditionalFormatting sqref="X1187:X1222 X1224:X1259">
    <cfRule type="expression" dxfId="752" priority="446">
      <formula>$B1187="Project"</formula>
    </cfRule>
  </conditionalFormatting>
  <conditionalFormatting sqref="X1187:X1222 X1224:X1259">
    <cfRule type="expression" dxfId="751" priority="449">
      <formula>AND($C1187=OFFSET($C1187,-1,0,1,1),$G1187=OFFSET($G1187,-1,0,1,1),X1187&lt;&gt;OFFSET(X1187,-1,0,1,1))</formula>
    </cfRule>
  </conditionalFormatting>
  <conditionalFormatting sqref="X1187:X1222 X1224:X1259">
    <cfRule type="expression" dxfId="750" priority="445">
      <formula>$C1187&lt;&gt;OFFSET($C1187,-1,0,1,1)</formula>
    </cfRule>
  </conditionalFormatting>
  <conditionalFormatting sqref="X1187:X1222 X1224:X1259">
    <cfRule type="expression" dxfId="749" priority="447">
      <formula>AND($C1187=OFFSET($C1187,-1,0,1,1),$G1187&lt;&gt;OFFSET($G1187,-1,0,1,1))</formula>
    </cfRule>
    <cfRule type="expression" dxfId="748" priority="448">
      <formula>AND($C1187=OFFSET($C1187,-1,0,1,1),$G1187=OFFSET($G1187,-1,0,1,1),X1187=OFFSET(X1187,-1,0,1,1))</formula>
    </cfRule>
  </conditionalFormatting>
  <conditionalFormatting sqref="X1187:X1222 X1224:X1259">
    <cfRule type="expression" dxfId="747" priority="441">
      <formula>$B1187="Project"</formula>
    </cfRule>
  </conditionalFormatting>
  <conditionalFormatting sqref="X1187:X1222 X1224:X1259">
    <cfRule type="expression" dxfId="746" priority="444">
      <formula>AND($C1187=OFFSET($C1187,-1,0,1,1),$G1187=OFFSET($G1187,-1,0,1,1),X1187&lt;&gt;OFFSET(X1187,-1,0,1,1))</formula>
    </cfRule>
  </conditionalFormatting>
  <conditionalFormatting sqref="X1187:X1222 X1224:X1259">
    <cfRule type="expression" dxfId="745" priority="440">
      <formula>$C1187&lt;&gt;OFFSET($C1187,-1,0,1,1)</formula>
    </cfRule>
  </conditionalFormatting>
  <conditionalFormatting sqref="X1187:X1222 X1224:X1259">
    <cfRule type="expression" dxfId="744" priority="442">
      <formula>AND($C1187=OFFSET($C1187,-1,0,1,1),$G1187&lt;&gt;OFFSET($G1187,-1,0,1,1))</formula>
    </cfRule>
    <cfRule type="expression" dxfId="743" priority="443">
      <formula>AND($C1187=OFFSET($C1187,-1,0,1,1),$G1187=OFFSET($G1187,-1,0,1,1),X1187=OFFSET(X1187,-1,0,1,1))</formula>
    </cfRule>
  </conditionalFormatting>
  <conditionalFormatting sqref="A685:B1127 D685:F1127">
    <cfRule type="expression" dxfId="742" priority="436">
      <formula>AND($C685=OFFSET($C685,-1,0,1,1),A685=OFFSET(A685,-1,0,1,1))</formula>
    </cfRule>
  </conditionalFormatting>
  <conditionalFormatting sqref="Q685:Q1127">
    <cfRule type="expression" dxfId="741" priority="429">
      <formula>OR(AND(ISNUMBER(DATEVALUE($Q685)),MONTH(DATEVALUE($Q685))=12,DATEVALUE("31/12/"&amp;TEXT(YEAR(DATEVALUE($Q685)),"####"))&lt;TODAY()),AND(ISNUMBER(DATEVALUE($Q685)),MONTH(DATEVALUE($Q685))&lt;12,DATEVALUE("01/"&amp;TEXT(MONTH(DATEVALUE($Q685))+1,"##")&amp;"/"&amp;TEXT(YEAR(DATEVALUE($Q685)),"####"))-1&lt;TODAY()))</formula>
    </cfRule>
  </conditionalFormatting>
  <conditionalFormatting sqref="T685:T1127">
    <cfRule type="cellIs" dxfId="740" priority="430" operator="equal">
      <formula>"Withdrawn"</formula>
    </cfRule>
    <cfRule type="cellIs" dxfId="739" priority="431" operator="equal">
      <formula>"Proposed"</formula>
    </cfRule>
    <cfRule type="cellIs" dxfId="738" priority="432" operator="equal">
      <formula>"Committed"</formula>
    </cfRule>
    <cfRule type="cellIs" dxfId="737" priority="433" operator="equal">
      <formula>"Upgrade"</formula>
    </cfRule>
    <cfRule type="cellIs" dxfId="736" priority="434" operator="equal">
      <formula>"Existing less Announced Withdrawal"</formula>
    </cfRule>
    <cfRule type="cellIs" dxfId="735" priority="435" operator="equal">
      <formula>"Announced Withdrawal"</formula>
    </cfRule>
  </conditionalFormatting>
  <conditionalFormatting sqref="D685:Y722 B685:B1127 D724:Y839 D723:K723 M723:Y723 D841:Y1058 D840:K840 M840:Y840 D1060:Y1127 D1059:K1059 M1059:Y1059">
    <cfRule type="expression" dxfId="734" priority="425">
      <formula>$B685="Project"</formula>
    </cfRule>
  </conditionalFormatting>
  <conditionalFormatting sqref="H685:Y722 H724:Y839 H723:K723 M723:Y723 H841:Y1058 H840:K840 M840:Y840 H1060:Y1127 H1059:K1059 M1059:Y1059">
    <cfRule type="expression" dxfId="733" priority="428">
      <formula>AND($C685=OFFSET($C685,-1,0,1,1),$G685=OFFSET($G685,-1,0,1,1),H685&lt;&gt;OFFSET(H685,-1,0,1,1))</formula>
    </cfRule>
  </conditionalFormatting>
  <conditionalFormatting sqref="D685:Y722 A685:B1127 D724:Y839 D723:K723 M723:Y723 D841:Y1058 D840:K840 M840:Y840 D1060:Y1127 D1059:K1059 M1059:Y1059">
    <cfRule type="expression" dxfId="732" priority="424">
      <formula>$C685&lt;&gt;OFFSET($C685,-1,0,1,1)</formula>
    </cfRule>
  </conditionalFormatting>
  <conditionalFormatting sqref="D685:Y722 D724:Y839 D723:K723 M723:Y723 D841:Y1058 D840:K840 M840:Y840 D1060:Y1127 D1059:K1059 M1059:Y1059">
    <cfRule type="expression" dxfId="731" priority="426">
      <formula>AND($C685=OFFSET($C685,-1,0,1,1),$G685&lt;&gt;OFFSET($G685,-1,0,1,1))</formula>
    </cfRule>
    <cfRule type="expression" dxfId="730" priority="427">
      <formula>AND($C685=OFFSET($C685,-1,0,1,1),$G685=OFFSET($G685,-1,0,1,1),D685=OFFSET(D685,-1,0,1,1))</formula>
    </cfRule>
  </conditionalFormatting>
  <conditionalFormatting sqref="H685:N722 V685:V1127 H724:N839 H723:K723 M723:N723 H841:N1058 H840:K840 M840:N840 H1060:N1127 H1059:K1059 M1059:N1059">
    <cfRule type="expression" dxfId="729" priority="423">
      <formula>MOD(H685,1)=0</formula>
    </cfRule>
  </conditionalFormatting>
  <conditionalFormatting sqref="B685:B1127 D685:W722 Y685:Y1127 D724:W839 D723:K723 M723:W723 D841:W1058 D840:K840 M840:W840 D1060:W1127 D1059:K1059 M1059:W1059">
    <cfRule type="expression" dxfId="728" priority="419">
      <formula>$B685="Project"</formula>
    </cfRule>
  </conditionalFormatting>
  <conditionalFormatting sqref="H685:W722 Y685:Y1127 H724:W839 H723:K723 M723:W723 H841:W1058 H840:K840 M840:W840 H1060:W1127 H1059:K1059 M1059:W1059">
    <cfRule type="expression" dxfId="727" priority="422">
      <formula>AND($C685=OFFSET($C685,-1,0,1,1),$G685=OFFSET($G685,-1,0,1,1),H685&lt;&gt;OFFSET(H685,-1,0,1,1))</formula>
    </cfRule>
  </conditionalFormatting>
  <conditionalFormatting sqref="A685:B1127 D685:W722 Y685:Y1127 D724:W839 D723:K723 M723:W723 D841:W1058 D840:K840 M840:W840 D1060:W1127 D1059:K1059 M1059:W1059">
    <cfRule type="expression" dxfId="726" priority="418">
      <formula>$C685&lt;&gt;OFFSET($C685,-1,0,1,1)</formula>
    </cfRule>
  </conditionalFormatting>
  <conditionalFormatting sqref="D685:W722 Y685:Y1127 D724:W839 D723:K723 M723:W723 D841:W1058 D840:K840 M840:W840 D1060:W1127 D1059:K1059 M1059:W1059">
    <cfRule type="expression" dxfId="725" priority="420">
      <formula>AND($C685=OFFSET($C685,-1,0,1,1),$G685&lt;&gt;OFFSET($G685,-1,0,1,1))</formula>
    </cfRule>
    <cfRule type="expression" dxfId="724" priority="421">
      <formula>AND($C685=OFFSET($C685,-1,0,1,1),$G685=OFFSET($G685,-1,0,1,1),D685=OFFSET(D685,-1,0,1,1))</formula>
    </cfRule>
  </conditionalFormatting>
  <conditionalFormatting sqref="B685:B1127 D685:W722 Y685:Y1127 D724:W839 D723:K723 M723:W723 D841:W1058 D840:K840 M840:W840 D1060:W1127 D1059:K1059 M1059:W1059">
    <cfRule type="expression" dxfId="723" priority="414">
      <formula>$B685="Project"</formula>
    </cfRule>
  </conditionalFormatting>
  <conditionalFormatting sqref="H685:W722 Y685:Y1127 H724:W839 H723:K723 M723:W723 H841:W1058 H840:K840 M840:W840 H1060:W1127 H1059:K1059 M1059:W1059">
    <cfRule type="expression" dxfId="722" priority="417">
      <formula>AND($C685=OFFSET($C685,-1,0,1,1),$G685=OFFSET($G685,-1,0,1,1),H685&lt;&gt;OFFSET(H685,-1,0,1,1))</formula>
    </cfRule>
  </conditionalFormatting>
  <conditionalFormatting sqref="A685:B1127 D685:W722 Y685:Y1127 D724:W839 D723:K723 M723:W723 D841:W1058 D840:K840 M840:W840 D1060:W1127 D1059:K1059 M1059:W1059">
    <cfRule type="expression" dxfId="721" priority="413">
      <formula>$C685&lt;&gt;OFFSET($C685,-1,0,1,1)</formula>
    </cfRule>
  </conditionalFormatting>
  <conditionalFormatting sqref="D685:W722 Y685:Y1127 D724:W839 D723:K723 M723:W723 D841:W1058 D840:K840 M840:W840 D1060:W1127 D1059:K1059 M1059:W1059">
    <cfRule type="expression" dxfId="720" priority="415">
      <formula>AND($C685=OFFSET($C685,-1,0,1,1),$G685&lt;&gt;OFFSET($G685,-1,0,1,1))</formula>
    </cfRule>
    <cfRule type="expression" dxfId="719" priority="416">
      <formula>AND($C685=OFFSET($C685,-1,0,1,1),$G685=OFFSET($G685,-1,0,1,1),D685=OFFSET(D685,-1,0,1,1))</formula>
    </cfRule>
  </conditionalFormatting>
  <conditionalFormatting sqref="C685:C1127">
    <cfRule type="expression" dxfId="718" priority="410">
      <formula>$B685="Project"</formula>
    </cfRule>
  </conditionalFormatting>
  <conditionalFormatting sqref="C685:C1127">
    <cfRule type="expression" dxfId="717" priority="408">
      <formula>AND($C685=OFFSET($C685,-1,0,1,1),C685=OFFSET(C685,-1,0,1,1))</formula>
    </cfRule>
  </conditionalFormatting>
  <conditionalFormatting sqref="C685:C1127">
    <cfRule type="expression" dxfId="716" priority="406">
      <formula>$C685&lt;&gt;OFFSET($C685,-1,0,1,1)</formula>
    </cfRule>
    <cfRule type="expression" dxfId="715" priority="407">
      <formula>$C685=OFFSET($C685,-1,0,1,1)</formula>
    </cfRule>
    <cfRule type="expression" dxfId="714" priority="409">
      <formula>$B685="Project"</formula>
    </cfRule>
  </conditionalFormatting>
  <conditionalFormatting sqref="C685:C1127">
    <cfRule type="expression" dxfId="713" priority="411">
      <formula>COUNTBLANK($A685:$W685)=25</formula>
    </cfRule>
    <cfRule type="expression" dxfId="712" priority="412">
      <formula>$C685&lt;&gt;OFFSET($C685,-1,0,1,1)</formula>
    </cfRule>
  </conditionalFormatting>
  <conditionalFormatting sqref="Y685:Y1127">
    <cfRule type="colorScale" priority="437">
      <colorScale>
        <cfvo type="min"/>
        <cfvo type="formula" val="TODAY()-365"/>
        <cfvo type="max"/>
        <color rgb="FFFFD1D1"/>
        <color theme="7" tint="0.79998168889431442"/>
        <color theme="0"/>
      </colorScale>
    </cfRule>
  </conditionalFormatting>
  <conditionalFormatting sqref="Y685:Y1127">
    <cfRule type="colorScale" priority="438">
      <colorScale>
        <cfvo type="min"/>
        <cfvo type="formula" val="TODAY()-365"/>
        <cfvo type="max"/>
        <color rgb="FFFFD1D1"/>
        <color theme="7" tint="0.79998168889431442"/>
        <color theme="0"/>
      </colorScale>
    </cfRule>
  </conditionalFormatting>
  <conditionalFormatting sqref="Y685:Y1127">
    <cfRule type="colorScale" priority="439">
      <colorScale>
        <cfvo type="min"/>
        <cfvo type="formula" val="TODAY()-365"/>
        <cfvo type="max"/>
        <color rgb="FFFFD1D1"/>
        <color theme="7" tint="0.79998168889431442"/>
        <color theme="0"/>
      </colorScale>
    </cfRule>
  </conditionalFormatting>
  <conditionalFormatting sqref="L210">
    <cfRule type="expression" dxfId="711" priority="386">
      <formula>MOD(L210,1)=0</formula>
    </cfRule>
  </conditionalFormatting>
  <conditionalFormatting sqref="L210">
    <cfRule type="expression" dxfId="710" priority="385">
      <formula>$B210="Project"</formula>
    </cfRule>
  </conditionalFormatting>
  <conditionalFormatting sqref="L210">
    <cfRule type="expression" dxfId="709" priority="389">
      <formula>AND($C210=OFFSET($C210,-1,0,1,1),$G210=OFFSET($G210,-1,0,1,1),L210&lt;&gt;OFFSET(L210,-1,0,1,1))</formula>
    </cfRule>
  </conditionalFormatting>
  <conditionalFormatting sqref="L210">
    <cfRule type="expression" dxfId="708" priority="387">
      <formula>AND($C210=OFFSET($C210,-1,0,1,1),$G210&lt;&gt;OFFSET($G210,-1,0,1,1))</formula>
    </cfRule>
    <cfRule type="expression" dxfId="707" priority="388">
      <formula>AND($C210=OFFSET($C210,-1,0,1,1),$G210=OFFSET($G210,-1,0,1,1),L210=OFFSET(L210,-1,0,1,1))</formula>
    </cfRule>
  </conditionalFormatting>
  <conditionalFormatting sqref="L210">
    <cfRule type="expression" dxfId="706" priority="390">
      <formula>COUNTBLANK($A210:$W210)=25</formula>
    </cfRule>
    <cfRule type="expression" dxfId="705" priority="391">
      <formula>$C210&lt;&gt;OFFSET($C210,-1,0,1,1)</formula>
    </cfRule>
  </conditionalFormatting>
  <conditionalFormatting sqref="L354">
    <cfRule type="expression" dxfId="704" priority="379">
      <formula>MOD(L354,1)=0</formula>
    </cfRule>
  </conditionalFormatting>
  <conditionalFormatting sqref="L354">
    <cfRule type="expression" dxfId="703" priority="378">
      <formula>$B354="Project"</formula>
    </cfRule>
  </conditionalFormatting>
  <conditionalFormatting sqref="L354">
    <cfRule type="expression" dxfId="702" priority="382">
      <formula>AND($C354=OFFSET($C354,-1,0,1,1),$G354=OFFSET($G354,-1,0,1,1),L354&lt;&gt;OFFSET(L354,-1,0,1,1))</formula>
    </cfRule>
  </conditionalFormatting>
  <conditionalFormatting sqref="L354">
    <cfRule type="expression" dxfId="701" priority="380">
      <formula>AND($C354=OFFSET($C354,-1,0,1,1),$G354&lt;&gt;OFFSET($G354,-1,0,1,1))</formula>
    </cfRule>
    <cfRule type="expression" dxfId="700" priority="381">
      <formula>AND($C354=OFFSET($C354,-1,0,1,1),$G354=OFFSET($G354,-1,0,1,1),L354=OFFSET(L354,-1,0,1,1))</formula>
    </cfRule>
  </conditionalFormatting>
  <conditionalFormatting sqref="L354">
    <cfRule type="expression" dxfId="699" priority="383">
      <formula>COUNTBLANK($A354:$W354)=25</formula>
    </cfRule>
    <cfRule type="expression" dxfId="698" priority="384">
      <formula>$C354&lt;&gt;OFFSET($C354,-1,0,1,1)</formula>
    </cfRule>
  </conditionalFormatting>
  <conditionalFormatting sqref="L654">
    <cfRule type="expression" dxfId="697" priority="365">
      <formula>MOD(L654,1)=0</formula>
    </cfRule>
  </conditionalFormatting>
  <conditionalFormatting sqref="L654">
    <cfRule type="expression" dxfId="696" priority="364">
      <formula>$B654="Project"</formula>
    </cfRule>
  </conditionalFormatting>
  <conditionalFormatting sqref="L654">
    <cfRule type="expression" dxfId="695" priority="368">
      <formula>AND($C654=OFFSET($C654,-1,0,1,1),$G654=OFFSET($G654,-1,0,1,1),L654&lt;&gt;OFFSET(L654,-1,0,1,1))</formula>
    </cfRule>
  </conditionalFormatting>
  <conditionalFormatting sqref="L654">
    <cfRule type="expression" dxfId="694" priority="366">
      <formula>AND($C654=OFFSET($C654,-1,0,1,1),$G654&lt;&gt;OFFSET($G654,-1,0,1,1))</formula>
    </cfRule>
    <cfRule type="expression" dxfId="693" priority="367">
      <formula>AND($C654=OFFSET($C654,-1,0,1,1),$G654=OFFSET($G654,-1,0,1,1),L654=OFFSET(L654,-1,0,1,1))</formula>
    </cfRule>
  </conditionalFormatting>
  <conditionalFormatting sqref="L654">
    <cfRule type="expression" dxfId="692" priority="369">
      <formula>COUNTBLANK($A654:$W654)=25</formula>
    </cfRule>
    <cfRule type="expression" dxfId="691" priority="370">
      <formula>$C654&lt;&gt;OFFSET($C654,-1,0,1,1)</formula>
    </cfRule>
  </conditionalFormatting>
  <conditionalFormatting sqref="L680">
    <cfRule type="expression" dxfId="690" priority="358">
      <formula>MOD(L680,1)=0</formula>
    </cfRule>
  </conditionalFormatting>
  <conditionalFormatting sqref="L680">
    <cfRule type="expression" dxfId="689" priority="357">
      <formula>$B680="Project"</formula>
    </cfRule>
  </conditionalFormatting>
  <conditionalFormatting sqref="L680">
    <cfRule type="expression" dxfId="688" priority="361">
      <formula>AND($C680=OFFSET($C680,-1,0,1,1),$G680=OFFSET($G680,-1,0,1,1),L680&lt;&gt;OFFSET(L680,-1,0,1,1))</formula>
    </cfRule>
  </conditionalFormatting>
  <conditionalFormatting sqref="L680">
    <cfRule type="expression" dxfId="687" priority="359">
      <formula>AND($C680=OFFSET($C680,-1,0,1,1),$G680&lt;&gt;OFFSET($G680,-1,0,1,1))</formula>
    </cfRule>
    <cfRule type="expression" dxfId="686" priority="360">
      <formula>AND($C680=OFFSET($C680,-1,0,1,1),$G680=OFFSET($G680,-1,0,1,1),L680=OFFSET(L680,-1,0,1,1))</formula>
    </cfRule>
  </conditionalFormatting>
  <conditionalFormatting sqref="L680">
    <cfRule type="expression" dxfId="685" priority="362">
      <formula>COUNTBLANK($A680:$W680)=25</formula>
    </cfRule>
    <cfRule type="expression" dxfId="684" priority="363">
      <formula>$C680&lt;&gt;OFFSET($C680,-1,0,1,1)</formula>
    </cfRule>
  </conditionalFormatting>
  <conditionalFormatting sqref="L723">
    <cfRule type="expression" dxfId="683" priority="351">
      <formula>MOD(L723,1)=0</formula>
    </cfRule>
  </conditionalFormatting>
  <conditionalFormatting sqref="L723">
    <cfRule type="expression" dxfId="682" priority="350">
      <formula>$B723="Project"</formula>
    </cfRule>
  </conditionalFormatting>
  <conditionalFormatting sqref="L723">
    <cfRule type="expression" dxfId="681" priority="354">
      <formula>AND($C723=OFFSET($C723,-1,0,1,1),$G723=OFFSET($G723,-1,0,1,1),L723&lt;&gt;OFFSET(L723,-1,0,1,1))</formula>
    </cfRule>
  </conditionalFormatting>
  <conditionalFormatting sqref="L723">
    <cfRule type="expression" dxfId="680" priority="352">
      <formula>AND($C723=OFFSET($C723,-1,0,1,1),$G723&lt;&gt;OFFSET($G723,-1,0,1,1))</formula>
    </cfRule>
    <cfRule type="expression" dxfId="679" priority="353">
      <formula>AND($C723=OFFSET($C723,-1,0,1,1),$G723=OFFSET($G723,-1,0,1,1),L723=OFFSET(L723,-1,0,1,1))</formula>
    </cfRule>
  </conditionalFormatting>
  <conditionalFormatting sqref="L723">
    <cfRule type="expression" dxfId="678" priority="355">
      <formula>COUNTBLANK($A723:$W723)=25</formula>
    </cfRule>
    <cfRule type="expression" dxfId="677" priority="356">
      <formula>$C723&lt;&gt;OFFSET($C723,-1,0,1,1)</formula>
    </cfRule>
  </conditionalFormatting>
  <conditionalFormatting sqref="L840">
    <cfRule type="expression" dxfId="676" priority="344">
      <formula>MOD(L840,1)=0</formula>
    </cfRule>
  </conditionalFormatting>
  <conditionalFormatting sqref="L840">
    <cfRule type="expression" dxfId="675" priority="343">
      <formula>$B840="Project"</formula>
    </cfRule>
  </conditionalFormatting>
  <conditionalFormatting sqref="L840">
    <cfRule type="expression" dxfId="674" priority="347">
      <formula>AND($C840=OFFSET($C840,-1,0,1,1),$G840=OFFSET($G840,-1,0,1,1),L840&lt;&gt;OFFSET(L840,-1,0,1,1))</formula>
    </cfRule>
  </conditionalFormatting>
  <conditionalFormatting sqref="L840">
    <cfRule type="expression" dxfId="673" priority="345">
      <formula>AND($C840=OFFSET($C840,-1,0,1,1),$G840&lt;&gt;OFFSET($G840,-1,0,1,1))</formula>
    </cfRule>
    <cfRule type="expression" dxfId="672" priority="346">
      <formula>AND($C840=OFFSET($C840,-1,0,1,1),$G840=OFFSET($G840,-1,0,1,1),L840=OFFSET(L840,-1,0,1,1))</formula>
    </cfRule>
  </conditionalFormatting>
  <conditionalFormatting sqref="L840">
    <cfRule type="expression" dxfId="671" priority="348">
      <formula>COUNTBLANK($A840:$W840)=25</formula>
    </cfRule>
    <cfRule type="expression" dxfId="670" priority="349">
      <formula>$C840&lt;&gt;OFFSET($C840,-1,0,1,1)</formula>
    </cfRule>
  </conditionalFormatting>
  <conditionalFormatting sqref="L1059">
    <cfRule type="expression" dxfId="669" priority="337">
      <formula>MOD(L1059,1)=0</formula>
    </cfRule>
  </conditionalFormatting>
  <conditionalFormatting sqref="L1059">
    <cfRule type="expression" dxfId="668" priority="336">
      <formula>$B1059="Project"</formula>
    </cfRule>
  </conditionalFormatting>
  <conditionalFormatting sqref="L1059">
    <cfRule type="expression" dxfId="667" priority="340">
      <formula>AND($C1059=OFFSET($C1059,-1,0,1,1),$G1059=OFFSET($G1059,-1,0,1,1),L1059&lt;&gt;OFFSET(L1059,-1,0,1,1))</formula>
    </cfRule>
  </conditionalFormatting>
  <conditionalFormatting sqref="L1059">
    <cfRule type="expression" dxfId="666" priority="338">
      <formula>AND($C1059=OFFSET($C1059,-1,0,1,1),$G1059&lt;&gt;OFFSET($G1059,-1,0,1,1))</formula>
    </cfRule>
    <cfRule type="expression" dxfId="665" priority="339">
      <formula>AND($C1059=OFFSET($C1059,-1,0,1,1),$G1059=OFFSET($G1059,-1,0,1,1),L1059=OFFSET(L1059,-1,0,1,1))</formula>
    </cfRule>
  </conditionalFormatting>
  <conditionalFormatting sqref="L1059">
    <cfRule type="expression" dxfId="664" priority="341">
      <formula>COUNTBLANK($A1059:$W1059)=25</formula>
    </cfRule>
    <cfRule type="expression" dxfId="663" priority="342">
      <formula>$C1059&lt;&gt;OFFSET($C1059,-1,0,1,1)</formula>
    </cfRule>
  </conditionalFormatting>
  <conditionalFormatting sqref="L1136">
    <cfRule type="expression" dxfId="662" priority="330">
      <formula>MOD(L1136,1)=0</formula>
    </cfRule>
  </conditionalFormatting>
  <conditionalFormatting sqref="L1136">
    <cfRule type="expression" dxfId="661" priority="329">
      <formula>$B1136="Project"</formula>
    </cfRule>
  </conditionalFormatting>
  <conditionalFormatting sqref="L1136">
    <cfRule type="expression" dxfId="660" priority="333">
      <formula>AND($C1136=OFFSET($C1136,-1,0,1,1),$G1136=OFFSET($G1136,-1,0,1,1),L1136&lt;&gt;OFFSET(L1136,-1,0,1,1))</formula>
    </cfRule>
  </conditionalFormatting>
  <conditionalFormatting sqref="L1136">
    <cfRule type="expression" dxfId="659" priority="331">
      <formula>AND($C1136=OFFSET($C1136,-1,0,1,1),$G1136&lt;&gt;OFFSET($G1136,-1,0,1,1))</formula>
    </cfRule>
    <cfRule type="expression" dxfId="658" priority="332">
      <formula>AND($C1136=OFFSET($C1136,-1,0,1,1),$G1136=OFFSET($G1136,-1,0,1,1),L1136=OFFSET(L1136,-1,0,1,1))</formula>
    </cfRule>
  </conditionalFormatting>
  <conditionalFormatting sqref="L1136">
    <cfRule type="expression" dxfId="657" priority="334">
      <formula>COUNTBLANK($A1136:$W1136)=25</formula>
    </cfRule>
    <cfRule type="expression" dxfId="656" priority="335">
      <formula>$C1136&lt;&gt;OFFSET($C1136,-1,0,1,1)</formula>
    </cfRule>
  </conditionalFormatting>
  <conditionalFormatting sqref="Y88:Y109">
    <cfRule type="colorScale" priority="7536">
      <colorScale>
        <cfvo type="min"/>
        <cfvo type="formula" val="TODAY()-365"/>
        <cfvo type="max"/>
        <color rgb="FFFFD1D1"/>
        <color theme="7" tint="0.79998168889431442"/>
        <color theme="0"/>
      </colorScale>
    </cfRule>
  </conditionalFormatting>
  <conditionalFormatting sqref="H110:N177">
    <cfRule type="expression" dxfId="655" priority="323">
      <formula>MOD(H110,1)=0</formula>
    </cfRule>
  </conditionalFormatting>
  <conditionalFormatting sqref="B110:W177">
    <cfRule type="expression" dxfId="654" priority="322">
      <formula>$B110="Project"</formula>
    </cfRule>
  </conditionalFormatting>
  <conditionalFormatting sqref="A110:F177">
    <cfRule type="expression" dxfId="653" priority="320">
      <formula>AND($C110=OFFSET($C110,-1,0,1,1),A110=OFFSET(A110,-1,0,1,1))</formula>
    </cfRule>
  </conditionalFormatting>
  <conditionalFormatting sqref="C110:C177">
    <cfRule type="expression" dxfId="652" priority="318">
      <formula>$C110&lt;&gt;OFFSET($C110,-1,0,1,1)</formula>
    </cfRule>
    <cfRule type="expression" dxfId="651" priority="319">
      <formula>$C110=OFFSET($C110,-1,0,1,1)</formula>
    </cfRule>
    <cfRule type="expression" dxfId="650" priority="321">
      <formula>$B110="Project"</formula>
    </cfRule>
  </conditionalFormatting>
  <conditionalFormatting sqref="H110:W177">
    <cfRule type="expression" dxfId="649" priority="326">
      <formula>AND($C110=OFFSET($C110,-1,0,1,1),$G110=OFFSET($G110,-1,0,1,1),H110&lt;&gt;OFFSET(H110,-1,0,1,1))</formula>
    </cfRule>
  </conditionalFormatting>
  <conditionalFormatting sqref="T110:T177">
    <cfRule type="cellIs" dxfId="648" priority="312" operator="equal">
      <formula>"Withdrawn"</formula>
    </cfRule>
    <cfRule type="cellIs" dxfId="647" priority="313" operator="equal">
      <formula>"Proposed"</formula>
    </cfRule>
    <cfRule type="cellIs" dxfId="646" priority="314" operator="equal">
      <formula>"Committed"</formula>
    </cfRule>
    <cfRule type="cellIs" dxfId="645" priority="315" operator="equal">
      <formula>"Upgrade"</formula>
    </cfRule>
    <cfRule type="cellIs" dxfId="644" priority="316" operator="equal">
      <formula>"Existing less Announced Withdrawal"</formula>
    </cfRule>
    <cfRule type="cellIs" dxfId="643" priority="317" operator="equal">
      <formula>"Announced Withdrawal"</formula>
    </cfRule>
  </conditionalFormatting>
  <conditionalFormatting sqref="Q110:Q177">
    <cfRule type="expression" dxfId="642" priority="311">
      <formula>OR(AND(ISNUMBER(DATEVALUE($Q110)),MONTH(DATEVALUE($Q110))=12,DATEVALUE("31/12/"&amp;TEXT(YEAR(DATEVALUE($Q110)),"####"))&lt;TODAY()),AND(ISNUMBER(DATEVALUE($Q110)),MONTH(DATEVALUE($Q110))&lt;12,DATEVALUE("01/"&amp;TEXT(MONTH(DATEVALUE($Q110))+1,"##")&amp;"/"&amp;TEXT(YEAR(DATEVALUE($Q110)),"####"))-1&lt;TODAY()))</formula>
    </cfRule>
  </conditionalFormatting>
  <conditionalFormatting sqref="D110:W177">
    <cfRule type="expression" dxfId="641" priority="324">
      <formula>AND($C110=OFFSET($C110,-1,0,1,1),$G110&lt;&gt;OFFSET($G110,-1,0,1,1))</formula>
    </cfRule>
    <cfRule type="expression" dxfId="640" priority="325">
      <formula>AND($C110=OFFSET($C110,-1,0,1,1),$G110=OFFSET($G110,-1,0,1,1),D110=OFFSET(D110,-1,0,1,1))</formula>
    </cfRule>
  </conditionalFormatting>
  <conditionalFormatting sqref="X111">
    <cfRule type="expression" dxfId="639" priority="310">
      <formula>ISBLANK(X111)=FALSE</formula>
    </cfRule>
  </conditionalFormatting>
  <conditionalFormatting sqref="A110:W177">
    <cfRule type="expression" dxfId="638" priority="327">
      <formula>COUNTBLANK($A110:$W110)=25</formula>
    </cfRule>
    <cfRule type="expression" dxfId="637" priority="328">
      <formula>$C110&lt;&gt;OFFSET($C110,-1,0,1,1)</formula>
    </cfRule>
  </conditionalFormatting>
  <conditionalFormatting sqref="X112:X182">
    <cfRule type="expression" dxfId="636" priority="306">
      <formula>$B112="Project"</formula>
    </cfRule>
  </conditionalFormatting>
  <conditionalFormatting sqref="X112:X182">
    <cfRule type="expression" dxfId="635" priority="309">
      <formula>AND($C112=OFFSET($C112,-1,0,1,1),$G112=OFFSET($G112,-1,0,1,1),X112&lt;&gt;OFFSET(X112,-1,0,1,1))</formula>
    </cfRule>
  </conditionalFormatting>
  <conditionalFormatting sqref="X112:X182">
    <cfRule type="expression" dxfId="634" priority="305">
      <formula>$C112&lt;&gt;OFFSET($C112,-1,0,1,1)</formula>
    </cfRule>
  </conditionalFormatting>
  <conditionalFormatting sqref="X112:X182">
    <cfRule type="expression" dxfId="633" priority="307">
      <formula>AND($C112=OFFSET($C112,-1,0,1,1),$G112&lt;&gt;OFFSET($G112,-1,0,1,1))</formula>
    </cfRule>
    <cfRule type="expression" dxfId="632" priority="308">
      <formula>AND($C112=OFFSET($C112,-1,0,1,1),$G112=OFFSET($G112,-1,0,1,1),X112=OFFSET(X112,-1,0,1,1))</formula>
    </cfRule>
  </conditionalFormatting>
  <conditionalFormatting sqref="X112:X182">
    <cfRule type="expression" dxfId="631" priority="301">
      <formula>$B112="Project"</formula>
    </cfRule>
  </conditionalFormatting>
  <conditionalFormatting sqref="X112:X182">
    <cfRule type="expression" dxfId="630" priority="304">
      <formula>AND($C112=OFFSET($C112,-1,0,1,1),$G112=OFFSET($G112,-1,0,1,1),X112&lt;&gt;OFFSET(X112,-1,0,1,1))</formula>
    </cfRule>
  </conditionalFormatting>
  <conditionalFormatting sqref="X112:X182">
    <cfRule type="expression" dxfId="629" priority="300">
      <formula>$C112&lt;&gt;OFFSET($C112,-1,0,1,1)</formula>
    </cfRule>
  </conditionalFormatting>
  <conditionalFormatting sqref="X112:X182">
    <cfRule type="expression" dxfId="628" priority="302">
      <formula>AND($C112=OFFSET($C112,-1,0,1,1),$G112&lt;&gt;OFFSET($G112,-1,0,1,1))</formula>
    </cfRule>
    <cfRule type="expression" dxfId="627" priority="303">
      <formula>AND($C112=OFFSET($C112,-1,0,1,1),$G112=OFFSET($G112,-1,0,1,1),X112=OFFSET(X112,-1,0,1,1))</formula>
    </cfRule>
  </conditionalFormatting>
  <conditionalFormatting sqref="X112:X182">
    <cfRule type="expression" dxfId="626" priority="296">
      <formula>$B112="Project"</formula>
    </cfRule>
  </conditionalFormatting>
  <conditionalFormatting sqref="X112:X182">
    <cfRule type="expression" dxfId="625" priority="299">
      <formula>AND($C112=OFFSET($C112,-1,0,1,1),$G112=OFFSET($G112,-1,0,1,1),X112&lt;&gt;OFFSET(X112,-1,0,1,1))</formula>
    </cfRule>
  </conditionalFormatting>
  <conditionalFormatting sqref="X112:X182">
    <cfRule type="expression" dxfId="624" priority="295">
      <formula>$C112&lt;&gt;OFFSET($C112,-1,0,1,1)</formula>
    </cfRule>
  </conditionalFormatting>
  <conditionalFormatting sqref="X112:X182">
    <cfRule type="expression" dxfId="623" priority="297">
      <formula>AND($C112=OFFSET($C112,-1,0,1,1),$G112&lt;&gt;OFFSET($G112,-1,0,1,1))</formula>
    </cfRule>
    <cfRule type="expression" dxfId="622" priority="298">
      <formula>AND($C112=OFFSET($C112,-1,0,1,1),$G112=OFFSET($G112,-1,0,1,1),X112=OFFSET(X112,-1,0,1,1))</formula>
    </cfRule>
  </conditionalFormatting>
  <conditionalFormatting sqref="A247:F293">
    <cfRule type="expression" dxfId="621" priority="289">
      <formula>AND($C247=OFFSET($C247,-1,0,1,1),A247=OFFSET(A247,-1,0,1,1))</formula>
    </cfRule>
  </conditionalFormatting>
  <conditionalFormatting sqref="Q247:Q293">
    <cfRule type="expression" dxfId="620" priority="280">
      <formula>OR(AND(ISNUMBER(DATEVALUE($Q247)),MONTH(DATEVALUE($Q247))=12,DATEVALUE("31/12/"&amp;TEXT(YEAR(DATEVALUE($Q247)),"####"))&lt;TODAY()),AND(ISNUMBER(DATEVALUE($Q247)),MONTH(DATEVALUE($Q247))&lt;12,DATEVALUE("01/"&amp;TEXT(MONTH(DATEVALUE($Q247))+1,"##")&amp;"/"&amp;TEXT(YEAR(DATEVALUE($Q247)),"####"))-1&lt;TODAY()))</formula>
    </cfRule>
  </conditionalFormatting>
  <conditionalFormatting sqref="T247:T293">
    <cfRule type="cellIs" dxfId="619" priority="281" operator="equal">
      <formula>"Withdrawn"</formula>
    </cfRule>
    <cfRule type="cellIs" dxfId="618" priority="282" operator="equal">
      <formula>"Proposed"</formula>
    </cfRule>
    <cfRule type="cellIs" dxfId="617" priority="283" operator="equal">
      <formula>"Committed"</formula>
    </cfRule>
    <cfRule type="cellIs" dxfId="616" priority="284" operator="equal">
      <formula>"Upgrade"</formula>
    </cfRule>
    <cfRule type="cellIs" dxfId="615" priority="285" operator="equal">
      <formula>"Existing less Announced Withdrawal"</formula>
    </cfRule>
    <cfRule type="cellIs" dxfId="614" priority="286" operator="equal">
      <formula>"Announced Withdrawal"</formula>
    </cfRule>
  </conditionalFormatting>
  <conditionalFormatting sqref="C247:C293">
    <cfRule type="expression" dxfId="613" priority="287">
      <formula>$C247&lt;&gt;OFFSET($C247,-1,0,1,1)</formula>
    </cfRule>
    <cfRule type="expression" dxfId="612" priority="288">
      <formula>$C247=OFFSET($C247,-1,0,1,1)</formula>
    </cfRule>
    <cfRule type="expression" dxfId="611" priority="290">
      <formula>$B247="Project"</formula>
    </cfRule>
  </conditionalFormatting>
  <conditionalFormatting sqref="Y247:Y293 B247:W293">
    <cfRule type="expression" dxfId="610" priority="276">
      <formula>$B247="Project"</formula>
    </cfRule>
  </conditionalFormatting>
  <conditionalFormatting sqref="Y247:Y293 H247:W293">
    <cfRule type="expression" dxfId="609" priority="279">
      <formula>AND($C247=OFFSET($C247,-1,0,1,1),$G247=OFFSET($G247,-1,0,1,1),H247&lt;&gt;OFFSET(H247,-1,0,1,1))</formula>
    </cfRule>
  </conditionalFormatting>
  <conditionalFormatting sqref="Y247:Y293 A247:W293">
    <cfRule type="expression" dxfId="608" priority="275">
      <formula>$C247&lt;&gt;OFFSET($C247,-1,0,1,1)</formula>
    </cfRule>
  </conditionalFormatting>
  <conditionalFormatting sqref="Y247:Y293 D247:W293">
    <cfRule type="expression" dxfId="607" priority="277">
      <formula>AND($C247=OFFSET($C247,-1,0,1,1),$G247&lt;&gt;OFFSET($G247,-1,0,1,1))</formula>
    </cfRule>
    <cfRule type="expression" dxfId="606" priority="278">
      <formula>AND($C247=OFFSET($C247,-1,0,1,1),$G247=OFFSET($G247,-1,0,1,1),D247=OFFSET(D247,-1,0,1,1))</formula>
    </cfRule>
  </conditionalFormatting>
  <conditionalFormatting sqref="V247:V293 H247:N293">
    <cfRule type="expression" dxfId="605" priority="274">
      <formula>MOD(H247,1)=0</formula>
    </cfRule>
  </conditionalFormatting>
  <conditionalFormatting sqref="X247:X293">
    <cfRule type="expression" dxfId="604" priority="270">
      <formula>$B247="Project"</formula>
    </cfRule>
  </conditionalFormatting>
  <conditionalFormatting sqref="X247:X293">
    <cfRule type="expression" dxfId="603" priority="273">
      <formula>AND($C247=OFFSET($C247,-1,0,1,1),$G247=OFFSET($G247,-1,0,1,1),X247&lt;&gt;OFFSET(X247,-1,0,1,1))</formula>
    </cfRule>
  </conditionalFormatting>
  <conditionalFormatting sqref="X247:X293">
    <cfRule type="expression" dxfId="602" priority="269">
      <formula>$C247&lt;&gt;OFFSET($C247,-1,0,1,1)</formula>
    </cfRule>
  </conditionalFormatting>
  <conditionalFormatting sqref="X247:X293">
    <cfRule type="expression" dxfId="601" priority="271">
      <formula>AND($C247=OFFSET($C247,-1,0,1,1),$G247&lt;&gt;OFFSET($G247,-1,0,1,1))</formula>
    </cfRule>
    <cfRule type="expression" dxfId="600" priority="272">
      <formula>AND($C247=OFFSET($C247,-1,0,1,1),$G247=OFFSET($G247,-1,0,1,1),X247=OFFSET(X247,-1,0,1,1))</formula>
    </cfRule>
  </conditionalFormatting>
  <conditionalFormatting sqref="V247:V293 H247:N293">
    <cfRule type="expression" dxfId="599" priority="268">
      <formula>MOD(H247,1)=0</formula>
    </cfRule>
  </conditionalFormatting>
  <conditionalFormatting sqref="B247:Y293">
    <cfRule type="expression" dxfId="598" priority="264">
      <formula>$B247="Project"</formula>
    </cfRule>
  </conditionalFormatting>
  <conditionalFormatting sqref="A247:F293">
    <cfRule type="expression" dxfId="597" priority="262">
      <formula>AND($C247=OFFSET($C247,-1,0,1,1),A247=OFFSET(A247,-1,0,1,1))</formula>
    </cfRule>
  </conditionalFormatting>
  <conditionalFormatting sqref="H247:Y293">
    <cfRule type="expression" dxfId="596" priority="267">
      <formula>AND($C247=OFFSET($C247,-1,0,1,1),$G247=OFFSET($G247,-1,0,1,1),H247&lt;&gt;OFFSET(H247,-1,0,1,1))</formula>
    </cfRule>
  </conditionalFormatting>
  <conditionalFormatting sqref="A247:Y293">
    <cfRule type="expression" dxfId="595" priority="260">
      <formula>$C247&lt;&gt;OFFSET($C247,-1,0,1,1)</formula>
    </cfRule>
  </conditionalFormatting>
  <conditionalFormatting sqref="Q247:Q293">
    <cfRule type="expression" dxfId="594" priority="252">
      <formula>OR(AND(ISNUMBER(DATEVALUE($Q247)),MONTH(DATEVALUE($Q247))=12,DATEVALUE("31/12/"&amp;TEXT(YEAR(DATEVALUE($Q247)),"####"))&lt;TODAY()),AND(ISNUMBER(DATEVALUE($Q247)),MONTH(DATEVALUE($Q247))&lt;12,DATEVALUE("01/"&amp;TEXT(MONTH(DATEVALUE($Q247))+1,"##")&amp;"/"&amp;TEXT(YEAR(DATEVALUE($Q247)),"####"))-1&lt;TODAY()))</formula>
    </cfRule>
  </conditionalFormatting>
  <conditionalFormatting sqref="T247:T293">
    <cfRule type="cellIs" dxfId="593" priority="253" operator="equal">
      <formula>"Withdrawn"</formula>
    </cfRule>
    <cfRule type="cellIs" dxfId="592" priority="254" operator="equal">
      <formula>"Proposed"</formula>
    </cfRule>
    <cfRule type="cellIs" dxfId="591" priority="255" operator="equal">
      <formula>"Committed"</formula>
    </cfRule>
    <cfRule type="cellIs" dxfId="590" priority="256" operator="equal">
      <formula>"Upgrade"</formula>
    </cfRule>
    <cfRule type="cellIs" dxfId="589" priority="257" operator="equal">
      <formula>"Existing less Announced Withdrawal"</formula>
    </cfRule>
    <cfRule type="cellIs" dxfId="588" priority="258" operator="equal">
      <formula>"Announced Withdrawal"</formula>
    </cfRule>
  </conditionalFormatting>
  <conditionalFormatting sqref="C247:C293">
    <cfRule type="expression" dxfId="587" priority="259">
      <formula>$C247&lt;&gt;OFFSET($C247,-1,0,1,1)</formula>
    </cfRule>
    <cfRule type="expression" dxfId="586" priority="261">
      <formula>$C247=OFFSET($C247,-1,0,1,1)</formula>
    </cfRule>
    <cfRule type="expression" dxfId="585" priority="263">
      <formula>$B247="Project"</formula>
    </cfRule>
  </conditionalFormatting>
  <conditionalFormatting sqref="D247:Y293">
    <cfRule type="expression" dxfId="584" priority="265">
      <formula>AND($C247=OFFSET($C247,-1,0,1,1),$G247&lt;&gt;OFFSET($G247,-1,0,1,1))</formula>
    </cfRule>
    <cfRule type="expression" dxfId="583" priority="266">
      <formula>AND($C247=OFFSET($C247,-1,0,1,1),$G247=OFFSET($G247,-1,0,1,1),D247=OFFSET(D247,-1,0,1,1))</formula>
    </cfRule>
  </conditionalFormatting>
  <conditionalFormatting sqref="V247:V293 H247:N293">
    <cfRule type="expression" dxfId="582" priority="251">
      <formula>MOD(H247,1)=0</formula>
    </cfRule>
  </conditionalFormatting>
  <conditionalFormatting sqref="B247:Y293">
    <cfRule type="expression" dxfId="581" priority="247">
      <formula>$B247="Project"</formula>
    </cfRule>
  </conditionalFormatting>
  <conditionalFormatting sqref="A247:F293">
    <cfRule type="expression" dxfId="580" priority="245">
      <formula>AND($C247=OFFSET($C247,-1,0,1,1),A247=OFFSET(A247,-1,0,1,1))</formula>
    </cfRule>
  </conditionalFormatting>
  <conditionalFormatting sqref="H247:Y293">
    <cfRule type="expression" dxfId="579" priority="250">
      <formula>AND($C247=OFFSET($C247,-1,0,1,1),$G247=OFFSET($G247,-1,0,1,1),H247&lt;&gt;OFFSET(H247,-1,0,1,1))</formula>
    </cfRule>
  </conditionalFormatting>
  <conditionalFormatting sqref="A247:Y293">
    <cfRule type="expression" dxfId="578" priority="243">
      <formula>$C247&lt;&gt;OFFSET($C247,-1,0,1,1)</formula>
    </cfRule>
  </conditionalFormatting>
  <conditionalFormatting sqref="Q247:Q293">
    <cfRule type="expression" dxfId="577" priority="235">
      <formula>OR(AND(ISNUMBER(DATEVALUE($Q247)),MONTH(DATEVALUE($Q247))=12,DATEVALUE("31/12/"&amp;TEXT(YEAR(DATEVALUE($Q247)),"####"))&lt;TODAY()),AND(ISNUMBER(DATEVALUE($Q247)),MONTH(DATEVALUE($Q247))&lt;12,DATEVALUE("01/"&amp;TEXT(MONTH(DATEVALUE($Q247))+1,"##")&amp;"/"&amp;TEXT(YEAR(DATEVALUE($Q247)),"####"))-1&lt;TODAY()))</formula>
    </cfRule>
  </conditionalFormatting>
  <conditionalFormatting sqref="T247:T293">
    <cfRule type="cellIs" dxfId="576" priority="236" operator="equal">
      <formula>"Withdrawn"</formula>
    </cfRule>
    <cfRule type="cellIs" dxfId="575" priority="237" operator="equal">
      <formula>"Proposed"</formula>
    </cfRule>
    <cfRule type="cellIs" dxfId="574" priority="238" operator="equal">
      <formula>"Committed"</formula>
    </cfRule>
    <cfRule type="cellIs" dxfId="573" priority="239" operator="equal">
      <formula>"Upgrade"</formula>
    </cfRule>
    <cfRule type="cellIs" dxfId="572" priority="240" operator="equal">
      <formula>"Existing less Announced Withdrawal"</formula>
    </cfRule>
    <cfRule type="cellIs" dxfId="571" priority="241" operator="equal">
      <formula>"Announced Withdrawal"</formula>
    </cfRule>
  </conditionalFormatting>
  <conditionalFormatting sqref="C247:C293">
    <cfRule type="expression" dxfId="570" priority="242">
      <formula>$C247&lt;&gt;OFFSET($C247,-1,0,1,1)</formula>
    </cfRule>
    <cfRule type="expression" dxfId="569" priority="244">
      <formula>$C247=OFFSET($C247,-1,0,1,1)</formula>
    </cfRule>
    <cfRule type="expression" dxfId="568" priority="246">
      <formula>$B247="Project"</formula>
    </cfRule>
  </conditionalFormatting>
  <conditionalFormatting sqref="D247:Y293">
    <cfRule type="expression" dxfId="567" priority="248">
      <formula>AND($C247=OFFSET($C247,-1,0,1,1),$G247&lt;&gt;OFFSET($G247,-1,0,1,1))</formula>
    </cfRule>
    <cfRule type="expression" dxfId="566" priority="249">
      <formula>AND($C247=OFFSET($C247,-1,0,1,1),$G247=OFFSET($G247,-1,0,1,1),D247=OFFSET(D247,-1,0,1,1))</formula>
    </cfRule>
  </conditionalFormatting>
  <conditionalFormatting sqref="Y247:Y293">
    <cfRule type="colorScale" priority="291">
      <colorScale>
        <cfvo type="min"/>
        <cfvo type="formula" val="TODAY()-365"/>
        <cfvo type="max"/>
        <color rgb="FFFFD1D1"/>
        <color theme="7" tint="0.79998168889431442"/>
        <color theme="0"/>
      </colorScale>
    </cfRule>
  </conditionalFormatting>
  <conditionalFormatting sqref="Y247:Y293">
    <cfRule type="colorScale" priority="292">
      <colorScale>
        <cfvo type="min"/>
        <cfvo type="formula" val="TODAY()-365"/>
        <cfvo type="max"/>
        <color rgb="FFFFD1D1"/>
        <color theme="7" tint="0.79998168889431442"/>
        <color theme="0"/>
      </colorScale>
    </cfRule>
  </conditionalFormatting>
  <conditionalFormatting sqref="Y247:Y293">
    <cfRule type="colorScale" priority="293">
      <colorScale>
        <cfvo type="min"/>
        <cfvo type="formula" val="TODAY()-365"/>
        <cfvo type="max"/>
        <color rgb="FFFFD1D1"/>
        <color theme="7" tint="0.79998168889431442"/>
        <color theme="0"/>
      </colorScale>
    </cfRule>
  </conditionalFormatting>
  <conditionalFormatting sqref="Y247:Y293">
    <cfRule type="colorScale" priority="294">
      <colorScale>
        <cfvo type="min"/>
        <cfvo type="formula" val="TODAY()-365"/>
        <cfvo type="max"/>
        <color rgb="FFFFD1D1"/>
        <color theme="7" tint="0.79998168889431442"/>
        <color theme="0"/>
      </colorScale>
    </cfRule>
  </conditionalFormatting>
  <conditionalFormatting sqref="X110">
    <cfRule type="expression" dxfId="565" priority="231">
      <formula>$B110="Project"</formula>
    </cfRule>
  </conditionalFormatting>
  <conditionalFormatting sqref="X110">
    <cfRule type="expression" dxfId="564" priority="234">
      <formula>AND($C110=OFFSET($C110,-1,0,1,1),$G110=OFFSET($G110,-1,0,1,1),X110&lt;&gt;OFFSET(X110,-1,0,1,1))</formula>
    </cfRule>
  </conditionalFormatting>
  <conditionalFormatting sqref="X110">
    <cfRule type="expression" dxfId="563" priority="230">
      <formula>$C110&lt;&gt;OFFSET($C110,-1,0,1,1)</formula>
    </cfRule>
  </conditionalFormatting>
  <conditionalFormatting sqref="X110">
    <cfRule type="expression" dxfId="562" priority="232">
      <formula>AND($C110=OFFSET($C110,-1,0,1,1),$G110&lt;&gt;OFFSET($G110,-1,0,1,1))</formula>
    </cfRule>
    <cfRule type="expression" dxfId="561" priority="233">
      <formula>AND($C110=OFFSET($C110,-1,0,1,1),$G110=OFFSET($G110,-1,0,1,1),X110=OFFSET(X110,-1,0,1,1))</formula>
    </cfRule>
  </conditionalFormatting>
  <conditionalFormatting sqref="X110">
    <cfRule type="expression" dxfId="560" priority="226">
      <formula>$B110="Project"</formula>
    </cfRule>
  </conditionalFormatting>
  <conditionalFormatting sqref="X110">
    <cfRule type="expression" dxfId="559" priority="229">
      <formula>AND($C110=OFFSET($C110,-1,0,1,1),$G110=OFFSET($G110,-1,0,1,1),X110&lt;&gt;OFFSET(X110,-1,0,1,1))</formula>
    </cfRule>
  </conditionalFormatting>
  <conditionalFormatting sqref="X110">
    <cfRule type="expression" dxfId="558" priority="225">
      <formula>$C110&lt;&gt;OFFSET($C110,-1,0,1,1)</formula>
    </cfRule>
  </conditionalFormatting>
  <conditionalFormatting sqref="X110">
    <cfRule type="expression" dxfId="557" priority="227">
      <formula>AND($C110=OFFSET($C110,-1,0,1,1),$G110&lt;&gt;OFFSET($G110,-1,0,1,1))</formula>
    </cfRule>
    <cfRule type="expression" dxfId="556" priority="228">
      <formula>AND($C110=OFFSET($C110,-1,0,1,1),$G110=OFFSET($G110,-1,0,1,1),X110=OFFSET(X110,-1,0,1,1))</formula>
    </cfRule>
  </conditionalFormatting>
  <conditionalFormatting sqref="X110">
    <cfRule type="expression" dxfId="555" priority="221">
      <formula>$B110="Project"</formula>
    </cfRule>
  </conditionalFormatting>
  <conditionalFormatting sqref="X110">
    <cfRule type="expression" dxfId="554" priority="224">
      <formula>AND($C110=OFFSET($C110,-1,0,1,1),$G110=OFFSET($G110,-1,0,1,1),X110&lt;&gt;OFFSET(X110,-1,0,1,1))</formula>
    </cfRule>
  </conditionalFormatting>
  <conditionalFormatting sqref="X110">
    <cfRule type="expression" dxfId="553" priority="220">
      <formula>$C110&lt;&gt;OFFSET($C110,-1,0,1,1)</formula>
    </cfRule>
  </conditionalFormatting>
  <conditionalFormatting sqref="X110">
    <cfRule type="expression" dxfId="552" priority="222">
      <formula>AND($C110=OFFSET($C110,-1,0,1,1),$G110&lt;&gt;OFFSET($G110,-1,0,1,1))</formula>
    </cfRule>
    <cfRule type="expression" dxfId="551" priority="223">
      <formula>AND($C110=OFFSET($C110,-1,0,1,1),$G110=OFFSET($G110,-1,0,1,1),X110=OFFSET(X110,-1,0,1,1))</formula>
    </cfRule>
  </conditionalFormatting>
  <conditionalFormatting sqref="T1223">
    <cfRule type="cellIs" dxfId="550" priority="213" operator="equal">
      <formula>"Withdrawn"</formula>
    </cfRule>
    <cfRule type="cellIs" dxfId="549" priority="214" operator="equal">
      <formula>"Proposed"</formula>
    </cfRule>
    <cfRule type="cellIs" dxfId="548" priority="215" operator="equal">
      <formula>"Committed"</formula>
    </cfRule>
    <cfRule type="cellIs" dxfId="547" priority="216" operator="equal">
      <formula>"Upgrade"</formula>
    </cfRule>
    <cfRule type="cellIs" dxfId="546" priority="217" operator="equal">
      <formula>"Existing less Announced Withdrawal"</formula>
    </cfRule>
    <cfRule type="cellIs" dxfId="545" priority="218" operator="equal">
      <formula>"Announced Withdrawal"</formula>
    </cfRule>
  </conditionalFormatting>
  <conditionalFormatting sqref="D1223:W1223">
    <cfRule type="expression" dxfId="544" priority="209">
      <formula>$B1223="Project"</formula>
    </cfRule>
  </conditionalFormatting>
  <conditionalFormatting sqref="H1223:W1223">
    <cfRule type="expression" dxfId="543" priority="212">
      <formula>AND($C1223=OFFSET($C1223,-1,0,1,1),$G1223=OFFSET($G1223,-1,0,1,1),H1223&lt;&gt;OFFSET(H1223,-1,0,1,1))</formula>
    </cfRule>
  </conditionalFormatting>
  <conditionalFormatting sqref="D1223:W1223">
    <cfRule type="expression" dxfId="542" priority="208">
      <formula>$C1223&lt;&gt;OFFSET($C1223,-1,0,1,1)</formula>
    </cfRule>
  </conditionalFormatting>
  <conditionalFormatting sqref="D1223:W1223">
    <cfRule type="expression" dxfId="541" priority="210">
      <formula>AND($C1223=OFFSET($C1223,-1,0,1,1),$G1223&lt;&gt;OFFSET($G1223,-1,0,1,1))</formula>
    </cfRule>
    <cfRule type="expression" dxfId="540" priority="211">
      <formula>AND($C1223=OFFSET($C1223,-1,0,1,1),$G1223=OFFSET($G1223,-1,0,1,1),D1223=OFFSET(D1223,-1,0,1,1))</formula>
    </cfRule>
  </conditionalFormatting>
  <conditionalFormatting sqref="V1223">
    <cfRule type="expression" dxfId="539" priority="207">
      <formula>MOD(V1223,1)=0</formula>
    </cfRule>
  </conditionalFormatting>
  <conditionalFormatting sqref="C1223">
    <cfRule type="expression" dxfId="538" priority="205">
      <formula>COUNTBLANK($A1223:$W1223)=25</formula>
    </cfRule>
    <cfRule type="expression" dxfId="537" priority="206">
      <formula>$C1223&lt;&gt;OFFSET($C1223,-1,0,1,1)</formula>
    </cfRule>
  </conditionalFormatting>
  <conditionalFormatting sqref="A1223:B1223 D1223:F1223">
    <cfRule type="expression" dxfId="536" priority="203">
      <formula>AND($C1223=OFFSET($C1223,-1,0,1,1),A1223=OFFSET(A1223,-1,0,1,1))</formula>
    </cfRule>
  </conditionalFormatting>
  <conditionalFormatting sqref="Q1223">
    <cfRule type="expression" dxfId="535" priority="202">
      <formula>OR(AND(ISNUMBER(DATEVALUE($Q1223)),MONTH(DATEVALUE($Q1223))=12,DATEVALUE("31/12/"&amp;TEXT(YEAR(DATEVALUE($Q1223)),"####"))&lt;TODAY()),AND(ISNUMBER(DATEVALUE($Q1223)),MONTH(DATEVALUE($Q1223))&lt;12,DATEVALUE("01/"&amp;TEXT(MONTH(DATEVALUE($Q1223))+1,"##")&amp;"/"&amp;TEXT(YEAR(DATEVALUE($Q1223)),"####"))-1&lt;TODAY()))</formula>
    </cfRule>
  </conditionalFormatting>
  <conditionalFormatting sqref="B1223 Y1223">
    <cfRule type="expression" dxfId="534" priority="198">
      <formula>$B1223="Project"</formula>
    </cfRule>
  </conditionalFormatting>
  <conditionalFormatting sqref="Y1223">
    <cfRule type="expression" dxfId="533" priority="201">
      <formula>AND($C1223=OFFSET($C1223,-1,0,1,1),$G1223=OFFSET($G1223,-1,0,1,1),Y1223&lt;&gt;OFFSET(Y1223,-1,0,1,1))</formula>
    </cfRule>
  </conditionalFormatting>
  <conditionalFormatting sqref="A1223:B1223 Y1223">
    <cfRule type="expression" dxfId="532" priority="197">
      <formula>$C1223&lt;&gt;OFFSET($C1223,-1,0,1,1)</formula>
    </cfRule>
  </conditionalFormatting>
  <conditionalFormatting sqref="Y1223">
    <cfRule type="expression" dxfId="531" priority="199">
      <formula>AND($C1223=OFFSET($C1223,-1,0,1,1),$G1223&lt;&gt;OFFSET($G1223,-1,0,1,1))</formula>
    </cfRule>
    <cfRule type="expression" dxfId="530" priority="200">
      <formula>AND($C1223=OFFSET($C1223,-1,0,1,1),$G1223=OFFSET($G1223,-1,0,1,1),Y1223=OFFSET(Y1223,-1,0,1,1))</formula>
    </cfRule>
  </conditionalFormatting>
  <conditionalFormatting sqref="H1223:N1223">
    <cfRule type="expression" dxfId="529" priority="196">
      <formula>MOD(H1223,1)=0</formula>
    </cfRule>
  </conditionalFormatting>
  <conditionalFormatting sqref="B1223 Y1223">
    <cfRule type="expression" dxfId="528" priority="192">
      <formula>$B1223="Project"</formula>
    </cfRule>
  </conditionalFormatting>
  <conditionalFormatting sqref="Y1223">
    <cfRule type="expression" dxfId="527" priority="195">
      <formula>AND($C1223=OFFSET($C1223,-1,0,1,1),$G1223=OFFSET($G1223,-1,0,1,1),Y1223&lt;&gt;OFFSET(Y1223,-1,0,1,1))</formula>
    </cfRule>
  </conditionalFormatting>
  <conditionalFormatting sqref="A1223:B1223 Y1223">
    <cfRule type="expression" dxfId="526" priority="191">
      <formula>$C1223&lt;&gt;OFFSET($C1223,-1,0,1,1)</formula>
    </cfRule>
  </conditionalFormatting>
  <conditionalFormatting sqref="Y1223">
    <cfRule type="expression" dxfId="525" priority="193">
      <formula>AND($C1223=OFFSET($C1223,-1,0,1,1),$G1223&lt;&gt;OFFSET($G1223,-1,0,1,1))</formula>
    </cfRule>
    <cfRule type="expression" dxfId="524" priority="194">
      <formula>AND($C1223=OFFSET($C1223,-1,0,1,1),$G1223=OFFSET($G1223,-1,0,1,1),Y1223=OFFSET(Y1223,-1,0,1,1))</formula>
    </cfRule>
  </conditionalFormatting>
  <conditionalFormatting sqref="B1223 Y1223">
    <cfRule type="expression" dxfId="523" priority="187">
      <formula>$B1223="Project"</formula>
    </cfRule>
  </conditionalFormatting>
  <conditionalFormatting sqref="Y1223">
    <cfRule type="expression" dxfId="522" priority="190">
      <formula>AND($C1223=OFFSET($C1223,-1,0,1,1),$G1223=OFFSET($G1223,-1,0,1,1),Y1223&lt;&gt;OFFSET(Y1223,-1,0,1,1))</formula>
    </cfRule>
  </conditionalFormatting>
  <conditionalFormatting sqref="A1223:B1223 Y1223">
    <cfRule type="expression" dxfId="521" priority="186">
      <formula>$C1223&lt;&gt;OFFSET($C1223,-1,0,1,1)</formula>
    </cfRule>
  </conditionalFormatting>
  <conditionalFormatting sqref="Y1223">
    <cfRule type="expression" dxfId="520" priority="188">
      <formula>AND($C1223=OFFSET($C1223,-1,0,1,1),$G1223&lt;&gt;OFFSET($G1223,-1,0,1,1))</formula>
    </cfRule>
    <cfRule type="expression" dxfId="519" priority="189">
      <formula>AND($C1223=OFFSET($C1223,-1,0,1,1),$G1223=OFFSET($G1223,-1,0,1,1),Y1223=OFFSET(Y1223,-1,0,1,1))</formula>
    </cfRule>
  </conditionalFormatting>
  <conditionalFormatting sqref="C1223">
    <cfRule type="expression" dxfId="518" priority="185">
      <formula>$B1223="Project"</formula>
    </cfRule>
  </conditionalFormatting>
  <conditionalFormatting sqref="C1223">
    <cfRule type="expression" dxfId="517" priority="183">
      <formula>AND($C1223=OFFSET($C1223,-1,0,1,1),C1223=OFFSET(C1223,-1,0,1,1))</formula>
    </cfRule>
  </conditionalFormatting>
  <conditionalFormatting sqref="C1223">
    <cfRule type="expression" dxfId="516" priority="181">
      <formula>$C1223&lt;&gt;OFFSET($C1223,-1,0,1,1)</formula>
    </cfRule>
    <cfRule type="expression" dxfId="515" priority="182">
      <formula>$C1223=OFFSET($C1223,-1,0,1,1)</formula>
    </cfRule>
    <cfRule type="expression" dxfId="514" priority="184">
      <formula>$B1223="Project"</formula>
    </cfRule>
  </conditionalFormatting>
  <conditionalFormatting sqref="Y1223">
    <cfRule type="colorScale" priority="204">
      <colorScale>
        <cfvo type="min"/>
        <cfvo type="formula" val="TODAY()-365"/>
        <cfvo type="max"/>
        <color rgb="FFFFD1D1"/>
        <color theme="7" tint="0.79998168889431442"/>
        <color theme="0"/>
      </colorScale>
    </cfRule>
  </conditionalFormatting>
  <conditionalFormatting sqref="X1223">
    <cfRule type="expression" dxfId="513" priority="177">
      <formula>$B1223="Project"</formula>
    </cfRule>
  </conditionalFormatting>
  <conditionalFormatting sqref="X1223">
    <cfRule type="expression" dxfId="512" priority="180">
      <formula>AND($C1223=OFFSET($C1223,-1,0,1,1),$G1223=OFFSET($G1223,-1,0,1,1),X1223&lt;&gt;OFFSET(X1223,-1,0,1,1))</formula>
    </cfRule>
  </conditionalFormatting>
  <conditionalFormatting sqref="X1223">
    <cfRule type="expression" dxfId="511" priority="176">
      <formula>$C1223&lt;&gt;OFFSET($C1223,-1,0,1,1)</formula>
    </cfRule>
  </conditionalFormatting>
  <conditionalFormatting sqref="X1223">
    <cfRule type="expression" dxfId="510" priority="178">
      <formula>AND($C1223=OFFSET($C1223,-1,0,1,1),$G1223&lt;&gt;OFFSET($G1223,-1,0,1,1))</formula>
    </cfRule>
    <cfRule type="expression" dxfId="509" priority="179">
      <formula>AND($C1223=OFFSET($C1223,-1,0,1,1),$G1223=OFFSET($G1223,-1,0,1,1),X1223=OFFSET(X1223,-1,0,1,1))</formula>
    </cfRule>
  </conditionalFormatting>
  <conditionalFormatting sqref="X1223">
    <cfRule type="expression" dxfId="508" priority="172">
      <formula>$B1223="Project"</formula>
    </cfRule>
  </conditionalFormatting>
  <conditionalFormatting sqref="X1223">
    <cfRule type="expression" dxfId="507" priority="175">
      <formula>AND($C1223=OFFSET($C1223,-1,0,1,1),$G1223=OFFSET($G1223,-1,0,1,1),X1223&lt;&gt;OFFSET(X1223,-1,0,1,1))</formula>
    </cfRule>
  </conditionalFormatting>
  <conditionalFormatting sqref="X1223">
    <cfRule type="expression" dxfId="506" priority="171">
      <formula>$C1223&lt;&gt;OFFSET($C1223,-1,0,1,1)</formula>
    </cfRule>
  </conditionalFormatting>
  <conditionalFormatting sqref="X1223">
    <cfRule type="expression" dxfId="505" priority="173">
      <formula>AND($C1223=OFFSET($C1223,-1,0,1,1),$G1223&lt;&gt;OFFSET($G1223,-1,0,1,1))</formula>
    </cfRule>
    <cfRule type="expression" dxfId="504" priority="174">
      <formula>AND($C1223=OFFSET($C1223,-1,0,1,1),$G1223=OFFSET($G1223,-1,0,1,1),X1223=OFFSET(X1223,-1,0,1,1))</formula>
    </cfRule>
  </conditionalFormatting>
  <conditionalFormatting sqref="X1223">
    <cfRule type="expression" dxfId="503" priority="167">
      <formula>$B1223="Project"</formula>
    </cfRule>
  </conditionalFormatting>
  <conditionalFormatting sqref="X1223">
    <cfRule type="expression" dxfId="502" priority="170">
      <formula>AND($C1223=OFFSET($C1223,-1,0,1,1),$G1223=OFFSET($G1223,-1,0,1,1),X1223&lt;&gt;OFFSET(X1223,-1,0,1,1))</formula>
    </cfRule>
  </conditionalFormatting>
  <conditionalFormatting sqref="X1223">
    <cfRule type="expression" dxfId="501" priority="166">
      <formula>$C1223&lt;&gt;OFFSET($C1223,-1,0,1,1)</formula>
    </cfRule>
  </conditionalFormatting>
  <conditionalFormatting sqref="X1223">
    <cfRule type="expression" dxfId="500" priority="168">
      <formula>AND($C1223=OFFSET($C1223,-1,0,1,1),$G1223&lt;&gt;OFFSET($G1223,-1,0,1,1))</formula>
    </cfRule>
    <cfRule type="expression" dxfId="499" priority="169">
      <formula>AND($C1223=OFFSET($C1223,-1,0,1,1),$G1223=OFFSET($G1223,-1,0,1,1),X1223=OFFSET(X1223,-1,0,1,1))</formula>
    </cfRule>
  </conditionalFormatting>
  <conditionalFormatting sqref="H384:N385">
    <cfRule type="expression" dxfId="498" priority="160">
      <formula>MOD(H384,1)=0</formula>
    </cfRule>
  </conditionalFormatting>
  <conditionalFormatting sqref="B384:W385">
    <cfRule type="expression" dxfId="497" priority="159">
      <formula>$B384="Project"</formula>
    </cfRule>
  </conditionalFormatting>
  <conditionalFormatting sqref="A384:F385">
    <cfRule type="expression" dxfId="496" priority="157">
      <formula>AND($C384=OFFSET($C384,-1,0,1,1),A384=OFFSET(A384,-1,0,1,1))</formula>
    </cfRule>
  </conditionalFormatting>
  <conditionalFormatting sqref="C384:C385">
    <cfRule type="expression" dxfId="495" priority="155">
      <formula>$C384&lt;&gt;OFFSET($C384,-1,0,1,1)</formula>
    </cfRule>
    <cfRule type="expression" dxfId="494" priority="156">
      <formula>$C384=OFFSET($C384,-1,0,1,1)</formula>
    </cfRule>
    <cfRule type="expression" dxfId="493" priority="158">
      <formula>$B384="Project"</formula>
    </cfRule>
  </conditionalFormatting>
  <conditionalFormatting sqref="H384:W385">
    <cfRule type="expression" dxfId="492" priority="163">
      <formula>AND($C384=OFFSET($C384,-1,0,1,1),$G384=OFFSET($G384,-1,0,1,1),H384&lt;&gt;OFFSET(H384,-1,0,1,1))</formula>
    </cfRule>
  </conditionalFormatting>
  <conditionalFormatting sqref="T384:T385">
    <cfRule type="cellIs" dxfId="491" priority="149" operator="equal">
      <formula>"Withdrawn"</formula>
    </cfRule>
    <cfRule type="cellIs" dxfId="490" priority="150" operator="equal">
      <formula>"Proposed"</formula>
    </cfRule>
    <cfRule type="cellIs" dxfId="489" priority="151" operator="equal">
      <formula>"Committed"</formula>
    </cfRule>
    <cfRule type="cellIs" dxfId="488" priority="152" operator="equal">
      <formula>"Upgrade"</formula>
    </cfRule>
    <cfRule type="cellIs" dxfId="487" priority="153" operator="equal">
      <formula>"Existing less Announced Withdrawal"</formula>
    </cfRule>
    <cfRule type="cellIs" dxfId="486" priority="154" operator="equal">
      <formula>"Announced Withdrawal"</formula>
    </cfRule>
  </conditionalFormatting>
  <conditionalFormatting sqref="Q384:Q385">
    <cfRule type="expression" dxfId="485" priority="148">
      <formula>OR(AND(ISNUMBER(DATEVALUE($Q384)),MONTH(DATEVALUE($Q384))=12,DATEVALUE("31/12/"&amp;TEXT(YEAR(DATEVALUE($Q384)),"####"))&lt;TODAY()),AND(ISNUMBER(DATEVALUE($Q384)),MONTH(DATEVALUE($Q384))&lt;12,DATEVALUE("01/"&amp;TEXT(MONTH(DATEVALUE($Q384))+1,"##")&amp;"/"&amp;TEXT(YEAR(DATEVALUE($Q384)),"####"))-1&lt;TODAY()))</formula>
    </cfRule>
  </conditionalFormatting>
  <conditionalFormatting sqref="D384:W385">
    <cfRule type="expression" dxfId="484" priority="161">
      <formula>AND($C384=OFFSET($C384,-1,0,1,1),$G384&lt;&gt;OFFSET($G384,-1,0,1,1))</formula>
    </cfRule>
    <cfRule type="expression" dxfId="483" priority="162">
      <formula>AND($C384=OFFSET($C384,-1,0,1,1),$G384=OFFSET($G384,-1,0,1,1),D384=OFFSET(D384,-1,0,1,1))</formula>
    </cfRule>
  </conditionalFormatting>
  <conditionalFormatting sqref="A384:W385">
    <cfRule type="expression" dxfId="482" priority="164">
      <formula>COUNTBLANK($A384:$W384)=25</formula>
    </cfRule>
    <cfRule type="expression" dxfId="481" priority="165">
      <formula>$C384&lt;&gt;OFFSET($C384,-1,0,1,1)</formula>
    </cfRule>
  </conditionalFormatting>
  <conditionalFormatting sqref="X384:X385">
    <cfRule type="expression" dxfId="480" priority="144">
      <formula>$B384="Project"</formula>
    </cfRule>
  </conditionalFormatting>
  <conditionalFormatting sqref="X384:X385">
    <cfRule type="expression" dxfId="479" priority="147">
      <formula>AND($C384=OFFSET($C384,-1,0,1,1),$G384=OFFSET($G384,-1,0,1,1),X384&lt;&gt;OFFSET(X384,-1,0,1,1))</formula>
    </cfRule>
  </conditionalFormatting>
  <conditionalFormatting sqref="X384:X385">
    <cfRule type="expression" dxfId="478" priority="143">
      <formula>$C384&lt;&gt;OFFSET($C384,-1,0,1,1)</formula>
    </cfRule>
  </conditionalFormatting>
  <conditionalFormatting sqref="X384:X385">
    <cfRule type="expression" dxfId="477" priority="145">
      <formula>AND($C384=OFFSET($C384,-1,0,1,1),$G384&lt;&gt;OFFSET($G384,-1,0,1,1))</formula>
    </cfRule>
    <cfRule type="expression" dxfId="476" priority="146">
      <formula>AND($C384=OFFSET($C384,-1,0,1,1),$G384=OFFSET($G384,-1,0,1,1),X384=OFFSET(X384,-1,0,1,1))</formula>
    </cfRule>
  </conditionalFormatting>
  <conditionalFormatting sqref="X384:X385">
    <cfRule type="expression" dxfId="475" priority="139">
      <formula>$B384="Project"</formula>
    </cfRule>
  </conditionalFormatting>
  <conditionalFormatting sqref="X384:X385">
    <cfRule type="expression" dxfId="474" priority="142">
      <formula>AND($C384=OFFSET($C384,-1,0,1,1),$G384=OFFSET($G384,-1,0,1,1),X384&lt;&gt;OFFSET(X384,-1,0,1,1))</formula>
    </cfRule>
  </conditionalFormatting>
  <conditionalFormatting sqref="X384:X385">
    <cfRule type="expression" dxfId="473" priority="138">
      <formula>$C384&lt;&gt;OFFSET($C384,-1,0,1,1)</formula>
    </cfRule>
  </conditionalFormatting>
  <conditionalFormatting sqref="X384:X385">
    <cfRule type="expression" dxfId="472" priority="140">
      <formula>AND($C384=OFFSET($C384,-1,0,1,1),$G384&lt;&gt;OFFSET($G384,-1,0,1,1))</formula>
    </cfRule>
    <cfRule type="expression" dxfId="471" priority="141">
      <formula>AND($C384=OFFSET($C384,-1,0,1,1),$G384=OFFSET($G384,-1,0,1,1),X384=OFFSET(X384,-1,0,1,1))</formula>
    </cfRule>
  </conditionalFormatting>
  <conditionalFormatting sqref="X384:X385">
    <cfRule type="expression" dxfId="470" priority="134">
      <formula>$B384="Project"</formula>
    </cfRule>
  </conditionalFormatting>
  <conditionalFormatting sqref="X384:X385">
    <cfRule type="expression" dxfId="469" priority="137">
      <formula>AND($C384=OFFSET($C384,-1,0,1,1),$G384=OFFSET($G384,-1,0,1,1),X384&lt;&gt;OFFSET(X384,-1,0,1,1))</formula>
    </cfRule>
  </conditionalFormatting>
  <conditionalFormatting sqref="X384:X385">
    <cfRule type="expression" dxfId="468" priority="133">
      <formula>$C384&lt;&gt;OFFSET($C384,-1,0,1,1)</formula>
    </cfRule>
  </conditionalFormatting>
  <conditionalFormatting sqref="X384:X385">
    <cfRule type="expression" dxfId="467" priority="135">
      <formula>AND($C384=OFFSET($C384,-1,0,1,1),$G384&lt;&gt;OFFSET($G384,-1,0,1,1))</formula>
    </cfRule>
    <cfRule type="expression" dxfId="466" priority="136">
      <formula>AND($C384=OFFSET($C384,-1,0,1,1),$G384=OFFSET($G384,-1,0,1,1),X384=OFFSET(X384,-1,0,1,1))</formula>
    </cfRule>
  </conditionalFormatting>
  <conditionalFormatting sqref="H383:N383">
    <cfRule type="expression" dxfId="465" priority="127">
      <formula>MOD(H383,1)=0</formula>
    </cfRule>
  </conditionalFormatting>
  <conditionalFormatting sqref="B383:W383">
    <cfRule type="expression" dxfId="464" priority="126">
      <formula>$B383="Project"</formula>
    </cfRule>
  </conditionalFormatting>
  <conditionalFormatting sqref="A383:F383">
    <cfRule type="expression" dxfId="463" priority="124">
      <formula>AND($C383=OFFSET($C383,-1,0,1,1),A383=OFFSET(A383,-1,0,1,1))</formula>
    </cfRule>
  </conditionalFormatting>
  <conditionalFormatting sqref="C383">
    <cfRule type="expression" dxfId="462" priority="122">
      <formula>$C383&lt;&gt;OFFSET($C383,-1,0,1,1)</formula>
    </cfRule>
    <cfRule type="expression" dxfId="461" priority="123">
      <formula>$C383=OFFSET($C383,-1,0,1,1)</formula>
    </cfRule>
    <cfRule type="expression" dxfId="460" priority="125">
      <formula>$B383="Project"</formula>
    </cfRule>
  </conditionalFormatting>
  <conditionalFormatting sqref="H383:W383">
    <cfRule type="expression" dxfId="459" priority="130">
      <formula>AND($C383=OFFSET($C383,-1,0,1,1),$G383=OFFSET($G383,-1,0,1,1),H383&lt;&gt;OFFSET(H383,-1,0,1,1))</formula>
    </cfRule>
  </conditionalFormatting>
  <conditionalFormatting sqref="T383">
    <cfRule type="cellIs" dxfId="458" priority="116" operator="equal">
      <formula>"Withdrawn"</formula>
    </cfRule>
    <cfRule type="cellIs" dxfId="457" priority="117" operator="equal">
      <formula>"Proposed"</formula>
    </cfRule>
    <cfRule type="cellIs" dxfId="456" priority="118" operator="equal">
      <formula>"Committed"</formula>
    </cfRule>
    <cfRule type="cellIs" dxfId="455" priority="119" operator="equal">
      <formula>"Upgrade"</formula>
    </cfRule>
    <cfRule type="cellIs" dxfId="454" priority="120" operator="equal">
      <formula>"Existing less Announced Withdrawal"</formula>
    </cfRule>
    <cfRule type="cellIs" dxfId="453" priority="121" operator="equal">
      <formula>"Announced Withdrawal"</formula>
    </cfRule>
  </conditionalFormatting>
  <conditionalFormatting sqref="Q383">
    <cfRule type="expression" dxfId="452" priority="115">
      <formula>OR(AND(ISNUMBER(DATEVALUE($Q383)),MONTH(DATEVALUE($Q383))=12,DATEVALUE("31/12/"&amp;TEXT(YEAR(DATEVALUE($Q383)),"####"))&lt;TODAY()),AND(ISNUMBER(DATEVALUE($Q383)),MONTH(DATEVALUE($Q383))&lt;12,DATEVALUE("01/"&amp;TEXT(MONTH(DATEVALUE($Q383))+1,"##")&amp;"/"&amp;TEXT(YEAR(DATEVALUE($Q383)),"####"))-1&lt;TODAY()))</formula>
    </cfRule>
  </conditionalFormatting>
  <conditionalFormatting sqref="D383:W383">
    <cfRule type="expression" dxfId="451" priority="128">
      <formula>AND($C383=OFFSET($C383,-1,0,1,1),$G383&lt;&gt;OFFSET($G383,-1,0,1,1))</formula>
    </cfRule>
    <cfRule type="expression" dxfId="450" priority="129">
      <formula>AND($C383=OFFSET($C383,-1,0,1,1),$G383=OFFSET($G383,-1,0,1,1),D383=OFFSET(D383,-1,0,1,1))</formula>
    </cfRule>
  </conditionalFormatting>
  <conditionalFormatting sqref="A383:W383">
    <cfRule type="expression" dxfId="449" priority="131">
      <formula>COUNTBLANK($A383:$W383)=25</formula>
    </cfRule>
    <cfRule type="expression" dxfId="448" priority="132">
      <formula>$C383&lt;&gt;OFFSET($C383,-1,0,1,1)</formula>
    </cfRule>
  </conditionalFormatting>
  <conditionalFormatting sqref="X383">
    <cfRule type="expression" dxfId="447" priority="111">
      <formula>$B383="Project"</formula>
    </cfRule>
  </conditionalFormatting>
  <conditionalFormatting sqref="X383">
    <cfRule type="expression" dxfId="446" priority="114">
      <formula>AND($C383=OFFSET($C383,-1,0,1,1),$G383=OFFSET($G383,-1,0,1,1),X383&lt;&gt;OFFSET(X383,-1,0,1,1))</formula>
    </cfRule>
  </conditionalFormatting>
  <conditionalFormatting sqref="X383">
    <cfRule type="expression" dxfId="445" priority="110">
      <formula>$C383&lt;&gt;OFFSET($C383,-1,0,1,1)</formula>
    </cfRule>
  </conditionalFormatting>
  <conditionalFormatting sqref="X383">
    <cfRule type="expression" dxfId="444" priority="112">
      <formula>AND($C383=OFFSET($C383,-1,0,1,1),$G383&lt;&gt;OFFSET($G383,-1,0,1,1))</formula>
    </cfRule>
    <cfRule type="expression" dxfId="443" priority="113">
      <formula>AND($C383=OFFSET($C383,-1,0,1,1),$G383=OFFSET($G383,-1,0,1,1),X383=OFFSET(X383,-1,0,1,1))</formula>
    </cfRule>
  </conditionalFormatting>
  <conditionalFormatting sqref="X383">
    <cfRule type="expression" dxfId="442" priority="106">
      <formula>$B383="Project"</formula>
    </cfRule>
  </conditionalFormatting>
  <conditionalFormatting sqref="X383">
    <cfRule type="expression" dxfId="441" priority="109">
      <formula>AND($C383=OFFSET($C383,-1,0,1,1),$G383=OFFSET($G383,-1,0,1,1),X383&lt;&gt;OFFSET(X383,-1,0,1,1))</formula>
    </cfRule>
  </conditionalFormatting>
  <conditionalFormatting sqref="X383">
    <cfRule type="expression" dxfId="440" priority="105">
      <formula>$C383&lt;&gt;OFFSET($C383,-1,0,1,1)</formula>
    </cfRule>
  </conditionalFormatting>
  <conditionalFormatting sqref="X383">
    <cfRule type="expression" dxfId="439" priority="107">
      <formula>AND($C383=OFFSET($C383,-1,0,1,1),$G383&lt;&gt;OFFSET($G383,-1,0,1,1))</formula>
    </cfRule>
    <cfRule type="expression" dxfId="438" priority="108">
      <formula>AND($C383=OFFSET($C383,-1,0,1,1),$G383=OFFSET($G383,-1,0,1,1),X383=OFFSET(X383,-1,0,1,1))</formula>
    </cfRule>
  </conditionalFormatting>
  <conditionalFormatting sqref="X383">
    <cfRule type="expression" dxfId="437" priority="101">
      <formula>$B383="Project"</formula>
    </cfRule>
  </conditionalFormatting>
  <conditionalFormatting sqref="X383">
    <cfRule type="expression" dxfId="436" priority="104">
      <formula>AND($C383=OFFSET($C383,-1,0,1,1),$G383=OFFSET($G383,-1,0,1,1),X383&lt;&gt;OFFSET(X383,-1,0,1,1))</formula>
    </cfRule>
  </conditionalFormatting>
  <conditionalFormatting sqref="X383">
    <cfRule type="expression" dxfId="435" priority="100">
      <formula>$C383&lt;&gt;OFFSET($C383,-1,0,1,1)</formula>
    </cfRule>
  </conditionalFormatting>
  <conditionalFormatting sqref="X383">
    <cfRule type="expression" dxfId="434" priority="102">
      <formula>AND($C383=OFFSET($C383,-1,0,1,1),$G383&lt;&gt;OFFSET($G383,-1,0,1,1))</formula>
    </cfRule>
    <cfRule type="expression" dxfId="433" priority="103">
      <formula>AND($C383=OFFSET($C383,-1,0,1,1),$G383=OFFSET($G383,-1,0,1,1),X383=OFFSET(X383,-1,0,1,1))</formula>
    </cfRule>
  </conditionalFormatting>
  <conditionalFormatting sqref="H389:N396">
    <cfRule type="expression" dxfId="432" priority="94">
      <formula>MOD(H389,1)=0</formula>
    </cfRule>
  </conditionalFormatting>
  <conditionalFormatting sqref="B389:W396">
    <cfRule type="expression" dxfId="431" priority="93">
      <formula>$B389="Project"</formula>
    </cfRule>
  </conditionalFormatting>
  <conditionalFormatting sqref="A389:F396">
    <cfRule type="expression" dxfId="430" priority="91">
      <formula>AND($C389=OFFSET($C389,-1,0,1,1),A389=OFFSET(A389,-1,0,1,1))</formula>
    </cfRule>
  </conditionalFormatting>
  <conditionalFormatting sqref="C389:C396">
    <cfRule type="expression" dxfId="429" priority="89">
      <formula>$C389&lt;&gt;OFFSET($C389,-1,0,1,1)</formula>
    </cfRule>
    <cfRule type="expression" dxfId="428" priority="90">
      <formula>$C389=OFFSET($C389,-1,0,1,1)</formula>
    </cfRule>
    <cfRule type="expression" dxfId="427" priority="92">
      <formula>$B389="Project"</formula>
    </cfRule>
  </conditionalFormatting>
  <conditionalFormatting sqref="H389:W396">
    <cfRule type="expression" dxfId="426" priority="97">
      <formula>AND($C389=OFFSET($C389,-1,0,1,1),$G389=OFFSET($G389,-1,0,1,1),H389&lt;&gt;OFFSET(H389,-1,0,1,1))</formula>
    </cfRule>
  </conditionalFormatting>
  <conditionalFormatting sqref="T389:T396">
    <cfRule type="cellIs" dxfId="425" priority="83" operator="equal">
      <formula>"Withdrawn"</formula>
    </cfRule>
    <cfRule type="cellIs" dxfId="424" priority="84" operator="equal">
      <formula>"Proposed"</formula>
    </cfRule>
    <cfRule type="cellIs" dxfId="423" priority="85" operator="equal">
      <formula>"Committed"</formula>
    </cfRule>
    <cfRule type="cellIs" dxfId="422" priority="86" operator="equal">
      <formula>"Upgrade"</formula>
    </cfRule>
    <cfRule type="cellIs" dxfId="421" priority="87" operator="equal">
      <formula>"Existing less Announced Withdrawal"</formula>
    </cfRule>
    <cfRule type="cellIs" dxfId="420" priority="88" operator="equal">
      <formula>"Announced Withdrawal"</formula>
    </cfRule>
  </conditionalFormatting>
  <conditionalFormatting sqref="Q389:Q396">
    <cfRule type="expression" dxfId="419" priority="82">
      <formula>OR(AND(ISNUMBER(DATEVALUE($Q389)),MONTH(DATEVALUE($Q389))=12,DATEVALUE("31/12/"&amp;TEXT(YEAR(DATEVALUE($Q389)),"####"))&lt;TODAY()),AND(ISNUMBER(DATEVALUE($Q389)),MONTH(DATEVALUE($Q389))&lt;12,DATEVALUE("01/"&amp;TEXT(MONTH(DATEVALUE($Q389))+1,"##")&amp;"/"&amp;TEXT(YEAR(DATEVALUE($Q389)),"####"))-1&lt;TODAY()))</formula>
    </cfRule>
  </conditionalFormatting>
  <conditionalFormatting sqref="D389:W396">
    <cfRule type="expression" dxfId="418" priority="95">
      <formula>AND($C389=OFFSET($C389,-1,0,1,1),$G389&lt;&gt;OFFSET($G389,-1,0,1,1))</formula>
    </cfRule>
    <cfRule type="expression" dxfId="417" priority="96">
      <formula>AND($C389=OFFSET($C389,-1,0,1,1),$G389=OFFSET($G389,-1,0,1,1),D389=OFFSET(D389,-1,0,1,1))</formula>
    </cfRule>
  </conditionalFormatting>
  <conditionalFormatting sqref="A389:W396">
    <cfRule type="expression" dxfId="416" priority="98">
      <formula>COUNTBLANK($A389:$W389)=25</formula>
    </cfRule>
    <cfRule type="expression" dxfId="415" priority="99">
      <formula>$C389&lt;&gt;OFFSET($C389,-1,0,1,1)</formula>
    </cfRule>
  </conditionalFormatting>
  <conditionalFormatting sqref="X389:X396">
    <cfRule type="expression" dxfId="414" priority="78">
      <formula>$B389="Project"</formula>
    </cfRule>
  </conditionalFormatting>
  <conditionalFormatting sqref="X389:X396">
    <cfRule type="expression" dxfId="413" priority="81">
      <formula>AND($C389=OFFSET($C389,-1,0,1,1),$G389=OFFSET($G389,-1,0,1,1),X389&lt;&gt;OFFSET(X389,-1,0,1,1))</formula>
    </cfRule>
  </conditionalFormatting>
  <conditionalFormatting sqref="X389:X396">
    <cfRule type="expression" dxfId="412" priority="77">
      <formula>$C389&lt;&gt;OFFSET($C389,-1,0,1,1)</formula>
    </cfRule>
  </conditionalFormatting>
  <conditionalFormatting sqref="X389:X396">
    <cfRule type="expression" dxfId="411" priority="79">
      <formula>AND($C389=OFFSET($C389,-1,0,1,1),$G389&lt;&gt;OFFSET($G389,-1,0,1,1))</formula>
    </cfRule>
    <cfRule type="expression" dxfId="410" priority="80">
      <formula>AND($C389=OFFSET($C389,-1,0,1,1),$G389=OFFSET($G389,-1,0,1,1),X389=OFFSET(X389,-1,0,1,1))</formula>
    </cfRule>
  </conditionalFormatting>
  <conditionalFormatting sqref="X389:X396">
    <cfRule type="expression" dxfId="409" priority="73">
      <formula>$B389="Project"</formula>
    </cfRule>
  </conditionalFormatting>
  <conditionalFormatting sqref="X389:X396">
    <cfRule type="expression" dxfId="408" priority="76">
      <formula>AND($C389=OFFSET($C389,-1,0,1,1),$G389=OFFSET($G389,-1,0,1,1),X389&lt;&gt;OFFSET(X389,-1,0,1,1))</formula>
    </cfRule>
  </conditionalFormatting>
  <conditionalFormatting sqref="X389:X396">
    <cfRule type="expression" dxfId="407" priority="72">
      <formula>$C389&lt;&gt;OFFSET($C389,-1,0,1,1)</formula>
    </cfRule>
  </conditionalFormatting>
  <conditionalFormatting sqref="X389:X396">
    <cfRule type="expression" dxfId="406" priority="74">
      <formula>AND($C389=OFFSET($C389,-1,0,1,1),$G389&lt;&gt;OFFSET($G389,-1,0,1,1))</formula>
    </cfRule>
    <cfRule type="expression" dxfId="405" priority="75">
      <formula>AND($C389=OFFSET($C389,-1,0,1,1),$G389=OFFSET($G389,-1,0,1,1),X389=OFFSET(X389,-1,0,1,1))</formula>
    </cfRule>
  </conditionalFormatting>
  <conditionalFormatting sqref="X389:X396">
    <cfRule type="expression" dxfId="404" priority="68">
      <formula>$B389="Project"</formula>
    </cfRule>
  </conditionalFormatting>
  <conditionalFormatting sqref="X389:X396">
    <cfRule type="expression" dxfId="403" priority="71">
      <formula>AND($C389=OFFSET($C389,-1,0,1,1),$G389=OFFSET($G389,-1,0,1,1),X389&lt;&gt;OFFSET(X389,-1,0,1,1))</formula>
    </cfRule>
  </conditionalFormatting>
  <conditionalFormatting sqref="X389:X396">
    <cfRule type="expression" dxfId="402" priority="67">
      <formula>$C389&lt;&gt;OFFSET($C389,-1,0,1,1)</formula>
    </cfRule>
  </conditionalFormatting>
  <conditionalFormatting sqref="X389:X396">
    <cfRule type="expression" dxfId="401" priority="69">
      <formula>AND($C389=OFFSET($C389,-1,0,1,1),$G389&lt;&gt;OFFSET($G389,-1,0,1,1))</formula>
    </cfRule>
    <cfRule type="expression" dxfId="400" priority="70">
      <formula>AND($C389=OFFSET($C389,-1,0,1,1),$G389=OFFSET($G389,-1,0,1,1),X389=OFFSET(X389,-1,0,1,1))</formula>
    </cfRule>
  </conditionalFormatting>
  <conditionalFormatting sqref="H397:N405">
    <cfRule type="expression" dxfId="399" priority="61">
      <formula>MOD(H397,1)=0</formula>
    </cfRule>
  </conditionalFormatting>
  <conditionalFormatting sqref="B397:W405">
    <cfRule type="expression" dxfId="398" priority="60">
      <formula>$B397="Project"</formula>
    </cfRule>
  </conditionalFormatting>
  <conditionalFormatting sqref="A397:F405">
    <cfRule type="expression" dxfId="397" priority="58">
      <formula>AND($C397=OFFSET($C397,-1,0,1,1),A397=OFFSET(A397,-1,0,1,1))</formula>
    </cfRule>
  </conditionalFormatting>
  <conditionalFormatting sqref="C397:C405">
    <cfRule type="expression" dxfId="396" priority="56">
      <formula>$C397&lt;&gt;OFFSET($C397,-1,0,1,1)</formula>
    </cfRule>
    <cfRule type="expression" dxfId="395" priority="57">
      <formula>$C397=OFFSET($C397,-1,0,1,1)</formula>
    </cfRule>
    <cfRule type="expression" dxfId="394" priority="59">
      <formula>$B397="Project"</formula>
    </cfRule>
  </conditionalFormatting>
  <conditionalFormatting sqref="H397:W405">
    <cfRule type="expression" dxfId="393" priority="64">
      <formula>AND($C397=OFFSET($C397,-1,0,1,1),$G397=OFFSET($G397,-1,0,1,1),H397&lt;&gt;OFFSET(H397,-1,0,1,1))</formula>
    </cfRule>
  </conditionalFormatting>
  <conditionalFormatting sqref="T397:T405">
    <cfRule type="cellIs" dxfId="392" priority="50" operator="equal">
      <formula>"Withdrawn"</formula>
    </cfRule>
    <cfRule type="cellIs" dxfId="391" priority="51" operator="equal">
      <formula>"Proposed"</formula>
    </cfRule>
    <cfRule type="cellIs" dxfId="390" priority="52" operator="equal">
      <formula>"Committed"</formula>
    </cfRule>
    <cfRule type="cellIs" dxfId="389" priority="53" operator="equal">
      <formula>"Upgrade"</formula>
    </cfRule>
    <cfRule type="cellIs" dxfId="388" priority="54" operator="equal">
      <formula>"Existing less Announced Withdrawal"</formula>
    </cfRule>
    <cfRule type="cellIs" dxfId="387" priority="55" operator="equal">
      <formula>"Announced Withdrawal"</formula>
    </cfRule>
  </conditionalFormatting>
  <conditionalFormatting sqref="Q397:Q405">
    <cfRule type="expression" dxfId="386" priority="49">
      <formula>OR(AND(ISNUMBER(DATEVALUE($Q397)),MONTH(DATEVALUE($Q397))=12,DATEVALUE("31/12/"&amp;TEXT(YEAR(DATEVALUE($Q397)),"####"))&lt;TODAY()),AND(ISNUMBER(DATEVALUE($Q397)),MONTH(DATEVALUE($Q397))&lt;12,DATEVALUE("01/"&amp;TEXT(MONTH(DATEVALUE($Q397))+1,"##")&amp;"/"&amp;TEXT(YEAR(DATEVALUE($Q397)),"####"))-1&lt;TODAY()))</formula>
    </cfRule>
  </conditionalFormatting>
  <conditionalFormatting sqref="D397:W405">
    <cfRule type="expression" dxfId="385" priority="62">
      <formula>AND($C397=OFFSET($C397,-1,0,1,1),$G397&lt;&gt;OFFSET($G397,-1,0,1,1))</formula>
    </cfRule>
    <cfRule type="expression" dxfId="384" priority="63">
      <formula>AND($C397=OFFSET($C397,-1,0,1,1),$G397=OFFSET($G397,-1,0,1,1),D397=OFFSET(D397,-1,0,1,1))</formula>
    </cfRule>
  </conditionalFormatting>
  <conditionalFormatting sqref="A397:W405">
    <cfRule type="expression" dxfId="383" priority="65">
      <formula>COUNTBLANK($A397:$W397)=25</formula>
    </cfRule>
    <cfRule type="expression" dxfId="382" priority="66">
      <formula>$C397&lt;&gt;OFFSET($C397,-1,0,1,1)</formula>
    </cfRule>
  </conditionalFormatting>
  <conditionalFormatting sqref="X397:X405">
    <cfRule type="expression" dxfId="381" priority="45">
      <formula>$B397="Project"</formula>
    </cfRule>
  </conditionalFormatting>
  <conditionalFormatting sqref="X397:X405">
    <cfRule type="expression" dxfId="380" priority="48">
      <formula>AND($C397=OFFSET($C397,-1,0,1,1),$G397=OFFSET($G397,-1,0,1,1),X397&lt;&gt;OFFSET(X397,-1,0,1,1))</formula>
    </cfRule>
  </conditionalFormatting>
  <conditionalFormatting sqref="X397:X405">
    <cfRule type="expression" dxfId="379" priority="44">
      <formula>$C397&lt;&gt;OFFSET($C397,-1,0,1,1)</formula>
    </cfRule>
  </conditionalFormatting>
  <conditionalFormatting sqref="X397:X405">
    <cfRule type="expression" dxfId="378" priority="46">
      <formula>AND($C397=OFFSET($C397,-1,0,1,1),$G397&lt;&gt;OFFSET($G397,-1,0,1,1))</formula>
    </cfRule>
    <cfRule type="expression" dxfId="377" priority="47">
      <formula>AND($C397=OFFSET($C397,-1,0,1,1),$G397=OFFSET($G397,-1,0,1,1),X397=OFFSET(X397,-1,0,1,1))</formula>
    </cfRule>
  </conditionalFormatting>
  <conditionalFormatting sqref="X397:X405">
    <cfRule type="expression" dxfId="376" priority="40">
      <formula>$B397="Project"</formula>
    </cfRule>
  </conditionalFormatting>
  <conditionalFormatting sqref="X397:X405">
    <cfRule type="expression" dxfId="375" priority="43">
      <formula>AND($C397=OFFSET($C397,-1,0,1,1),$G397=OFFSET($G397,-1,0,1,1),X397&lt;&gt;OFFSET(X397,-1,0,1,1))</formula>
    </cfRule>
  </conditionalFormatting>
  <conditionalFormatting sqref="X397:X405">
    <cfRule type="expression" dxfId="374" priority="39">
      <formula>$C397&lt;&gt;OFFSET($C397,-1,0,1,1)</formula>
    </cfRule>
  </conditionalFormatting>
  <conditionalFormatting sqref="X397:X405">
    <cfRule type="expression" dxfId="373" priority="41">
      <formula>AND($C397=OFFSET($C397,-1,0,1,1),$G397&lt;&gt;OFFSET($G397,-1,0,1,1))</formula>
    </cfRule>
    <cfRule type="expression" dxfId="372" priority="42">
      <formula>AND($C397=OFFSET($C397,-1,0,1,1),$G397=OFFSET($G397,-1,0,1,1),X397=OFFSET(X397,-1,0,1,1))</formula>
    </cfRule>
  </conditionalFormatting>
  <conditionalFormatting sqref="X397:X405">
    <cfRule type="expression" dxfId="371" priority="35">
      <formula>$B397="Project"</formula>
    </cfRule>
  </conditionalFormatting>
  <conditionalFormatting sqref="X397:X405">
    <cfRule type="expression" dxfId="370" priority="38">
      <formula>AND($C397=OFFSET($C397,-1,0,1,1),$G397=OFFSET($G397,-1,0,1,1),X397&lt;&gt;OFFSET(X397,-1,0,1,1))</formula>
    </cfRule>
  </conditionalFormatting>
  <conditionalFormatting sqref="X397:X405">
    <cfRule type="expression" dxfId="369" priority="34">
      <formula>$C397&lt;&gt;OFFSET($C397,-1,0,1,1)</formula>
    </cfRule>
  </conditionalFormatting>
  <conditionalFormatting sqref="X397:X405">
    <cfRule type="expression" dxfId="368" priority="36">
      <formula>AND($C397=OFFSET($C397,-1,0,1,1),$G397&lt;&gt;OFFSET($G397,-1,0,1,1))</formula>
    </cfRule>
    <cfRule type="expression" dxfId="367" priority="37">
      <formula>AND($C397=OFFSET($C397,-1,0,1,1),$G397=OFFSET($G397,-1,0,1,1),X397=OFFSET(X397,-1,0,1,1))</formula>
    </cfRule>
  </conditionalFormatting>
  <conditionalFormatting sqref="H406:N458">
    <cfRule type="expression" dxfId="366" priority="28">
      <formula>MOD(H406,1)=0</formula>
    </cfRule>
  </conditionalFormatting>
  <conditionalFormatting sqref="B406:W458">
    <cfRule type="expression" dxfId="365" priority="27">
      <formula>$B406="Project"</formula>
    </cfRule>
  </conditionalFormatting>
  <conditionalFormatting sqref="A406:F458">
    <cfRule type="expression" dxfId="364" priority="25">
      <formula>AND($C406=OFFSET($C406,-1,0,1,1),A406=OFFSET(A406,-1,0,1,1))</formula>
    </cfRule>
  </conditionalFormatting>
  <conditionalFormatting sqref="C406:C458">
    <cfRule type="expression" dxfId="363" priority="23">
      <formula>$C406&lt;&gt;OFFSET($C406,-1,0,1,1)</formula>
    </cfRule>
    <cfRule type="expression" dxfId="362" priority="24">
      <formula>$C406=OFFSET($C406,-1,0,1,1)</formula>
    </cfRule>
    <cfRule type="expression" dxfId="361" priority="26">
      <formula>$B406="Project"</formula>
    </cfRule>
  </conditionalFormatting>
  <conditionalFormatting sqref="H406:W458">
    <cfRule type="expression" dxfId="360" priority="31">
      <formula>AND($C406=OFFSET($C406,-1,0,1,1),$G406=OFFSET($G406,-1,0,1,1),H406&lt;&gt;OFFSET(H406,-1,0,1,1))</formula>
    </cfRule>
  </conditionalFormatting>
  <conditionalFormatting sqref="T406:T458">
    <cfRule type="cellIs" dxfId="359" priority="17" operator="equal">
      <formula>"Withdrawn"</formula>
    </cfRule>
    <cfRule type="cellIs" dxfId="358" priority="18" operator="equal">
      <formula>"Proposed"</formula>
    </cfRule>
    <cfRule type="cellIs" dxfId="357" priority="19" operator="equal">
      <formula>"Committed"</formula>
    </cfRule>
    <cfRule type="cellIs" dxfId="356" priority="20" operator="equal">
      <formula>"Upgrade"</formula>
    </cfRule>
    <cfRule type="cellIs" dxfId="355" priority="21" operator="equal">
      <formula>"Existing less Announced Withdrawal"</formula>
    </cfRule>
    <cfRule type="cellIs" dxfId="354" priority="22" operator="equal">
      <formula>"Announced Withdrawal"</formula>
    </cfRule>
  </conditionalFormatting>
  <conditionalFormatting sqref="Q406:Q458">
    <cfRule type="expression" dxfId="353" priority="16">
      <formula>OR(AND(ISNUMBER(DATEVALUE($Q406)),MONTH(DATEVALUE($Q406))=12,DATEVALUE("31/12/"&amp;TEXT(YEAR(DATEVALUE($Q406)),"####"))&lt;TODAY()),AND(ISNUMBER(DATEVALUE($Q406)),MONTH(DATEVALUE($Q406))&lt;12,DATEVALUE("01/"&amp;TEXT(MONTH(DATEVALUE($Q406))+1,"##")&amp;"/"&amp;TEXT(YEAR(DATEVALUE($Q406)),"####"))-1&lt;TODAY()))</formula>
    </cfRule>
  </conditionalFormatting>
  <conditionalFormatting sqref="D406:W458">
    <cfRule type="expression" dxfId="352" priority="29">
      <formula>AND($C406=OFFSET($C406,-1,0,1,1),$G406&lt;&gt;OFFSET($G406,-1,0,1,1))</formula>
    </cfRule>
    <cfRule type="expression" dxfId="351" priority="30">
      <formula>AND($C406=OFFSET($C406,-1,0,1,1),$G406=OFFSET($G406,-1,0,1,1),D406=OFFSET(D406,-1,0,1,1))</formula>
    </cfRule>
  </conditionalFormatting>
  <conditionalFormatting sqref="A406:W458">
    <cfRule type="expression" dxfId="350" priority="32">
      <formula>COUNTBLANK($A406:$W406)=25</formula>
    </cfRule>
    <cfRule type="expression" dxfId="349" priority="33">
      <formula>$C406&lt;&gt;OFFSET($C406,-1,0,1,1)</formula>
    </cfRule>
  </conditionalFormatting>
  <conditionalFormatting sqref="X406:X458">
    <cfRule type="expression" dxfId="348" priority="12">
      <formula>$B406="Project"</formula>
    </cfRule>
  </conditionalFormatting>
  <conditionalFormatting sqref="X406:X458">
    <cfRule type="expression" dxfId="347" priority="15">
      <formula>AND($C406=OFFSET($C406,-1,0,1,1),$G406=OFFSET($G406,-1,0,1,1),X406&lt;&gt;OFFSET(X406,-1,0,1,1))</formula>
    </cfRule>
  </conditionalFormatting>
  <conditionalFormatting sqref="X406:X458">
    <cfRule type="expression" dxfId="346" priority="11">
      <formula>$C406&lt;&gt;OFFSET($C406,-1,0,1,1)</formula>
    </cfRule>
  </conditionalFormatting>
  <conditionalFormatting sqref="X406:X458">
    <cfRule type="expression" dxfId="345" priority="13">
      <formula>AND($C406=OFFSET($C406,-1,0,1,1),$G406&lt;&gt;OFFSET($G406,-1,0,1,1))</formula>
    </cfRule>
    <cfRule type="expression" dxfId="344" priority="14">
      <formula>AND($C406=OFFSET($C406,-1,0,1,1),$G406=OFFSET($G406,-1,0,1,1),X406=OFFSET(X406,-1,0,1,1))</formula>
    </cfRule>
  </conditionalFormatting>
  <conditionalFormatting sqref="X406:X458">
    <cfRule type="expression" dxfId="343" priority="7">
      <formula>$B406="Project"</formula>
    </cfRule>
  </conditionalFormatting>
  <conditionalFormatting sqref="X406:X458">
    <cfRule type="expression" dxfId="342" priority="10">
      <formula>AND($C406=OFFSET($C406,-1,0,1,1),$G406=OFFSET($G406,-1,0,1,1),X406&lt;&gt;OFFSET(X406,-1,0,1,1))</formula>
    </cfRule>
  </conditionalFormatting>
  <conditionalFormatting sqref="X406:X458">
    <cfRule type="expression" dxfId="341" priority="6">
      <formula>$C406&lt;&gt;OFFSET($C406,-1,0,1,1)</formula>
    </cfRule>
  </conditionalFormatting>
  <conditionalFormatting sqref="X406:X458">
    <cfRule type="expression" dxfId="340" priority="8">
      <formula>AND($C406=OFFSET($C406,-1,0,1,1),$G406&lt;&gt;OFFSET($G406,-1,0,1,1))</formula>
    </cfRule>
    <cfRule type="expression" dxfId="339" priority="9">
      <formula>AND($C406=OFFSET($C406,-1,0,1,1),$G406=OFFSET($G406,-1,0,1,1),X406=OFFSET(X406,-1,0,1,1))</formula>
    </cfRule>
  </conditionalFormatting>
  <conditionalFormatting sqref="X406:X458">
    <cfRule type="expression" dxfId="338" priority="2">
      <formula>$B406="Project"</formula>
    </cfRule>
  </conditionalFormatting>
  <conditionalFormatting sqref="X406:X458">
    <cfRule type="expression" dxfId="337" priority="5">
      <formula>AND($C406=OFFSET($C406,-1,0,1,1),$G406=OFFSET($G406,-1,0,1,1),X406&lt;&gt;OFFSET(X406,-1,0,1,1))</formula>
    </cfRule>
  </conditionalFormatting>
  <conditionalFormatting sqref="X406:X458">
    <cfRule type="expression" dxfId="336" priority="1">
      <formula>$C406&lt;&gt;OFFSET($C406,-1,0,1,1)</formula>
    </cfRule>
  </conditionalFormatting>
  <conditionalFormatting sqref="X406:X458">
    <cfRule type="expression" dxfId="335" priority="3">
      <formula>AND($C406=OFFSET($C406,-1,0,1,1),$G406&lt;&gt;OFFSET($G406,-1,0,1,1))</formula>
    </cfRule>
    <cfRule type="expression" dxfId="334" priority="4">
      <formula>AND($C406=OFFSET($C406,-1,0,1,1),$G406=OFFSET($G406,-1,0,1,1),X406=OFFSET(X406,-1,0,1,1))</formula>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468C-2A53-4517-8172-A4FF5BE41D3D}">
  <dimension ref="A1:AX357"/>
  <sheetViews>
    <sheetView showGridLines="0" zoomScaleNormal="100" workbookViewId="0">
      <pane xSplit="4" ySplit="2" topLeftCell="E3" activePane="bottomRight" state="frozen"/>
      <selection pane="topRight" activeCell="X12" sqref="X12"/>
      <selection pane="bottomLeft" activeCell="X12" sqref="X12"/>
      <selection pane="bottomRight"/>
    </sheetView>
  </sheetViews>
  <sheetFormatPr defaultColWidth="8.5703125" defaultRowHeight="15"/>
  <cols>
    <col min="1" max="1" width="6.28515625" style="2" customWidth="1"/>
    <col min="2" max="2" width="10.42578125" style="2" bestFit="1" customWidth="1"/>
    <col min="3" max="3" width="36.85546875" style="2" customWidth="1"/>
    <col min="4" max="4" width="10.42578125" style="2" bestFit="1" customWidth="1"/>
    <col min="5" max="7" width="7.7109375" style="2" customWidth="1"/>
    <col min="8" max="8" width="7.7109375" customWidth="1"/>
    <col min="9" max="11" width="7.7109375" style="2" customWidth="1"/>
    <col min="12" max="12" width="7.7109375" customWidth="1"/>
    <col min="13" max="14" width="7.7109375" style="2" customWidth="1"/>
    <col min="15" max="15" width="7.7109375" customWidth="1"/>
    <col min="16" max="17" width="7.7109375" style="2" customWidth="1"/>
    <col min="18" max="18" width="7.7109375" customWidth="1"/>
    <col min="19" max="20" width="7.7109375" style="2" customWidth="1"/>
    <col min="21" max="21" width="7.7109375" customWidth="1"/>
    <col min="22" max="23" width="7.7109375" style="2" customWidth="1"/>
    <col min="24" max="24" width="7.7109375" customWidth="1"/>
    <col min="25" max="26" width="7.7109375" style="2" customWidth="1"/>
    <col min="27" max="27" width="7.7109375" customWidth="1"/>
    <col min="28" max="29" width="7.7109375" style="2" customWidth="1"/>
    <col min="30" max="30" width="7.7109375" customWidth="1"/>
    <col min="31" max="32" width="7.7109375" style="2" customWidth="1"/>
    <col min="33" max="33" width="7.7109375" customWidth="1"/>
    <col min="34" max="34" width="7.7109375" style="2" customWidth="1"/>
    <col min="35" max="35" width="43.140625" customWidth="1"/>
    <col min="36" max="36" width="25.7109375" customWidth="1"/>
    <col min="37" max="37" width="14.5703125" style="2" customWidth="1"/>
    <col min="38" max="38" width="7.42578125" style="2" customWidth="1"/>
    <col min="39" max="40" width="12.42578125" style="2" customWidth="1"/>
    <col min="41" max="41" width="8.42578125" style="2" customWidth="1"/>
    <col min="42" max="42" width="20.7109375" style="2" bestFit="1" customWidth="1"/>
    <col min="43" max="43" width="7.42578125" style="2" customWidth="1"/>
    <col min="44" max="45" width="10.7109375" style="2" customWidth="1"/>
    <col min="46" max="46" width="11.85546875" style="2" bestFit="1" customWidth="1"/>
    <col min="47" max="47" width="28" style="2" bestFit="1" customWidth="1"/>
    <col min="48" max="48" width="17.7109375" style="2" customWidth="1"/>
    <col min="49" max="49" width="8.7109375" style="2" customWidth="1"/>
    <col min="50" max="50" width="11.42578125" style="201" customWidth="1"/>
    <col min="51" max="16384" width="8.5703125" style="2"/>
  </cols>
  <sheetData>
    <row r="1" spans="1:50" ht="19.5">
      <c r="A1" s="7" t="s">
        <v>1205</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9"/>
      <c r="AV1" s="4"/>
      <c r="AW1" s="4"/>
      <c r="AX1" s="197"/>
    </row>
    <row r="2" spans="1:50" s="8" customFormat="1" ht="45">
      <c r="A2" s="168" t="s">
        <v>6</v>
      </c>
      <c r="B2" s="107" t="s">
        <v>1230</v>
      </c>
      <c r="C2" s="203" t="s">
        <v>1349</v>
      </c>
      <c r="D2" s="161" t="s">
        <v>1232</v>
      </c>
      <c r="E2" s="180" t="s">
        <v>3805</v>
      </c>
      <c r="F2" s="169" t="s">
        <v>3806</v>
      </c>
      <c r="G2" s="183" t="s">
        <v>3807</v>
      </c>
      <c r="H2" s="180" t="s">
        <v>3808</v>
      </c>
      <c r="I2" s="169" t="s">
        <v>3809</v>
      </c>
      <c r="J2" s="183" t="s">
        <v>3810</v>
      </c>
      <c r="K2" s="180" t="s">
        <v>3811</v>
      </c>
      <c r="L2" s="169" t="s">
        <v>3812</v>
      </c>
      <c r="M2" s="183" t="s">
        <v>3813</v>
      </c>
      <c r="N2" s="180" t="s">
        <v>3814</v>
      </c>
      <c r="O2" s="169" t="s">
        <v>3815</v>
      </c>
      <c r="P2" s="183" t="s">
        <v>3816</v>
      </c>
      <c r="Q2" s="180" t="s">
        <v>3817</v>
      </c>
      <c r="R2" s="169" t="s">
        <v>3818</v>
      </c>
      <c r="S2" s="183" t="s">
        <v>3819</v>
      </c>
      <c r="T2" s="180" t="s">
        <v>3820</v>
      </c>
      <c r="U2" s="169" t="s">
        <v>3821</v>
      </c>
      <c r="V2" s="183" t="s">
        <v>3822</v>
      </c>
      <c r="W2" s="180" t="s">
        <v>3823</v>
      </c>
      <c r="X2" s="169" t="s">
        <v>3824</v>
      </c>
      <c r="Y2" s="183" t="s">
        <v>3825</v>
      </c>
      <c r="Z2" s="180" t="s">
        <v>3826</v>
      </c>
      <c r="AA2" s="169" t="s">
        <v>3827</v>
      </c>
      <c r="AB2" s="183" t="s">
        <v>3828</v>
      </c>
      <c r="AC2" s="180" t="s">
        <v>3829</v>
      </c>
      <c r="AD2" s="169" t="s">
        <v>3830</v>
      </c>
      <c r="AE2" s="183" t="s">
        <v>3831</v>
      </c>
      <c r="AF2" s="180" t="s">
        <v>3832</v>
      </c>
      <c r="AG2" s="169" t="s">
        <v>3833</v>
      </c>
      <c r="AH2" s="183" t="s">
        <v>3834</v>
      </c>
      <c r="AI2" s="202" t="s">
        <v>42</v>
      </c>
      <c r="AJ2" s="203" t="s">
        <v>1350</v>
      </c>
      <c r="AK2" s="161" t="s">
        <v>1351</v>
      </c>
      <c r="AL2" s="107" t="s">
        <v>1352</v>
      </c>
      <c r="AM2" s="107" t="s">
        <v>1211</v>
      </c>
      <c r="AN2" s="107" t="s">
        <v>1213</v>
      </c>
      <c r="AO2" s="107" t="s">
        <v>1354</v>
      </c>
      <c r="AP2" s="203" t="s">
        <v>519</v>
      </c>
      <c r="AQ2" s="107" t="s">
        <v>8</v>
      </c>
      <c r="AR2" s="107" t="s">
        <v>499</v>
      </c>
      <c r="AS2" s="107" t="s">
        <v>141</v>
      </c>
      <c r="AT2" s="107" t="s">
        <v>1219</v>
      </c>
      <c r="AU2" s="161" t="s">
        <v>3835</v>
      </c>
      <c r="AV2" s="107" t="s">
        <v>3836</v>
      </c>
      <c r="AW2" s="107" t="s">
        <v>1221</v>
      </c>
      <c r="AX2" s="198" t="s">
        <v>1227</v>
      </c>
    </row>
    <row r="3" spans="1:50">
      <c r="A3" s="124" t="s">
        <v>80</v>
      </c>
      <c r="B3" s="109" t="s">
        <v>1320</v>
      </c>
      <c r="C3" s="214" t="s">
        <v>81</v>
      </c>
      <c r="D3" s="163" t="s">
        <v>83</v>
      </c>
      <c r="E3" s="170">
        <v>6</v>
      </c>
      <c r="F3" s="171">
        <v>6</v>
      </c>
      <c r="G3" s="184">
        <v>6</v>
      </c>
      <c r="H3" s="181">
        <v>6</v>
      </c>
      <c r="I3" s="171">
        <v>6</v>
      </c>
      <c r="J3" s="184">
        <v>6</v>
      </c>
      <c r="K3" s="181">
        <v>6</v>
      </c>
      <c r="L3" s="171">
        <v>6</v>
      </c>
      <c r="M3" s="184">
        <v>6</v>
      </c>
      <c r="N3" s="181">
        <v>6</v>
      </c>
      <c r="O3" s="171">
        <v>6</v>
      </c>
      <c r="P3" s="184">
        <v>6</v>
      </c>
      <c r="Q3" s="181">
        <v>6</v>
      </c>
      <c r="R3" s="171">
        <v>6</v>
      </c>
      <c r="S3" s="184">
        <v>6</v>
      </c>
      <c r="T3" s="181">
        <v>6</v>
      </c>
      <c r="U3" s="171">
        <v>6</v>
      </c>
      <c r="V3" s="184">
        <v>6</v>
      </c>
      <c r="W3" s="181">
        <v>6</v>
      </c>
      <c r="X3" s="171">
        <v>6</v>
      </c>
      <c r="Y3" s="184">
        <v>6</v>
      </c>
      <c r="Z3" s="181">
        <v>6</v>
      </c>
      <c r="AA3" s="171">
        <v>6</v>
      </c>
      <c r="AB3" s="184">
        <v>6</v>
      </c>
      <c r="AC3" s="181">
        <v>6</v>
      </c>
      <c r="AD3" s="171">
        <v>6</v>
      </c>
      <c r="AE3" s="184">
        <v>6</v>
      </c>
      <c r="AF3" s="204">
        <v>6</v>
      </c>
      <c r="AG3" s="171">
        <v>6</v>
      </c>
      <c r="AH3" s="184">
        <v>6</v>
      </c>
      <c r="AI3" s="182" t="s">
        <v>82</v>
      </c>
      <c r="AJ3" s="163" t="s">
        <v>1391</v>
      </c>
      <c r="AK3" s="65" t="s">
        <v>21</v>
      </c>
      <c r="AL3" s="176">
        <v>1</v>
      </c>
      <c r="AM3" s="159"/>
      <c r="AN3" s="211">
        <v>6.27</v>
      </c>
      <c r="AO3" s="212">
        <v>12.6</v>
      </c>
      <c r="AP3" s="65" t="s">
        <v>27</v>
      </c>
      <c r="AQ3" s="109" t="s">
        <v>1403</v>
      </c>
      <c r="AR3" s="173" t="s">
        <v>1404</v>
      </c>
      <c r="AS3" s="174" t="s">
        <v>1405</v>
      </c>
      <c r="AT3" s="175"/>
      <c r="AU3" s="65" t="s">
        <v>25</v>
      </c>
      <c r="AV3" s="163" t="s">
        <v>20</v>
      </c>
      <c r="AW3" s="65">
        <v>1844</v>
      </c>
      <c r="AX3" s="196">
        <v>44671.364039351851</v>
      </c>
    </row>
    <row r="4" spans="1:50">
      <c r="A4" s="124" t="s">
        <v>80</v>
      </c>
      <c r="B4" s="109" t="s">
        <v>1320</v>
      </c>
      <c r="C4" s="214" t="s">
        <v>81</v>
      </c>
      <c r="D4" s="163" t="s">
        <v>84</v>
      </c>
      <c r="E4" s="170">
        <v>11</v>
      </c>
      <c r="F4" s="171">
        <v>10.56</v>
      </c>
      <c r="G4" s="184">
        <v>10.34</v>
      </c>
      <c r="H4" s="181">
        <v>11</v>
      </c>
      <c r="I4" s="171">
        <v>10.56</v>
      </c>
      <c r="J4" s="184">
        <v>10.34</v>
      </c>
      <c r="K4" s="181">
        <v>11</v>
      </c>
      <c r="L4" s="171">
        <v>10.56</v>
      </c>
      <c r="M4" s="184">
        <v>10.34</v>
      </c>
      <c r="N4" s="181">
        <v>11</v>
      </c>
      <c r="O4" s="171">
        <v>10.56</v>
      </c>
      <c r="P4" s="184">
        <v>10.34</v>
      </c>
      <c r="Q4" s="181">
        <v>11</v>
      </c>
      <c r="R4" s="171">
        <v>10.56</v>
      </c>
      <c r="S4" s="184">
        <v>10.34</v>
      </c>
      <c r="T4" s="181">
        <v>11</v>
      </c>
      <c r="U4" s="171">
        <v>10.56</v>
      </c>
      <c r="V4" s="184">
        <v>10.34</v>
      </c>
      <c r="W4" s="181">
        <v>11</v>
      </c>
      <c r="X4" s="171">
        <v>10.56</v>
      </c>
      <c r="Y4" s="184">
        <v>10.34</v>
      </c>
      <c r="Z4" s="181">
        <v>11</v>
      </c>
      <c r="AA4" s="171">
        <v>10.56</v>
      </c>
      <c r="AB4" s="184">
        <v>10.34</v>
      </c>
      <c r="AC4" s="181">
        <v>11</v>
      </c>
      <c r="AD4" s="171">
        <v>10.56</v>
      </c>
      <c r="AE4" s="184">
        <v>10.34</v>
      </c>
      <c r="AF4" s="204">
        <v>11</v>
      </c>
      <c r="AG4" s="171">
        <v>10.56</v>
      </c>
      <c r="AH4" s="184">
        <v>10.34</v>
      </c>
      <c r="AI4" s="182" t="s">
        <v>82</v>
      </c>
      <c r="AJ4" s="163" t="s">
        <v>1398</v>
      </c>
      <c r="AK4" s="65" t="s">
        <v>1388</v>
      </c>
      <c r="AL4" s="176">
        <v>4</v>
      </c>
      <c r="AM4" s="159"/>
      <c r="AN4" s="211">
        <v>11</v>
      </c>
      <c r="AO4" s="212"/>
      <c r="AP4" s="65" t="s">
        <v>27</v>
      </c>
      <c r="AQ4" s="109" t="s">
        <v>1407</v>
      </c>
      <c r="AR4" s="173" t="s">
        <v>1404</v>
      </c>
      <c r="AS4" s="174" t="s">
        <v>1405</v>
      </c>
      <c r="AT4" s="175"/>
      <c r="AU4" s="65" t="s">
        <v>25</v>
      </c>
      <c r="AV4" s="163" t="s">
        <v>1388</v>
      </c>
      <c r="AW4" s="65">
        <v>1844</v>
      </c>
      <c r="AX4" s="196">
        <v>44671.364039351851</v>
      </c>
    </row>
    <row r="5" spans="1:50">
      <c r="A5" s="124" t="s">
        <v>80</v>
      </c>
      <c r="B5" s="109" t="s">
        <v>1320</v>
      </c>
      <c r="C5" s="214" t="s">
        <v>81</v>
      </c>
      <c r="D5" s="163" t="s">
        <v>85</v>
      </c>
      <c r="E5" s="170">
        <v>10.72</v>
      </c>
      <c r="F5" s="171">
        <v>10.72</v>
      </c>
      <c r="G5" s="184">
        <v>9.9600000000000009</v>
      </c>
      <c r="H5" s="181">
        <v>10.72</v>
      </c>
      <c r="I5" s="171">
        <v>10.72</v>
      </c>
      <c r="J5" s="184">
        <v>9.9600000000000009</v>
      </c>
      <c r="K5" s="181">
        <v>10.72</v>
      </c>
      <c r="L5" s="171">
        <v>10.72</v>
      </c>
      <c r="M5" s="184">
        <v>9.9600000000000009</v>
      </c>
      <c r="N5" s="181">
        <v>10.72</v>
      </c>
      <c r="O5" s="171">
        <v>10.72</v>
      </c>
      <c r="P5" s="184">
        <v>9.9600000000000009</v>
      </c>
      <c r="Q5" s="181">
        <v>10.72</v>
      </c>
      <c r="R5" s="171">
        <v>10.72</v>
      </c>
      <c r="S5" s="184">
        <v>9.9600000000000009</v>
      </c>
      <c r="T5" s="181">
        <v>10.72</v>
      </c>
      <c r="U5" s="171">
        <v>10.72</v>
      </c>
      <c r="V5" s="184">
        <v>9.9600000000000009</v>
      </c>
      <c r="W5" s="181">
        <v>10.72</v>
      </c>
      <c r="X5" s="171">
        <v>10.72</v>
      </c>
      <c r="Y5" s="184">
        <v>9.9600000000000009</v>
      </c>
      <c r="Z5" s="181">
        <v>10.72</v>
      </c>
      <c r="AA5" s="171">
        <v>10.72</v>
      </c>
      <c r="AB5" s="184">
        <v>9.9600000000000009</v>
      </c>
      <c r="AC5" s="181">
        <v>10.72</v>
      </c>
      <c r="AD5" s="171">
        <v>10.72</v>
      </c>
      <c r="AE5" s="184">
        <v>9.9600000000000009</v>
      </c>
      <c r="AF5" s="204">
        <v>10.72</v>
      </c>
      <c r="AG5" s="171">
        <v>10.72</v>
      </c>
      <c r="AH5" s="184">
        <v>9.9600000000000009</v>
      </c>
      <c r="AI5" s="182" t="s">
        <v>82</v>
      </c>
      <c r="AJ5" s="163" t="s">
        <v>1398</v>
      </c>
      <c r="AK5" s="65" t="s">
        <v>1388</v>
      </c>
      <c r="AL5" s="176">
        <v>4</v>
      </c>
      <c r="AM5" s="159"/>
      <c r="AN5" s="211">
        <v>13.72</v>
      </c>
      <c r="AO5" s="212"/>
      <c r="AP5" s="65" t="s">
        <v>27</v>
      </c>
      <c r="AQ5" s="109" t="s">
        <v>1407</v>
      </c>
      <c r="AR5" s="173" t="s">
        <v>1409</v>
      </c>
      <c r="AS5" s="174" t="s">
        <v>1405</v>
      </c>
      <c r="AT5" s="175"/>
      <c r="AU5" s="65" t="s">
        <v>25</v>
      </c>
      <c r="AV5" s="163" t="s">
        <v>1388</v>
      </c>
      <c r="AW5" s="65">
        <v>1844</v>
      </c>
      <c r="AX5" s="196">
        <v>44671.364039351851</v>
      </c>
    </row>
    <row r="6" spans="1:50">
      <c r="A6" s="124" t="s">
        <v>80</v>
      </c>
      <c r="B6" s="109" t="s">
        <v>1320</v>
      </c>
      <c r="C6" s="214" t="s">
        <v>938</v>
      </c>
      <c r="D6" s="163" t="s">
        <v>1432</v>
      </c>
      <c r="E6" s="170">
        <v>49.2</v>
      </c>
      <c r="F6" s="171">
        <v>49.2</v>
      </c>
      <c r="G6" s="184">
        <v>49.2</v>
      </c>
      <c r="H6" s="181">
        <v>49.2</v>
      </c>
      <c r="I6" s="171">
        <v>49.2</v>
      </c>
      <c r="J6" s="184">
        <v>49.2</v>
      </c>
      <c r="K6" s="181">
        <v>49.2</v>
      </c>
      <c r="L6" s="171">
        <v>49.2</v>
      </c>
      <c r="M6" s="184">
        <v>49.2</v>
      </c>
      <c r="N6" s="181">
        <v>49.2</v>
      </c>
      <c r="O6" s="171">
        <v>49.2</v>
      </c>
      <c r="P6" s="184">
        <v>49.2</v>
      </c>
      <c r="Q6" s="181">
        <v>49.2</v>
      </c>
      <c r="R6" s="171">
        <v>49.2</v>
      </c>
      <c r="S6" s="184">
        <v>49.2</v>
      </c>
      <c r="T6" s="181">
        <v>49.2</v>
      </c>
      <c r="U6" s="171">
        <v>49.2</v>
      </c>
      <c r="V6" s="184">
        <v>49.2</v>
      </c>
      <c r="W6" s="181">
        <v>49.2</v>
      </c>
      <c r="X6" s="171">
        <v>49.2</v>
      </c>
      <c r="Y6" s="184">
        <v>49.2</v>
      </c>
      <c r="Z6" s="181">
        <v>49.2</v>
      </c>
      <c r="AA6" s="171">
        <v>49.2</v>
      </c>
      <c r="AB6" s="184">
        <v>49.2</v>
      </c>
      <c r="AC6" s="181">
        <v>49.2</v>
      </c>
      <c r="AD6" s="171">
        <v>49.2</v>
      </c>
      <c r="AE6" s="184">
        <v>49.2</v>
      </c>
      <c r="AF6" s="204">
        <v>49.2</v>
      </c>
      <c r="AG6" s="171">
        <v>49.2</v>
      </c>
      <c r="AH6" s="184">
        <v>49.2</v>
      </c>
      <c r="AI6" s="182" t="s">
        <v>558</v>
      </c>
      <c r="AJ6" s="163" t="s">
        <v>1365</v>
      </c>
      <c r="AK6" s="65" t="s">
        <v>1431</v>
      </c>
      <c r="AL6" s="176">
        <v>2</v>
      </c>
      <c r="AM6" s="159"/>
      <c r="AN6" s="172">
        <v>50</v>
      </c>
      <c r="AO6" s="159"/>
      <c r="AP6" s="163" t="s">
        <v>55</v>
      </c>
      <c r="AQ6" s="109" t="s">
        <v>1403</v>
      </c>
      <c r="AR6" s="173"/>
      <c r="AS6" s="174" t="s">
        <v>1434</v>
      </c>
      <c r="AT6" s="175"/>
      <c r="AU6" s="65" t="s">
        <v>25</v>
      </c>
      <c r="AV6" s="163" t="s">
        <v>21</v>
      </c>
      <c r="AW6" s="65">
        <v>1002</v>
      </c>
      <c r="AX6" s="196">
        <v>44665.455694444441</v>
      </c>
    </row>
    <row r="7" spans="1:50">
      <c r="A7" s="124" t="s">
        <v>100</v>
      </c>
      <c r="B7" s="109" t="s">
        <v>1320</v>
      </c>
      <c r="C7" s="214" t="s">
        <v>980</v>
      </c>
      <c r="D7" s="163" t="s">
        <v>1455</v>
      </c>
      <c r="E7" s="170">
        <v>240</v>
      </c>
      <c r="F7" s="171">
        <v>240</v>
      </c>
      <c r="G7" s="184">
        <v>150</v>
      </c>
      <c r="H7" s="181">
        <v>240</v>
      </c>
      <c r="I7" s="171">
        <v>240</v>
      </c>
      <c r="J7" s="184">
        <v>150</v>
      </c>
      <c r="K7" s="181">
        <v>240</v>
      </c>
      <c r="L7" s="171">
        <v>240</v>
      </c>
      <c r="M7" s="184">
        <v>150</v>
      </c>
      <c r="N7" s="181">
        <v>240</v>
      </c>
      <c r="O7" s="171">
        <v>240</v>
      </c>
      <c r="P7" s="184">
        <v>150</v>
      </c>
      <c r="Q7" s="181">
        <v>240</v>
      </c>
      <c r="R7" s="171">
        <v>240</v>
      </c>
      <c r="S7" s="184">
        <v>150</v>
      </c>
      <c r="T7" s="181">
        <v>240</v>
      </c>
      <c r="U7" s="171">
        <v>240</v>
      </c>
      <c r="V7" s="184">
        <v>150</v>
      </c>
      <c r="W7" s="181">
        <v>240</v>
      </c>
      <c r="X7" s="171">
        <v>240</v>
      </c>
      <c r="Y7" s="184">
        <v>150</v>
      </c>
      <c r="Z7" s="181">
        <v>240</v>
      </c>
      <c r="AA7" s="171">
        <v>240</v>
      </c>
      <c r="AB7" s="184">
        <v>150</v>
      </c>
      <c r="AC7" s="181">
        <v>240</v>
      </c>
      <c r="AD7" s="171">
        <v>240</v>
      </c>
      <c r="AE7" s="184">
        <v>150</v>
      </c>
      <c r="AF7" s="204">
        <v>240</v>
      </c>
      <c r="AG7" s="171">
        <v>240</v>
      </c>
      <c r="AH7" s="184">
        <v>150</v>
      </c>
      <c r="AI7" s="182" t="s">
        <v>1454</v>
      </c>
      <c r="AJ7" s="163" t="s">
        <v>1419</v>
      </c>
      <c r="AK7" s="65" t="s">
        <v>17</v>
      </c>
      <c r="AL7" s="176">
        <v>75</v>
      </c>
      <c r="AM7" s="159"/>
      <c r="AN7" s="172">
        <v>240</v>
      </c>
      <c r="AO7" s="159"/>
      <c r="AP7" s="163" t="s">
        <v>55</v>
      </c>
      <c r="AQ7" s="109" t="s">
        <v>1407</v>
      </c>
      <c r="AR7" s="173"/>
      <c r="AS7" s="174" t="s">
        <v>1457</v>
      </c>
      <c r="AT7" s="175"/>
      <c r="AU7" s="65" t="s">
        <v>25</v>
      </c>
      <c r="AV7" s="163" t="s">
        <v>17</v>
      </c>
      <c r="AW7" s="65">
        <v>1462</v>
      </c>
      <c r="AX7" s="196">
        <v>44658.650416666664</v>
      </c>
    </row>
    <row r="8" spans="1:50">
      <c r="A8" s="124" t="s">
        <v>46</v>
      </c>
      <c r="B8" s="109" t="s">
        <v>1385</v>
      </c>
      <c r="C8" s="214" t="s">
        <v>162</v>
      </c>
      <c r="D8" s="163" t="s">
        <v>208</v>
      </c>
      <c r="E8" s="170">
        <v>0</v>
      </c>
      <c r="F8" s="171">
        <v>0</v>
      </c>
      <c r="G8" s="184">
        <v>0</v>
      </c>
      <c r="H8" s="181">
        <v>189.98</v>
      </c>
      <c r="I8" s="171">
        <v>189.98</v>
      </c>
      <c r="J8" s="184">
        <v>189.98</v>
      </c>
      <c r="K8" s="181">
        <v>189.98</v>
      </c>
      <c r="L8" s="171">
        <v>189.98</v>
      </c>
      <c r="M8" s="184">
        <v>189.98</v>
      </c>
      <c r="N8" s="181">
        <v>189.98</v>
      </c>
      <c r="O8" s="171">
        <v>189.98</v>
      </c>
      <c r="P8" s="184">
        <v>189.98</v>
      </c>
      <c r="Q8" s="181">
        <v>189.98</v>
      </c>
      <c r="R8" s="171">
        <v>189.98</v>
      </c>
      <c r="S8" s="184">
        <v>189.98</v>
      </c>
      <c r="T8" s="181">
        <v>189.98</v>
      </c>
      <c r="U8" s="171">
        <v>189.98</v>
      </c>
      <c r="V8" s="184">
        <v>189.98</v>
      </c>
      <c r="W8" s="181">
        <v>189.98</v>
      </c>
      <c r="X8" s="171">
        <v>189.98</v>
      </c>
      <c r="Y8" s="184">
        <v>189.98</v>
      </c>
      <c r="Z8" s="181">
        <v>189.98</v>
      </c>
      <c r="AA8" s="171">
        <v>189.98</v>
      </c>
      <c r="AB8" s="184">
        <v>189.98</v>
      </c>
      <c r="AC8" s="181">
        <v>189.98</v>
      </c>
      <c r="AD8" s="171">
        <v>189.98</v>
      </c>
      <c r="AE8" s="184">
        <v>189.98</v>
      </c>
      <c r="AF8" s="204">
        <v>189.98</v>
      </c>
      <c r="AG8" s="171">
        <v>189.98</v>
      </c>
      <c r="AH8" s="184">
        <v>189.98</v>
      </c>
      <c r="AI8" s="182" t="s">
        <v>163</v>
      </c>
      <c r="AJ8" s="163" t="s">
        <v>1429</v>
      </c>
      <c r="AK8" s="65" t="s">
        <v>1388</v>
      </c>
      <c r="AL8" s="164">
        <v>70</v>
      </c>
      <c r="AM8" s="159"/>
      <c r="AN8" s="172">
        <v>254.1</v>
      </c>
      <c r="AO8" s="159"/>
      <c r="AP8" s="163" t="s">
        <v>27</v>
      </c>
      <c r="AQ8" s="109" t="s">
        <v>1407</v>
      </c>
      <c r="AR8" s="173" t="s">
        <v>1483</v>
      </c>
      <c r="AS8" s="174" t="s">
        <v>1484</v>
      </c>
      <c r="AT8" s="175"/>
      <c r="AU8" s="65" t="s">
        <v>27</v>
      </c>
      <c r="AV8" s="163" t="s">
        <v>1388</v>
      </c>
      <c r="AW8" s="65">
        <v>1715</v>
      </c>
      <c r="AX8" s="196">
        <v>44747.38386574074</v>
      </c>
    </row>
    <row r="9" spans="1:50">
      <c r="A9" s="124" t="s">
        <v>100</v>
      </c>
      <c r="B9" s="109" t="s">
        <v>1320</v>
      </c>
      <c r="C9" s="214" t="s">
        <v>1491</v>
      </c>
      <c r="D9" s="163" t="s">
        <v>1494</v>
      </c>
      <c r="E9" s="170">
        <v>40</v>
      </c>
      <c r="F9" s="171">
        <v>36</v>
      </c>
      <c r="G9" s="184">
        <v>27</v>
      </c>
      <c r="H9" s="181">
        <v>40</v>
      </c>
      <c r="I9" s="171">
        <v>36</v>
      </c>
      <c r="J9" s="184">
        <v>27</v>
      </c>
      <c r="K9" s="181">
        <v>40</v>
      </c>
      <c r="L9" s="171">
        <v>36</v>
      </c>
      <c r="M9" s="184">
        <v>27</v>
      </c>
      <c r="N9" s="181">
        <v>40</v>
      </c>
      <c r="O9" s="171">
        <v>36</v>
      </c>
      <c r="P9" s="184">
        <v>27</v>
      </c>
      <c r="Q9" s="181">
        <v>40</v>
      </c>
      <c r="R9" s="171">
        <v>36</v>
      </c>
      <c r="S9" s="184">
        <v>27</v>
      </c>
      <c r="T9" s="181">
        <v>40</v>
      </c>
      <c r="U9" s="171">
        <v>36</v>
      </c>
      <c r="V9" s="184">
        <v>27</v>
      </c>
      <c r="W9" s="181">
        <v>40</v>
      </c>
      <c r="X9" s="171">
        <v>36</v>
      </c>
      <c r="Y9" s="184">
        <v>27</v>
      </c>
      <c r="Z9" s="181">
        <v>40</v>
      </c>
      <c r="AA9" s="171">
        <v>36</v>
      </c>
      <c r="AB9" s="184">
        <v>27</v>
      </c>
      <c r="AC9" s="181">
        <v>40</v>
      </c>
      <c r="AD9" s="171">
        <v>36</v>
      </c>
      <c r="AE9" s="184">
        <v>27</v>
      </c>
      <c r="AF9" s="204">
        <v>40</v>
      </c>
      <c r="AG9" s="171">
        <v>36</v>
      </c>
      <c r="AH9" s="184">
        <v>27</v>
      </c>
      <c r="AI9" s="182" t="s">
        <v>1492</v>
      </c>
      <c r="AJ9" s="163" t="s">
        <v>1493</v>
      </c>
      <c r="AK9" s="65" t="s">
        <v>1360</v>
      </c>
      <c r="AL9" s="176">
        <v>1</v>
      </c>
      <c r="AM9" s="159"/>
      <c r="AN9" s="172">
        <v>47</v>
      </c>
      <c r="AO9" s="159"/>
      <c r="AP9" s="163" t="s">
        <v>55</v>
      </c>
      <c r="AQ9" s="109" t="s">
        <v>1403</v>
      </c>
      <c r="AR9" s="173"/>
      <c r="AS9" s="174" t="s">
        <v>1496</v>
      </c>
      <c r="AT9" s="175"/>
      <c r="AU9" s="65" t="s">
        <v>25</v>
      </c>
      <c r="AV9" s="163" t="s">
        <v>14</v>
      </c>
      <c r="AW9" s="65">
        <v>1005</v>
      </c>
      <c r="AX9" s="196">
        <v>44678.37394675926</v>
      </c>
    </row>
    <row r="10" spans="1:50">
      <c r="A10" s="124" t="s">
        <v>100</v>
      </c>
      <c r="B10" s="109" t="s">
        <v>1320</v>
      </c>
      <c r="C10" s="214" t="s">
        <v>1491</v>
      </c>
      <c r="D10" s="163" t="s">
        <v>1497</v>
      </c>
      <c r="E10" s="170">
        <v>42</v>
      </c>
      <c r="F10" s="171">
        <v>37</v>
      </c>
      <c r="G10" s="184">
        <v>30</v>
      </c>
      <c r="H10" s="181">
        <v>42</v>
      </c>
      <c r="I10" s="171">
        <v>37</v>
      </c>
      <c r="J10" s="184">
        <v>30</v>
      </c>
      <c r="K10" s="181">
        <v>42</v>
      </c>
      <c r="L10" s="171">
        <v>37</v>
      </c>
      <c r="M10" s="184">
        <v>30</v>
      </c>
      <c r="N10" s="181">
        <v>42</v>
      </c>
      <c r="O10" s="171">
        <v>37</v>
      </c>
      <c r="P10" s="184">
        <v>30</v>
      </c>
      <c r="Q10" s="181">
        <v>42</v>
      </c>
      <c r="R10" s="171">
        <v>37</v>
      </c>
      <c r="S10" s="184">
        <v>30</v>
      </c>
      <c r="T10" s="181">
        <v>42</v>
      </c>
      <c r="U10" s="171">
        <v>37</v>
      </c>
      <c r="V10" s="184">
        <v>30</v>
      </c>
      <c r="W10" s="181">
        <v>42</v>
      </c>
      <c r="X10" s="171">
        <v>37</v>
      </c>
      <c r="Y10" s="184">
        <v>30</v>
      </c>
      <c r="Z10" s="181">
        <v>42</v>
      </c>
      <c r="AA10" s="171">
        <v>37</v>
      </c>
      <c r="AB10" s="184">
        <v>30</v>
      </c>
      <c r="AC10" s="181">
        <v>42</v>
      </c>
      <c r="AD10" s="171">
        <v>37</v>
      </c>
      <c r="AE10" s="184">
        <v>30</v>
      </c>
      <c r="AF10" s="204">
        <v>42</v>
      </c>
      <c r="AG10" s="171">
        <v>37</v>
      </c>
      <c r="AH10" s="184">
        <v>30</v>
      </c>
      <c r="AI10" s="182" t="s">
        <v>1492</v>
      </c>
      <c r="AJ10" s="163" t="s">
        <v>1493</v>
      </c>
      <c r="AK10" s="65" t="s">
        <v>1360</v>
      </c>
      <c r="AL10" s="176">
        <v>1</v>
      </c>
      <c r="AM10" s="159"/>
      <c r="AN10" s="172">
        <v>47</v>
      </c>
      <c r="AO10" s="159"/>
      <c r="AP10" s="163" t="s">
        <v>55</v>
      </c>
      <c r="AQ10" s="109" t="s">
        <v>1403</v>
      </c>
      <c r="AR10" s="173"/>
      <c r="AS10" s="174" t="s">
        <v>1496</v>
      </c>
      <c r="AT10" s="175"/>
      <c r="AU10" s="65" t="s">
        <v>25</v>
      </c>
      <c r="AV10" s="163" t="s">
        <v>14</v>
      </c>
      <c r="AW10" s="65">
        <v>1005</v>
      </c>
      <c r="AX10" s="196">
        <v>44678.37394675926</v>
      </c>
    </row>
    <row r="11" spans="1:50">
      <c r="A11" s="124" t="s">
        <v>100</v>
      </c>
      <c r="B11" s="109" t="s">
        <v>1320</v>
      </c>
      <c r="C11" s="214" t="s">
        <v>1507</v>
      </c>
      <c r="D11" s="163" t="s">
        <v>1509</v>
      </c>
      <c r="E11" s="170">
        <v>106.6</v>
      </c>
      <c r="F11" s="171">
        <v>106.6</v>
      </c>
      <c r="G11" s="184">
        <v>106.6</v>
      </c>
      <c r="H11" s="181">
        <v>106.6</v>
      </c>
      <c r="I11" s="171">
        <v>106.6</v>
      </c>
      <c r="J11" s="184">
        <v>106.6</v>
      </c>
      <c r="K11" s="181">
        <v>106.6</v>
      </c>
      <c r="L11" s="171">
        <v>106.6</v>
      </c>
      <c r="M11" s="184">
        <v>106.6</v>
      </c>
      <c r="N11" s="181">
        <v>106.6</v>
      </c>
      <c r="O11" s="171">
        <v>106.6</v>
      </c>
      <c r="P11" s="184">
        <v>106.6</v>
      </c>
      <c r="Q11" s="181">
        <v>106.6</v>
      </c>
      <c r="R11" s="171">
        <v>106.6</v>
      </c>
      <c r="S11" s="184">
        <v>106.6</v>
      </c>
      <c r="T11" s="181">
        <v>106.6</v>
      </c>
      <c r="U11" s="171">
        <v>106.6</v>
      </c>
      <c r="V11" s="184">
        <v>106.6</v>
      </c>
      <c r="W11" s="181">
        <v>106.6</v>
      </c>
      <c r="X11" s="171">
        <v>106.6</v>
      </c>
      <c r="Y11" s="184">
        <v>106.6</v>
      </c>
      <c r="Z11" s="181">
        <v>106.6</v>
      </c>
      <c r="AA11" s="171">
        <v>106.6</v>
      </c>
      <c r="AB11" s="184">
        <v>106.6</v>
      </c>
      <c r="AC11" s="181">
        <v>106.6</v>
      </c>
      <c r="AD11" s="171">
        <v>106.6</v>
      </c>
      <c r="AE11" s="184">
        <v>106.6</v>
      </c>
      <c r="AF11" s="204">
        <v>106.6</v>
      </c>
      <c r="AG11" s="171">
        <v>106.6</v>
      </c>
      <c r="AH11" s="184">
        <v>106.6</v>
      </c>
      <c r="AI11" s="182" t="s">
        <v>1508</v>
      </c>
      <c r="AJ11" s="163" t="s">
        <v>1419</v>
      </c>
      <c r="AK11" s="65" t="s">
        <v>17</v>
      </c>
      <c r="AL11" s="176">
        <v>52</v>
      </c>
      <c r="AM11" s="159"/>
      <c r="AN11" s="172">
        <v>106.6</v>
      </c>
      <c r="AO11" s="159"/>
      <c r="AP11" s="163" t="s">
        <v>55</v>
      </c>
      <c r="AQ11" s="109" t="s">
        <v>1407</v>
      </c>
      <c r="AR11" s="173"/>
      <c r="AS11" s="174" t="s">
        <v>1511</v>
      </c>
      <c r="AT11" s="175"/>
      <c r="AU11" s="65" t="s">
        <v>25</v>
      </c>
      <c r="AV11" s="163" t="s">
        <v>17</v>
      </c>
      <c r="AW11" s="65">
        <v>1006</v>
      </c>
      <c r="AX11" s="196">
        <v>44665.456574074073</v>
      </c>
    </row>
    <row r="12" spans="1:50">
      <c r="A12" s="124" t="s">
        <v>100</v>
      </c>
      <c r="B12" s="109" t="s">
        <v>1320</v>
      </c>
      <c r="C12" s="214" t="s">
        <v>666</v>
      </c>
      <c r="D12" s="163" t="s">
        <v>1520</v>
      </c>
      <c r="E12" s="170">
        <v>29.9</v>
      </c>
      <c r="F12" s="171">
        <v>29.9</v>
      </c>
      <c r="G12" s="184">
        <v>28.8</v>
      </c>
      <c r="H12" s="181">
        <v>29.9</v>
      </c>
      <c r="I12" s="171">
        <v>29.9</v>
      </c>
      <c r="J12" s="184">
        <v>28.8</v>
      </c>
      <c r="K12" s="181">
        <v>29.9</v>
      </c>
      <c r="L12" s="171">
        <v>29.9</v>
      </c>
      <c r="M12" s="184">
        <v>28.8</v>
      </c>
      <c r="N12" s="181">
        <v>29.9</v>
      </c>
      <c r="O12" s="171">
        <v>29.9</v>
      </c>
      <c r="P12" s="184">
        <v>28.8</v>
      </c>
      <c r="Q12" s="181">
        <v>29.9</v>
      </c>
      <c r="R12" s="171">
        <v>29.9</v>
      </c>
      <c r="S12" s="184">
        <v>28.8</v>
      </c>
      <c r="T12" s="181">
        <v>29.9</v>
      </c>
      <c r="U12" s="171">
        <v>29.9</v>
      </c>
      <c r="V12" s="184">
        <v>28.8</v>
      </c>
      <c r="W12" s="181">
        <v>29.9</v>
      </c>
      <c r="X12" s="171">
        <v>29.9</v>
      </c>
      <c r="Y12" s="184">
        <v>28.8</v>
      </c>
      <c r="Z12" s="181">
        <v>19.899999999999999</v>
      </c>
      <c r="AA12" s="171">
        <v>19.899999999999999</v>
      </c>
      <c r="AB12" s="184">
        <v>19.2</v>
      </c>
      <c r="AC12" s="181">
        <v>19.899999999999999</v>
      </c>
      <c r="AD12" s="171">
        <v>19.899999999999999</v>
      </c>
      <c r="AE12" s="184">
        <v>19.2</v>
      </c>
      <c r="AF12" s="204">
        <v>19.899999999999999</v>
      </c>
      <c r="AG12" s="171">
        <v>19.899999999999999</v>
      </c>
      <c r="AH12" s="184">
        <v>19.2</v>
      </c>
      <c r="AI12" s="182" t="s">
        <v>1519</v>
      </c>
      <c r="AJ12" s="163" t="s">
        <v>1391</v>
      </c>
      <c r="AK12" s="65" t="s">
        <v>21</v>
      </c>
      <c r="AL12" s="176">
        <v>1</v>
      </c>
      <c r="AM12" s="159"/>
      <c r="AN12" s="172">
        <v>30</v>
      </c>
      <c r="AO12" s="159">
        <v>30</v>
      </c>
      <c r="AP12" s="163" t="s">
        <v>55</v>
      </c>
      <c r="AQ12" s="109" t="s">
        <v>1403</v>
      </c>
      <c r="AR12" s="173"/>
      <c r="AS12" s="174" t="s">
        <v>1521</v>
      </c>
      <c r="AT12" s="175"/>
      <c r="AU12" s="65" t="s">
        <v>25</v>
      </c>
      <c r="AV12" s="163" t="s">
        <v>20</v>
      </c>
      <c r="AW12" s="65">
        <v>1469</v>
      </c>
      <c r="AX12" s="196">
        <v>44746.563020833331</v>
      </c>
    </row>
    <row r="13" spans="1:50">
      <c r="A13" s="124" t="s">
        <v>46</v>
      </c>
      <c r="B13" s="109" t="s">
        <v>1320</v>
      </c>
      <c r="C13" s="214" t="s">
        <v>317</v>
      </c>
      <c r="D13" s="163" t="s">
        <v>319</v>
      </c>
      <c r="E13" s="170">
        <v>159</v>
      </c>
      <c r="F13" s="171">
        <v>159</v>
      </c>
      <c r="G13" s="184">
        <v>0</v>
      </c>
      <c r="H13" s="181">
        <v>159</v>
      </c>
      <c r="I13" s="171">
        <v>159</v>
      </c>
      <c r="J13" s="184">
        <v>0</v>
      </c>
      <c r="K13" s="181">
        <v>159</v>
      </c>
      <c r="L13" s="171">
        <v>159</v>
      </c>
      <c r="M13" s="184">
        <v>0</v>
      </c>
      <c r="N13" s="181">
        <v>159</v>
      </c>
      <c r="O13" s="171">
        <v>159</v>
      </c>
      <c r="P13" s="184">
        <v>0</v>
      </c>
      <c r="Q13" s="181">
        <v>159</v>
      </c>
      <c r="R13" s="171">
        <v>159</v>
      </c>
      <c r="S13" s="184">
        <v>0</v>
      </c>
      <c r="T13" s="181">
        <v>159</v>
      </c>
      <c r="U13" s="171">
        <v>159</v>
      </c>
      <c r="V13" s="184">
        <v>0</v>
      </c>
      <c r="W13" s="181">
        <v>159</v>
      </c>
      <c r="X13" s="171">
        <v>159</v>
      </c>
      <c r="Y13" s="184">
        <v>0</v>
      </c>
      <c r="Z13" s="181">
        <v>159</v>
      </c>
      <c r="AA13" s="171">
        <v>159</v>
      </c>
      <c r="AB13" s="184">
        <v>0</v>
      </c>
      <c r="AC13" s="181">
        <v>159</v>
      </c>
      <c r="AD13" s="171">
        <v>159</v>
      </c>
      <c r="AE13" s="184">
        <v>0</v>
      </c>
      <c r="AF13" s="204">
        <v>159</v>
      </c>
      <c r="AG13" s="171">
        <v>159</v>
      </c>
      <c r="AH13" s="184">
        <v>0</v>
      </c>
      <c r="AI13" s="182" t="s">
        <v>318</v>
      </c>
      <c r="AJ13" s="163" t="s">
        <v>1419</v>
      </c>
      <c r="AK13" s="65" t="s">
        <v>17</v>
      </c>
      <c r="AL13" s="176">
        <v>30</v>
      </c>
      <c r="AM13" s="159"/>
      <c r="AN13" s="172">
        <v>159</v>
      </c>
      <c r="AO13" s="159"/>
      <c r="AP13" s="163" t="s">
        <v>55</v>
      </c>
      <c r="AQ13" s="109" t="s">
        <v>1407</v>
      </c>
      <c r="AR13" s="173"/>
      <c r="AS13" s="174" t="s">
        <v>1534</v>
      </c>
      <c r="AT13" s="175"/>
      <c r="AU13" s="65" t="s">
        <v>25</v>
      </c>
      <c r="AV13" s="163" t="s">
        <v>17</v>
      </c>
      <c r="AW13" s="65">
        <v>1282</v>
      </c>
      <c r="AX13" s="196">
        <v>44747.405150462961</v>
      </c>
    </row>
    <row r="14" spans="1:50">
      <c r="A14" s="124" t="s">
        <v>46</v>
      </c>
      <c r="B14" s="109" t="s">
        <v>1320</v>
      </c>
      <c r="C14" s="214" t="s">
        <v>384</v>
      </c>
      <c r="D14" s="163" t="s">
        <v>1535</v>
      </c>
      <c r="E14" s="170">
        <v>84.8</v>
      </c>
      <c r="F14" s="171">
        <v>84.8</v>
      </c>
      <c r="G14" s="184">
        <v>0</v>
      </c>
      <c r="H14" s="181">
        <v>84.8</v>
      </c>
      <c r="I14" s="171">
        <v>84.8</v>
      </c>
      <c r="J14" s="184">
        <v>0</v>
      </c>
      <c r="K14" s="181">
        <v>84.8</v>
      </c>
      <c r="L14" s="171">
        <v>84.8</v>
      </c>
      <c r="M14" s="184">
        <v>0</v>
      </c>
      <c r="N14" s="181">
        <v>84.8</v>
      </c>
      <c r="O14" s="171">
        <v>84.8</v>
      </c>
      <c r="P14" s="184">
        <v>0</v>
      </c>
      <c r="Q14" s="181">
        <v>84.8</v>
      </c>
      <c r="R14" s="171">
        <v>84.8</v>
      </c>
      <c r="S14" s="184">
        <v>0</v>
      </c>
      <c r="T14" s="181">
        <v>84.8</v>
      </c>
      <c r="U14" s="171">
        <v>84.8</v>
      </c>
      <c r="V14" s="184">
        <v>0</v>
      </c>
      <c r="W14" s="181">
        <v>84.8</v>
      </c>
      <c r="X14" s="171">
        <v>84.8</v>
      </c>
      <c r="Y14" s="184">
        <v>0</v>
      </c>
      <c r="Z14" s="181">
        <v>84.8</v>
      </c>
      <c r="AA14" s="171">
        <v>84.8</v>
      </c>
      <c r="AB14" s="184">
        <v>0</v>
      </c>
      <c r="AC14" s="181">
        <v>84.8</v>
      </c>
      <c r="AD14" s="171">
        <v>84.8</v>
      </c>
      <c r="AE14" s="184">
        <v>0</v>
      </c>
      <c r="AF14" s="204">
        <v>84.8</v>
      </c>
      <c r="AG14" s="171">
        <v>84.8</v>
      </c>
      <c r="AH14" s="184">
        <v>0</v>
      </c>
      <c r="AI14" s="182" t="s">
        <v>318</v>
      </c>
      <c r="AJ14" s="163" t="s">
        <v>1419</v>
      </c>
      <c r="AK14" s="65" t="s">
        <v>17</v>
      </c>
      <c r="AL14" s="176">
        <v>16</v>
      </c>
      <c r="AM14" s="159"/>
      <c r="AN14" s="172">
        <v>84.8</v>
      </c>
      <c r="AO14" s="159"/>
      <c r="AP14" s="65" t="s">
        <v>27</v>
      </c>
      <c r="AQ14" s="109" t="s">
        <v>1407</v>
      </c>
      <c r="AR14" s="173" t="s">
        <v>1537</v>
      </c>
      <c r="AS14" s="174" t="s">
        <v>1534</v>
      </c>
      <c r="AT14" s="175"/>
      <c r="AU14" s="65" t="s">
        <v>25</v>
      </c>
      <c r="AV14" s="163" t="s">
        <v>17</v>
      </c>
      <c r="AW14" s="65">
        <v>1843</v>
      </c>
      <c r="AX14" s="196">
        <v>44747.463854166665</v>
      </c>
    </row>
    <row r="15" spans="1:50">
      <c r="A15" s="124" t="s">
        <v>100</v>
      </c>
      <c r="B15" s="109" t="s">
        <v>1320</v>
      </c>
      <c r="C15" s="214" t="s">
        <v>632</v>
      </c>
      <c r="D15" s="163" t="s">
        <v>634</v>
      </c>
      <c r="E15" s="170">
        <v>88</v>
      </c>
      <c r="F15" s="171">
        <v>84</v>
      </c>
      <c r="G15" s="184">
        <v>84</v>
      </c>
      <c r="H15" s="181">
        <v>88</v>
      </c>
      <c r="I15" s="171">
        <v>84</v>
      </c>
      <c r="J15" s="184">
        <v>84</v>
      </c>
      <c r="K15" s="181">
        <v>88</v>
      </c>
      <c r="L15" s="171">
        <v>84</v>
      </c>
      <c r="M15" s="184">
        <v>84</v>
      </c>
      <c r="N15" s="181">
        <v>88</v>
      </c>
      <c r="O15" s="171">
        <v>84</v>
      </c>
      <c r="P15" s="184">
        <v>84</v>
      </c>
      <c r="Q15" s="181">
        <v>88</v>
      </c>
      <c r="R15" s="171">
        <v>84</v>
      </c>
      <c r="S15" s="184">
        <v>84</v>
      </c>
      <c r="T15" s="181">
        <v>88</v>
      </c>
      <c r="U15" s="171">
        <v>84</v>
      </c>
      <c r="V15" s="184">
        <v>84</v>
      </c>
      <c r="W15" s="181">
        <v>88</v>
      </c>
      <c r="X15" s="171">
        <v>84</v>
      </c>
      <c r="Y15" s="184">
        <v>84</v>
      </c>
      <c r="Z15" s="181">
        <v>88</v>
      </c>
      <c r="AA15" s="171">
        <v>84</v>
      </c>
      <c r="AB15" s="184">
        <v>84</v>
      </c>
      <c r="AC15" s="181">
        <v>88</v>
      </c>
      <c r="AD15" s="171">
        <v>84</v>
      </c>
      <c r="AE15" s="184">
        <v>84</v>
      </c>
      <c r="AF15" s="204">
        <v>88</v>
      </c>
      <c r="AG15" s="171">
        <v>84</v>
      </c>
      <c r="AH15" s="184">
        <v>84</v>
      </c>
      <c r="AI15" s="182" t="s">
        <v>633</v>
      </c>
      <c r="AJ15" s="163" t="s">
        <v>1429</v>
      </c>
      <c r="AK15" s="65" t="s">
        <v>1388</v>
      </c>
      <c r="AL15" s="176">
        <v>40</v>
      </c>
      <c r="AM15" s="159"/>
      <c r="AN15" s="172">
        <v>100</v>
      </c>
      <c r="AO15" s="159">
        <v>0</v>
      </c>
      <c r="AP15" s="163" t="s">
        <v>55</v>
      </c>
      <c r="AQ15" s="109" t="s">
        <v>1407</v>
      </c>
      <c r="AR15" s="173"/>
      <c r="AS15" s="174" t="s">
        <v>1547</v>
      </c>
      <c r="AT15" s="175"/>
      <c r="AU15" s="65" t="s">
        <v>25</v>
      </c>
      <c r="AV15" s="163" t="s">
        <v>1388</v>
      </c>
      <c r="AW15" s="65">
        <v>1492</v>
      </c>
      <c r="AX15" s="196">
        <v>44732.472777777781</v>
      </c>
    </row>
    <row r="16" spans="1:50">
      <c r="A16" s="124" t="s">
        <v>62</v>
      </c>
      <c r="B16" s="109" t="s">
        <v>1320</v>
      </c>
      <c r="C16" s="214" t="s">
        <v>960</v>
      </c>
      <c r="D16" s="163" t="s">
        <v>1552</v>
      </c>
      <c r="E16" s="170">
        <v>37</v>
      </c>
      <c r="F16" s="171">
        <v>36</v>
      </c>
      <c r="G16" s="184">
        <v>32</v>
      </c>
      <c r="H16" s="181">
        <v>37</v>
      </c>
      <c r="I16" s="171">
        <v>36</v>
      </c>
      <c r="J16" s="184">
        <v>32</v>
      </c>
      <c r="K16" s="181">
        <v>37</v>
      </c>
      <c r="L16" s="171">
        <v>36</v>
      </c>
      <c r="M16" s="184">
        <v>32</v>
      </c>
      <c r="N16" s="181">
        <v>37</v>
      </c>
      <c r="O16" s="171">
        <v>36</v>
      </c>
      <c r="P16" s="184">
        <v>32</v>
      </c>
      <c r="Q16" s="181">
        <v>37</v>
      </c>
      <c r="R16" s="171">
        <v>36</v>
      </c>
      <c r="S16" s="184">
        <v>32</v>
      </c>
      <c r="T16" s="181">
        <v>37</v>
      </c>
      <c r="U16" s="171">
        <v>36</v>
      </c>
      <c r="V16" s="184">
        <v>32</v>
      </c>
      <c r="W16" s="181">
        <v>37</v>
      </c>
      <c r="X16" s="171">
        <v>36</v>
      </c>
      <c r="Y16" s="184">
        <v>32</v>
      </c>
      <c r="Z16" s="181">
        <v>37</v>
      </c>
      <c r="AA16" s="171">
        <v>36</v>
      </c>
      <c r="AB16" s="184">
        <v>32</v>
      </c>
      <c r="AC16" s="181">
        <v>37</v>
      </c>
      <c r="AD16" s="171">
        <v>36</v>
      </c>
      <c r="AE16" s="184">
        <v>32</v>
      </c>
      <c r="AF16" s="204">
        <v>37</v>
      </c>
      <c r="AG16" s="171">
        <v>36</v>
      </c>
      <c r="AH16" s="184">
        <v>32</v>
      </c>
      <c r="AI16" s="182" t="s">
        <v>1551</v>
      </c>
      <c r="AJ16" s="163" t="s">
        <v>1493</v>
      </c>
      <c r="AK16" s="65" t="s">
        <v>1360</v>
      </c>
      <c r="AL16" s="176">
        <v>1</v>
      </c>
      <c r="AM16" s="159"/>
      <c r="AN16" s="172">
        <v>37</v>
      </c>
      <c r="AO16" s="159"/>
      <c r="AP16" s="163" t="s">
        <v>55</v>
      </c>
      <c r="AQ16" s="109" t="s">
        <v>1403</v>
      </c>
      <c r="AR16" s="173"/>
      <c r="AS16" s="174" t="s">
        <v>1554</v>
      </c>
      <c r="AT16" s="175"/>
      <c r="AU16" s="65" t="s">
        <v>25</v>
      </c>
      <c r="AV16" s="163" t="s">
        <v>14</v>
      </c>
      <c r="AW16" s="65">
        <v>1010</v>
      </c>
      <c r="AX16" s="196">
        <v>44658.571192129632</v>
      </c>
    </row>
    <row r="17" spans="1:50">
      <c r="A17" s="124" t="s">
        <v>80</v>
      </c>
      <c r="B17" s="109" t="s">
        <v>1320</v>
      </c>
      <c r="C17" s="214" t="s">
        <v>482</v>
      </c>
      <c r="D17" s="163" t="s">
        <v>484</v>
      </c>
      <c r="E17" s="170">
        <v>210</v>
      </c>
      <c r="F17" s="171">
        <v>210</v>
      </c>
      <c r="G17" s="184">
        <v>205.20000000000002</v>
      </c>
      <c r="H17" s="181">
        <v>210</v>
      </c>
      <c r="I17" s="171">
        <v>210</v>
      </c>
      <c r="J17" s="184">
        <v>205.20000000000002</v>
      </c>
      <c r="K17" s="181">
        <v>210</v>
      </c>
      <c r="L17" s="171">
        <v>210</v>
      </c>
      <c r="M17" s="184">
        <v>205.20000000000002</v>
      </c>
      <c r="N17" s="181">
        <v>210</v>
      </c>
      <c r="O17" s="171">
        <v>210</v>
      </c>
      <c r="P17" s="184">
        <v>205.20000000000002</v>
      </c>
      <c r="Q17" s="181">
        <v>210</v>
      </c>
      <c r="R17" s="171">
        <v>210</v>
      </c>
      <c r="S17" s="184">
        <v>205.20000000000002</v>
      </c>
      <c r="T17" s="181">
        <v>210</v>
      </c>
      <c r="U17" s="171">
        <v>210</v>
      </c>
      <c r="V17" s="184">
        <v>205.20000000000002</v>
      </c>
      <c r="W17" s="181">
        <v>210</v>
      </c>
      <c r="X17" s="171">
        <v>210</v>
      </c>
      <c r="Y17" s="184">
        <v>205.20000000000002</v>
      </c>
      <c r="Z17" s="181">
        <v>210</v>
      </c>
      <c r="AA17" s="171">
        <v>210</v>
      </c>
      <c r="AB17" s="184">
        <v>205.20000000000002</v>
      </c>
      <c r="AC17" s="181">
        <v>210</v>
      </c>
      <c r="AD17" s="171">
        <v>210</v>
      </c>
      <c r="AE17" s="184">
        <v>205.20000000000002</v>
      </c>
      <c r="AF17" s="204">
        <v>210</v>
      </c>
      <c r="AG17" s="171">
        <v>210</v>
      </c>
      <c r="AH17" s="184">
        <v>205.20000000000002</v>
      </c>
      <c r="AI17" s="182" t="s">
        <v>483</v>
      </c>
      <c r="AJ17" s="163" t="s">
        <v>1359</v>
      </c>
      <c r="AK17" s="65" t="s">
        <v>1360</v>
      </c>
      <c r="AL17" s="176">
        <v>12</v>
      </c>
      <c r="AM17" s="159"/>
      <c r="AN17" s="172">
        <v>210</v>
      </c>
      <c r="AO17" s="159"/>
      <c r="AP17" s="163" t="s">
        <v>55</v>
      </c>
      <c r="AQ17" s="109" t="s">
        <v>1403</v>
      </c>
      <c r="AR17" s="173"/>
      <c r="AS17" s="174" t="s">
        <v>1558</v>
      </c>
      <c r="AT17" s="175"/>
      <c r="AU17" s="65" t="s">
        <v>25</v>
      </c>
      <c r="AV17" s="163" t="s">
        <v>15</v>
      </c>
      <c r="AW17" s="65">
        <v>1463</v>
      </c>
      <c r="AX17" s="196">
        <v>44673.3594212963</v>
      </c>
    </row>
    <row r="18" spans="1:50">
      <c r="A18" s="124" t="s">
        <v>62</v>
      </c>
      <c r="B18" s="109" t="s">
        <v>1320</v>
      </c>
      <c r="C18" s="214" t="s">
        <v>1567</v>
      </c>
      <c r="D18" s="163" t="s">
        <v>1570</v>
      </c>
      <c r="E18" s="170">
        <v>33</v>
      </c>
      <c r="F18" s="171">
        <v>33</v>
      </c>
      <c r="G18" s="184">
        <v>33</v>
      </c>
      <c r="H18" s="181">
        <v>33</v>
      </c>
      <c r="I18" s="171">
        <v>33</v>
      </c>
      <c r="J18" s="184">
        <v>33</v>
      </c>
      <c r="K18" s="181">
        <v>33</v>
      </c>
      <c r="L18" s="171">
        <v>33</v>
      </c>
      <c r="M18" s="184">
        <v>33</v>
      </c>
      <c r="N18" s="181">
        <v>33</v>
      </c>
      <c r="O18" s="171">
        <v>33</v>
      </c>
      <c r="P18" s="184">
        <v>33</v>
      </c>
      <c r="Q18" s="181">
        <v>33</v>
      </c>
      <c r="R18" s="171">
        <v>33</v>
      </c>
      <c r="S18" s="184">
        <v>33</v>
      </c>
      <c r="T18" s="181">
        <v>33</v>
      </c>
      <c r="U18" s="171">
        <v>33</v>
      </c>
      <c r="V18" s="184">
        <v>33</v>
      </c>
      <c r="W18" s="181">
        <v>33</v>
      </c>
      <c r="X18" s="171">
        <v>33</v>
      </c>
      <c r="Y18" s="184">
        <v>33</v>
      </c>
      <c r="Z18" s="181">
        <v>33</v>
      </c>
      <c r="AA18" s="171">
        <v>33</v>
      </c>
      <c r="AB18" s="184">
        <v>33</v>
      </c>
      <c r="AC18" s="181">
        <v>33</v>
      </c>
      <c r="AD18" s="171">
        <v>33</v>
      </c>
      <c r="AE18" s="184">
        <v>33</v>
      </c>
      <c r="AF18" s="204">
        <v>33</v>
      </c>
      <c r="AG18" s="171">
        <v>33</v>
      </c>
      <c r="AH18" s="184">
        <v>33</v>
      </c>
      <c r="AI18" s="182" t="s">
        <v>1568</v>
      </c>
      <c r="AJ18" s="163" t="s">
        <v>1569</v>
      </c>
      <c r="AK18" s="65" t="s">
        <v>18</v>
      </c>
      <c r="AL18" s="176">
        <v>1</v>
      </c>
      <c r="AM18" s="159"/>
      <c r="AN18" s="172">
        <v>33</v>
      </c>
      <c r="AO18" s="159"/>
      <c r="AP18" s="163" t="s">
        <v>55</v>
      </c>
      <c r="AQ18" s="109" t="s">
        <v>1403</v>
      </c>
      <c r="AR18" s="173"/>
      <c r="AS18" s="174" t="s">
        <v>1496</v>
      </c>
      <c r="AT18" s="175"/>
      <c r="AU18" s="65" t="s">
        <v>25</v>
      </c>
      <c r="AV18" s="163" t="s">
        <v>18</v>
      </c>
      <c r="AW18" s="65">
        <v>1012</v>
      </c>
      <c r="AX18" s="196">
        <v>44746.633414351854</v>
      </c>
    </row>
    <row r="19" spans="1:50">
      <c r="A19" s="124" t="s">
        <v>62</v>
      </c>
      <c r="B19" s="109" t="s">
        <v>1320</v>
      </c>
      <c r="C19" s="214" t="s">
        <v>1567</v>
      </c>
      <c r="D19" s="163" t="s">
        <v>1572</v>
      </c>
      <c r="E19" s="170">
        <v>33</v>
      </c>
      <c r="F19" s="171">
        <v>33</v>
      </c>
      <c r="G19" s="184">
        <v>33</v>
      </c>
      <c r="H19" s="181">
        <v>33</v>
      </c>
      <c r="I19" s="171">
        <v>33</v>
      </c>
      <c r="J19" s="184">
        <v>33</v>
      </c>
      <c r="K19" s="181">
        <v>33</v>
      </c>
      <c r="L19" s="171">
        <v>33</v>
      </c>
      <c r="M19" s="184">
        <v>33</v>
      </c>
      <c r="N19" s="181">
        <v>33</v>
      </c>
      <c r="O19" s="171">
        <v>33</v>
      </c>
      <c r="P19" s="184">
        <v>33</v>
      </c>
      <c r="Q19" s="181">
        <v>33</v>
      </c>
      <c r="R19" s="171">
        <v>33</v>
      </c>
      <c r="S19" s="184">
        <v>33</v>
      </c>
      <c r="T19" s="181">
        <v>33</v>
      </c>
      <c r="U19" s="171">
        <v>33</v>
      </c>
      <c r="V19" s="184">
        <v>33</v>
      </c>
      <c r="W19" s="181">
        <v>33</v>
      </c>
      <c r="X19" s="171">
        <v>33</v>
      </c>
      <c r="Y19" s="184">
        <v>33</v>
      </c>
      <c r="Z19" s="181">
        <v>33</v>
      </c>
      <c r="AA19" s="171">
        <v>33</v>
      </c>
      <c r="AB19" s="184">
        <v>33</v>
      </c>
      <c r="AC19" s="181">
        <v>33</v>
      </c>
      <c r="AD19" s="171">
        <v>33</v>
      </c>
      <c r="AE19" s="184">
        <v>33</v>
      </c>
      <c r="AF19" s="204">
        <v>33</v>
      </c>
      <c r="AG19" s="171">
        <v>33</v>
      </c>
      <c r="AH19" s="184">
        <v>33</v>
      </c>
      <c r="AI19" s="182" t="s">
        <v>1568</v>
      </c>
      <c r="AJ19" s="163" t="s">
        <v>1569</v>
      </c>
      <c r="AK19" s="65" t="s">
        <v>18</v>
      </c>
      <c r="AL19" s="176">
        <v>1</v>
      </c>
      <c r="AM19" s="159"/>
      <c r="AN19" s="172">
        <v>33</v>
      </c>
      <c r="AO19" s="159"/>
      <c r="AP19" s="163" t="s">
        <v>55</v>
      </c>
      <c r="AQ19" s="109" t="s">
        <v>1403</v>
      </c>
      <c r="AR19" s="173"/>
      <c r="AS19" s="174" t="s">
        <v>1496</v>
      </c>
      <c r="AT19" s="175"/>
      <c r="AU19" s="65" t="s">
        <v>25</v>
      </c>
      <c r="AV19" s="163" t="s">
        <v>18</v>
      </c>
      <c r="AW19" s="65">
        <v>1012</v>
      </c>
      <c r="AX19" s="196">
        <v>44746.633414351854</v>
      </c>
    </row>
    <row r="20" spans="1:50">
      <c r="A20" s="124" t="s">
        <v>95</v>
      </c>
      <c r="B20" s="109" t="s">
        <v>1320</v>
      </c>
      <c r="C20" s="214" t="s">
        <v>1584</v>
      </c>
      <c r="D20" s="163" t="s">
        <v>1586</v>
      </c>
      <c r="E20" s="170">
        <v>81</v>
      </c>
      <c r="F20" s="171">
        <v>81</v>
      </c>
      <c r="G20" s="184">
        <v>81</v>
      </c>
      <c r="H20" s="181">
        <v>81</v>
      </c>
      <c r="I20" s="171">
        <v>81</v>
      </c>
      <c r="J20" s="184">
        <v>81</v>
      </c>
      <c r="K20" s="181">
        <v>81</v>
      </c>
      <c r="L20" s="171">
        <v>81</v>
      </c>
      <c r="M20" s="184">
        <v>81</v>
      </c>
      <c r="N20" s="181">
        <v>81</v>
      </c>
      <c r="O20" s="171">
        <v>0</v>
      </c>
      <c r="P20" s="184">
        <v>0</v>
      </c>
      <c r="Q20" s="181">
        <v>84</v>
      </c>
      <c r="R20" s="171">
        <v>84</v>
      </c>
      <c r="S20" s="184">
        <v>84</v>
      </c>
      <c r="T20" s="181">
        <v>84</v>
      </c>
      <c r="U20" s="171">
        <v>84</v>
      </c>
      <c r="V20" s="184">
        <v>84</v>
      </c>
      <c r="W20" s="181">
        <v>84</v>
      </c>
      <c r="X20" s="171">
        <v>84</v>
      </c>
      <c r="Y20" s="184">
        <v>84</v>
      </c>
      <c r="Z20" s="181">
        <v>84</v>
      </c>
      <c r="AA20" s="171">
        <v>84</v>
      </c>
      <c r="AB20" s="184">
        <v>84</v>
      </c>
      <c r="AC20" s="181">
        <v>84</v>
      </c>
      <c r="AD20" s="171">
        <v>84</v>
      </c>
      <c r="AE20" s="184">
        <v>84</v>
      </c>
      <c r="AF20" s="204">
        <v>84</v>
      </c>
      <c r="AG20" s="171">
        <v>84</v>
      </c>
      <c r="AH20" s="184">
        <v>84</v>
      </c>
      <c r="AI20" s="182" t="s">
        <v>1585</v>
      </c>
      <c r="AJ20" s="163" t="s">
        <v>1539</v>
      </c>
      <c r="AK20" s="65" t="s">
        <v>18</v>
      </c>
      <c r="AL20" s="176">
        <v>1</v>
      </c>
      <c r="AM20" s="159"/>
      <c r="AN20" s="172">
        <v>79.900000000000006</v>
      </c>
      <c r="AO20" s="159"/>
      <c r="AP20" s="163" t="s">
        <v>55</v>
      </c>
      <c r="AQ20" s="109" t="s">
        <v>1403</v>
      </c>
      <c r="AR20" s="173"/>
      <c r="AS20" s="174" t="s">
        <v>1588</v>
      </c>
      <c r="AT20" s="175"/>
      <c r="AU20" s="65" t="s">
        <v>25</v>
      </c>
      <c r="AV20" s="163" t="s">
        <v>18</v>
      </c>
      <c r="AW20" s="65">
        <v>1013</v>
      </c>
      <c r="AX20" s="196">
        <v>44670.574675925927</v>
      </c>
    </row>
    <row r="21" spans="1:50">
      <c r="A21" s="124" t="s">
        <v>46</v>
      </c>
      <c r="B21" s="109" t="s">
        <v>1320</v>
      </c>
      <c r="C21" s="214" t="s">
        <v>142</v>
      </c>
      <c r="D21" s="163" t="s">
        <v>1598</v>
      </c>
      <c r="E21" s="170">
        <v>660</v>
      </c>
      <c r="F21" s="171">
        <v>660</v>
      </c>
      <c r="G21" s="184">
        <v>630</v>
      </c>
      <c r="H21" s="170">
        <v>660</v>
      </c>
      <c r="I21" s="171">
        <v>660</v>
      </c>
      <c r="J21" s="184">
        <v>630</v>
      </c>
      <c r="K21" s="170">
        <v>685</v>
      </c>
      <c r="L21" s="171">
        <v>685</v>
      </c>
      <c r="M21" s="184">
        <v>655</v>
      </c>
      <c r="N21" s="170">
        <v>685</v>
      </c>
      <c r="O21" s="171">
        <v>685</v>
      </c>
      <c r="P21" s="184">
        <v>655</v>
      </c>
      <c r="Q21" s="170">
        <v>685</v>
      </c>
      <c r="R21" s="171">
        <v>685</v>
      </c>
      <c r="S21" s="184">
        <v>655</v>
      </c>
      <c r="T21" s="170">
        <v>685</v>
      </c>
      <c r="U21" s="171">
        <v>685</v>
      </c>
      <c r="V21" s="184">
        <v>655</v>
      </c>
      <c r="W21" s="170">
        <v>685</v>
      </c>
      <c r="X21" s="171">
        <v>685</v>
      </c>
      <c r="Y21" s="184">
        <v>655</v>
      </c>
      <c r="Z21" s="170">
        <v>685</v>
      </c>
      <c r="AA21" s="171">
        <v>685</v>
      </c>
      <c r="AB21" s="184">
        <v>655</v>
      </c>
      <c r="AC21" s="170">
        <v>685</v>
      </c>
      <c r="AD21" s="171">
        <v>685</v>
      </c>
      <c r="AE21" s="184">
        <v>655</v>
      </c>
      <c r="AF21" s="170">
        <v>685</v>
      </c>
      <c r="AG21" s="171">
        <v>685</v>
      </c>
      <c r="AH21" s="184">
        <v>655</v>
      </c>
      <c r="AI21" s="182" t="s">
        <v>217</v>
      </c>
      <c r="AJ21" s="163" t="s">
        <v>1596</v>
      </c>
      <c r="AK21" s="65" t="s">
        <v>1597</v>
      </c>
      <c r="AL21" s="176">
        <v>1</v>
      </c>
      <c r="AM21" s="159"/>
      <c r="AN21" s="172">
        <v>660</v>
      </c>
      <c r="AO21" s="159"/>
      <c r="AP21" s="163" t="s">
        <v>55</v>
      </c>
      <c r="AQ21" s="109" t="s">
        <v>1403</v>
      </c>
      <c r="AR21" s="173"/>
      <c r="AS21" s="174" t="s">
        <v>1521</v>
      </c>
      <c r="AT21" s="175"/>
      <c r="AU21" s="65" t="s">
        <v>25</v>
      </c>
      <c r="AV21" s="163" t="s">
        <v>12</v>
      </c>
      <c r="AW21" s="65">
        <v>1014</v>
      </c>
      <c r="AX21" s="199">
        <v>44746.664594907408</v>
      </c>
    </row>
    <row r="22" spans="1:50">
      <c r="A22" s="124" t="s">
        <v>46</v>
      </c>
      <c r="B22" s="109" t="s">
        <v>1320</v>
      </c>
      <c r="C22" s="214" t="s">
        <v>142</v>
      </c>
      <c r="D22" s="163" t="s">
        <v>1603</v>
      </c>
      <c r="E22" s="170">
        <v>685</v>
      </c>
      <c r="F22" s="171">
        <v>685</v>
      </c>
      <c r="G22" s="184">
        <v>655</v>
      </c>
      <c r="H22" s="170">
        <v>685</v>
      </c>
      <c r="I22" s="171">
        <v>685</v>
      </c>
      <c r="J22" s="184">
        <v>655</v>
      </c>
      <c r="K22" s="170">
        <v>685</v>
      </c>
      <c r="L22" s="171">
        <v>685</v>
      </c>
      <c r="M22" s="184">
        <v>655</v>
      </c>
      <c r="N22" s="170">
        <v>685</v>
      </c>
      <c r="O22" s="171">
        <v>685</v>
      </c>
      <c r="P22" s="184">
        <v>655</v>
      </c>
      <c r="Q22" s="170">
        <v>685</v>
      </c>
      <c r="R22" s="171">
        <v>685</v>
      </c>
      <c r="S22" s="184">
        <v>655</v>
      </c>
      <c r="T22" s="170">
        <v>685</v>
      </c>
      <c r="U22" s="171">
        <v>685</v>
      </c>
      <c r="V22" s="184">
        <v>655</v>
      </c>
      <c r="W22" s="170">
        <v>685</v>
      </c>
      <c r="X22" s="171">
        <v>685</v>
      </c>
      <c r="Y22" s="184">
        <v>655</v>
      </c>
      <c r="Z22" s="170">
        <v>685</v>
      </c>
      <c r="AA22" s="171">
        <v>685</v>
      </c>
      <c r="AB22" s="184">
        <v>655</v>
      </c>
      <c r="AC22" s="170">
        <v>685</v>
      </c>
      <c r="AD22" s="171">
        <v>685</v>
      </c>
      <c r="AE22" s="184">
        <v>655</v>
      </c>
      <c r="AF22" s="170">
        <v>685</v>
      </c>
      <c r="AG22" s="171">
        <v>685</v>
      </c>
      <c r="AH22" s="184">
        <v>655</v>
      </c>
      <c r="AI22" s="182" t="s">
        <v>217</v>
      </c>
      <c r="AJ22" s="163" t="s">
        <v>1596</v>
      </c>
      <c r="AK22" s="65" t="s">
        <v>1597</v>
      </c>
      <c r="AL22" s="176">
        <v>1</v>
      </c>
      <c r="AM22" s="159"/>
      <c r="AN22" s="172">
        <v>660</v>
      </c>
      <c r="AO22" s="159"/>
      <c r="AP22" s="163" t="s">
        <v>55</v>
      </c>
      <c r="AQ22" s="109" t="s">
        <v>1403</v>
      </c>
      <c r="AR22" s="173"/>
      <c r="AS22" s="174" t="s">
        <v>1521</v>
      </c>
      <c r="AT22" s="175"/>
      <c r="AU22" s="65" t="s">
        <v>25</v>
      </c>
      <c r="AV22" s="163" t="s">
        <v>12</v>
      </c>
      <c r="AW22" s="65">
        <v>1014</v>
      </c>
      <c r="AX22" s="199">
        <v>44746.664594907408</v>
      </c>
    </row>
    <row r="23" spans="1:50">
      <c r="A23" s="124" t="s">
        <v>46</v>
      </c>
      <c r="B23" s="109" t="s">
        <v>1320</v>
      </c>
      <c r="C23" s="214" t="s">
        <v>142</v>
      </c>
      <c r="D23" s="163" t="s">
        <v>1606</v>
      </c>
      <c r="E23" s="170">
        <v>660</v>
      </c>
      <c r="F23" s="171">
        <v>660</v>
      </c>
      <c r="G23" s="184">
        <v>630</v>
      </c>
      <c r="H23" s="170">
        <v>685</v>
      </c>
      <c r="I23" s="171">
        <v>685</v>
      </c>
      <c r="J23" s="184">
        <v>655</v>
      </c>
      <c r="K23" s="170">
        <v>685</v>
      </c>
      <c r="L23" s="171">
        <v>685</v>
      </c>
      <c r="M23" s="184">
        <v>655</v>
      </c>
      <c r="N23" s="170">
        <v>685</v>
      </c>
      <c r="O23" s="171">
        <v>685</v>
      </c>
      <c r="P23" s="184">
        <v>655</v>
      </c>
      <c r="Q23" s="170">
        <v>685</v>
      </c>
      <c r="R23" s="171">
        <v>685</v>
      </c>
      <c r="S23" s="184">
        <v>655</v>
      </c>
      <c r="T23" s="170">
        <v>685</v>
      </c>
      <c r="U23" s="171">
        <v>685</v>
      </c>
      <c r="V23" s="184">
        <v>655</v>
      </c>
      <c r="W23" s="170">
        <v>685</v>
      </c>
      <c r="X23" s="171">
        <v>685</v>
      </c>
      <c r="Y23" s="184">
        <v>655</v>
      </c>
      <c r="Z23" s="170">
        <v>685</v>
      </c>
      <c r="AA23" s="171">
        <v>685</v>
      </c>
      <c r="AB23" s="184">
        <v>655</v>
      </c>
      <c r="AC23" s="170">
        <v>685</v>
      </c>
      <c r="AD23" s="171">
        <v>685</v>
      </c>
      <c r="AE23" s="184">
        <v>655</v>
      </c>
      <c r="AF23" s="170">
        <v>685</v>
      </c>
      <c r="AG23" s="171">
        <v>685</v>
      </c>
      <c r="AH23" s="184">
        <v>655</v>
      </c>
      <c r="AI23" s="182" t="s">
        <v>217</v>
      </c>
      <c r="AJ23" s="163" t="s">
        <v>1596</v>
      </c>
      <c r="AK23" s="65" t="s">
        <v>1597</v>
      </c>
      <c r="AL23" s="176">
        <v>1</v>
      </c>
      <c r="AM23" s="159"/>
      <c r="AN23" s="172">
        <v>660</v>
      </c>
      <c r="AO23" s="159"/>
      <c r="AP23" s="163" t="s">
        <v>55</v>
      </c>
      <c r="AQ23" s="109" t="s">
        <v>1403</v>
      </c>
      <c r="AR23" s="173"/>
      <c r="AS23" s="174" t="s">
        <v>1521</v>
      </c>
      <c r="AT23" s="175"/>
      <c r="AU23" s="65" t="s">
        <v>25</v>
      </c>
      <c r="AV23" s="163" t="s">
        <v>12</v>
      </c>
      <c r="AW23" s="65">
        <v>1014</v>
      </c>
      <c r="AX23" s="199">
        <v>44746.664594907408</v>
      </c>
    </row>
    <row r="24" spans="1:50">
      <c r="A24" s="124" t="s">
        <v>46</v>
      </c>
      <c r="B24" s="109" t="s">
        <v>1320</v>
      </c>
      <c r="C24" s="214" t="s">
        <v>142</v>
      </c>
      <c r="D24" s="163" t="s">
        <v>1607</v>
      </c>
      <c r="E24" s="170">
        <v>685</v>
      </c>
      <c r="F24" s="171">
        <v>685</v>
      </c>
      <c r="G24" s="184">
        <v>655</v>
      </c>
      <c r="H24" s="170">
        <v>685</v>
      </c>
      <c r="I24" s="171">
        <v>685</v>
      </c>
      <c r="J24" s="184">
        <v>655</v>
      </c>
      <c r="K24" s="170">
        <v>685</v>
      </c>
      <c r="L24" s="171">
        <v>685</v>
      </c>
      <c r="M24" s="184">
        <v>655</v>
      </c>
      <c r="N24" s="170">
        <v>685</v>
      </c>
      <c r="O24" s="171">
        <v>685</v>
      </c>
      <c r="P24" s="184">
        <v>655</v>
      </c>
      <c r="Q24" s="170">
        <v>685</v>
      </c>
      <c r="R24" s="171">
        <v>685</v>
      </c>
      <c r="S24" s="184">
        <v>655</v>
      </c>
      <c r="T24" s="170">
        <v>685</v>
      </c>
      <c r="U24" s="171">
        <v>685</v>
      </c>
      <c r="V24" s="184">
        <v>655</v>
      </c>
      <c r="W24" s="170">
        <v>685</v>
      </c>
      <c r="X24" s="171">
        <v>685</v>
      </c>
      <c r="Y24" s="184">
        <v>655</v>
      </c>
      <c r="Z24" s="170">
        <v>685</v>
      </c>
      <c r="AA24" s="171">
        <v>685</v>
      </c>
      <c r="AB24" s="184">
        <v>655</v>
      </c>
      <c r="AC24" s="170">
        <v>685</v>
      </c>
      <c r="AD24" s="171">
        <v>685</v>
      </c>
      <c r="AE24" s="184">
        <v>655</v>
      </c>
      <c r="AF24" s="170">
        <v>685</v>
      </c>
      <c r="AG24" s="171">
        <v>685</v>
      </c>
      <c r="AH24" s="184">
        <v>655</v>
      </c>
      <c r="AI24" s="182" t="s">
        <v>217</v>
      </c>
      <c r="AJ24" s="163" t="s">
        <v>1596</v>
      </c>
      <c r="AK24" s="65" t="s">
        <v>1597</v>
      </c>
      <c r="AL24" s="176">
        <v>1</v>
      </c>
      <c r="AM24" s="159"/>
      <c r="AN24" s="172">
        <v>685</v>
      </c>
      <c r="AO24" s="159"/>
      <c r="AP24" s="163" t="s">
        <v>55</v>
      </c>
      <c r="AQ24" s="109" t="s">
        <v>1403</v>
      </c>
      <c r="AR24" s="173"/>
      <c r="AS24" s="174" t="s">
        <v>1521</v>
      </c>
      <c r="AT24" s="175"/>
      <c r="AU24" s="65" t="s">
        <v>25</v>
      </c>
      <c r="AV24" s="163" t="s">
        <v>12</v>
      </c>
      <c r="AW24" s="65">
        <v>1014</v>
      </c>
      <c r="AX24" s="199">
        <v>44746.664594907408</v>
      </c>
    </row>
    <row r="25" spans="1:50">
      <c r="A25" s="124" t="s">
        <v>95</v>
      </c>
      <c r="B25" s="109" t="s">
        <v>1320</v>
      </c>
      <c r="C25" s="214" t="s">
        <v>1616</v>
      </c>
      <c r="D25" s="163" t="s">
        <v>1617</v>
      </c>
      <c r="E25" s="170">
        <v>40</v>
      </c>
      <c r="F25" s="171">
        <v>40</v>
      </c>
      <c r="G25" s="184">
        <v>40</v>
      </c>
      <c r="H25" s="181">
        <v>40</v>
      </c>
      <c r="I25" s="171">
        <v>40</v>
      </c>
      <c r="J25" s="184">
        <v>40</v>
      </c>
      <c r="K25" s="181">
        <v>40</v>
      </c>
      <c r="L25" s="171">
        <v>40</v>
      </c>
      <c r="M25" s="184">
        <v>40</v>
      </c>
      <c r="N25" s="181">
        <v>40</v>
      </c>
      <c r="O25" s="171">
        <v>40</v>
      </c>
      <c r="P25" s="184">
        <v>40</v>
      </c>
      <c r="Q25" s="181">
        <v>40</v>
      </c>
      <c r="R25" s="171">
        <v>40</v>
      </c>
      <c r="S25" s="184">
        <v>40</v>
      </c>
      <c r="T25" s="181">
        <v>40</v>
      </c>
      <c r="U25" s="171">
        <v>40</v>
      </c>
      <c r="V25" s="184">
        <v>40</v>
      </c>
      <c r="W25" s="181">
        <v>40</v>
      </c>
      <c r="X25" s="171">
        <v>40</v>
      </c>
      <c r="Y25" s="184">
        <v>40</v>
      </c>
      <c r="Z25" s="181">
        <v>40</v>
      </c>
      <c r="AA25" s="171">
        <v>40</v>
      </c>
      <c r="AB25" s="184">
        <v>40</v>
      </c>
      <c r="AC25" s="181">
        <v>40</v>
      </c>
      <c r="AD25" s="171">
        <v>40</v>
      </c>
      <c r="AE25" s="184">
        <v>40</v>
      </c>
      <c r="AF25" s="204">
        <v>40</v>
      </c>
      <c r="AG25" s="171">
        <v>40</v>
      </c>
      <c r="AH25" s="184">
        <v>40</v>
      </c>
      <c r="AI25" s="182" t="s">
        <v>97</v>
      </c>
      <c r="AJ25" s="163" t="s">
        <v>1493</v>
      </c>
      <c r="AK25" s="65" t="s">
        <v>1360</v>
      </c>
      <c r="AL25" s="176">
        <v>1</v>
      </c>
      <c r="AM25" s="159"/>
      <c r="AN25" s="172">
        <v>40</v>
      </c>
      <c r="AO25" s="159"/>
      <c r="AP25" s="163" t="s">
        <v>55</v>
      </c>
      <c r="AQ25" s="109" t="s">
        <v>1403</v>
      </c>
      <c r="AR25" s="173"/>
      <c r="AS25" s="174" t="s">
        <v>1511</v>
      </c>
      <c r="AT25" s="175"/>
      <c r="AU25" s="65" t="s">
        <v>25</v>
      </c>
      <c r="AV25" s="163" t="s">
        <v>14</v>
      </c>
      <c r="AW25" s="65">
        <v>1015</v>
      </c>
      <c r="AX25" s="196">
        <v>44670.5780787037</v>
      </c>
    </row>
    <row r="26" spans="1:50">
      <c r="A26" s="124" t="s">
        <v>95</v>
      </c>
      <c r="B26" s="109" t="s">
        <v>1320</v>
      </c>
      <c r="C26" s="214" t="s">
        <v>1616</v>
      </c>
      <c r="D26" s="163" t="s">
        <v>1619</v>
      </c>
      <c r="E26" s="170">
        <v>40</v>
      </c>
      <c r="F26" s="171">
        <v>40</v>
      </c>
      <c r="G26" s="184">
        <v>40</v>
      </c>
      <c r="H26" s="181">
        <v>40</v>
      </c>
      <c r="I26" s="171">
        <v>40</v>
      </c>
      <c r="J26" s="184">
        <v>40</v>
      </c>
      <c r="K26" s="181">
        <v>40</v>
      </c>
      <c r="L26" s="171">
        <v>40</v>
      </c>
      <c r="M26" s="184">
        <v>40</v>
      </c>
      <c r="N26" s="181">
        <v>40</v>
      </c>
      <c r="O26" s="171">
        <v>40</v>
      </c>
      <c r="P26" s="184">
        <v>40</v>
      </c>
      <c r="Q26" s="181">
        <v>40</v>
      </c>
      <c r="R26" s="171">
        <v>40</v>
      </c>
      <c r="S26" s="184">
        <v>40</v>
      </c>
      <c r="T26" s="181">
        <v>40</v>
      </c>
      <c r="U26" s="171">
        <v>40</v>
      </c>
      <c r="V26" s="184">
        <v>40</v>
      </c>
      <c r="W26" s="181">
        <v>40</v>
      </c>
      <c r="X26" s="171">
        <v>40</v>
      </c>
      <c r="Y26" s="184">
        <v>40</v>
      </c>
      <c r="Z26" s="181">
        <v>40</v>
      </c>
      <c r="AA26" s="171">
        <v>40</v>
      </c>
      <c r="AB26" s="184">
        <v>40</v>
      </c>
      <c r="AC26" s="181">
        <v>40</v>
      </c>
      <c r="AD26" s="171">
        <v>40</v>
      </c>
      <c r="AE26" s="184">
        <v>40</v>
      </c>
      <c r="AF26" s="204">
        <v>40</v>
      </c>
      <c r="AG26" s="171">
        <v>40</v>
      </c>
      <c r="AH26" s="184">
        <v>40</v>
      </c>
      <c r="AI26" s="182" t="s">
        <v>97</v>
      </c>
      <c r="AJ26" s="163" t="s">
        <v>1493</v>
      </c>
      <c r="AK26" s="65" t="s">
        <v>1360</v>
      </c>
      <c r="AL26" s="176">
        <v>1</v>
      </c>
      <c r="AM26" s="159"/>
      <c r="AN26" s="172">
        <v>40</v>
      </c>
      <c r="AO26" s="159"/>
      <c r="AP26" s="163" t="s">
        <v>55</v>
      </c>
      <c r="AQ26" s="109" t="s">
        <v>1403</v>
      </c>
      <c r="AR26" s="173"/>
      <c r="AS26" s="174" t="s">
        <v>1511</v>
      </c>
      <c r="AT26" s="175"/>
      <c r="AU26" s="65" t="s">
        <v>25</v>
      </c>
      <c r="AV26" s="163" t="s">
        <v>14</v>
      </c>
      <c r="AW26" s="65">
        <v>1015</v>
      </c>
      <c r="AX26" s="196">
        <v>44670.5780787037</v>
      </c>
    </row>
    <row r="27" spans="1:50">
      <c r="A27" s="124" t="s">
        <v>95</v>
      </c>
      <c r="B27" s="109" t="s">
        <v>1320</v>
      </c>
      <c r="C27" s="214" t="s">
        <v>1616</v>
      </c>
      <c r="D27" s="163" t="s">
        <v>1620</v>
      </c>
      <c r="E27" s="170">
        <v>25</v>
      </c>
      <c r="F27" s="171">
        <v>25</v>
      </c>
      <c r="G27" s="184">
        <v>25</v>
      </c>
      <c r="H27" s="181">
        <v>25</v>
      </c>
      <c r="I27" s="171">
        <v>25</v>
      </c>
      <c r="J27" s="184">
        <v>25</v>
      </c>
      <c r="K27" s="181">
        <v>25</v>
      </c>
      <c r="L27" s="171">
        <v>25</v>
      </c>
      <c r="M27" s="184">
        <v>25</v>
      </c>
      <c r="N27" s="181">
        <v>25</v>
      </c>
      <c r="O27" s="171">
        <v>25</v>
      </c>
      <c r="P27" s="184">
        <v>25</v>
      </c>
      <c r="Q27" s="181">
        <v>25</v>
      </c>
      <c r="R27" s="171">
        <v>25</v>
      </c>
      <c r="S27" s="184">
        <v>25</v>
      </c>
      <c r="T27" s="181">
        <v>25</v>
      </c>
      <c r="U27" s="171">
        <v>25</v>
      </c>
      <c r="V27" s="184">
        <v>25</v>
      </c>
      <c r="W27" s="181">
        <v>25</v>
      </c>
      <c r="X27" s="171">
        <v>25</v>
      </c>
      <c r="Y27" s="184">
        <v>25</v>
      </c>
      <c r="Z27" s="181">
        <v>25</v>
      </c>
      <c r="AA27" s="171">
        <v>25</v>
      </c>
      <c r="AB27" s="184">
        <v>25</v>
      </c>
      <c r="AC27" s="181">
        <v>25</v>
      </c>
      <c r="AD27" s="171">
        <v>25</v>
      </c>
      <c r="AE27" s="184">
        <v>25</v>
      </c>
      <c r="AF27" s="204">
        <v>25</v>
      </c>
      <c r="AG27" s="171">
        <v>25</v>
      </c>
      <c r="AH27" s="184">
        <v>25</v>
      </c>
      <c r="AI27" s="182" t="s">
        <v>97</v>
      </c>
      <c r="AJ27" s="163" t="s">
        <v>1493</v>
      </c>
      <c r="AK27" s="65" t="s">
        <v>1360</v>
      </c>
      <c r="AL27" s="176">
        <v>1</v>
      </c>
      <c r="AM27" s="159"/>
      <c r="AN27" s="172">
        <v>40</v>
      </c>
      <c r="AO27" s="159"/>
      <c r="AP27" s="163" t="s">
        <v>55</v>
      </c>
      <c r="AQ27" s="109" t="s">
        <v>1403</v>
      </c>
      <c r="AR27" s="173"/>
      <c r="AS27" s="174" t="s">
        <v>1511</v>
      </c>
      <c r="AT27" s="175"/>
      <c r="AU27" s="65" t="s">
        <v>25</v>
      </c>
      <c r="AV27" s="163" t="s">
        <v>14</v>
      </c>
      <c r="AW27" s="65">
        <v>1015</v>
      </c>
      <c r="AX27" s="196">
        <v>44670.5780787037</v>
      </c>
    </row>
    <row r="28" spans="1:50">
      <c r="A28" s="124" t="s">
        <v>100</v>
      </c>
      <c r="B28" s="109" t="s">
        <v>1385</v>
      </c>
      <c r="C28" s="214" t="s">
        <v>266</v>
      </c>
      <c r="D28" s="163" t="s">
        <v>208</v>
      </c>
      <c r="E28" s="170">
        <v>106.366</v>
      </c>
      <c r="F28" s="171">
        <v>106.366</v>
      </c>
      <c r="G28" s="184">
        <v>106.366</v>
      </c>
      <c r="H28" s="181">
        <v>106.366</v>
      </c>
      <c r="I28" s="171">
        <v>106.366</v>
      </c>
      <c r="J28" s="184">
        <v>106.366</v>
      </c>
      <c r="K28" s="181">
        <v>106.366</v>
      </c>
      <c r="L28" s="171">
        <v>106.366</v>
      </c>
      <c r="M28" s="184">
        <v>106.366</v>
      </c>
      <c r="N28" s="181">
        <v>106.366</v>
      </c>
      <c r="O28" s="171">
        <v>106.366</v>
      </c>
      <c r="P28" s="184">
        <v>106.366</v>
      </c>
      <c r="Q28" s="181">
        <v>106.366</v>
      </c>
      <c r="R28" s="171">
        <v>106.366</v>
      </c>
      <c r="S28" s="184">
        <v>106.366</v>
      </c>
      <c r="T28" s="181">
        <v>106.366</v>
      </c>
      <c r="U28" s="171">
        <v>106.366</v>
      </c>
      <c r="V28" s="184">
        <v>106.366</v>
      </c>
      <c r="W28" s="181">
        <v>106.366</v>
      </c>
      <c r="X28" s="171">
        <v>106.366</v>
      </c>
      <c r="Y28" s="184">
        <v>106.366</v>
      </c>
      <c r="Z28" s="181">
        <v>106.366</v>
      </c>
      <c r="AA28" s="171">
        <v>106.366</v>
      </c>
      <c r="AB28" s="184">
        <v>106.366</v>
      </c>
      <c r="AC28" s="181">
        <v>106.366</v>
      </c>
      <c r="AD28" s="171">
        <v>106.366</v>
      </c>
      <c r="AE28" s="184">
        <v>106.366</v>
      </c>
      <c r="AF28" s="204">
        <v>106.366</v>
      </c>
      <c r="AG28" s="171">
        <v>106.366</v>
      </c>
      <c r="AH28" s="184">
        <v>106.366</v>
      </c>
      <c r="AI28" s="182" t="s">
        <v>267</v>
      </c>
      <c r="AJ28" s="163" t="s">
        <v>1419</v>
      </c>
      <c r="AK28" s="65" t="s">
        <v>17</v>
      </c>
      <c r="AL28" s="176">
        <v>26</v>
      </c>
      <c r="AM28" s="159"/>
      <c r="AN28" s="172">
        <v>109.2</v>
      </c>
      <c r="AO28" s="159"/>
      <c r="AP28" s="163" t="s">
        <v>27</v>
      </c>
      <c r="AQ28" s="109" t="s">
        <v>1407</v>
      </c>
      <c r="AR28" s="173" t="s">
        <v>1628</v>
      </c>
      <c r="AS28" s="174" t="s">
        <v>1474</v>
      </c>
      <c r="AT28" s="175"/>
      <c r="AU28" s="65" t="s">
        <v>27</v>
      </c>
      <c r="AV28" s="163" t="s">
        <v>17</v>
      </c>
      <c r="AW28" s="65">
        <v>1018</v>
      </c>
      <c r="AX28" s="200">
        <v>44742.558182870373</v>
      </c>
    </row>
    <row r="29" spans="1:50">
      <c r="A29" s="124" t="s">
        <v>100</v>
      </c>
      <c r="B29" s="109" t="s">
        <v>1320</v>
      </c>
      <c r="C29" s="214" t="s">
        <v>266</v>
      </c>
      <c r="D29" s="163" t="s">
        <v>268</v>
      </c>
      <c r="E29" s="170">
        <v>175.91300000000001</v>
      </c>
      <c r="F29" s="171">
        <v>175.91300000000001</v>
      </c>
      <c r="G29" s="184">
        <v>175.91300000000001</v>
      </c>
      <c r="H29" s="181">
        <v>175.91300000000001</v>
      </c>
      <c r="I29" s="171">
        <v>175.91300000000001</v>
      </c>
      <c r="J29" s="184">
        <v>175.91300000000001</v>
      </c>
      <c r="K29" s="181">
        <v>175.91300000000001</v>
      </c>
      <c r="L29" s="171">
        <v>175.91300000000001</v>
      </c>
      <c r="M29" s="184">
        <v>175.91300000000001</v>
      </c>
      <c r="N29" s="181">
        <v>175.91300000000001</v>
      </c>
      <c r="O29" s="171">
        <v>175.91300000000001</v>
      </c>
      <c r="P29" s="184">
        <v>175.91300000000001</v>
      </c>
      <c r="Q29" s="181">
        <v>175.91300000000001</v>
      </c>
      <c r="R29" s="171">
        <v>175.91300000000001</v>
      </c>
      <c r="S29" s="184">
        <v>175.91300000000001</v>
      </c>
      <c r="T29" s="181">
        <v>175.91300000000001</v>
      </c>
      <c r="U29" s="171">
        <v>175.91300000000001</v>
      </c>
      <c r="V29" s="184">
        <v>175.91300000000001</v>
      </c>
      <c r="W29" s="181">
        <v>175.91300000000001</v>
      </c>
      <c r="X29" s="171">
        <v>175.91300000000001</v>
      </c>
      <c r="Y29" s="184">
        <v>175.91300000000001</v>
      </c>
      <c r="Z29" s="181">
        <v>175.91300000000001</v>
      </c>
      <c r="AA29" s="171">
        <v>175.91300000000001</v>
      </c>
      <c r="AB29" s="184">
        <v>175.91300000000001</v>
      </c>
      <c r="AC29" s="181">
        <v>175.91300000000001</v>
      </c>
      <c r="AD29" s="171">
        <v>175.91300000000001</v>
      </c>
      <c r="AE29" s="184">
        <v>175.91300000000001</v>
      </c>
      <c r="AF29" s="204">
        <v>175.91300000000001</v>
      </c>
      <c r="AG29" s="171">
        <v>175.91300000000001</v>
      </c>
      <c r="AH29" s="184">
        <v>175.91300000000001</v>
      </c>
      <c r="AI29" s="182" t="s">
        <v>267</v>
      </c>
      <c r="AJ29" s="163" t="s">
        <v>1419</v>
      </c>
      <c r="AK29" s="65" t="s">
        <v>17</v>
      </c>
      <c r="AL29" s="176">
        <v>43</v>
      </c>
      <c r="AM29" s="159"/>
      <c r="AN29" s="172">
        <v>180.6</v>
      </c>
      <c r="AO29" s="159">
        <v>0</v>
      </c>
      <c r="AP29" s="163" t="s">
        <v>55</v>
      </c>
      <c r="AQ29" s="109" t="s">
        <v>1407</v>
      </c>
      <c r="AR29" s="173"/>
      <c r="AS29" s="174" t="s">
        <v>1532</v>
      </c>
      <c r="AT29" s="175"/>
      <c r="AU29" s="65" t="s">
        <v>25</v>
      </c>
      <c r="AV29" s="163" t="s">
        <v>17</v>
      </c>
      <c r="AW29" s="65">
        <v>1018</v>
      </c>
      <c r="AX29" s="196">
        <v>44742.558182870373</v>
      </c>
    </row>
    <row r="30" spans="1:50">
      <c r="A30" s="124" t="s">
        <v>46</v>
      </c>
      <c r="B30" s="109" t="s">
        <v>1320</v>
      </c>
      <c r="C30" s="214" t="s">
        <v>529</v>
      </c>
      <c r="D30" s="163" t="s">
        <v>1634</v>
      </c>
      <c r="E30" s="170">
        <v>87</v>
      </c>
      <c r="F30" s="171">
        <v>87</v>
      </c>
      <c r="G30" s="184">
        <v>87</v>
      </c>
      <c r="H30" s="181">
        <v>87</v>
      </c>
      <c r="I30" s="171">
        <v>87</v>
      </c>
      <c r="J30" s="184">
        <v>87</v>
      </c>
      <c r="K30" s="181">
        <v>87</v>
      </c>
      <c r="L30" s="171">
        <v>87</v>
      </c>
      <c r="M30" s="184">
        <v>87</v>
      </c>
      <c r="N30" s="181">
        <v>87</v>
      </c>
      <c r="O30" s="171">
        <v>87</v>
      </c>
      <c r="P30" s="184">
        <v>87</v>
      </c>
      <c r="Q30" s="181">
        <v>87</v>
      </c>
      <c r="R30" s="171">
        <v>87</v>
      </c>
      <c r="S30" s="184">
        <v>87</v>
      </c>
      <c r="T30" s="181">
        <v>87</v>
      </c>
      <c r="U30" s="171">
        <v>87</v>
      </c>
      <c r="V30" s="184">
        <v>87</v>
      </c>
      <c r="W30" s="181">
        <v>87</v>
      </c>
      <c r="X30" s="171">
        <v>87</v>
      </c>
      <c r="Y30" s="184">
        <v>87</v>
      </c>
      <c r="Z30" s="181">
        <v>87</v>
      </c>
      <c r="AA30" s="171">
        <v>87</v>
      </c>
      <c r="AB30" s="184">
        <v>87</v>
      </c>
      <c r="AC30" s="181">
        <v>87</v>
      </c>
      <c r="AD30" s="171">
        <v>87</v>
      </c>
      <c r="AE30" s="184">
        <v>87</v>
      </c>
      <c r="AF30" s="204">
        <v>87</v>
      </c>
      <c r="AG30" s="171">
        <v>87</v>
      </c>
      <c r="AH30" s="184">
        <v>87</v>
      </c>
      <c r="AI30" s="182" t="s">
        <v>530</v>
      </c>
      <c r="AJ30" s="163" t="s">
        <v>1429</v>
      </c>
      <c r="AK30" s="65" t="s">
        <v>1388</v>
      </c>
      <c r="AL30" s="176">
        <v>60</v>
      </c>
      <c r="AM30" s="159"/>
      <c r="AN30" s="172">
        <v>98.399999999999991</v>
      </c>
      <c r="AO30" s="159">
        <v>0</v>
      </c>
      <c r="AP30" s="163" t="s">
        <v>55</v>
      </c>
      <c r="AQ30" s="109" t="s">
        <v>1407</v>
      </c>
      <c r="AR30" s="173"/>
      <c r="AS30" s="174" t="s">
        <v>1547</v>
      </c>
      <c r="AT30" s="175"/>
      <c r="AU30" s="65" t="s">
        <v>25</v>
      </c>
      <c r="AV30" s="163" t="s">
        <v>1388</v>
      </c>
      <c r="AW30" s="65">
        <v>1416</v>
      </c>
      <c r="AX30" s="196">
        <v>44693.432893518519</v>
      </c>
    </row>
    <row r="31" spans="1:50">
      <c r="A31" s="124" t="s">
        <v>46</v>
      </c>
      <c r="B31" s="109" t="s">
        <v>1320</v>
      </c>
      <c r="C31" s="214" t="s">
        <v>1663</v>
      </c>
      <c r="D31" s="163" t="s">
        <v>1664</v>
      </c>
      <c r="E31" s="170">
        <v>0</v>
      </c>
      <c r="F31" s="171">
        <v>70</v>
      </c>
      <c r="G31" s="184">
        <v>70</v>
      </c>
      <c r="H31" s="181">
        <v>70</v>
      </c>
      <c r="I31" s="171">
        <v>70</v>
      </c>
      <c r="J31" s="184">
        <v>70</v>
      </c>
      <c r="K31" s="181">
        <v>70</v>
      </c>
      <c r="L31" s="171">
        <v>70</v>
      </c>
      <c r="M31" s="184">
        <v>70</v>
      </c>
      <c r="N31" s="181">
        <v>70</v>
      </c>
      <c r="O31" s="171">
        <v>70</v>
      </c>
      <c r="P31" s="184">
        <v>70</v>
      </c>
      <c r="Q31" s="181">
        <v>70</v>
      </c>
      <c r="R31" s="171">
        <v>70</v>
      </c>
      <c r="S31" s="184">
        <v>70</v>
      </c>
      <c r="T31" s="181">
        <v>70</v>
      </c>
      <c r="U31" s="171">
        <v>70</v>
      </c>
      <c r="V31" s="184">
        <v>70</v>
      </c>
      <c r="W31" s="181">
        <v>70</v>
      </c>
      <c r="X31" s="171">
        <v>70</v>
      </c>
      <c r="Y31" s="184">
        <v>70</v>
      </c>
      <c r="Z31" s="181">
        <v>70</v>
      </c>
      <c r="AA31" s="171">
        <v>70</v>
      </c>
      <c r="AB31" s="184">
        <v>70</v>
      </c>
      <c r="AC31" s="181">
        <v>70</v>
      </c>
      <c r="AD31" s="171">
        <v>70</v>
      </c>
      <c r="AE31" s="184">
        <v>70</v>
      </c>
      <c r="AF31" s="204">
        <v>70</v>
      </c>
      <c r="AG31" s="171">
        <v>70</v>
      </c>
      <c r="AH31" s="184">
        <v>70</v>
      </c>
      <c r="AI31" s="182" t="s">
        <v>558</v>
      </c>
      <c r="AJ31" s="163" t="s">
        <v>1539</v>
      </c>
      <c r="AK31" s="65" t="s">
        <v>18</v>
      </c>
      <c r="AL31" s="176">
        <v>1</v>
      </c>
      <c r="AM31" s="159"/>
      <c r="AN31" s="172">
        <v>80</v>
      </c>
      <c r="AO31" s="159"/>
      <c r="AP31" s="163" t="s">
        <v>55</v>
      </c>
      <c r="AQ31" s="109" t="s">
        <v>1403</v>
      </c>
      <c r="AR31" s="173"/>
      <c r="AS31" s="174" t="s">
        <v>1434</v>
      </c>
      <c r="AT31" s="175"/>
      <c r="AU31" s="65" t="s">
        <v>25</v>
      </c>
      <c r="AV31" s="163" t="s">
        <v>18</v>
      </c>
      <c r="AW31" s="65">
        <v>1021</v>
      </c>
      <c r="AX31" s="196">
        <v>44665.474548611113</v>
      </c>
    </row>
    <row r="32" spans="1:50">
      <c r="A32" s="124" t="s">
        <v>62</v>
      </c>
      <c r="B32" s="109" t="s">
        <v>1385</v>
      </c>
      <c r="C32" s="214" t="s">
        <v>290</v>
      </c>
      <c r="D32" s="163" t="s">
        <v>1669</v>
      </c>
      <c r="E32" s="170">
        <v>148</v>
      </c>
      <c r="F32" s="171">
        <v>148</v>
      </c>
      <c r="G32" s="184">
        <v>148</v>
      </c>
      <c r="H32" s="181">
        <v>148</v>
      </c>
      <c r="I32" s="171">
        <v>148</v>
      </c>
      <c r="J32" s="184">
        <v>148</v>
      </c>
      <c r="K32" s="181">
        <v>148</v>
      </c>
      <c r="L32" s="171">
        <v>148</v>
      </c>
      <c r="M32" s="184">
        <v>148</v>
      </c>
      <c r="N32" s="181">
        <v>148</v>
      </c>
      <c r="O32" s="171">
        <v>148</v>
      </c>
      <c r="P32" s="184">
        <v>148</v>
      </c>
      <c r="Q32" s="181">
        <v>148</v>
      </c>
      <c r="R32" s="171">
        <v>148</v>
      </c>
      <c r="S32" s="184">
        <v>148</v>
      </c>
      <c r="T32" s="181">
        <v>148</v>
      </c>
      <c r="U32" s="171">
        <v>148</v>
      </c>
      <c r="V32" s="184">
        <v>148</v>
      </c>
      <c r="W32" s="181">
        <v>148</v>
      </c>
      <c r="X32" s="171">
        <v>148</v>
      </c>
      <c r="Y32" s="184">
        <v>148</v>
      </c>
      <c r="Z32" s="181">
        <v>148</v>
      </c>
      <c r="AA32" s="171">
        <v>148</v>
      </c>
      <c r="AB32" s="184">
        <v>148</v>
      </c>
      <c r="AC32" s="181">
        <v>148</v>
      </c>
      <c r="AD32" s="171">
        <v>148</v>
      </c>
      <c r="AE32" s="184">
        <v>148</v>
      </c>
      <c r="AF32" s="204">
        <v>148</v>
      </c>
      <c r="AG32" s="171">
        <v>148</v>
      </c>
      <c r="AH32" s="184">
        <v>148</v>
      </c>
      <c r="AI32" s="182" t="s">
        <v>291</v>
      </c>
      <c r="AJ32" s="163" t="s">
        <v>1429</v>
      </c>
      <c r="AK32" s="65" t="s">
        <v>1388</v>
      </c>
      <c r="AL32" s="176">
        <v>1</v>
      </c>
      <c r="AM32" s="159"/>
      <c r="AN32" s="172">
        <v>148</v>
      </c>
      <c r="AO32" s="159">
        <v>0</v>
      </c>
      <c r="AP32" s="163" t="s">
        <v>27</v>
      </c>
      <c r="AQ32" s="109" t="s">
        <v>1407</v>
      </c>
      <c r="AR32" s="173" t="s">
        <v>1671</v>
      </c>
      <c r="AS32" s="174" t="s">
        <v>1542</v>
      </c>
      <c r="AT32" s="175"/>
      <c r="AU32" s="65" t="s">
        <v>27</v>
      </c>
      <c r="AV32" s="163" t="s">
        <v>1388</v>
      </c>
      <c r="AW32" s="65">
        <v>1903</v>
      </c>
      <c r="AX32" s="196">
        <v>44746.517407407409</v>
      </c>
    </row>
    <row r="33" spans="1:50">
      <c r="A33" s="124" t="s">
        <v>46</v>
      </c>
      <c r="B33" s="109" t="s">
        <v>1320</v>
      </c>
      <c r="C33" s="214" t="s">
        <v>1028</v>
      </c>
      <c r="D33" s="163" t="s">
        <v>1682</v>
      </c>
      <c r="E33" s="170">
        <v>113.17999999999999</v>
      </c>
      <c r="F33" s="171">
        <v>113.17999999999999</v>
      </c>
      <c r="G33" s="184">
        <v>104.08800000000001</v>
      </c>
      <c r="H33" s="181">
        <v>113.17999999999999</v>
      </c>
      <c r="I33" s="171">
        <v>113.17999999999999</v>
      </c>
      <c r="J33" s="184">
        <v>104.08800000000001</v>
      </c>
      <c r="K33" s="181">
        <v>113.17999999999999</v>
      </c>
      <c r="L33" s="171">
        <v>113.17999999999999</v>
      </c>
      <c r="M33" s="184">
        <v>104.08800000000001</v>
      </c>
      <c r="N33" s="181">
        <v>113.17999999999999</v>
      </c>
      <c r="O33" s="171">
        <v>113.17999999999999</v>
      </c>
      <c r="P33" s="184">
        <v>104.08800000000001</v>
      </c>
      <c r="Q33" s="181">
        <v>113.17999999999999</v>
      </c>
      <c r="R33" s="171">
        <v>113.17999999999999</v>
      </c>
      <c r="S33" s="184">
        <v>104.08800000000001</v>
      </c>
      <c r="T33" s="181">
        <v>113.17999999999999</v>
      </c>
      <c r="U33" s="171">
        <v>113.17999999999999</v>
      </c>
      <c r="V33" s="184">
        <v>104.08800000000001</v>
      </c>
      <c r="W33" s="181">
        <v>113.17999999999999</v>
      </c>
      <c r="X33" s="171">
        <v>113.17999999999999</v>
      </c>
      <c r="Y33" s="184">
        <v>104.08800000000001</v>
      </c>
      <c r="Z33" s="181">
        <v>113.17999999999999</v>
      </c>
      <c r="AA33" s="171">
        <v>113.17999999999999</v>
      </c>
      <c r="AB33" s="184">
        <v>104.08800000000001</v>
      </c>
      <c r="AC33" s="181">
        <v>113.17999999999999</v>
      </c>
      <c r="AD33" s="171">
        <v>113.17999999999999</v>
      </c>
      <c r="AE33" s="184">
        <v>104.08800000000001</v>
      </c>
      <c r="AF33" s="204">
        <v>113.17999999999999</v>
      </c>
      <c r="AG33" s="171">
        <v>113.17999999999999</v>
      </c>
      <c r="AH33" s="184">
        <v>104.08800000000001</v>
      </c>
      <c r="AI33" s="182" t="s">
        <v>1678</v>
      </c>
      <c r="AJ33" s="163" t="s">
        <v>1419</v>
      </c>
      <c r="AK33" s="65" t="s">
        <v>17</v>
      </c>
      <c r="AL33" s="176">
        <v>67</v>
      </c>
      <c r="AM33" s="159"/>
      <c r="AN33" s="172">
        <v>113</v>
      </c>
      <c r="AO33" s="159"/>
      <c r="AP33" s="163" t="s">
        <v>55</v>
      </c>
      <c r="AQ33" s="109" t="s">
        <v>1407</v>
      </c>
      <c r="AR33" s="173"/>
      <c r="AS33" s="174" t="s">
        <v>1511</v>
      </c>
      <c r="AT33" s="175"/>
      <c r="AU33" s="65" t="s">
        <v>25</v>
      </c>
      <c r="AV33" s="163" t="s">
        <v>17</v>
      </c>
      <c r="AW33" s="65">
        <v>1022</v>
      </c>
      <c r="AX33" s="196">
        <v>44746.439409722225</v>
      </c>
    </row>
    <row r="34" spans="1:50">
      <c r="A34" s="124" t="s">
        <v>46</v>
      </c>
      <c r="B34" s="109" t="s">
        <v>1320</v>
      </c>
      <c r="C34" s="214" t="s">
        <v>533</v>
      </c>
      <c r="D34" s="163" t="s">
        <v>1685</v>
      </c>
      <c r="E34" s="170">
        <v>113.19000000000001</v>
      </c>
      <c r="F34" s="171">
        <v>113.19000000000001</v>
      </c>
      <c r="G34" s="184">
        <v>113.19000000000001</v>
      </c>
      <c r="H34" s="181">
        <v>113.19000000000001</v>
      </c>
      <c r="I34" s="171">
        <v>113.19000000000001</v>
      </c>
      <c r="J34" s="184">
        <v>113.19000000000001</v>
      </c>
      <c r="K34" s="181">
        <v>113.19000000000001</v>
      </c>
      <c r="L34" s="171">
        <v>113.19000000000001</v>
      </c>
      <c r="M34" s="184">
        <v>113.19000000000001</v>
      </c>
      <c r="N34" s="181">
        <v>113.19000000000001</v>
      </c>
      <c r="O34" s="171">
        <v>113.19000000000001</v>
      </c>
      <c r="P34" s="184">
        <v>113.19000000000001</v>
      </c>
      <c r="Q34" s="181">
        <v>113.19000000000001</v>
      </c>
      <c r="R34" s="171">
        <v>113.19000000000001</v>
      </c>
      <c r="S34" s="184">
        <v>113.19000000000001</v>
      </c>
      <c r="T34" s="181">
        <v>113.19000000000001</v>
      </c>
      <c r="U34" s="171">
        <v>113.19000000000001</v>
      </c>
      <c r="V34" s="184">
        <v>113.19000000000001</v>
      </c>
      <c r="W34" s="181">
        <v>113.19000000000001</v>
      </c>
      <c r="X34" s="171">
        <v>113.19000000000001</v>
      </c>
      <c r="Y34" s="184">
        <v>113.19000000000001</v>
      </c>
      <c r="Z34" s="181">
        <v>113.19000000000001</v>
      </c>
      <c r="AA34" s="171">
        <v>113.19000000000001</v>
      </c>
      <c r="AB34" s="184">
        <v>113.19000000000001</v>
      </c>
      <c r="AC34" s="181">
        <v>113.19000000000001</v>
      </c>
      <c r="AD34" s="171">
        <v>113.19000000000001</v>
      </c>
      <c r="AE34" s="184">
        <v>113.19000000000001</v>
      </c>
      <c r="AF34" s="204">
        <v>113.19000000000001</v>
      </c>
      <c r="AG34" s="171">
        <v>113.19000000000001</v>
      </c>
      <c r="AH34" s="184">
        <v>113.19000000000001</v>
      </c>
      <c r="AI34" s="182" t="s">
        <v>534</v>
      </c>
      <c r="AJ34" s="163" t="s">
        <v>1419</v>
      </c>
      <c r="AK34" s="65" t="s">
        <v>17</v>
      </c>
      <c r="AL34" s="176">
        <v>33</v>
      </c>
      <c r="AM34" s="159"/>
      <c r="AN34" s="172">
        <v>113.19000000000001</v>
      </c>
      <c r="AO34" s="159"/>
      <c r="AP34" s="163" t="s">
        <v>55</v>
      </c>
      <c r="AQ34" s="109" t="s">
        <v>1407</v>
      </c>
      <c r="AR34" s="173"/>
      <c r="AS34" s="174" t="s">
        <v>1547</v>
      </c>
      <c r="AT34" s="175"/>
      <c r="AU34" s="65" t="s">
        <v>25</v>
      </c>
      <c r="AV34" s="163" t="s">
        <v>17</v>
      </c>
      <c r="AW34" s="65">
        <v>1259</v>
      </c>
      <c r="AX34" s="196">
        <v>44671.353483796294</v>
      </c>
    </row>
    <row r="35" spans="1:50">
      <c r="A35" s="124" t="s">
        <v>100</v>
      </c>
      <c r="B35" s="109" t="s">
        <v>1320</v>
      </c>
      <c r="C35" s="214" t="s">
        <v>524</v>
      </c>
      <c r="D35" s="163" t="s">
        <v>526</v>
      </c>
      <c r="E35" s="170">
        <v>300.02000000000004</v>
      </c>
      <c r="F35" s="171">
        <v>300.02000000000004</v>
      </c>
      <c r="G35" s="184">
        <v>300.02000000000004</v>
      </c>
      <c r="H35" s="181">
        <v>300.02000000000004</v>
      </c>
      <c r="I35" s="171">
        <v>300.02000000000004</v>
      </c>
      <c r="J35" s="184">
        <v>300.02000000000004</v>
      </c>
      <c r="K35" s="181">
        <v>300.02000000000004</v>
      </c>
      <c r="L35" s="171">
        <v>300.02000000000004</v>
      </c>
      <c r="M35" s="184">
        <v>300.02000000000004</v>
      </c>
      <c r="N35" s="181">
        <v>300.02000000000004</v>
      </c>
      <c r="O35" s="171">
        <v>300.02000000000004</v>
      </c>
      <c r="P35" s="184">
        <v>300.02000000000004</v>
      </c>
      <c r="Q35" s="181">
        <v>300.02000000000004</v>
      </c>
      <c r="R35" s="171">
        <v>300.02000000000004</v>
      </c>
      <c r="S35" s="184">
        <v>300.02000000000004</v>
      </c>
      <c r="T35" s="181">
        <v>300.02000000000004</v>
      </c>
      <c r="U35" s="171">
        <v>300.02000000000004</v>
      </c>
      <c r="V35" s="184">
        <v>300.02000000000004</v>
      </c>
      <c r="W35" s="181">
        <v>300.02000000000004</v>
      </c>
      <c r="X35" s="171">
        <v>300.02000000000004</v>
      </c>
      <c r="Y35" s="184">
        <v>300.02000000000004</v>
      </c>
      <c r="Z35" s="181">
        <v>300.02000000000004</v>
      </c>
      <c r="AA35" s="171">
        <v>300.02000000000004</v>
      </c>
      <c r="AB35" s="184">
        <v>300.02000000000004</v>
      </c>
      <c r="AC35" s="181">
        <v>300.02000000000004</v>
      </c>
      <c r="AD35" s="171">
        <v>300.02000000000004</v>
      </c>
      <c r="AE35" s="184">
        <v>300.02000000000004</v>
      </c>
      <c r="AF35" s="204">
        <v>300.02000000000004</v>
      </c>
      <c r="AG35" s="171">
        <v>300.02000000000004</v>
      </c>
      <c r="AH35" s="184">
        <v>300.02000000000004</v>
      </c>
      <c r="AI35" s="182" t="s">
        <v>49</v>
      </c>
      <c r="AJ35" s="163" t="s">
        <v>1539</v>
      </c>
      <c r="AK35" s="65" t="s">
        <v>18</v>
      </c>
      <c r="AL35" s="176">
        <v>8</v>
      </c>
      <c r="AM35" s="159"/>
      <c r="AN35" s="172">
        <v>300.02000000000004</v>
      </c>
      <c r="AO35" s="159"/>
      <c r="AP35" s="65" t="s">
        <v>55</v>
      </c>
      <c r="AQ35" s="109" t="s">
        <v>1403</v>
      </c>
      <c r="AR35" s="173"/>
      <c r="AS35" s="174" t="s">
        <v>1542</v>
      </c>
      <c r="AT35" s="175"/>
      <c r="AU35" s="65" t="s">
        <v>25</v>
      </c>
      <c r="AV35" s="163" t="s">
        <v>18</v>
      </c>
      <c r="AW35" s="65">
        <v>1023</v>
      </c>
      <c r="AX35" s="196">
        <v>44665.48097222222</v>
      </c>
    </row>
    <row r="36" spans="1:50">
      <c r="A36" s="124" t="s">
        <v>80</v>
      </c>
      <c r="B36" s="109" t="s">
        <v>1320</v>
      </c>
      <c r="C36" s="214" t="s">
        <v>86</v>
      </c>
      <c r="D36" s="163" t="s">
        <v>121</v>
      </c>
      <c r="E36" s="170">
        <v>2</v>
      </c>
      <c r="F36" s="171">
        <v>2</v>
      </c>
      <c r="G36" s="184">
        <v>2</v>
      </c>
      <c r="H36" s="181">
        <v>2</v>
      </c>
      <c r="I36" s="171">
        <v>2</v>
      </c>
      <c r="J36" s="184">
        <v>2</v>
      </c>
      <c r="K36" s="181">
        <v>2</v>
      </c>
      <c r="L36" s="171">
        <v>2</v>
      </c>
      <c r="M36" s="184">
        <v>2</v>
      </c>
      <c r="N36" s="181">
        <v>2</v>
      </c>
      <c r="O36" s="171">
        <v>2</v>
      </c>
      <c r="P36" s="184">
        <v>2</v>
      </c>
      <c r="Q36" s="181">
        <v>2</v>
      </c>
      <c r="R36" s="171">
        <v>2</v>
      </c>
      <c r="S36" s="184">
        <v>2</v>
      </c>
      <c r="T36" s="181">
        <v>2</v>
      </c>
      <c r="U36" s="171">
        <v>2</v>
      </c>
      <c r="V36" s="184">
        <v>2</v>
      </c>
      <c r="W36" s="181">
        <v>2</v>
      </c>
      <c r="X36" s="171">
        <v>2</v>
      </c>
      <c r="Y36" s="184">
        <v>2</v>
      </c>
      <c r="Z36" s="181">
        <v>2</v>
      </c>
      <c r="AA36" s="171">
        <v>2</v>
      </c>
      <c r="AB36" s="184">
        <v>2</v>
      </c>
      <c r="AC36" s="181">
        <v>2</v>
      </c>
      <c r="AD36" s="171">
        <v>2</v>
      </c>
      <c r="AE36" s="184">
        <v>2</v>
      </c>
      <c r="AF36" s="204">
        <v>2</v>
      </c>
      <c r="AG36" s="171">
        <v>2</v>
      </c>
      <c r="AH36" s="184">
        <v>2</v>
      </c>
      <c r="AI36" s="182" t="s">
        <v>82</v>
      </c>
      <c r="AJ36" s="163" t="s">
        <v>1391</v>
      </c>
      <c r="AK36" s="65" t="s">
        <v>21</v>
      </c>
      <c r="AL36" s="176">
        <v>1</v>
      </c>
      <c r="AM36" s="159"/>
      <c r="AN36" s="172">
        <v>2.46</v>
      </c>
      <c r="AO36" s="159">
        <v>5.04</v>
      </c>
      <c r="AP36" s="65" t="s">
        <v>27</v>
      </c>
      <c r="AQ36" s="109" t="s">
        <v>1403</v>
      </c>
      <c r="AR36" s="173" t="s">
        <v>1628</v>
      </c>
      <c r="AS36" s="174" t="s">
        <v>1534</v>
      </c>
      <c r="AT36" s="175"/>
      <c r="AU36" s="65" t="s">
        <v>25</v>
      </c>
      <c r="AV36" s="163" t="s">
        <v>20</v>
      </c>
      <c r="AW36" s="65">
        <v>1393</v>
      </c>
      <c r="AX36" s="196">
        <v>44671.435034722221</v>
      </c>
    </row>
    <row r="37" spans="1:50">
      <c r="A37" s="124" t="s">
        <v>80</v>
      </c>
      <c r="B37" s="109" t="s">
        <v>1320</v>
      </c>
      <c r="C37" s="214" t="s">
        <v>86</v>
      </c>
      <c r="D37" s="163" t="s">
        <v>87</v>
      </c>
      <c r="E37" s="170">
        <v>11.25</v>
      </c>
      <c r="F37" s="171">
        <v>10.8</v>
      </c>
      <c r="G37" s="184">
        <v>10.574999999999999</v>
      </c>
      <c r="H37" s="181">
        <v>11.25</v>
      </c>
      <c r="I37" s="171">
        <v>10.8</v>
      </c>
      <c r="J37" s="184">
        <v>10.574999999999999</v>
      </c>
      <c r="K37" s="181">
        <v>11.25</v>
      </c>
      <c r="L37" s="171">
        <v>10.8</v>
      </c>
      <c r="M37" s="184">
        <v>10.574999999999999</v>
      </c>
      <c r="N37" s="181">
        <v>11.25</v>
      </c>
      <c r="O37" s="171">
        <v>10.8</v>
      </c>
      <c r="P37" s="184">
        <v>10.574999999999999</v>
      </c>
      <c r="Q37" s="181">
        <v>11.25</v>
      </c>
      <c r="R37" s="171">
        <v>10.8</v>
      </c>
      <c r="S37" s="184">
        <v>10.574999999999999</v>
      </c>
      <c r="T37" s="181">
        <v>11.25</v>
      </c>
      <c r="U37" s="171">
        <v>10.8</v>
      </c>
      <c r="V37" s="184">
        <v>10.574999999999999</v>
      </c>
      <c r="W37" s="181">
        <v>11.25</v>
      </c>
      <c r="X37" s="171">
        <v>10.8</v>
      </c>
      <c r="Y37" s="184">
        <v>10.574999999999999</v>
      </c>
      <c r="Z37" s="181">
        <v>11.25</v>
      </c>
      <c r="AA37" s="171">
        <v>10.8</v>
      </c>
      <c r="AB37" s="184">
        <v>10.574999999999999</v>
      </c>
      <c r="AC37" s="181">
        <v>11.25</v>
      </c>
      <c r="AD37" s="171">
        <v>10.8</v>
      </c>
      <c r="AE37" s="184">
        <v>10.574999999999999</v>
      </c>
      <c r="AF37" s="204">
        <v>11.25</v>
      </c>
      <c r="AG37" s="171">
        <v>10.8</v>
      </c>
      <c r="AH37" s="184">
        <v>10.574999999999999</v>
      </c>
      <c r="AI37" s="182" t="s">
        <v>82</v>
      </c>
      <c r="AJ37" s="163" t="s">
        <v>1398</v>
      </c>
      <c r="AK37" s="65" t="s">
        <v>1388</v>
      </c>
      <c r="AL37" s="176">
        <v>3</v>
      </c>
      <c r="AM37" s="159"/>
      <c r="AN37" s="172">
        <v>11.25</v>
      </c>
      <c r="AO37" s="159"/>
      <c r="AP37" s="163" t="s">
        <v>27</v>
      </c>
      <c r="AQ37" s="109" t="s">
        <v>1407</v>
      </c>
      <c r="AR37" s="173" t="s">
        <v>1628</v>
      </c>
      <c r="AS37" s="174" t="s">
        <v>1534</v>
      </c>
      <c r="AT37" s="175"/>
      <c r="AU37" s="65" t="s">
        <v>25</v>
      </c>
      <c r="AV37" s="163" t="s">
        <v>1388</v>
      </c>
      <c r="AW37" s="65">
        <v>1393</v>
      </c>
      <c r="AX37" s="196">
        <v>44671.435034722221</v>
      </c>
    </row>
    <row r="38" spans="1:50">
      <c r="A38" s="124" t="s">
        <v>46</v>
      </c>
      <c r="B38" s="109" t="s">
        <v>1320</v>
      </c>
      <c r="C38" s="214" t="s">
        <v>325</v>
      </c>
      <c r="D38" s="163" t="s">
        <v>327</v>
      </c>
      <c r="E38" s="170">
        <v>99.88</v>
      </c>
      <c r="F38" s="171">
        <v>97.24</v>
      </c>
      <c r="G38" s="184">
        <v>93.72</v>
      </c>
      <c r="H38" s="181">
        <v>99.88</v>
      </c>
      <c r="I38" s="171">
        <v>97.24</v>
      </c>
      <c r="J38" s="184">
        <v>93.72</v>
      </c>
      <c r="K38" s="181">
        <v>99.88</v>
      </c>
      <c r="L38" s="171">
        <v>97.24</v>
      </c>
      <c r="M38" s="184">
        <v>93.72</v>
      </c>
      <c r="N38" s="181">
        <v>99.88</v>
      </c>
      <c r="O38" s="171">
        <v>97.24</v>
      </c>
      <c r="P38" s="184">
        <v>93.72</v>
      </c>
      <c r="Q38" s="181">
        <v>99.88</v>
      </c>
      <c r="R38" s="171">
        <v>97.24</v>
      </c>
      <c r="S38" s="184">
        <v>93.72</v>
      </c>
      <c r="T38" s="181">
        <v>99.88</v>
      </c>
      <c r="U38" s="171">
        <v>97.24</v>
      </c>
      <c r="V38" s="184">
        <v>93.72</v>
      </c>
      <c r="W38" s="181">
        <v>99.88</v>
      </c>
      <c r="X38" s="171">
        <v>97.24</v>
      </c>
      <c r="Y38" s="184">
        <v>93.72</v>
      </c>
      <c r="Z38" s="181">
        <v>99.88</v>
      </c>
      <c r="AA38" s="171">
        <v>97.24</v>
      </c>
      <c r="AB38" s="184">
        <v>93.72</v>
      </c>
      <c r="AC38" s="181">
        <v>99.88</v>
      </c>
      <c r="AD38" s="171">
        <v>97.24</v>
      </c>
      <c r="AE38" s="184">
        <v>93.72</v>
      </c>
      <c r="AF38" s="204">
        <v>99.88</v>
      </c>
      <c r="AG38" s="171">
        <v>97.24</v>
      </c>
      <c r="AH38" s="184">
        <v>93.72</v>
      </c>
      <c r="AI38" s="182" t="s">
        <v>326</v>
      </c>
      <c r="AJ38" s="163" t="s">
        <v>1429</v>
      </c>
      <c r="AK38" s="65" t="s">
        <v>1388</v>
      </c>
      <c r="AL38" s="176">
        <v>44</v>
      </c>
      <c r="AM38" s="159"/>
      <c r="AN38" s="172">
        <v>121</v>
      </c>
      <c r="AO38" s="159">
        <v>0</v>
      </c>
      <c r="AP38" s="163" t="s">
        <v>55</v>
      </c>
      <c r="AQ38" s="109" t="s">
        <v>1407</v>
      </c>
      <c r="AR38" s="173"/>
      <c r="AS38" s="174" t="s">
        <v>1532</v>
      </c>
      <c r="AT38" s="175"/>
      <c r="AU38" s="65" t="s">
        <v>25</v>
      </c>
      <c r="AV38" s="163" t="s">
        <v>1388</v>
      </c>
      <c r="AW38" s="65">
        <v>1554</v>
      </c>
      <c r="AX38" s="196">
        <v>44700.429340277777</v>
      </c>
    </row>
    <row r="39" spans="1:50">
      <c r="A39" s="124" t="s">
        <v>62</v>
      </c>
      <c r="B39" s="109" t="s">
        <v>1320</v>
      </c>
      <c r="C39" s="214" t="s">
        <v>1720</v>
      </c>
      <c r="D39" s="163" t="s">
        <v>1723</v>
      </c>
      <c r="E39" s="170">
        <v>181</v>
      </c>
      <c r="F39" s="171">
        <v>173</v>
      </c>
      <c r="G39" s="184">
        <v>167</v>
      </c>
      <c r="H39" s="181">
        <v>181</v>
      </c>
      <c r="I39" s="171">
        <v>173</v>
      </c>
      <c r="J39" s="184">
        <v>167</v>
      </c>
      <c r="K39" s="181">
        <v>181</v>
      </c>
      <c r="L39" s="171">
        <v>173</v>
      </c>
      <c r="M39" s="184">
        <v>167</v>
      </c>
      <c r="N39" s="181">
        <v>181</v>
      </c>
      <c r="O39" s="171">
        <v>173</v>
      </c>
      <c r="P39" s="184">
        <v>167</v>
      </c>
      <c r="Q39" s="181">
        <v>181</v>
      </c>
      <c r="R39" s="171">
        <v>173</v>
      </c>
      <c r="S39" s="184">
        <v>167</v>
      </c>
      <c r="T39" s="181">
        <v>181</v>
      </c>
      <c r="U39" s="171">
        <v>173</v>
      </c>
      <c r="V39" s="184">
        <v>167</v>
      </c>
      <c r="W39" s="181">
        <v>181</v>
      </c>
      <c r="X39" s="171">
        <v>173</v>
      </c>
      <c r="Y39" s="184">
        <v>167</v>
      </c>
      <c r="Z39" s="181">
        <v>181</v>
      </c>
      <c r="AA39" s="171">
        <v>173</v>
      </c>
      <c r="AB39" s="184">
        <v>167</v>
      </c>
      <c r="AC39" s="181">
        <v>181</v>
      </c>
      <c r="AD39" s="171">
        <v>173</v>
      </c>
      <c r="AE39" s="184">
        <v>167</v>
      </c>
      <c r="AF39" s="204">
        <v>181</v>
      </c>
      <c r="AG39" s="171">
        <v>173</v>
      </c>
      <c r="AH39" s="184">
        <v>167</v>
      </c>
      <c r="AI39" s="182" t="s">
        <v>1721</v>
      </c>
      <c r="AJ39" s="163" t="s">
        <v>1493</v>
      </c>
      <c r="AK39" s="65" t="s">
        <v>1722</v>
      </c>
      <c r="AL39" s="176">
        <v>1</v>
      </c>
      <c r="AM39" s="159"/>
      <c r="AN39" s="172">
        <v>173</v>
      </c>
      <c r="AO39" s="159"/>
      <c r="AP39" s="163" t="s">
        <v>55</v>
      </c>
      <c r="AQ39" s="109" t="s">
        <v>1403</v>
      </c>
      <c r="AR39" s="173"/>
      <c r="AS39" s="174" t="s">
        <v>1681</v>
      </c>
      <c r="AT39" s="175"/>
      <c r="AU39" s="65" t="s">
        <v>25</v>
      </c>
      <c r="AV39" s="163" t="s">
        <v>14</v>
      </c>
      <c r="AW39" s="65">
        <v>1026</v>
      </c>
      <c r="AX39" s="196">
        <v>44658.573773148149</v>
      </c>
    </row>
    <row r="40" spans="1:50">
      <c r="A40" s="124" t="s">
        <v>62</v>
      </c>
      <c r="B40" s="109" t="s">
        <v>1320</v>
      </c>
      <c r="C40" s="214" t="s">
        <v>1720</v>
      </c>
      <c r="D40" s="163" t="s">
        <v>1725</v>
      </c>
      <c r="E40" s="170">
        <v>181</v>
      </c>
      <c r="F40" s="171">
        <v>173</v>
      </c>
      <c r="G40" s="184">
        <v>167</v>
      </c>
      <c r="H40" s="181">
        <v>181</v>
      </c>
      <c r="I40" s="171">
        <v>173</v>
      </c>
      <c r="J40" s="184">
        <v>167</v>
      </c>
      <c r="K40" s="181">
        <v>181</v>
      </c>
      <c r="L40" s="171">
        <v>173</v>
      </c>
      <c r="M40" s="184">
        <v>167</v>
      </c>
      <c r="N40" s="181">
        <v>181</v>
      </c>
      <c r="O40" s="171">
        <v>173</v>
      </c>
      <c r="P40" s="184">
        <v>167</v>
      </c>
      <c r="Q40" s="181">
        <v>181</v>
      </c>
      <c r="R40" s="171">
        <v>173</v>
      </c>
      <c r="S40" s="184">
        <v>167</v>
      </c>
      <c r="T40" s="181">
        <v>181</v>
      </c>
      <c r="U40" s="171">
        <v>173</v>
      </c>
      <c r="V40" s="184">
        <v>167</v>
      </c>
      <c r="W40" s="181">
        <v>181</v>
      </c>
      <c r="X40" s="171">
        <v>173</v>
      </c>
      <c r="Y40" s="184">
        <v>167</v>
      </c>
      <c r="Z40" s="181">
        <v>181</v>
      </c>
      <c r="AA40" s="171">
        <v>173</v>
      </c>
      <c r="AB40" s="184">
        <v>167</v>
      </c>
      <c r="AC40" s="181">
        <v>181</v>
      </c>
      <c r="AD40" s="171">
        <v>173</v>
      </c>
      <c r="AE40" s="184">
        <v>167</v>
      </c>
      <c r="AF40" s="204">
        <v>181</v>
      </c>
      <c r="AG40" s="171">
        <v>173</v>
      </c>
      <c r="AH40" s="184">
        <v>167</v>
      </c>
      <c r="AI40" s="182" t="s">
        <v>1721</v>
      </c>
      <c r="AJ40" s="163" t="s">
        <v>1493</v>
      </c>
      <c r="AK40" s="65" t="s">
        <v>1722</v>
      </c>
      <c r="AL40" s="176">
        <v>1</v>
      </c>
      <c r="AM40" s="159"/>
      <c r="AN40" s="172">
        <v>188</v>
      </c>
      <c r="AO40" s="159"/>
      <c r="AP40" s="163" t="s">
        <v>55</v>
      </c>
      <c r="AQ40" s="109" t="s">
        <v>1403</v>
      </c>
      <c r="AR40" s="173"/>
      <c r="AS40" s="174" t="s">
        <v>1681</v>
      </c>
      <c r="AT40" s="175"/>
      <c r="AU40" s="65" t="s">
        <v>25</v>
      </c>
      <c r="AV40" s="163" t="s">
        <v>14</v>
      </c>
      <c r="AW40" s="65">
        <v>1026</v>
      </c>
      <c r="AX40" s="196">
        <v>44658.573773148149</v>
      </c>
    </row>
    <row r="41" spans="1:50">
      <c r="A41" s="124" t="s">
        <v>62</v>
      </c>
      <c r="B41" s="109" t="s">
        <v>1320</v>
      </c>
      <c r="C41" s="214" t="s">
        <v>1720</v>
      </c>
      <c r="D41" s="163" t="s">
        <v>1727</v>
      </c>
      <c r="E41" s="170">
        <v>181</v>
      </c>
      <c r="F41" s="171">
        <v>173</v>
      </c>
      <c r="G41" s="184">
        <v>167</v>
      </c>
      <c r="H41" s="181">
        <v>181</v>
      </c>
      <c r="I41" s="171">
        <v>173</v>
      </c>
      <c r="J41" s="184">
        <v>167</v>
      </c>
      <c r="K41" s="181">
        <v>181</v>
      </c>
      <c r="L41" s="171">
        <v>173</v>
      </c>
      <c r="M41" s="184">
        <v>167</v>
      </c>
      <c r="N41" s="181">
        <v>181</v>
      </c>
      <c r="O41" s="171">
        <v>173</v>
      </c>
      <c r="P41" s="184">
        <v>167</v>
      </c>
      <c r="Q41" s="181">
        <v>181</v>
      </c>
      <c r="R41" s="171">
        <v>173</v>
      </c>
      <c r="S41" s="184">
        <v>167</v>
      </c>
      <c r="T41" s="181">
        <v>181</v>
      </c>
      <c r="U41" s="171">
        <v>173</v>
      </c>
      <c r="V41" s="184">
        <v>167</v>
      </c>
      <c r="W41" s="181">
        <v>181</v>
      </c>
      <c r="X41" s="171">
        <v>173</v>
      </c>
      <c r="Y41" s="184">
        <v>167</v>
      </c>
      <c r="Z41" s="181">
        <v>181</v>
      </c>
      <c r="AA41" s="171">
        <v>173</v>
      </c>
      <c r="AB41" s="184">
        <v>167</v>
      </c>
      <c r="AC41" s="181">
        <v>181</v>
      </c>
      <c r="AD41" s="171">
        <v>173</v>
      </c>
      <c r="AE41" s="184">
        <v>167</v>
      </c>
      <c r="AF41" s="204">
        <v>181</v>
      </c>
      <c r="AG41" s="171">
        <v>173</v>
      </c>
      <c r="AH41" s="184">
        <v>167</v>
      </c>
      <c r="AI41" s="182" t="s">
        <v>1721</v>
      </c>
      <c r="AJ41" s="163" t="s">
        <v>1493</v>
      </c>
      <c r="AK41" s="65" t="s">
        <v>1722</v>
      </c>
      <c r="AL41" s="176">
        <v>1</v>
      </c>
      <c r="AM41" s="159"/>
      <c r="AN41" s="172">
        <v>188</v>
      </c>
      <c r="AO41" s="159"/>
      <c r="AP41" s="163" t="s">
        <v>55</v>
      </c>
      <c r="AQ41" s="109" t="s">
        <v>1403</v>
      </c>
      <c r="AR41" s="173"/>
      <c r="AS41" s="174" t="s">
        <v>1681</v>
      </c>
      <c r="AT41" s="175"/>
      <c r="AU41" s="65" t="s">
        <v>25</v>
      </c>
      <c r="AV41" s="163" t="s">
        <v>14</v>
      </c>
      <c r="AW41" s="65">
        <v>1026</v>
      </c>
      <c r="AX41" s="196">
        <v>44658.573773148149</v>
      </c>
    </row>
    <row r="42" spans="1:50">
      <c r="A42" s="124" t="s">
        <v>62</v>
      </c>
      <c r="B42" s="109" t="s">
        <v>1320</v>
      </c>
      <c r="C42" s="214" t="s">
        <v>1728</v>
      </c>
      <c r="D42" s="163" t="s">
        <v>1730</v>
      </c>
      <c r="E42" s="170">
        <v>173</v>
      </c>
      <c r="F42" s="171">
        <v>165</v>
      </c>
      <c r="G42" s="184">
        <v>160</v>
      </c>
      <c r="H42" s="181">
        <v>173</v>
      </c>
      <c r="I42" s="171">
        <v>165</v>
      </c>
      <c r="J42" s="184">
        <v>160</v>
      </c>
      <c r="K42" s="181">
        <v>173</v>
      </c>
      <c r="L42" s="171">
        <v>165</v>
      </c>
      <c r="M42" s="184">
        <v>160</v>
      </c>
      <c r="N42" s="181">
        <v>173</v>
      </c>
      <c r="O42" s="171">
        <v>165</v>
      </c>
      <c r="P42" s="184">
        <v>160</v>
      </c>
      <c r="Q42" s="181">
        <v>173</v>
      </c>
      <c r="R42" s="171">
        <v>165</v>
      </c>
      <c r="S42" s="184">
        <v>160</v>
      </c>
      <c r="T42" s="181">
        <v>173</v>
      </c>
      <c r="U42" s="171">
        <v>165</v>
      </c>
      <c r="V42" s="184">
        <v>160</v>
      </c>
      <c r="W42" s="181">
        <v>173</v>
      </c>
      <c r="X42" s="171">
        <v>165</v>
      </c>
      <c r="Y42" s="184">
        <v>160</v>
      </c>
      <c r="Z42" s="181">
        <v>173</v>
      </c>
      <c r="AA42" s="171">
        <v>165</v>
      </c>
      <c r="AB42" s="184">
        <v>160</v>
      </c>
      <c r="AC42" s="181">
        <v>173</v>
      </c>
      <c r="AD42" s="171">
        <v>165</v>
      </c>
      <c r="AE42" s="184">
        <v>160</v>
      </c>
      <c r="AF42" s="204">
        <v>173</v>
      </c>
      <c r="AG42" s="171">
        <v>165</v>
      </c>
      <c r="AH42" s="184">
        <v>160</v>
      </c>
      <c r="AI42" s="182" t="s">
        <v>1729</v>
      </c>
      <c r="AJ42" s="163" t="s">
        <v>1493</v>
      </c>
      <c r="AK42" s="65" t="s">
        <v>1722</v>
      </c>
      <c r="AL42" s="176">
        <v>1</v>
      </c>
      <c r="AM42" s="159"/>
      <c r="AN42" s="172">
        <v>173</v>
      </c>
      <c r="AO42" s="159"/>
      <c r="AP42" s="163" t="s">
        <v>55</v>
      </c>
      <c r="AQ42" s="109" t="s">
        <v>1403</v>
      </c>
      <c r="AR42" s="173"/>
      <c r="AS42" s="174" t="s">
        <v>1547</v>
      </c>
      <c r="AT42" s="175"/>
      <c r="AU42" s="65" t="s">
        <v>25</v>
      </c>
      <c r="AV42" s="163" t="s">
        <v>14</v>
      </c>
      <c r="AW42" s="65">
        <v>1027</v>
      </c>
      <c r="AX42" s="196">
        <v>44665.482557870368</v>
      </c>
    </row>
    <row r="43" spans="1:50">
      <c r="A43" s="124" t="s">
        <v>62</v>
      </c>
      <c r="B43" s="109" t="s">
        <v>1320</v>
      </c>
      <c r="C43" s="214" t="s">
        <v>1728</v>
      </c>
      <c r="D43" s="163" t="s">
        <v>1731</v>
      </c>
      <c r="E43" s="170">
        <v>173</v>
      </c>
      <c r="F43" s="171">
        <v>165</v>
      </c>
      <c r="G43" s="184">
        <v>160</v>
      </c>
      <c r="H43" s="181">
        <v>173</v>
      </c>
      <c r="I43" s="171">
        <v>165</v>
      </c>
      <c r="J43" s="184">
        <v>160</v>
      </c>
      <c r="K43" s="181">
        <v>173</v>
      </c>
      <c r="L43" s="171">
        <v>165</v>
      </c>
      <c r="M43" s="184">
        <v>160</v>
      </c>
      <c r="N43" s="181">
        <v>173</v>
      </c>
      <c r="O43" s="171">
        <v>165</v>
      </c>
      <c r="P43" s="184">
        <v>160</v>
      </c>
      <c r="Q43" s="181">
        <v>173</v>
      </c>
      <c r="R43" s="171">
        <v>165</v>
      </c>
      <c r="S43" s="184">
        <v>160</v>
      </c>
      <c r="T43" s="181">
        <v>173</v>
      </c>
      <c r="U43" s="171">
        <v>165</v>
      </c>
      <c r="V43" s="184">
        <v>160</v>
      </c>
      <c r="W43" s="181">
        <v>173</v>
      </c>
      <c r="X43" s="171">
        <v>165</v>
      </c>
      <c r="Y43" s="184">
        <v>160</v>
      </c>
      <c r="Z43" s="181">
        <v>173</v>
      </c>
      <c r="AA43" s="171">
        <v>165</v>
      </c>
      <c r="AB43" s="184">
        <v>160</v>
      </c>
      <c r="AC43" s="181">
        <v>173</v>
      </c>
      <c r="AD43" s="171">
        <v>165</v>
      </c>
      <c r="AE43" s="184">
        <v>160</v>
      </c>
      <c r="AF43" s="204">
        <v>173</v>
      </c>
      <c r="AG43" s="171">
        <v>165</v>
      </c>
      <c r="AH43" s="184">
        <v>160</v>
      </c>
      <c r="AI43" s="182" t="s">
        <v>1729</v>
      </c>
      <c r="AJ43" s="163" t="s">
        <v>1493</v>
      </c>
      <c r="AK43" s="65" t="s">
        <v>1722</v>
      </c>
      <c r="AL43" s="176">
        <v>1</v>
      </c>
      <c r="AM43" s="159"/>
      <c r="AN43" s="172">
        <v>173</v>
      </c>
      <c r="AO43" s="159"/>
      <c r="AP43" s="163" t="s">
        <v>55</v>
      </c>
      <c r="AQ43" s="109" t="s">
        <v>1403</v>
      </c>
      <c r="AR43" s="173"/>
      <c r="AS43" s="174" t="s">
        <v>1547</v>
      </c>
      <c r="AT43" s="175"/>
      <c r="AU43" s="65" t="s">
        <v>25</v>
      </c>
      <c r="AV43" s="163" t="s">
        <v>14</v>
      </c>
      <c r="AW43" s="65">
        <v>1027</v>
      </c>
      <c r="AX43" s="196">
        <v>44665.482557870368</v>
      </c>
    </row>
    <row r="44" spans="1:50">
      <c r="A44" s="124" t="s">
        <v>62</v>
      </c>
      <c r="B44" s="109" t="s">
        <v>1320</v>
      </c>
      <c r="C44" s="214" t="s">
        <v>1728</v>
      </c>
      <c r="D44" s="163" t="s">
        <v>1732</v>
      </c>
      <c r="E44" s="170">
        <v>173</v>
      </c>
      <c r="F44" s="171">
        <v>165</v>
      </c>
      <c r="G44" s="184">
        <v>160</v>
      </c>
      <c r="H44" s="181">
        <v>173</v>
      </c>
      <c r="I44" s="171">
        <v>165</v>
      </c>
      <c r="J44" s="184">
        <v>160</v>
      </c>
      <c r="K44" s="181">
        <v>173</v>
      </c>
      <c r="L44" s="171">
        <v>165</v>
      </c>
      <c r="M44" s="184">
        <v>160</v>
      </c>
      <c r="N44" s="181">
        <v>173</v>
      </c>
      <c r="O44" s="171">
        <v>165</v>
      </c>
      <c r="P44" s="184">
        <v>160</v>
      </c>
      <c r="Q44" s="181">
        <v>173</v>
      </c>
      <c r="R44" s="171">
        <v>165</v>
      </c>
      <c r="S44" s="184">
        <v>160</v>
      </c>
      <c r="T44" s="181">
        <v>173</v>
      </c>
      <c r="U44" s="171">
        <v>165</v>
      </c>
      <c r="V44" s="184">
        <v>160</v>
      </c>
      <c r="W44" s="181">
        <v>173</v>
      </c>
      <c r="X44" s="171">
        <v>165</v>
      </c>
      <c r="Y44" s="184">
        <v>160</v>
      </c>
      <c r="Z44" s="181">
        <v>173</v>
      </c>
      <c r="AA44" s="171">
        <v>165</v>
      </c>
      <c r="AB44" s="184">
        <v>160</v>
      </c>
      <c r="AC44" s="181">
        <v>173</v>
      </c>
      <c r="AD44" s="171">
        <v>165</v>
      </c>
      <c r="AE44" s="184">
        <v>160</v>
      </c>
      <c r="AF44" s="204">
        <v>173</v>
      </c>
      <c r="AG44" s="171">
        <v>165</v>
      </c>
      <c r="AH44" s="184">
        <v>160</v>
      </c>
      <c r="AI44" s="182" t="s">
        <v>1729</v>
      </c>
      <c r="AJ44" s="163" t="s">
        <v>1493</v>
      </c>
      <c r="AK44" s="65" t="s">
        <v>1722</v>
      </c>
      <c r="AL44" s="176">
        <v>1</v>
      </c>
      <c r="AM44" s="159"/>
      <c r="AN44" s="172">
        <v>173</v>
      </c>
      <c r="AO44" s="159"/>
      <c r="AP44" s="163" t="s">
        <v>55</v>
      </c>
      <c r="AQ44" s="109" t="s">
        <v>1403</v>
      </c>
      <c r="AR44" s="173"/>
      <c r="AS44" s="174" t="s">
        <v>1547</v>
      </c>
      <c r="AT44" s="175"/>
      <c r="AU44" s="65" t="s">
        <v>25</v>
      </c>
      <c r="AV44" s="163" t="s">
        <v>14</v>
      </c>
      <c r="AW44" s="65">
        <v>1027</v>
      </c>
      <c r="AX44" s="196">
        <v>44665.482557870368</v>
      </c>
    </row>
    <row r="45" spans="1:50">
      <c r="A45" s="124" t="s">
        <v>46</v>
      </c>
      <c r="B45" s="109" t="s">
        <v>1320</v>
      </c>
      <c r="C45" s="214" t="s">
        <v>985</v>
      </c>
      <c r="D45" s="163" t="s">
        <v>1767</v>
      </c>
      <c r="E45" s="170">
        <v>53</v>
      </c>
      <c r="F45" s="171">
        <v>53</v>
      </c>
      <c r="G45" s="184">
        <v>53</v>
      </c>
      <c r="H45" s="181">
        <v>53</v>
      </c>
      <c r="I45" s="171">
        <v>53</v>
      </c>
      <c r="J45" s="184">
        <v>53</v>
      </c>
      <c r="K45" s="181">
        <v>53</v>
      </c>
      <c r="L45" s="171">
        <v>53</v>
      </c>
      <c r="M45" s="184">
        <v>53</v>
      </c>
      <c r="N45" s="181">
        <v>53</v>
      </c>
      <c r="O45" s="171">
        <v>53</v>
      </c>
      <c r="P45" s="184">
        <v>53</v>
      </c>
      <c r="Q45" s="181">
        <v>53</v>
      </c>
      <c r="R45" s="171">
        <v>53</v>
      </c>
      <c r="S45" s="184">
        <v>53</v>
      </c>
      <c r="T45" s="181">
        <v>53</v>
      </c>
      <c r="U45" s="171">
        <v>53</v>
      </c>
      <c r="V45" s="184">
        <v>53</v>
      </c>
      <c r="W45" s="181">
        <v>53</v>
      </c>
      <c r="X45" s="171">
        <v>53</v>
      </c>
      <c r="Y45" s="184">
        <v>53</v>
      </c>
      <c r="Z45" s="181">
        <v>53</v>
      </c>
      <c r="AA45" s="171">
        <v>53</v>
      </c>
      <c r="AB45" s="184">
        <v>53</v>
      </c>
      <c r="AC45" s="181">
        <v>53</v>
      </c>
      <c r="AD45" s="171">
        <v>53</v>
      </c>
      <c r="AE45" s="184">
        <v>53</v>
      </c>
      <c r="AF45" s="204">
        <v>53</v>
      </c>
      <c r="AG45" s="171">
        <v>53</v>
      </c>
      <c r="AH45" s="184">
        <v>53</v>
      </c>
      <c r="AI45" s="182" t="s">
        <v>477</v>
      </c>
      <c r="AJ45" s="163" t="s">
        <v>1398</v>
      </c>
      <c r="AK45" s="65" t="s">
        <v>1388</v>
      </c>
      <c r="AL45" s="176">
        <v>40</v>
      </c>
      <c r="AM45" s="159"/>
      <c r="AN45" s="172">
        <v>53</v>
      </c>
      <c r="AO45" s="159"/>
      <c r="AP45" s="163" t="s">
        <v>55</v>
      </c>
      <c r="AQ45" s="109" t="s">
        <v>1407</v>
      </c>
      <c r="AR45" s="173"/>
      <c r="AS45" s="174" t="s">
        <v>1769</v>
      </c>
      <c r="AT45" s="175"/>
      <c r="AU45" s="65" t="s">
        <v>25</v>
      </c>
      <c r="AV45" s="163" t="s">
        <v>1388</v>
      </c>
      <c r="AW45" s="65">
        <v>1266</v>
      </c>
      <c r="AX45" s="196">
        <v>44671.354745370372</v>
      </c>
    </row>
    <row r="46" spans="1:50">
      <c r="A46" s="124" t="s">
        <v>100</v>
      </c>
      <c r="B46" s="109" t="s">
        <v>1385</v>
      </c>
      <c r="C46" s="214" t="s">
        <v>635</v>
      </c>
      <c r="D46" s="163" t="s">
        <v>1781</v>
      </c>
      <c r="E46" s="170">
        <v>20</v>
      </c>
      <c r="F46" s="171">
        <v>20</v>
      </c>
      <c r="G46" s="184">
        <v>20</v>
      </c>
      <c r="H46" s="181">
        <v>20</v>
      </c>
      <c r="I46" s="171">
        <v>20</v>
      </c>
      <c r="J46" s="184">
        <v>20</v>
      </c>
      <c r="K46" s="181">
        <v>20</v>
      </c>
      <c r="L46" s="171">
        <v>20</v>
      </c>
      <c r="M46" s="184">
        <v>20</v>
      </c>
      <c r="N46" s="181">
        <v>20</v>
      </c>
      <c r="O46" s="171">
        <v>20</v>
      </c>
      <c r="P46" s="184">
        <v>20</v>
      </c>
      <c r="Q46" s="181">
        <v>20</v>
      </c>
      <c r="R46" s="171">
        <v>20</v>
      </c>
      <c r="S46" s="184">
        <v>20</v>
      </c>
      <c r="T46" s="181">
        <v>20</v>
      </c>
      <c r="U46" s="171">
        <v>20</v>
      </c>
      <c r="V46" s="184">
        <v>20</v>
      </c>
      <c r="W46" s="181">
        <v>20</v>
      </c>
      <c r="X46" s="171">
        <v>20</v>
      </c>
      <c r="Y46" s="184">
        <v>20</v>
      </c>
      <c r="Z46" s="181">
        <v>20</v>
      </c>
      <c r="AA46" s="171">
        <v>20</v>
      </c>
      <c r="AB46" s="184">
        <v>20</v>
      </c>
      <c r="AC46" s="181">
        <v>20</v>
      </c>
      <c r="AD46" s="171">
        <v>20</v>
      </c>
      <c r="AE46" s="184">
        <v>20</v>
      </c>
      <c r="AF46" s="204">
        <v>20</v>
      </c>
      <c r="AG46" s="171">
        <v>20</v>
      </c>
      <c r="AH46" s="184">
        <v>20</v>
      </c>
      <c r="AI46" s="182" t="s">
        <v>312</v>
      </c>
      <c r="AJ46" s="163" t="s">
        <v>1391</v>
      </c>
      <c r="AK46" s="65" t="s">
        <v>21</v>
      </c>
      <c r="AL46" s="176">
        <v>40</v>
      </c>
      <c r="AM46" s="159"/>
      <c r="AN46" s="172">
        <v>20</v>
      </c>
      <c r="AO46" s="159">
        <v>34</v>
      </c>
      <c r="AP46" s="163" t="s">
        <v>27</v>
      </c>
      <c r="AQ46" s="109" t="s">
        <v>1403</v>
      </c>
      <c r="AR46" s="173" t="s">
        <v>1481</v>
      </c>
      <c r="AS46" s="174"/>
      <c r="AT46" s="175"/>
      <c r="AU46" s="65" t="s">
        <v>27</v>
      </c>
      <c r="AV46" s="163" t="s">
        <v>20</v>
      </c>
      <c r="AW46" s="65">
        <v>1590</v>
      </c>
      <c r="AX46" s="196">
        <v>44743.46707175926</v>
      </c>
    </row>
    <row r="47" spans="1:50">
      <c r="A47" s="124" t="s">
        <v>100</v>
      </c>
      <c r="B47" s="109" t="s">
        <v>1320</v>
      </c>
      <c r="C47" s="214" t="s">
        <v>311</v>
      </c>
      <c r="D47" s="163" t="s">
        <v>313</v>
      </c>
      <c r="E47" s="170">
        <v>204.4</v>
      </c>
      <c r="F47" s="171">
        <v>204.4</v>
      </c>
      <c r="G47" s="184">
        <v>204.4</v>
      </c>
      <c r="H47" s="181">
        <v>204.4</v>
      </c>
      <c r="I47" s="171">
        <v>204.4</v>
      </c>
      <c r="J47" s="184">
        <v>204.4</v>
      </c>
      <c r="K47" s="181">
        <v>204.4</v>
      </c>
      <c r="L47" s="171">
        <v>204.4</v>
      </c>
      <c r="M47" s="184">
        <v>204.4</v>
      </c>
      <c r="N47" s="181">
        <v>204.4</v>
      </c>
      <c r="O47" s="171">
        <v>204.4</v>
      </c>
      <c r="P47" s="184">
        <v>204.4</v>
      </c>
      <c r="Q47" s="181">
        <v>204.4</v>
      </c>
      <c r="R47" s="171">
        <v>204.4</v>
      </c>
      <c r="S47" s="184">
        <v>204.4</v>
      </c>
      <c r="T47" s="181">
        <v>204.4</v>
      </c>
      <c r="U47" s="171">
        <v>204.4</v>
      </c>
      <c r="V47" s="184">
        <v>204.4</v>
      </c>
      <c r="W47" s="181">
        <v>204.4</v>
      </c>
      <c r="X47" s="171">
        <v>204.4</v>
      </c>
      <c r="Y47" s="184">
        <v>204.4</v>
      </c>
      <c r="Z47" s="181">
        <v>204.4</v>
      </c>
      <c r="AA47" s="171">
        <v>204.4</v>
      </c>
      <c r="AB47" s="184">
        <v>204.4</v>
      </c>
      <c r="AC47" s="181">
        <v>204.4</v>
      </c>
      <c r="AD47" s="171">
        <v>204.4</v>
      </c>
      <c r="AE47" s="184">
        <v>204.4</v>
      </c>
      <c r="AF47" s="204">
        <v>204.4</v>
      </c>
      <c r="AG47" s="171">
        <v>204.4</v>
      </c>
      <c r="AH47" s="184">
        <v>204.4</v>
      </c>
      <c r="AI47" s="182" t="s">
        <v>312</v>
      </c>
      <c r="AJ47" s="163" t="s">
        <v>1419</v>
      </c>
      <c r="AK47" s="65" t="s">
        <v>17</v>
      </c>
      <c r="AL47" s="176">
        <v>56</v>
      </c>
      <c r="AM47" s="159"/>
      <c r="AN47" s="172">
        <v>204.4</v>
      </c>
      <c r="AO47" s="159"/>
      <c r="AP47" s="65" t="s">
        <v>55</v>
      </c>
      <c r="AQ47" s="109" t="s">
        <v>1407</v>
      </c>
      <c r="AR47" s="173"/>
      <c r="AS47" s="174" t="s">
        <v>1547</v>
      </c>
      <c r="AT47" s="175"/>
      <c r="AU47" s="65" t="s">
        <v>25</v>
      </c>
      <c r="AV47" s="163" t="s">
        <v>17</v>
      </c>
      <c r="AW47" s="65">
        <v>1289</v>
      </c>
      <c r="AX47" s="196">
        <v>44672.390185185184</v>
      </c>
    </row>
    <row r="48" spans="1:50">
      <c r="A48" s="124" t="s">
        <v>80</v>
      </c>
      <c r="B48" s="109" t="s">
        <v>1320</v>
      </c>
      <c r="C48" s="214" t="s">
        <v>605</v>
      </c>
      <c r="D48" s="163" t="s">
        <v>607</v>
      </c>
      <c r="E48" s="170">
        <v>109.61999999999999</v>
      </c>
      <c r="F48" s="171">
        <v>109.61999999999999</v>
      </c>
      <c r="G48" s="184">
        <v>104.75999999999999</v>
      </c>
      <c r="H48" s="181">
        <v>109.61999999999999</v>
      </c>
      <c r="I48" s="171">
        <v>109.61999999999999</v>
      </c>
      <c r="J48" s="184">
        <v>104.75999999999999</v>
      </c>
      <c r="K48" s="181">
        <v>109.61999999999999</v>
      </c>
      <c r="L48" s="171">
        <v>109.61999999999999</v>
      </c>
      <c r="M48" s="184">
        <v>104.75999999999999</v>
      </c>
      <c r="N48" s="181">
        <v>109.61999999999999</v>
      </c>
      <c r="O48" s="171">
        <v>109.61999999999999</v>
      </c>
      <c r="P48" s="184">
        <v>104.75999999999999</v>
      </c>
      <c r="Q48" s="181">
        <v>109.61999999999999</v>
      </c>
      <c r="R48" s="171">
        <v>109.61999999999999</v>
      </c>
      <c r="S48" s="184">
        <v>104.75999999999999</v>
      </c>
      <c r="T48" s="181">
        <v>109.61999999999999</v>
      </c>
      <c r="U48" s="171">
        <v>109.61999999999999</v>
      </c>
      <c r="V48" s="184">
        <v>104.75999999999999</v>
      </c>
      <c r="W48" s="181">
        <v>109.61999999999999</v>
      </c>
      <c r="X48" s="171">
        <v>109.61999999999999</v>
      </c>
      <c r="Y48" s="184">
        <v>104.75999999999999</v>
      </c>
      <c r="Z48" s="181">
        <v>109.61999999999999</v>
      </c>
      <c r="AA48" s="171">
        <v>109.61999999999999</v>
      </c>
      <c r="AB48" s="184">
        <v>104.75999999999999</v>
      </c>
      <c r="AC48" s="181">
        <v>109.61999999999999</v>
      </c>
      <c r="AD48" s="171">
        <v>109.61999999999999</v>
      </c>
      <c r="AE48" s="184">
        <v>104.75999999999999</v>
      </c>
      <c r="AF48" s="204">
        <v>109.61999999999999</v>
      </c>
      <c r="AG48" s="171">
        <v>109.61999999999999</v>
      </c>
      <c r="AH48" s="184">
        <v>104.75999999999999</v>
      </c>
      <c r="AI48" s="182" t="s">
        <v>1789</v>
      </c>
      <c r="AJ48" s="163" t="s">
        <v>1429</v>
      </c>
      <c r="AK48" s="65" t="s">
        <v>1388</v>
      </c>
      <c r="AL48" s="176">
        <v>54</v>
      </c>
      <c r="AM48" s="159"/>
      <c r="AN48" s="172">
        <v>135</v>
      </c>
      <c r="AO48" s="159">
        <v>0</v>
      </c>
      <c r="AP48" s="65" t="s">
        <v>55</v>
      </c>
      <c r="AQ48" s="109" t="s">
        <v>1407</v>
      </c>
      <c r="AR48" s="173"/>
      <c r="AS48" s="174" t="s">
        <v>1558</v>
      </c>
      <c r="AT48" s="175"/>
      <c r="AU48" s="65" t="s">
        <v>25</v>
      </c>
      <c r="AV48" s="163" t="s">
        <v>1388</v>
      </c>
      <c r="AW48" s="65">
        <v>1589</v>
      </c>
      <c r="AX48" s="196">
        <v>44705.621469907404</v>
      </c>
    </row>
    <row r="49" spans="1:50">
      <c r="A49" s="124" t="s">
        <v>80</v>
      </c>
      <c r="B49" s="109" t="s">
        <v>1320</v>
      </c>
      <c r="C49" s="214" t="s">
        <v>609</v>
      </c>
      <c r="D49" s="163" t="s">
        <v>610</v>
      </c>
      <c r="E49" s="170">
        <v>109.61999999999999</v>
      </c>
      <c r="F49" s="171">
        <v>109.61999999999999</v>
      </c>
      <c r="G49" s="184">
        <v>104.75999999999999</v>
      </c>
      <c r="H49" s="181">
        <v>109.61999999999999</v>
      </c>
      <c r="I49" s="171">
        <v>109.61999999999999</v>
      </c>
      <c r="J49" s="184">
        <v>104.75999999999999</v>
      </c>
      <c r="K49" s="181">
        <v>109.61999999999999</v>
      </c>
      <c r="L49" s="171">
        <v>109.61999999999999</v>
      </c>
      <c r="M49" s="184">
        <v>104.75999999999999</v>
      </c>
      <c r="N49" s="181">
        <v>109.61999999999999</v>
      </c>
      <c r="O49" s="171">
        <v>109.61999999999999</v>
      </c>
      <c r="P49" s="184">
        <v>104.75999999999999</v>
      </c>
      <c r="Q49" s="181">
        <v>109.61999999999999</v>
      </c>
      <c r="R49" s="171">
        <v>109.61999999999999</v>
      </c>
      <c r="S49" s="184">
        <v>104.75999999999999</v>
      </c>
      <c r="T49" s="181">
        <v>109.61999999999999</v>
      </c>
      <c r="U49" s="171">
        <v>109.61999999999999</v>
      </c>
      <c r="V49" s="184">
        <v>104.75999999999999</v>
      </c>
      <c r="W49" s="181">
        <v>109.61999999999999</v>
      </c>
      <c r="X49" s="171">
        <v>109.61999999999999</v>
      </c>
      <c r="Y49" s="184">
        <v>104.75999999999999</v>
      </c>
      <c r="Z49" s="181">
        <v>109.61999999999999</v>
      </c>
      <c r="AA49" s="171">
        <v>109.61999999999999</v>
      </c>
      <c r="AB49" s="184">
        <v>104.75999999999999</v>
      </c>
      <c r="AC49" s="181">
        <v>109.61999999999999</v>
      </c>
      <c r="AD49" s="171">
        <v>109.61999999999999</v>
      </c>
      <c r="AE49" s="184">
        <v>104.75999999999999</v>
      </c>
      <c r="AF49" s="204">
        <v>109.61999999999999</v>
      </c>
      <c r="AG49" s="171">
        <v>109.61999999999999</v>
      </c>
      <c r="AH49" s="184">
        <v>104.75999999999999</v>
      </c>
      <c r="AI49" s="182" t="s">
        <v>606</v>
      </c>
      <c r="AJ49" s="163" t="s">
        <v>1429</v>
      </c>
      <c r="AK49" s="65" t="s">
        <v>1388</v>
      </c>
      <c r="AL49" s="176">
        <v>54</v>
      </c>
      <c r="AM49" s="159"/>
      <c r="AN49" s="172">
        <v>135</v>
      </c>
      <c r="AO49" s="159"/>
      <c r="AP49" s="163" t="s">
        <v>131</v>
      </c>
      <c r="AQ49" s="109" t="s">
        <v>1407</v>
      </c>
      <c r="AR49" s="173" t="s">
        <v>1395</v>
      </c>
      <c r="AS49" s="174" t="s">
        <v>1558</v>
      </c>
      <c r="AT49" s="175"/>
      <c r="AU49" s="65" t="s">
        <v>25</v>
      </c>
      <c r="AV49" s="163" t="s">
        <v>1388</v>
      </c>
      <c r="AW49" s="65">
        <v>1587</v>
      </c>
      <c r="AX49" s="196">
        <v>44732.475011574075</v>
      </c>
    </row>
    <row r="50" spans="1:50">
      <c r="A50" s="124" t="s">
        <v>62</v>
      </c>
      <c r="B50" s="109" t="s">
        <v>1320</v>
      </c>
      <c r="C50" s="214" t="s">
        <v>1816</v>
      </c>
      <c r="D50" s="163" t="s">
        <v>1818</v>
      </c>
      <c r="E50" s="170">
        <v>350</v>
      </c>
      <c r="F50" s="171">
        <v>350</v>
      </c>
      <c r="G50" s="184">
        <v>350</v>
      </c>
      <c r="H50" s="181">
        <v>350</v>
      </c>
      <c r="I50" s="171">
        <v>350</v>
      </c>
      <c r="J50" s="184">
        <v>350</v>
      </c>
      <c r="K50" s="181">
        <v>350</v>
      </c>
      <c r="L50" s="171">
        <v>350</v>
      </c>
      <c r="M50" s="184">
        <v>350</v>
      </c>
      <c r="N50" s="181">
        <v>350</v>
      </c>
      <c r="O50" s="171">
        <v>350</v>
      </c>
      <c r="P50" s="184">
        <v>350</v>
      </c>
      <c r="Q50" s="181">
        <v>340</v>
      </c>
      <c r="R50" s="171">
        <v>340</v>
      </c>
      <c r="S50" s="184">
        <v>340</v>
      </c>
      <c r="T50" s="181">
        <v>320</v>
      </c>
      <c r="U50" s="171">
        <v>320</v>
      </c>
      <c r="V50" s="184">
        <v>320</v>
      </c>
      <c r="W50" s="181">
        <v>320</v>
      </c>
      <c r="X50" s="171">
        <v>320</v>
      </c>
      <c r="Y50" s="184">
        <v>320</v>
      </c>
      <c r="Z50" s="181">
        <v>0</v>
      </c>
      <c r="AA50" s="171">
        <v>0</v>
      </c>
      <c r="AB50" s="184">
        <v>0</v>
      </c>
      <c r="AC50" s="181">
        <v>0</v>
      </c>
      <c r="AD50" s="171">
        <v>0</v>
      </c>
      <c r="AE50" s="184">
        <v>0</v>
      </c>
      <c r="AF50" s="204">
        <v>0</v>
      </c>
      <c r="AG50" s="171">
        <v>0</v>
      </c>
      <c r="AH50" s="184">
        <v>0</v>
      </c>
      <c r="AI50" s="182" t="s">
        <v>1817</v>
      </c>
      <c r="AJ50" s="163" t="s">
        <v>1596</v>
      </c>
      <c r="AK50" s="65" t="s">
        <v>1597</v>
      </c>
      <c r="AL50" s="176">
        <v>1</v>
      </c>
      <c r="AM50" s="159"/>
      <c r="AN50" s="172">
        <v>350</v>
      </c>
      <c r="AO50" s="159"/>
      <c r="AP50" s="163" t="s">
        <v>55</v>
      </c>
      <c r="AQ50" s="109" t="s">
        <v>1403</v>
      </c>
      <c r="AR50" s="173"/>
      <c r="AS50" s="174" t="s">
        <v>1820</v>
      </c>
      <c r="AT50" s="175"/>
      <c r="AU50" s="65" t="s">
        <v>25</v>
      </c>
      <c r="AV50" s="163" t="s">
        <v>12</v>
      </c>
      <c r="AW50" s="65">
        <v>1035</v>
      </c>
      <c r="AX50" s="196">
        <v>44732.464328703703</v>
      </c>
    </row>
    <row r="51" spans="1:50">
      <c r="A51" s="124" t="s">
        <v>62</v>
      </c>
      <c r="B51" s="109" t="s">
        <v>1320</v>
      </c>
      <c r="C51" s="214" t="s">
        <v>1816</v>
      </c>
      <c r="D51" s="163" t="s">
        <v>1821</v>
      </c>
      <c r="E51" s="170">
        <v>350</v>
      </c>
      <c r="F51" s="171">
        <v>350</v>
      </c>
      <c r="G51" s="184">
        <v>350</v>
      </c>
      <c r="H51" s="204">
        <v>350</v>
      </c>
      <c r="I51" s="171">
        <v>350</v>
      </c>
      <c r="J51" s="184">
        <v>350</v>
      </c>
      <c r="K51" s="204">
        <v>350</v>
      </c>
      <c r="L51" s="171">
        <v>350</v>
      </c>
      <c r="M51" s="184">
        <v>350</v>
      </c>
      <c r="N51" s="204">
        <v>350</v>
      </c>
      <c r="O51" s="171">
        <v>350</v>
      </c>
      <c r="P51" s="184">
        <v>350</v>
      </c>
      <c r="Q51" s="204">
        <v>340</v>
      </c>
      <c r="R51" s="171">
        <v>340</v>
      </c>
      <c r="S51" s="184">
        <v>340</v>
      </c>
      <c r="T51" s="204">
        <v>320</v>
      </c>
      <c r="U51" s="171">
        <v>320</v>
      </c>
      <c r="V51" s="184">
        <v>320</v>
      </c>
      <c r="W51" s="204">
        <v>320</v>
      </c>
      <c r="X51" s="171">
        <v>320</v>
      </c>
      <c r="Y51" s="184">
        <v>320</v>
      </c>
      <c r="Z51" s="204">
        <v>0</v>
      </c>
      <c r="AA51" s="171">
        <v>0</v>
      </c>
      <c r="AB51" s="184">
        <v>0</v>
      </c>
      <c r="AC51" s="204">
        <v>0</v>
      </c>
      <c r="AD51" s="171">
        <v>0</v>
      </c>
      <c r="AE51" s="184">
        <v>0</v>
      </c>
      <c r="AF51" s="204">
        <v>0</v>
      </c>
      <c r="AG51" s="171">
        <v>0</v>
      </c>
      <c r="AH51" s="184">
        <v>0</v>
      </c>
      <c r="AI51" s="182" t="s">
        <v>1817</v>
      </c>
      <c r="AJ51" s="163" t="s">
        <v>1596</v>
      </c>
      <c r="AK51" s="65" t="s">
        <v>1597</v>
      </c>
      <c r="AL51" s="176">
        <v>1</v>
      </c>
      <c r="AM51" s="159"/>
      <c r="AN51" s="172">
        <v>350</v>
      </c>
      <c r="AO51" s="159"/>
      <c r="AP51" s="163" t="s">
        <v>55</v>
      </c>
      <c r="AQ51" s="109" t="s">
        <v>1403</v>
      </c>
      <c r="AR51" s="173"/>
      <c r="AS51" s="174" t="s">
        <v>1820</v>
      </c>
      <c r="AT51" s="175"/>
      <c r="AU51" s="65" t="s">
        <v>25</v>
      </c>
      <c r="AV51" s="163" t="s">
        <v>12</v>
      </c>
      <c r="AW51" s="65">
        <v>1035</v>
      </c>
      <c r="AX51" s="196">
        <v>44732.464328703703</v>
      </c>
    </row>
    <row r="52" spans="1:50">
      <c r="A52" s="124" t="s">
        <v>62</v>
      </c>
      <c r="B52" s="109" t="s">
        <v>1320</v>
      </c>
      <c r="C52" s="214" t="s">
        <v>454</v>
      </c>
      <c r="D52" s="163" t="s">
        <v>1823</v>
      </c>
      <c r="E52" s="170">
        <v>466</v>
      </c>
      <c r="F52" s="171">
        <v>466</v>
      </c>
      <c r="G52" s="184">
        <v>434</v>
      </c>
      <c r="H52" s="204">
        <v>466</v>
      </c>
      <c r="I52" s="171">
        <v>466</v>
      </c>
      <c r="J52" s="184">
        <v>434</v>
      </c>
      <c r="K52" s="204">
        <v>466</v>
      </c>
      <c r="L52" s="171">
        <v>466</v>
      </c>
      <c r="M52" s="184">
        <v>434</v>
      </c>
      <c r="N52" s="204">
        <v>466</v>
      </c>
      <c r="O52" s="171">
        <v>466</v>
      </c>
      <c r="P52" s="184">
        <v>434</v>
      </c>
      <c r="Q52" s="204">
        <v>466</v>
      </c>
      <c r="R52" s="171">
        <v>466</v>
      </c>
      <c r="S52" s="184">
        <v>434</v>
      </c>
      <c r="T52" s="204">
        <v>466</v>
      </c>
      <c r="U52" s="171">
        <v>466</v>
      </c>
      <c r="V52" s="184">
        <v>434</v>
      </c>
      <c r="W52" s="204">
        <v>466</v>
      </c>
      <c r="X52" s="171">
        <v>466</v>
      </c>
      <c r="Y52" s="184">
        <v>434</v>
      </c>
      <c r="Z52" s="204">
        <v>466</v>
      </c>
      <c r="AA52" s="171">
        <v>466</v>
      </c>
      <c r="AB52" s="184">
        <v>434</v>
      </c>
      <c r="AC52" s="204">
        <v>466</v>
      </c>
      <c r="AD52" s="171">
        <v>466</v>
      </c>
      <c r="AE52" s="184">
        <v>434</v>
      </c>
      <c r="AF52" s="204">
        <v>466</v>
      </c>
      <c r="AG52" s="171">
        <v>466</v>
      </c>
      <c r="AH52" s="184">
        <v>434</v>
      </c>
      <c r="AI52" s="182" t="s">
        <v>455</v>
      </c>
      <c r="AJ52" s="163" t="s">
        <v>1822</v>
      </c>
      <c r="AK52" s="65" t="s">
        <v>1597</v>
      </c>
      <c r="AL52" s="176">
        <v>1</v>
      </c>
      <c r="AM52" s="159"/>
      <c r="AN52" s="172">
        <v>420</v>
      </c>
      <c r="AO52" s="159"/>
      <c r="AP52" s="163" t="s">
        <v>55</v>
      </c>
      <c r="AQ52" s="109" t="s">
        <v>1403</v>
      </c>
      <c r="AR52" s="173"/>
      <c r="AS52" s="174"/>
      <c r="AT52" s="175"/>
      <c r="AU52" s="65" t="s">
        <v>25</v>
      </c>
      <c r="AV52" s="163" t="s">
        <v>12</v>
      </c>
      <c r="AW52" s="65">
        <v>1036</v>
      </c>
      <c r="AX52" s="196">
        <v>44665.488321759258</v>
      </c>
    </row>
    <row r="53" spans="1:50">
      <c r="A53" s="124" t="s">
        <v>62</v>
      </c>
      <c r="B53" s="109" t="s">
        <v>1320</v>
      </c>
      <c r="C53" s="214" t="s">
        <v>454</v>
      </c>
      <c r="D53" s="163" t="s">
        <v>1825</v>
      </c>
      <c r="E53" s="170">
        <v>0</v>
      </c>
      <c r="F53" s="171">
        <v>0</v>
      </c>
      <c r="G53" s="184">
        <v>0</v>
      </c>
      <c r="H53" s="204">
        <v>420</v>
      </c>
      <c r="I53" s="171">
        <v>420</v>
      </c>
      <c r="J53" s="184">
        <v>420</v>
      </c>
      <c r="K53" s="204">
        <v>420</v>
      </c>
      <c r="L53" s="171">
        <v>420</v>
      </c>
      <c r="M53" s="184">
        <v>420</v>
      </c>
      <c r="N53" s="204">
        <v>420</v>
      </c>
      <c r="O53" s="171">
        <v>420</v>
      </c>
      <c r="P53" s="184">
        <v>420</v>
      </c>
      <c r="Q53" s="204">
        <v>420</v>
      </c>
      <c r="R53" s="171">
        <v>420</v>
      </c>
      <c r="S53" s="184">
        <v>420</v>
      </c>
      <c r="T53" s="204">
        <v>420</v>
      </c>
      <c r="U53" s="171">
        <v>420</v>
      </c>
      <c r="V53" s="184">
        <v>420</v>
      </c>
      <c r="W53" s="204">
        <v>420</v>
      </c>
      <c r="X53" s="171">
        <v>420</v>
      </c>
      <c r="Y53" s="184">
        <v>420</v>
      </c>
      <c r="Z53" s="204">
        <v>420</v>
      </c>
      <c r="AA53" s="171">
        <v>420</v>
      </c>
      <c r="AB53" s="184">
        <v>420</v>
      </c>
      <c r="AC53" s="204">
        <v>420</v>
      </c>
      <c r="AD53" s="171">
        <v>420</v>
      </c>
      <c r="AE53" s="184">
        <v>420</v>
      </c>
      <c r="AF53" s="204">
        <v>420</v>
      </c>
      <c r="AG53" s="171">
        <v>420</v>
      </c>
      <c r="AH53" s="184">
        <v>420</v>
      </c>
      <c r="AI53" s="182" t="s">
        <v>455</v>
      </c>
      <c r="AJ53" s="163" t="s">
        <v>1822</v>
      </c>
      <c r="AK53" s="65" t="s">
        <v>1597</v>
      </c>
      <c r="AL53" s="176">
        <v>1</v>
      </c>
      <c r="AM53" s="159"/>
      <c r="AN53" s="172">
        <v>420</v>
      </c>
      <c r="AO53" s="159"/>
      <c r="AP53" s="163" t="s">
        <v>55</v>
      </c>
      <c r="AQ53" s="109" t="s">
        <v>1403</v>
      </c>
      <c r="AR53" s="173"/>
      <c r="AS53" s="174"/>
      <c r="AT53" s="175"/>
      <c r="AU53" s="65" t="s">
        <v>25</v>
      </c>
      <c r="AV53" s="163" t="s">
        <v>12</v>
      </c>
      <c r="AW53" s="65">
        <v>1036</v>
      </c>
      <c r="AX53" s="196">
        <v>44665.488321759258</v>
      </c>
    </row>
    <row r="54" spans="1:50">
      <c r="A54" s="124" t="s">
        <v>95</v>
      </c>
      <c r="B54" s="109" t="s">
        <v>1320</v>
      </c>
      <c r="C54" s="214" t="s">
        <v>1869</v>
      </c>
      <c r="D54" s="163" t="s">
        <v>1870</v>
      </c>
      <c r="E54" s="170">
        <v>174</v>
      </c>
      <c r="F54" s="171">
        <v>174</v>
      </c>
      <c r="G54" s="184">
        <v>174</v>
      </c>
      <c r="H54" s="204">
        <v>174</v>
      </c>
      <c r="I54" s="171">
        <v>174</v>
      </c>
      <c r="J54" s="184">
        <v>174</v>
      </c>
      <c r="K54" s="204">
        <v>174</v>
      </c>
      <c r="L54" s="171">
        <v>174</v>
      </c>
      <c r="M54" s="184">
        <v>174</v>
      </c>
      <c r="N54" s="204">
        <v>174</v>
      </c>
      <c r="O54" s="171">
        <v>174</v>
      </c>
      <c r="P54" s="184">
        <v>174</v>
      </c>
      <c r="Q54" s="204">
        <v>174</v>
      </c>
      <c r="R54" s="171">
        <v>174</v>
      </c>
      <c r="S54" s="184">
        <v>174</v>
      </c>
      <c r="T54" s="204">
        <v>174</v>
      </c>
      <c r="U54" s="171">
        <v>174</v>
      </c>
      <c r="V54" s="184">
        <v>174</v>
      </c>
      <c r="W54" s="204">
        <v>174</v>
      </c>
      <c r="X54" s="171">
        <v>174</v>
      </c>
      <c r="Y54" s="184">
        <v>174</v>
      </c>
      <c r="Z54" s="204">
        <v>174</v>
      </c>
      <c r="AA54" s="171">
        <v>174</v>
      </c>
      <c r="AB54" s="184">
        <v>174</v>
      </c>
      <c r="AC54" s="204">
        <v>174</v>
      </c>
      <c r="AD54" s="171">
        <v>174</v>
      </c>
      <c r="AE54" s="184">
        <v>174</v>
      </c>
      <c r="AF54" s="204">
        <v>174</v>
      </c>
      <c r="AG54" s="171">
        <v>174</v>
      </c>
      <c r="AH54" s="184">
        <v>174</v>
      </c>
      <c r="AI54" s="182" t="s">
        <v>1585</v>
      </c>
      <c r="AJ54" s="163" t="s">
        <v>1539</v>
      </c>
      <c r="AK54" s="65" t="s">
        <v>18</v>
      </c>
      <c r="AL54" s="176">
        <v>8</v>
      </c>
      <c r="AM54" s="159"/>
      <c r="AN54" s="172">
        <v>176.7</v>
      </c>
      <c r="AO54" s="159"/>
      <c r="AP54" s="163" t="s">
        <v>55</v>
      </c>
      <c r="AQ54" s="109" t="s">
        <v>1403</v>
      </c>
      <c r="AR54" s="173"/>
      <c r="AS54" s="174" t="s">
        <v>1588</v>
      </c>
      <c r="AT54" s="175"/>
      <c r="AU54" s="65" t="s">
        <v>25</v>
      </c>
      <c r="AV54" s="163" t="s">
        <v>18</v>
      </c>
      <c r="AW54" s="65">
        <v>1041</v>
      </c>
      <c r="AX54" s="196">
        <v>44672.403645833336</v>
      </c>
    </row>
    <row r="55" spans="1:50">
      <c r="A55" s="124" t="s">
        <v>80</v>
      </c>
      <c r="B55" s="109" t="s">
        <v>1320</v>
      </c>
      <c r="C55" s="214" t="s">
        <v>1876</v>
      </c>
      <c r="D55" s="163" t="s">
        <v>1878</v>
      </c>
      <c r="E55" s="170">
        <v>60.06</v>
      </c>
      <c r="F55" s="171">
        <v>66</v>
      </c>
      <c r="G55" s="184">
        <v>0</v>
      </c>
      <c r="H55" s="181">
        <v>66</v>
      </c>
      <c r="I55" s="171">
        <v>66</v>
      </c>
      <c r="J55" s="184">
        <v>0</v>
      </c>
      <c r="K55" s="181">
        <v>66</v>
      </c>
      <c r="L55" s="171">
        <v>66</v>
      </c>
      <c r="M55" s="184">
        <v>0</v>
      </c>
      <c r="N55" s="181">
        <v>66</v>
      </c>
      <c r="O55" s="171">
        <v>66</v>
      </c>
      <c r="P55" s="184">
        <v>0</v>
      </c>
      <c r="Q55" s="181">
        <v>66</v>
      </c>
      <c r="R55" s="171">
        <v>66</v>
      </c>
      <c r="S55" s="184">
        <v>0</v>
      </c>
      <c r="T55" s="181">
        <v>66</v>
      </c>
      <c r="U55" s="171">
        <v>66</v>
      </c>
      <c r="V55" s="184">
        <v>0</v>
      </c>
      <c r="W55" s="181">
        <v>66</v>
      </c>
      <c r="X55" s="171">
        <v>66</v>
      </c>
      <c r="Y55" s="184">
        <v>0</v>
      </c>
      <c r="Z55" s="181">
        <v>66</v>
      </c>
      <c r="AA55" s="171">
        <v>66</v>
      </c>
      <c r="AB55" s="184">
        <v>0</v>
      </c>
      <c r="AC55" s="181">
        <v>66</v>
      </c>
      <c r="AD55" s="171">
        <v>0</v>
      </c>
      <c r="AE55" s="184">
        <v>0</v>
      </c>
      <c r="AF55" s="204">
        <v>0</v>
      </c>
      <c r="AG55" s="171">
        <v>0</v>
      </c>
      <c r="AH55" s="184">
        <v>0</v>
      </c>
      <c r="AI55" s="182" t="s">
        <v>1877</v>
      </c>
      <c r="AJ55" s="163" t="s">
        <v>1419</v>
      </c>
      <c r="AK55" s="65" t="s">
        <v>17</v>
      </c>
      <c r="AL55" s="176">
        <v>33</v>
      </c>
      <c r="AM55" s="159"/>
      <c r="AN55" s="172">
        <v>66</v>
      </c>
      <c r="AO55" s="159"/>
      <c r="AP55" s="163" t="s">
        <v>55</v>
      </c>
      <c r="AQ55" s="109" t="s">
        <v>1407</v>
      </c>
      <c r="AR55" s="173"/>
      <c r="AS55" s="174" t="s">
        <v>1655</v>
      </c>
      <c r="AT55" s="175"/>
      <c r="AU55" s="65" t="s">
        <v>25</v>
      </c>
      <c r="AV55" s="163" t="s">
        <v>17</v>
      </c>
      <c r="AW55" s="65">
        <v>1042</v>
      </c>
      <c r="AX55" s="196">
        <v>44665.502951388888</v>
      </c>
    </row>
    <row r="56" spans="1:50">
      <c r="A56" s="124" t="s">
        <v>95</v>
      </c>
      <c r="B56" s="109" t="s">
        <v>1320</v>
      </c>
      <c r="C56" s="214" t="s">
        <v>358</v>
      </c>
      <c r="D56" s="163" t="s">
        <v>360</v>
      </c>
      <c r="E56" s="170">
        <v>144</v>
      </c>
      <c r="F56" s="171">
        <v>144</v>
      </c>
      <c r="G56" s="184">
        <v>144</v>
      </c>
      <c r="H56" s="181">
        <v>144</v>
      </c>
      <c r="I56" s="171">
        <v>144</v>
      </c>
      <c r="J56" s="184">
        <v>144</v>
      </c>
      <c r="K56" s="181">
        <v>144</v>
      </c>
      <c r="L56" s="171">
        <v>144</v>
      </c>
      <c r="M56" s="184">
        <v>144</v>
      </c>
      <c r="N56" s="181">
        <v>144</v>
      </c>
      <c r="O56" s="171">
        <v>144</v>
      </c>
      <c r="P56" s="184">
        <v>144</v>
      </c>
      <c r="Q56" s="181">
        <v>144</v>
      </c>
      <c r="R56" s="171">
        <v>144</v>
      </c>
      <c r="S56" s="184">
        <v>144</v>
      </c>
      <c r="T56" s="181">
        <v>144</v>
      </c>
      <c r="U56" s="171">
        <v>144</v>
      </c>
      <c r="V56" s="184">
        <v>144</v>
      </c>
      <c r="W56" s="181">
        <v>144</v>
      </c>
      <c r="X56" s="171">
        <v>144</v>
      </c>
      <c r="Y56" s="184">
        <v>144</v>
      </c>
      <c r="Z56" s="181">
        <v>144</v>
      </c>
      <c r="AA56" s="171">
        <v>144</v>
      </c>
      <c r="AB56" s="184">
        <v>144</v>
      </c>
      <c r="AC56" s="181">
        <v>144</v>
      </c>
      <c r="AD56" s="171">
        <v>144</v>
      </c>
      <c r="AE56" s="184">
        <v>144</v>
      </c>
      <c r="AF56" s="204">
        <v>144</v>
      </c>
      <c r="AG56" s="171">
        <v>144</v>
      </c>
      <c r="AH56" s="184">
        <v>144</v>
      </c>
      <c r="AI56" s="182" t="s">
        <v>359</v>
      </c>
      <c r="AJ56" s="163" t="s">
        <v>1419</v>
      </c>
      <c r="AK56" s="65" t="s">
        <v>17</v>
      </c>
      <c r="AL56" s="176">
        <v>45</v>
      </c>
      <c r="AM56" s="159"/>
      <c r="AN56" s="172">
        <v>144</v>
      </c>
      <c r="AO56" s="159"/>
      <c r="AP56" s="163" t="s">
        <v>55</v>
      </c>
      <c r="AQ56" s="109" t="s">
        <v>1407</v>
      </c>
      <c r="AR56" s="173"/>
      <c r="AS56" s="174" t="s">
        <v>1558</v>
      </c>
      <c r="AT56" s="175"/>
      <c r="AU56" s="65" t="s">
        <v>25</v>
      </c>
      <c r="AV56" s="163" t="s">
        <v>17</v>
      </c>
      <c r="AW56" s="65">
        <v>1260</v>
      </c>
      <c r="AX56" s="196">
        <v>44743.444386574076</v>
      </c>
    </row>
    <row r="57" spans="1:50">
      <c r="A57" s="124" t="s">
        <v>95</v>
      </c>
      <c r="B57" s="109" t="s">
        <v>1320</v>
      </c>
      <c r="C57" s="214" t="s">
        <v>1889</v>
      </c>
      <c r="D57" s="163" t="s">
        <v>1890</v>
      </c>
      <c r="E57" s="170">
        <v>95</v>
      </c>
      <c r="F57" s="171">
        <v>95</v>
      </c>
      <c r="G57" s="184">
        <v>95</v>
      </c>
      <c r="H57" s="181">
        <v>95</v>
      </c>
      <c r="I57" s="171">
        <v>95</v>
      </c>
      <c r="J57" s="184">
        <v>95</v>
      </c>
      <c r="K57" s="181">
        <v>95</v>
      </c>
      <c r="L57" s="171">
        <v>95</v>
      </c>
      <c r="M57" s="184">
        <v>95</v>
      </c>
      <c r="N57" s="181">
        <v>95</v>
      </c>
      <c r="O57" s="171">
        <v>0</v>
      </c>
      <c r="P57" s="184">
        <v>0</v>
      </c>
      <c r="Q57" s="181">
        <v>95</v>
      </c>
      <c r="R57" s="171">
        <v>95</v>
      </c>
      <c r="S57" s="184">
        <v>95</v>
      </c>
      <c r="T57" s="181">
        <v>95</v>
      </c>
      <c r="U57" s="171">
        <v>95</v>
      </c>
      <c r="V57" s="184">
        <v>95</v>
      </c>
      <c r="W57" s="181">
        <v>95</v>
      </c>
      <c r="X57" s="171">
        <v>95</v>
      </c>
      <c r="Y57" s="184">
        <v>95</v>
      </c>
      <c r="Z57" s="181">
        <v>95</v>
      </c>
      <c r="AA57" s="171">
        <v>95</v>
      </c>
      <c r="AB57" s="184">
        <v>95</v>
      </c>
      <c r="AC57" s="181">
        <v>95</v>
      </c>
      <c r="AD57" s="171">
        <v>95</v>
      </c>
      <c r="AE57" s="184">
        <v>95</v>
      </c>
      <c r="AF57" s="204">
        <v>95</v>
      </c>
      <c r="AG57" s="171">
        <v>95</v>
      </c>
      <c r="AH57" s="184">
        <v>95</v>
      </c>
      <c r="AI57" s="182" t="s">
        <v>1585</v>
      </c>
      <c r="AJ57" s="163" t="s">
        <v>1539</v>
      </c>
      <c r="AK57" s="65" t="s">
        <v>18</v>
      </c>
      <c r="AL57" s="176">
        <v>1</v>
      </c>
      <c r="AM57" s="159"/>
      <c r="AN57" s="172">
        <v>85</v>
      </c>
      <c r="AO57" s="159"/>
      <c r="AP57" s="163" t="s">
        <v>55</v>
      </c>
      <c r="AQ57" s="109" t="s">
        <v>1403</v>
      </c>
      <c r="AR57" s="173"/>
      <c r="AS57" s="174" t="s">
        <v>1588</v>
      </c>
      <c r="AT57" s="175"/>
      <c r="AU57" s="65" t="s">
        <v>25</v>
      </c>
      <c r="AV57" s="163" t="s">
        <v>18</v>
      </c>
      <c r="AW57" s="65">
        <v>1043</v>
      </c>
      <c r="AX57" s="196">
        <v>44672.650509259256</v>
      </c>
    </row>
    <row r="58" spans="1:50">
      <c r="A58" s="124" t="s">
        <v>100</v>
      </c>
      <c r="B58" s="109" t="s">
        <v>1320</v>
      </c>
      <c r="C58" s="214" t="s">
        <v>418</v>
      </c>
      <c r="D58" s="163" t="s">
        <v>420</v>
      </c>
      <c r="E58" s="170">
        <v>57.6</v>
      </c>
      <c r="F58" s="171">
        <v>57.6</v>
      </c>
      <c r="G58" s="184">
        <v>57.6</v>
      </c>
      <c r="H58" s="181">
        <v>57.6</v>
      </c>
      <c r="I58" s="171">
        <v>57.6</v>
      </c>
      <c r="J58" s="184">
        <v>57.6</v>
      </c>
      <c r="K58" s="181">
        <v>57.6</v>
      </c>
      <c r="L58" s="171">
        <v>57.6</v>
      </c>
      <c r="M58" s="184">
        <v>57.6</v>
      </c>
      <c r="N58" s="181">
        <v>57.6</v>
      </c>
      <c r="O58" s="171">
        <v>57.6</v>
      </c>
      <c r="P58" s="184">
        <v>57.6</v>
      </c>
      <c r="Q58" s="181">
        <v>57.6</v>
      </c>
      <c r="R58" s="171">
        <v>57.6</v>
      </c>
      <c r="S58" s="184">
        <v>57.6</v>
      </c>
      <c r="T58" s="181">
        <v>57.6</v>
      </c>
      <c r="U58" s="171">
        <v>57.6</v>
      </c>
      <c r="V58" s="184">
        <v>57.6</v>
      </c>
      <c r="W58" s="181">
        <v>57.6</v>
      </c>
      <c r="X58" s="171">
        <v>57.6</v>
      </c>
      <c r="Y58" s="184">
        <v>57.6</v>
      </c>
      <c r="Z58" s="181">
        <v>57.6</v>
      </c>
      <c r="AA58" s="171">
        <v>57.6</v>
      </c>
      <c r="AB58" s="184">
        <v>57.6</v>
      </c>
      <c r="AC58" s="181">
        <v>57.6</v>
      </c>
      <c r="AD58" s="171">
        <v>57.6</v>
      </c>
      <c r="AE58" s="184">
        <v>57.6</v>
      </c>
      <c r="AF58" s="204">
        <v>57.6</v>
      </c>
      <c r="AG58" s="171">
        <v>57.6</v>
      </c>
      <c r="AH58" s="184">
        <v>57.6</v>
      </c>
      <c r="AI58" s="182" t="s">
        <v>419</v>
      </c>
      <c r="AJ58" s="163" t="s">
        <v>1419</v>
      </c>
      <c r="AK58" s="65" t="s">
        <v>17</v>
      </c>
      <c r="AL58" s="176">
        <v>16</v>
      </c>
      <c r="AM58" s="159"/>
      <c r="AN58" s="172">
        <v>57.6</v>
      </c>
      <c r="AO58" s="159"/>
      <c r="AP58" s="163" t="s">
        <v>55</v>
      </c>
      <c r="AQ58" s="109" t="s">
        <v>1407</v>
      </c>
      <c r="AR58" s="173"/>
      <c r="AS58" s="174" t="s">
        <v>1532</v>
      </c>
      <c r="AT58" s="175"/>
      <c r="AU58" s="65" t="s">
        <v>25</v>
      </c>
      <c r="AV58" s="163" t="s">
        <v>17</v>
      </c>
      <c r="AW58" s="65">
        <v>1263</v>
      </c>
      <c r="AX58" s="196">
        <v>44671.354074074072</v>
      </c>
    </row>
    <row r="59" spans="1:50">
      <c r="A59" s="124" t="s">
        <v>62</v>
      </c>
      <c r="B59" s="109" t="s">
        <v>1320</v>
      </c>
      <c r="C59" s="214" t="s">
        <v>567</v>
      </c>
      <c r="D59" s="163" t="s">
        <v>569</v>
      </c>
      <c r="E59" s="170">
        <v>55.87</v>
      </c>
      <c r="F59" s="171">
        <v>55.87</v>
      </c>
      <c r="G59" s="184">
        <v>55.87</v>
      </c>
      <c r="H59" s="181">
        <v>55.87</v>
      </c>
      <c r="I59" s="171">
        <v>55.87</v>
      </c>
      <c r="J59" s="184">
        <v>55.87</v>
      </c>
      <c r="K59" s="181">
        <v>55.87</v>
      </c>
      <c r="L59" s="171">
        <v>55.87</v>
      </c>
      <c r="M59" s="184">
        <v>55.87</v>
      </c>
      <c r="N59" s="181">
        <v>55.87</v>
      </c>
      <c r="O59" s="171">
        <v>55.87</v>
      </c>
      <c r="P59" s="184">
        <v>55.87</v>
      </c>
      <c r="Q59" s="181">
        <v>55.87</v>
      </c>
      <c r="R59" s="171">
        <v>55.87</v>
      </c>
      <c r="S59" s="184">
        <v>55.87</v>
      </c>
      <c r="T59" s="181">
        <v>55.87</v>
      </c>
      <c r="U59" s="171">
        <v>55.87</v>
      </c>
      <c r="V59" s="184">
        <v>55.87</v>
      </c>
      <c r="W59" s="181">
        <v>55.87</v>
      </c>
      <c r="X59" s="171">
        <v>55.87</v>
      </c>
      <c r="Y59" s="184">
        <v>55.87</v>
      </c>
      <c r="Z59" s="181">
        <v>55.87</v>
      </c>
      <c r="AA59" s="171">
        <v>55.87</v>
      </c>
      <c r="AB59" s="184">
        <v>55.87</v>
      </c>
      <c r="AC59" s="181">
        <v>55.87</v>
      </c>
      <c r="AD59" s="171">
        <v>55.87</v>
      </c>
      <c r="AE59" s="184">
        <v>55.87</v>
      </c>
      <c r="AF59" s="204">
        <v>55.87</v>
      </c>
      <c r="AG59" s="171">
        <v>55.87</v>
      </c>
      <c r="AH59" s="184">
        <v>55.87</v>
      </c>
      <c r="AI59" s="182" t="s">
        <v>568</v>
      </c>
      <c r="AJ59" s="163" t="s">
        <v>1429</v>
      </c>
      <c r="AK59" s="65" t="s">
        <v>1388</v>
      </c>
      <c r="AL59" s="176">
        <v>37</v>
      </c>
      <c r="AM59" s="159"/>
      <c r="AN59" s="172">
        <v>55.87</v>
      </c>
      <c r="AO59" s="159">
        <v>0</v>
      </c>
      <c r="AP59" s="163" t="s">
        <v>55</v>
      </c>
      <c r="AQ59" s="109" t="s">
        <v>1407</v>
      </c>
      <c r="AR59" s="173"/>
      <c r="AS59" s="174" t="s">
        <v>1547</v>
      </c>
      <c r="AT59" s="175"/>
      <c r="AU59" s="65" t="s">
        <v>25</v>
      </c>
      <c r="AV59" s="163" t="s">
        <v>1388</v>
      </c>
      <c r="AW59" s="65">
        <v>1441</v>
      </c>
      <c r="AX59" s="196">
        <v>44700.333009259259</v>
      </c>
    </row>
    <row r="60" spans="1:50">
      <c r="A60" s="124" t="s">
        <v>80</v>
      </c>
      <c r="B60" s="109" t="s">
        <v>1385</v>
      </c>
      <c r="C60" s="214" t="s">
        <v>122</v>
      </c>
      <c r="D60" s="163" t="s">
        <v>123</v>
      </c>
      <c r="E60" s="170">
        <v>2</v>
      </c>
      <c r="F60" s="171">
        <v>2</v>
      </c>
      <c r="G60" s="184">
        <v>2</v>
      </c>
      <c r="H60" s="181">
        <v>2</v>
      </c>
      <c r="I60" s="171">
        <v>2</v>
      </c>
      <c r="J60" s="184">
        <v>2</v>
      </c>
      <c r="K60" s="181">
        <v>2</v>
      </c>
      <c r="L60" s="171">
        <v>2</v>
      </c>
      <c r="M60" s="184">
        <v>2</v>
      </c>
      <c r="N60" s="181">
        <v>2</v>
      </c>
      <c r="O60" s="171">
        <v>2</v>
      </c>
      <c r="P60" s="184">
        <v>2</v>
      </c>
      <c r="Q60" s="181">
        <v>2</v>
      </c>
      <c r="R60" s="171">
        <v>2</v>
      </c>
      <c r="S60" s="184">
        <v>2</v>
      </c>
      <c r="T60" s="181">
        <v>2</v>
      </c>
      <c r="U60" s="171">
        <v>2</v>
      </c>
      <c r="V60" s="184">
        <v>2</v>
      </c>
      <c r="W60" s="181">
        <v>2</v>
      </c>
      <c r="X60" s="171">
        <v>2</v>
      </c>
      <c r="Y60" s="184">
        <v>2</v>
      </c>
      <c r="Z60" s="181">
        <v>2</v>
      </c>
      <c r="AA60" s="171">
        <v>2</v>
      </c>
      <c r="AB60" s="184">
        <v>2</v>
      </c>
      <c r="AC60" s="181">
        <v>2</v>
      </c>
      <c r="AD60" s="171">
        <v>2</v>
      </c>
      <c r="AE60" s="184">
        <v>2</v>
      </c>
      <c r="AF60" s="204">
        <v>2</v>
      </c>
      <c r="AG60" s="171">
        <v>2</v>
      </c>
      <c r="AH60" s="184">
        <v>2</v>
      </c>
      <c r="AI60" s="182" t="s">
        <v>82</v>
      </c>
      <c r="AJ60" s="163" t="s">
        <v>1391</v>
      </c>
      <c r="AK60" s="65" t="s">
        <v>21</v>
      </c>
      <c r="AL60" s="176">
        <v>1</v>
      </c>
      <c r="AM60" s="159"/>
      <c r="AN60" s="172">
        <v>2.09</v>
      </c>
      <c r="AO60" s="159">
        <v>4.32</v>
      </c>
      <c r="AP60" s="163" t="s">
        <v>27</v>
      </c>
      <c r="AQ60" s="109" t="s">
        <v>1403</v>
      </c>
      <c r="AR60" s="173" t="s">
        <v>1537</v>
      </c>
      <c r="AS60" s="174" t="s">
        <v>1405</v>
      </c>
      <c r="AT60" s="175"/>
      <c r="AU60" s="65" t="s">
        <v>27</v>
      </c>
      <c r="AV60" s="163" t="s">
        <v>20</v>
      </c>
      <c r="AW60" s="65">
        <v>1845</v>
      </c>
      <c r="AX60" s="196">
        <v>44671.363344907404</v>
      </c>
    </row>
    <row r="61" spans="1:50">
      <c r="A61" s="124" t="s">
        <v>80</v>
      </c>
      <c r="B61" s="109" t="s">
        <v>1385</v>
      </c>
      <c r="C61" s="214" t="s">
        <v>122</v>
      </c>
      <c r="D61" s="163" t="s">
        <v>124</v>
      </c>
      <c r="E61" s="170">
        <v>4.8</v>
      </c>
      <c r="F61" s="171">
        <v>4.6079999999999997</v>
      </c>
      <c r="G61" s="184">
        <v>4.5119999999999996</v>
      </c>
      <c r="H61" s="181">
        <v>4.8</v>
      </c>
      <c r="I61" s="171">
        <v>4.6079999999999997</v>
      </c>
      <c r="J61" s="184">
        <v>4.5119999999999996</v>
      </c>
      <c r="K61" s="181">
        <v>4.8</v>
      </c>
      <c r="L61" s="171">
        <v>4.6079999999999997</v>
      </c>
      <c r="M61" s="184">
        <v>4.5119999999999996</v>
      </c>
      <c r="N61" s="181">
        <v>4.8</v>
      </c>
      <c r="O61" s="171">
        <v>4.6079999999999997</v>
      </c>
      <c r="P61" s="184">
        <v>4.5119999999999996</v>
      </c>
      <c r="Q61" s="181">
        <v>4.8</v>
      </c>
      <c r="R61" s="171">
        <v>4.6079999999999997</v>
      </c>
      <c r="S61" s="184">
        <v>4.5119999999999996</v>
      </c>
      <c r="T61" s="181">
        <v>4.8</v>
      </c>
      <c r="U61" s="171">
        <v>4.6079999999999997</v>
      </c>
      <c r="V61" s="184">
        <v>4.5119999999999996</v>
      </c>
      <c r="W61" s="181">
        <v>4.8</v>
      </c>
      <c r="X61" s="171">
        <v>4.6079999999999997</v>
      </c>
      <c r="Y61" s="184">
        <v>4.5119999999999996</v>
      </c>
      <c r="Z61" s="181">
        <v>4.8</v>
      </c>
      <c r="AA61" s="171">
        <v>4.6079999999999997</v>
      </c>
      <c r="AB61" s="184">
        <v>4.5119999999999996</v>
      </c>
      <c r="AC61" s="181">
        <v>4.8</v>
      </c>
      <c r="AD61" s="171">
        <v>4.6079999999999997</v>
      </c>
      <c r="AE61" s="184">
        <v>4.5119999999999996</v>
      </c>
      <c r="AF61" s="204">
        <v>4.8</v>
      </c>
      <c r="AG61" s="171">
        <v>4.6079999999999997</v>
      </c>
      <c r="AH61" s="184">
        <v>4.5119999999999996</v>
      </c>
      <c r="AI61" s="182" t="s">
        <v>82</v>
      </c>
      <c r="AJ61" s="163" t="s">
        <v>1429</v>
      </c>
      <c r="AK61" s="65" t="s">
        <v>1388</v>
      </c>
      <c r="AL61" s="176">
        <v>2</v>
      </c>
      <c r="AM61" s="159"/>
      <c r="AN61" s="172">
        <v>4.8</v>
      </c>
      <c r="AO61" s="159"/>
      <c r="AP61" s="163" t="s">
        <v>27</v>
      </c>
      <c r="AQ61" s="109" t="s">
        <v>1407</v>
      </c>
      <c r="AR61" s="173" t="s">
        <v>1537</v>
      </c>
      <c r="AS61" s="174" t="s">
        <v>1405</v>
      </c>
      <c r="AT61" s="175"/>
      <c r="AU61" s="65" t="s">
        <v>27</v>
      </c>
      <c r="AV61" s="163" t="s">
        <v>1388</v>
      </c>
      <c r="AW61" s="65">
        <v>1845</v>
      </c>
      <c r="AX61" s="196">
        <v>44671.363344907404</v>
      </c>
    </row>
    <row r="62" spans="1:50">
      <c r="A62" s="124" t="s">
        <v>62</v>
      </c>
      <c r="B62" s="109" t="s">
        <v>1320</v>
      </c>
      <c r="C62" s="214" t="s">
        <v>570</v>
      </c>
      <c r="D62" s="163" t="s">
        <v>1922</v>
      </c>
      <c r="E62" s="170">
        <v>99.981000000000009</v>
      </c>
      <c r="F62" s="171">
        <v>96.6</v>
      </c>
      <c r="G62" s="184">
        <v>95.22</v>
      </c>
      <c r="H62" s="181">
        <v>99.981000000000009</v>
      </c>
      <c r="I62" s="171">
        <v>96.6</v>
      </c>
      <c r="J62" s="184">
        <v>95.22</v>
      </c>
      <c r="K62" s="181">
        <v>99.981000000000009</v>
      </c>
      <c r="L62" s="171">
        <v>96.6</v>
      </c>
      <c r="M62" s="184">
        <v>95.22</v>
      </c>
      <c r="N62" s="181">
        <v>99.981000000000009</v>
      </c>
      <c r="O62" s="171">
        <v>96.6</v>
      </c>
      <c r="P62" s="184">
        <v>95.22</v>
      </c>
      <c r="Q62" s="181">
        <v>99.981000000000009</v>
      </c>
      <c r="R62" s="171">
        <v>96.6</v>
      </c>
      <c r="S62" s="184">
        <v>95.22</v>
      </c>
      <c r="T62" s="181">
        <v>99.981000000000009</v>
      </c>
      <c r="U62" s="171">
        <v>96.6</v>
      </c>
      <c r="V62" s="184">
        <v>95.22</v>
      </c>
      <c r="W62" s="181">
        <v>99.981000000000009</v>
      </c>
      <c r="X62" s="171">
        <v>96.6</v>
      </c>
      <c r="Y62" s="184">
        <v>95.22</v>
      </c>
      <c r="Z62" s="181">
        <v>99.981000000000009</v>
      </c>
      <c r="AA62" s="171">
        <v>96.6</v>
      </c>
      <c r="AB62" s="184">
        <v>95.22</v>
      </c>
      <c r="AC62" s="181">
        <v>99.981000000000009</v>
      </c>
      <c r="AD62" s="171">
        <v>96.6</v>
      </c>
      <c r="AE62" s="184">
        <v>95.22</v>
      </c>
      <c r="AF62" s="204">
        <v>99.981000000000009</v>
      </c>
      <c r="AG62" s="171">
        <v>96.6</v>
      </c>
      <c r="AH62" s="184">
        <v>95.22</v>
      </c>
      <c r="AI62" s="182" t="s">
        <v>571</v>
      </c>
      <c r="AJ62" s="163" t="s">
        <v>1429</v>
      </c>
      <c r="AK62" s="65" t="s">
        <v>1388</v>
      </c>
      <c r="AL62" s="176">
        <v>69</v>
      </c>
      <c r="AM62" s="159"/>
      <c r="AN62" s="172">
        <v>110.4</v>
      </c>
      <c r="AO62" s="159"/>
      <c r="AP62" s="163" t="s">
        <v>55</v>
      </c>
      <c r="AQ62" s="109" t="s">
        <v>1407</v>
      </c>
      <c r="AR62" s="173"/>
      <c r="AS62" s="174" t="s">
        <v>1457</v>
      </c>
      <c r="AT62" s="175"/>
      <c r="AU62" s="65" t="s">
        <v>25</v>
      </c>
      <c r="AV62" s="163" t="s">
        <v>1388</v>
      </c>
      <c r="AW62" s="65">
        <v>1383</v>
      </c>
      <c r="AX62" s="196">
        <v>44671.430601851855</v>
      </c>
    </row>
    <row r="63" spans="1:50">
      <c r="A63" s="124" t="s">
        <v>62</v>
      </c>
      <c r="B63" s="109" t="s">
        <v>1385</v>
      </c>
      <c r="C63" s="214" t="s">
        <v>1929</v>
      </c>
      <c r="D63" s="163" t="s">
        <v>1931</v>
      </c>
      <c r="E63" s="170">
        <v>0</v>
      </c>
      <c r="F63" s="171">
        <v>0</v>
      </c>
      <c r="G63" s="184">
        <v>0</v>
      </c>
      <c r="H63" s="181">
        <v>0</v>
      </c>
      <c r="I63" s="171">
        <v>23.099999999999998</v>
      </c>
      <c r="J63" s="184">
        <v>23.099999999999998</v>
      </c>
      <c r="K63" s="181">
        <v>200.20000000000002</v>
      </c>
      <c r="L63" s="171">
        <v>338.03</v>
      </c>
      <c r="M63" s="184">
        <v>338.03</v>
      </c>
      <c r="N63" s="181">
        <v>338.03</v>
      </c>
      <c r="O63" s="171">
        <v>338.03</v>
      </c>
      <c r="P63" s="184">
        <v>338.03</v>
      </c>
      <c r="Q63" s="181">
        <v>338.03</v>
      </c>
      <c r="R63" s="171">
        <v>338.03</v>
      </c>
      <c r="S63" s="184">
        <v>338.03</v>
      </c>
      <c r="T63" s="181">
        <v>338.03</v>
      </c>
      <c r="U63" s="171">
        <v>338.03</v>
      </c>
      <c r="V63" s="184">
        <v>338.03</v>
      </c>
      <c r="W63" s="181">
        <v>338.03</v>
      </c>
      <c r="X63" s="171">
        <v>338.03</v>
      </c>
      <c r="Y63" s="184">
        <v>338.03</v>
      </c>
      <c r="Z63" s="181">
        <v>338.03</v>
      </c>
      <c r="AA63" s="171">
        <v>338.03</v>
      </c>
      <c r="AB63" s="184">
        <v>338.03</v>
      </c>
      <c r="AC63" s="181">
        <v>338.03</v>
      </c>
      <c r="AD63" s="171">
        <v>338.03</v>
      </c>
      <c r="AE63" s="184">
        <v>338.03</v>
      </c>
      <c r="AF63" s="204">
        <v>338.03</v>
      </c>
      <c r="AG63" s="171">
        <v>338.03</v>
      </c>
      <c r="AH63" s="184">
        <v>338.03</v>
      </c>
      <c r="AI63" s="182" t="s">
        <v>1930</v>
      </c>
      <c r="AJ63" s="163" t="s">
        <v>1419</v>
      </c>
      <c r="AK63" s="65" t="s">
        <v>17</v>
      </c>
      <c r="AL63" s="176">
        <v>77</v>
      </c>
      <c r="AM63" s="159"/>
      <c r="AN63" s="172">
        <v>346.5</v>
      </c>
      <c r="AO63" s="159"/>
      <c r="AP63" s="163" t="s">
        <v>27</v>
      </c>
      <c r="AQ63" s="109" t="s">
        <v>1407</v>
      </c>
      <c r="AR63" s="173" t="s">
        <v>1933</v>
      </c>
      <c r="AS63" s="174" t="s">
        <v>1547</v>
      </c>
      <c r="AT63" s="175"/>
      <c r="AU63" s="65" t="s">
        <v>27</v>
      </c>
      <c r="AV63" s="163" t="s">
        <v>17</v>
      </c>
      <c r="AW63" s="65">
        <v>1988</v>
      </c>
      <c r="AX63" s="196">
        <v>44747.412800925929</v>
      </c>
    </row>
    <row r="64" spans="1:50">
      <c r="A64" s="124" t="s">
        <v>62</v>
      </c>
      <c r="B64" s="109" t="s">
        <v>1385</v>
      </c>
      <c r="C64" s="214" t="s">
        <v>1929</v>
      </c>
      <c r="D64" s="163" t="s">
        <v>1934</v>
      </c>
      <c r="E64" s="170">
        <v>0</v>
      </c>
      <c r="F64" s="171">
        <v>0</v>
      </c>
      <c r="G64" s="184">
        <v>0</v>
      </c>
      <c r="H64" s="181">
        <v>0</v>
      </c>
      <c r="I64" s="171">
        <v>6.8999999999999995</v>
      </c>
      <c r="J64" s="184">
        <v>6.8999999999999995</v>
      </c>
      <c r="K64" s="181">
        <v>59.800000000000004</v>
      </c>
      <c r="L64" s="171">
        <v>100.97</v>
      </c>
      <c r="M64" s="184">
        <v>100.97</v>
      </c>
      <c r="N64" s="181">
        <v>100.97</v>
      </c>
      <c r="O64" s="171">
        <v>100.97</v>
      </c>
      <c r="P64" s="184">
        <v>100.97</v>
      </c>
      <c r="Q64" s="181">
        <v>100.97</v>
      </c>
      <c r="R64" s="171">
        <v>100.97</v>
      </c>
      <c r="S64" s="184">
        <v>100.97</v>
      </c>
      <c r="T64" s="181">
        <v>100.97</v>
      </c>
      <c r="U64" s="171">
        <v>100.97</v>
      </c>
      <c r="V64" s="184">
        <v>100.97</v>
      </c>
      <c r="W64" s="181">
        <v>100.97</v>
      </c>
      <c r="X64" s="171">
        <v>100.97</v>
      </c>
      <c r="Y64" s="184">
        <v>100.97</v>
      </c>
      <c r="Z64" s="181">
        <v>100.97</v>
      </c>
      <c r="AA64" s="171">
        <v>100.97</v>
      </c>
      <c r="AB64" s="184">
        <v>100.97</v>
      </c>
      <c r="AC64" s="181">
        <v>100.97</v>
      </c>
      <c r="AD64" s="171">
        <v>100.97</v>
      </c>
      <c r="AE64" s="184">
        <v>100.97</v>
      </c>
      <c r="AF64" s="204">
        <v>100.97</v>
      </c>
      <c r="AG64" s="171">
        <v>100.97</v>
      </c>
      <c r="AH64" s="184">
        <v>100.97</v>
      </c>
      <c r="AI64" s="182" t="s">
        <v>1930</v>
      </c>
      <c r="AJ64" s="163" t="s">
        <v>1419</v>
      </c>
      <c r="AK64" s="65" t="s">
        <v>17</v>
      </c>
      <c r="AL64" s="176">
        <v>23</v>
      </c>
      <c r="AM64" s="159"/>
      <c r="AN64" s="172">
        <v>103.5</v>
      </c>
      <c r="AO64" s="159"/>
      <c r="AP64" s="65" t="s">
        <v>27</v>
      </c>
      <c r="AQ64" s="109" t="s">
        <v>1407</v>
      </c>
      <c r="AR64" s="173" t="s">
        <v>1933</v>
      </c>
      <c r="AS64" s="174" t="s">
        <v>1547</v>
      </c>
      <c r="AT64" s="175"/>
      <c r="AU64" s="65" t="s">
        <v>27</v>
      </c>
      <c r="AV64" s="163" t="s">
        <v>17</v>
      </c>
      <c r="AW64" s="65">
        <v>1988</v>
      </c>
      <c r="AX64" s="196">
        <v>44747.412800925929</v>
      </c>
    </row>
    <row r="65" spans="1:50">
      <c r="A65" s="124" t="s">
        <v>80</v>
      </c>
      <c r="B65" s="109" t="s">
        <v>1320</v>
      </c>
      <c r="C65" s="214" t="s">
        <v>1940</v>
      </c>
      <c r="D65" s="163" t="s">
        <v>1941</v>
      </c>
      <c r="E65" s="170">
        <v>56.7</v>
      </c>
      <c r="F65" s="171">
        <v>56.7</v>
      </c>
      <c r="G65" s="184">
        <v>56.7</v>
      </c>
      <c r="H65" s="181">
        <v>56.7</v>
      </c>
      <c r="I65" s="171">
        <v>56.7</v>
      </c>
      <c r="J65" s="184">
        <v>56.7</v>
      </c>
      <c r="K65" s="181">
        <v>56.7</v>
      </c>
      <c r="L65" s="171">
        <v>56.7</v>
      </c>
      <c r="M65" s="184">
        <v>56.7</v>
      </c>
      <c r="N65" s="181">
        <v>56.7</v>
      </c>
      <c r="O65" s="171">
        <v>56.7</v>
      </c>
      <c r="P65" s="184">
        <v>56.7</v>
      </c>
      <c r="Q65" s="181">
        <v>56.7</v>
      </c>
      <c r="R65" s="171">
        <v>56.7</v>
      </c>
      <c r="S65" s="184">
        <v>56.7</v>
      </c>
      <c r="T65" s="181">
        <v>56.7</v>
      </c>
      <c r="U65" s="171">
        <v>56.7</v>
      </c>
      <c r="V65" s="184">
        <v>56.7</v>
      </c>
      <c r="W65" s="181">
        <v>56.7</v>
      </c>
      <c r="X65" s="171">
        <v>56.7</v>
      </c>
      <c r="Y65" s="184">
        <v>56.7</v>
      </c>
      <c r="Z65" s="181">
        <v>56.7</v>
      </c>
      <c r="AA65" s="171">
        <v>56.7</v>
      </c>
      <c r="AB65" s="184">
        <v>56.7</v>
      </c>
      <c r="AC65" s="181">
        <v>56.7</v>
      </c>
      <c r="AD65" s="171">
        <v>56.7</v>
      </c>
      <c r="AE65" s="184">
        <v>56.7</v>
      </c>
      <c r="AF65" s="204">
        <v>56.7</v>
      </c>
      <c r="AG65" s="171">
        <v>56.7</v>
      </c>
      <c r="AH65" s="184">
        <v>56.7</v>
      </c>
      <c r="AI65" s="182" t="s">
        <v>1939</v>
      </c>
      <c r="AJ65" s="163" t="s">
        <v>1419</v>
      </c>
      <c r="AK65" s="65" t="s">
        <v>17</v>
      </c>
      <c r="AL65" s="176">
        <v>27</v>
      </c>
      <c r="AM65" s="159"/>
      <c r="AN65" s="172">
        <v>56.7</v>
      </c>
      <c r="AO65" s="159"/>
      <c r="AP65" s="163" t="s">
        <v>55</v>
      </c>
      <c r="AQ65" s="109" t="s">
        <v>1407</v>
      </c>
      <c r="AR65" s="173"/>
      <c r="AS65" s="174" t="s">
        <v>1943</v>
      </c>
      <c r="AT65" s="175"/>
      <c r="AU65" s="65" t="s">
        <v>25</v>
      </c>
      <c r="AV65" s="163" t="s">
        <v>17</v>
      </c>
      <c r="AW65" s="65">
        <v>1047</v>
      </c>
      <c r="AX65" s="196">
        <v>44743.634548611109</v>
      </c>
    </row>
    <row r="66" spans="1:50">
      <c r="A66" s="124" t="s">
        <v>62</v>
      </c>
      <c r="B66" s="109" t="s">
        <v>1320</v>
      </c>
      <c r="C66" s="214" t="s">
        <v>574</v>
      </c>
      <c r="D66" s="163" t="s">
        <v>576</v>
      </c>
      <c r="E66" s="170">
        <v>74.999000000000009</v>
      </c>
      <c r="F66" s="171">
        <v>72.89</v>
      </c>
      <c r="G66" s="184">
        <v>71.41</v>
      </c>
      <c r="H66" s="181">
        <v>74.999000000000009</v>
      </c>
      <c r="I66" s="171">
        <v>72.89</v>
      </c>
      <c r="J66" s="184">
        <v>71.41</v>
      </c>
      <c r="K66" s="181">
        <v>74.999000000000009</v>
      </c>
      <c r="L66" s="171">
        <v>72.89</v>
      </c>
      <c r="M66" s="184">
        <v>71.41</v>
      </c>
      <c r="N66" s="181">
        <v>74.999000000000009</v>
      </c>
      <c r="O66" s="171">
        <v>72.89</v>
      </c>
      <c r="P66" s="184">
        <v>71.41</v>
      </c>
      <c r="Q66" s="181">
        <v>74.999000000000009</v>
      </c>
      <c r="R66" s="171">
        <v>72.89</v>
      </c>
      <c r="S66" s="184">
        <v>71.41</v>
      </c>
      <c r="T66" s="181">
        <v>74.999000000000009</v>
      </c>
      <c r="U66" s="171">
        <v>72.89</v>
      </c>
      <c r="V66" s="184">
        <v>71.41</v>
      </c>
      <c r="W66" s="181">
        <v>74.999000000000009</v>
      </c>
      <c r="X66" s="171">
        <v>72.89</v>
      </c>
      <c r="Y66" s="184">
        <v>71.41</v>
      </c>
      <c r="Z66" s="181">
        <v>74.999000000000009</v>
      </c>
      <c r="AA66" s="171">
        <v>72.89</v>
      </c>
      <c r="AB66" s="184">
        <v>71.41</v>
      </c>
      <c r="AC66" s="181">
        <v>74.999000000000009</v>
      </c>
      <c r="AD66" s="171">
        <v>72.89</v>
      </c>
      <c r="AE66" s="184">
        <v>71.41</v>
      </c>
      <c r="AF66" s="204">
        <v>74.999000000000009</v>
      </c>
      <c r="AG66" s="171">
        <v>72.89</v>
      </c>
      <c r="AH66" s="184">
        <v>71.41</v>
      </c>
      <c r="AI66" s="182" t="s">
        <v>575</v>
      </c>
      <c r="AJ66" s="163" t="s">
        <v>1429</v>
      </c>
      <c r="AK66" s="65" t="s">
        <v>1388</v>
      </c>
      <c r="AL66" s="176">
        <v>37</v>
      </c>
      <c r="AM66" s="159"/>
      <c r="AN66" s="172">
        <v>92.5</v>
      </c>
      <c r="AO66" s="159"/>
      <c r="AP66" s="163" t="s">
        <v>55</v>
      </c>
      <c r="AQ66" s="109" t="s">
        <v>1407</v>
      </c>
      <c r="AR66" s="173"/>
      <c r="AS66" s="174" t="s">
        <v>1547</v>
      </c>
      <c r="AT66" s="175"/>
      <c r="AU66" s="65" t="s">
        <v>25</v>
      </c>
      <c r="AV66" s="163" t="s">
        <v>1388</v>
      </c>
      <c r="AW66" s="65">
        <v>1562</v>
      </c>
      <c r="AX66" s="196">
        <v>44699.35900462963</v>
      </c>
    </row>
    <row r="67" spans="1:50">
      <c r="A67" s="124" t="s">
        <v>100</v>
      </c>
      <c r="B67" s="109" t="s">
        <v>1320</v>
      </c>
      <c r="C67" s="214" t="s">
        <v>637</v>
      </c>
      <c r="D67" s="163" t="s">
        <v>1955</v>
      </c>
      <c r="E67" s="170">
        <v>24.51</v>
      </c>
      <c r="F67" s="171">
        <v>26.979999999999997</v>
      </c>
      <c r="G67" s="184">
        <v>24.51</v>
      </c>
      <c r="H67" s="181">
        <v>24.51</v>
      </c>
      <c r="I67" s="171">
        <v>26.979999999999997</v>
      </c>
      <c r="J67" s="184">
        <v>24.51</v>
      </c>
      <c r="K67" s="181">
        <v>24.51</v>
      </c>
      <c r="L67" s="171">
        <v>26.979999999999997</v>
      </c>
      <c r="M67" s="184">
        <v>24.51</v>
      </c>
      <c r="N67" s="181">
        <v>24.51</v>
      </c>
      <c r="O67" s="171">
        <v>26.979999999999997</v>
      </c>
      <c r="P67" s="184">
        <v>24.51</v>
      </c>
      <c r="Q67" s="181">
        <v>24.51</v>
      </c>
      <c r="R67" s="171">
        <v>26.979999999999997</v>
      </c>
      <c r="S67" s="184">
        <v>24.51</v>
      </c>
      <c r="T67" s="181">
        <v>24.51</v>
      </c>
      <c r="U67" s="171">
        <v>26.979999999999997</v>
      </c>
      <c r="V67" s="184">
        <v>24.51</v>
      </c>
      <c r="W67" s="181">
        <v>24.51</v>
      </c>
      <c r="X67" s="171">
        <v>26.979999999999997</v>
      </c>
      <c r="Y67" s="184">
        <v>24.51</v>
      </c>
      <c r="Z67" s="181">
        <v>24.51</v>
      </c>
      <c r="AA67" s="171">
        <v>26.979999999999997</v>
      </c>
      <c r="AB67" s="184">
        <v>24.51</v>
      </c>
      <c r="AC67" s="181">
        <v>24.51</v>
      </c>
      <c r="AD67" s="171">
        <v>26.979999999999997</v>
      </c>
      <c r="AE67" s="184">
        <v>24.51</v>
      </c>
      <c r="AF67" s="204">
        <v>24.51</v>
      </c>
      <c r="AG67" s="171">
        <v>26.979999999999997</v>
      </c>
      <c r="AH67" s="184">
        <v>24.51</v>
      </c>
      <c r="AI67" s="182" t="s">
        <v>1789</v>
      </c>
      <c r="AJ67" s="163" t="s">
        <v>1429</v>
      </c>
      <c r="AK67" s="65" t="s">
        <v>1388</v>
      </c>
      <c r="AL67" s="176">
        <v>19</v>
      </c>
      <c r="AM67" s="159"/>
      <c r="AN67" s="172">
        <v>26.979999999999997</v>
      </c>
      <c r="AO67" s="159"/>
      <c r="AP67" s="163" t="s">
        <v>27</v>
      </c>
      <c r="AQ67" s="109" t="s">
        <v>1407</v>
      </c>
      <c r="AR67" s="173"/>
      <c r="AS67" s="174" t="s">
        <v>1534</v>
      </c>
      <c r="AT67" s="175"/>
      <c r="AU67" s="65" t="s">
        <v>25</v>
      </c>
      <c r="AV67" s="163" t="s">
        <v>1388</v>
      </c>
      <c r="AW67" s="65">
        <v>1691</v>
      </c>
      <c r="AX67" s="196">
        <v>44732.481886574074</v>
      </c>
    </row>
    <row r="68" spans="1:50">
      <c r="A68" s="124" t="s">
        <v>46</v>
      </c>
      <c r="B68" s="109" t="s">
        <v>1320</v>
      </c>
      <c r="C68" s="214" t="s">
        <v>536</v>
      </c>
      <c r="D68" s="163" t="s">
        <v>1957</v>
      </c>
      <c r="E68" s="170">
        <v>150.03</v>
      </c>
      <c r="F68" s="171">
        <v>150.03</v>
      </c>
      <c r="G68" s="184">
        <v>150.03</v>
      </c>
      <c r="H68" s="181">
        <v>150.03</v>
      </c>
      <c r="I68" s="171">
        <v>150.03</v>
      </c>
      <c r="J68" s="184">
        <v>150.03</v>
      </c>
      <c r="K68" s="181">
        <v>150.03</v>
      </c>
      <c r="L68" s="171">
        <v>150.03</v>
      </c>
      <c r="M68" s="184">
        <v>150.03</v>
      </c>
      <c r="N68" s="181">
        <v>150.03</v>
      </c>
      <c r="O68" s="171">
        <v>150.03</v>
      </c>
      <c r="P68" s="184">
        <v>150.03</v>
      </c>
      <c r="Q68" s="181">
        <v>150.03</v>
      </c>
      <c r="R68" s="171">
        <v>150.03</v>
      </c>
      <c r="S68" s="184">
        <v>150.03</v>
      </c>
      <c r="T68" s="181">
        <v>150.03</v>
      </c>
      <c r="U68" s="171">
        <v>150.03</v>
      </c>
      <c r="V68" s="184">
        <v>150.03</v>
      </c>
      <c r="W68" s="181">
        <v>150.03</v>
      </c>
      <c r="X68" s="171">
        <v>150.03</v>
      </c>
      <c r="Y68" s="184">
        <v>150.03</v>
      </c>
      <c r="Z68" s="181">
        <v>150.03</v>
      </c>
      <c r="AA68" s="171">
        <v>150.93</v>
      </c>
      <c r="AB68" s="184">
        <v>150.93</v>
      </c>
      <c r="AC68" s="181">
        <v>150.03</v>
      </c>
      <c r="AD68" s="171">
        <v>150.03</v>
      </c>
      <c r="AE68" s="184">
        <v>150.03</v>
      </c>
      <c r="AF68" s="204">
        <v>150.03</v>
      </c>
      <c r="AG68" s="171">
        <v>150.03</v>
      </c>
      <c r="AH68" s="184">
        <v>150.03</v>
      </c>
      <c r="AI68" s="182" t="s">
        <v>537</v>
      </c>
      <c r="AJ68" s="163" t="s">
        <v>1429</v>
      </c>
      <c r="AK68" s="65" t="s">
        <v>1388</v>
      </c>
      <c r="AL68" s="176">
        <v>90</v>
      </c>
      <c r="AM68" s="159"/>
      <c r="AN68" s="172">
        <v>150.29999999999998</v>
      </c>
      <c r="AO68" s="159"/>
      <c r="AP68" s="163" t="s">
        <v>55</v>
      </c>
      <c r="AQ68" s="109" t="s">
        <v>1407</v>
      </c>
      <c r="AR68" s="173"/>
      <c r="AS68" s="174" t="s">
        <v>1959</v>
      </c>
      <c r="AT68" s="175"/>
      <c r="AU68" s="65" t="s">
        <v>25</v>
      </c>
      <c r="AV68" s="163" t="s">
        <v>1388</v>
      </c>
      <c r="AW68" s="65">
        <v>1420</v>
      </c>
      <c r="AX68" s="196">
        <v>44671.445439814815</v>
      </c>
    </row>
    <row r="69" spans="1:50">
      <c r="A69" s="124" t="s">
        <v>46</v>
      </c>
      <c r="B69" s="109" t="s">
        <v>1320</v>
      </c>
      <c r="C69" s="214" t="s">
        <v>210</v>
      </c>
      <c r="D69" s="163" t="s">
        <v>211</v>
      </c>
      <c r="E69" s="170">
        <v>218.7</v>
      </c>
      <c r="F69" s="171">
        <v>210.6</v>
      </c>
      <c r="G69" s="184">
        <v>124.19999999999999</v>
      </c>
      <c r="H69" s="181">
        <v>218.7</v>
      </c>
      <c r="I69" s="171">
        <v>210.6</v>
      </c>
      <c r="J69" s="184">
        <v>124.19999999999999</v>
      </c>
      <c r="K69" s="181">
        <v>218.7</v>
      </c>
      <c r="L69" s="171">
        <v>210.6</v>
      </c>
      <c r="M69" s="184">
        <v>124.19999999999999</v>
      </c>
      <c r="N69" s="181">
        <v>218.7</v>
      </c>
      <c r="O69" s="171">
        <v>210.6</v>
      </c>
      <c r="P69" s="184">
        <v>124.19999999999999</v>
      </c>
      <c r="Q69" s="181">
        <v>218.7</v>
      </c>
      <c r="R69" s="171">
        <v>210.6</v>
      </c>
      <c r="S69" s="184">
        <v>124.19999999999999</v>
      </c>
      <c r="T69" s="181">
        <v>218.7</v>
      </c>
      <c r="U69" s="171">
        <v>210.6</v>
      </c>
      <c r="V69" s="184">
        <v>124.19999999999999</v>
      </c>
      <c r="W69" s="181">
        <v>218.7</v>
      </c>
      <c r="X69" s="171">
        <v>210.6</v>
      </c>
      <c r="Y69" s="184">
        <v>124.19999999999999</v>
      </c>
      <c r="Z69" s="181">
        <v>218.7</v>
      </c>
      <c r="AA69" s="171">
        <v>210.6</v>
      </c>
      <c r="AB69" s="184">
        <v>124.19999999999999</v>
      </c>
      <c r="AC69" s="181">
        <v>218.7</v>
      </c>
      <c r="AD69" s="171">
        <v>210.6</v>
      </c>
      <c r="AE69" s="184">
        <v>124.19999999999999</v>
      </c>
      <c r="AF69" s="204">
        <v>218.7</v>
      </c>
      <c r="AG69" s="171">
        <v>210.6</v>
      </c>
      <c r="AH69" s="184">
        <v>124.19999999999999</v>
      </c>
      <c r="AI69" s="182" t="s">
        <v>102</v>
      </c>
      <c r="AJ69" s="163" t="s">
        <v>1419</v>
      </c>
      <c r="AK69" s="65" t="s">
        <v>17</v>
      </c>
      <c r="AL69" s="176">
        <v>54</v>
      </c>
      <c r="AM69" s="159"/>
      <c r="AN69" s="172">
        <v>226.8</v>
      </c>
      <c r="AO69" s="159"/>
      <c r="AP69" s="163" t="s">
        <v>55</v>
      </c>
      <c r="AQ69" s="109" t="s">
        <v>1407</v>
      </c>
      <c r="AR69" s="173"/>
      <c r="AS69" s="174" t="s">
        <v>1681</v>
      </c>
      <c r="AT69" s="175"/>
      <c r="AU69" s="65" t="s">
        <v>25</v>
      </c>
      <c r="AV69" s="163" t="s">
        <v>17</v>
      </c>
      <c r="AW69" s="65">
        <v>1052</v>
      </c>
      <c r="AX69" s="196">
        <v>44665.64203703704</v>
      </c>
    </row>
    <row r="70" spans="1:50">
      <c r="A70" s="124" t="s">
        <v>62</v>
      </c>
      <c r="B70" s="109" t="s">
        <v>1320</v>
      </c>
      <c r="C70" s="214" t="s">
        <v>577</v>
      </c>
      <c r="D70" s="163" t="s">
        <v>1966</v>
      </c>
      <c r="E70" s="170">
        <v>42.5</v>
      </c>
      <c r="F70" s="171">
        <v>41.31</v>
      </c>
      <c r="G70" s="184">
        <v>39.950000000000003</v>
      </c>
      <c r="H70" s="181">
        <v>42.5</v>
      </c>
      <c r="I70" s="171">
        <v>41.31</v>
      </c>
      <c r="J70" s="184">
        <v>39.950000000000003</v>
      </c>
      <c r="K70" s="181">
        <v>42.5</v>
      </c>
      <c r="L70" s="171">
        <v>41.31</v>
      </c>
      <c r="M70" s="184">
        <v>39.950000000000003</v>
      </c>
      <c r="N70" s="181">
        <v>42.5</v>
      </c>
      <c r="O70" s="171">
        <v>41.31</v>
      </c>
      <c r="P70" s="184">
        <v>39.950000000000003</v>
      </c>
      <c r="Q70" s="181">
        <v>42.5</v>
      </c>
      <c r="R70" s="171">
        <v>41.31</v>
      </c>
      <c r="S70" s="184">
        <v>39.950000000000003</v>
      </c>
      <c r="T70" s="181">
        <v>42.5</v>
      </c>
      <c r="U70" s="171">
        <v>41.31</v>
      </c>
      <c r="V70" s="184">
        <v>39.950000000000003</v>
      </c>
      <c r="W70" s="181">
        <v>42.5</v>
      </c>
      <c r="X70" s="171">
        <v>41.31</v>
      </c>
      <c r="Y70" s="184">
        <v>39.950000000000003</v>
      </c>
      <c r="Z70" s="181">
        <v>42.5</v>
      </c>
      <c r="AA70" s="171">
        <v>41.31</v>
      </c>
      <c r="AB70" s="184">
        <v>39.950000000000003</v>
      </c>
      <c r="AC70" s="181">
        <v>42.5</v>
      </c>
      <c r="AD70" s="171">
        <v>41.31</v>
      </c>
      <c r="AE70" s="184">
        <v>39.950000000000003</v>
      </c>
      <c r="AF70" s="204">
        <v>42.5</v>
      </c>
      <c r="AG70" s="171">
        <v>41.31</v>
      </c>
      <c r="AH70" s="184">
        <v>39.950000000000003</v>
      </c>
      <c r="AI70" s="182" t="s">
        <v>102</v>
      </c>
      <c r="AJ70" s="163" t="s">
        <v>1398</v>
      </c>
      <c r="AK70" s="65" t="s">
        <v>1388</v>
      </c>
      <c r="AL70" s="176">
        <v>17</v>
      </c>
      <c r="AM70" s="159"/>
      <c r="AN70" s="172">
        <v>42.5</v>
      </c>
      <c r="AO70" s="159"/>
      <c r="AP70" s="163" t="s">
        <v>55</v>
      </c>
      <c r="AQ70" s="109" t="s">
        <v>1407</v>
      </c>
      <c r="AR70" s="173"/>
      <c r="AS70" s="174" t="s">
        <v>1558</v>
      </c>
      <c r="AT70" s="175"/>
      <c r="AU70" s="65" t="s">
        <v>25</v>
      </c>
      <c r="AV70" s="163" t="s">
        <v>1388</v>
      </c>
      <c r="AW70" s="65">
        <v>1349</v>
      </c>
      <c r="AX70" s="196">
        <v>44671.391400462962</v>
      </c>
    </row>
    <row r="71" spans="1:50">
      <c r="A71" s="124" t="s">
        <v>46</v>
      </c>
      <c r="B71" s="109" t="s">
        <v>1320</v>
      </c>
      <c r="C71" s="214" t="s">
        <v>1968</v>
      </c>
      <c r="D71" s="163" t="s">
        <v>1969</v>
      </c>
      <c r="E71" s="170">
        <v>181</v>
      </c>
      <c r="F71" s="171">
        <v>170</v>
      </c>
      <c r="G71" s="184">
        <v>160</v>
      </c>
      <c r="H71" s="181">
        <v>181</v>
      </c>
      <c r="I71" s="171">
        <v>170</v>
      </c>
      <c r="J71" s="184">
        <v>160</v>
      </c>
      <c r="K71" s="181">
        <v>181</v>
      </c>
      <c r="L71" s="171">
        <v>170</v>
      </c>
      <c r="M71" s="184">
        <v>160</v>
      </c>
      <c r="N71" s="181">
        <v>181</v>
      </c>
      <c r="O71" s="171">
        <v>170</v>
      </c>
      <c r="P71" s="184">
        <v>160</v>
      </c>
      <c r="Q71" s="181">
        <v>181</v>
      </c>
      <c r="R71" s="171">
        <v>170</v>
      </c>
      <c r="S71" s="184">
        <v>160</v>
      </c>
      <c r="T71" s="181">
        <v>181</v>
      </c>
      <c r="U71" s="171">
        <v>170</v>
      </c>
      <c r="V71" s="184">
        <v>160</v>
      </c>
      <c r="W71" s="181">
        <v>181</v>
      </c>
      <c r="X71" s="171">
        <v>170</v>
      </c>
      <c r="Y71" s="184">
        <v>160</v>
      </c>
      <c r="Z71" s="181">
        <v>181</v>
      </c>
      <c r="AA71" s="171">
        <v>170</v>
      </c>
      <c r="AB71" s="184">
        <v>160</v>
      </c>
      <c r="AC71" s="181">
        <v>181</v>
      </c>
      <c r="AD71" s="171">
        <v>170</v>
      </c>
      <c r="AE71" s="184">
        <v>160</v>
      </c>
      <c r="AF71" s="204">
        <v>181</v>
      </c>
      <c r="AG71" s="171">
        <v>170</v>
      </c>
      <c r="AH71" s="184">
        <v>160</v>
      </c>
      <c r="AI71" s="182" t="s">
        <v>558</v>
      </c>
      <c r="AJ71" s="163" t="s">
        <v>1493</v>
      </c>
      <c r="AK71" s="65" t="s">
        <v>1360</v>
      </c>
      <c r="AL71" s="176">
        <v>1</v>
      </c>
      <c r="AM71" s="159"/>
      <c r="AN71" s="172">
        <v>181</v>
      </c>
      <c r="AO71" s="159"/>
      <c r="AP71" s="163" t="s">
        <v>55</v>
      </c>
      <c r="AQ71" s="109" t="s">
        <v>1403</v>
      </c>
      <c r="AR71" s="173"/>
      <c r="AS71" s="174" t="s">
        <v>1434</v>
      </c>
      <c r="AT71" s="175"/>
      <c r="AU71" s="65" t="s">
        <v>25</v>
      </c>
      <c r="AV71" s="163" t="s">
        <v>14</v>
      </c>
      <c r="AW71" s="65">
        <v>1053</v>
      </c>
      <c r="AX71" s="196">
        <v>44665.646296296298</v>
      </c>
    </row>
    <row r="72" spans="1:50">
      <c r="A72" s="131" t="s">
        <v>46</v>
      </c>
      <c r="B72" s="109" t="s">
        <v>1320</v>
      </c>
      <c r="C72" s="214" t="s">
        <v>1968</v>
      </c>
      <c r="D72" s="163" t="s">
        <v>1971</v>
      </c>
      <c r="E72" s="170">
        <v>181</v>
      </c>
      <c r="F72" s="171">
        <v>170</v>
      </c>
      <c r="G72" s="184">
        <v>160</v>
      </c>
      <c r="H72" s="181">
        <v>181</v>
      </c>
      <c r="I72" s="171">
        <v>170</v>
      </c>
      <c r="J72" s="184">
        <v>160</v>
      </c>
      <c r="K72" s="181">
        <v>181</v>
      </c>
      <c r="L72" s="171">
        <v>170</v>
      </c>
      <c r="M72" s="184">
        <v>160</v>
      </c>
      <c r="N72" s="181">
        <v>181</v>
      </c>
      <c r="O72" s="171">
        <v>170</v>
      </c>
      <c r="P72" s="184">
        <v>160</v>
      </c>
      <c r="Q72" s="181">
        <v>181</v>
      </c>
      <c r="R72" s="171">
        <v>170</v>
      </c>
      <c r="S72" s="184">
        <v>160</v>
      </c>
      <c r="T72" s="181">
        <v>181</v>
      </c>
      <c r="U72" s="171">
        <v>170</v>
      </c>
      <c r="V72" s="184">
        <v>160</v>
      </c>
      <c r="W72" s="181">
        <v>181</v>
      </c>
      <c r="X72" s="171">
        <v>170</v>
      </c>
      <c r="Y72" s="184">
        <v>160</v>
      </c>
      <c r="Z72" s="181">
        <v>181</v>
      </c>
      <c r="AA72" s="171">
        <v>170</v>
      </c>
      <c r="AB72" s="184">
        <v>160</v>
      </c>
      <c r="AC72" s="181">
        <v>181</v>
      </c>
      <c r="AD72" s="171">
        <v>170</v>
      </c>
      <c r="AE72" s="184">
        <v>160</v>
      </c>
      <c r="AF72" s="204">
        <v>181</v>
      </c>
      <c r="AG72" s="171">
        <v>170</v>
      </c>
      <c r="AH72" s="184">
        <v>160</v>
      </c>
      <c r="AI72" s="182" t="s">
        <v>558</v>
      </c>
      <c r="AJ72" s="163" t="s">
        <v>1493</v>
      </c>
      <c r="AK72" s="65" t="s">
        <v>1360</v>
      </c>
      <c r="AL72" s="176">
        <v>1</v>
      </c>
      <c r="AM72" s="159"/>
      <c r="AN72" s="172">
        <v>181</v>
      </c>
      <c r="AO72" s="159"/>
      <c r="AP72" s="163" t="s">
        <v>55</v>
      </c>
      <c r="AQ72" s="109" t="s">
        <v>1403</v>
      </c>
      <c r="AR72" s="173"/>
      <c r="AS72" s="174" t="s">
        <v>1434</v>
      </c>
      <c r="AT72" s="175"/>
      <c r="AU72" s="65" t="s">
        <v>25</v>
      </c>
      <c r="AV72" s="163" t="s">
        <v>14</v>
      </c>
      <c r="AW72" s="65">
        <v>1053</v>
      </c>
      <c r="AX72" s="196">
        <v>44665.646296296298</v>
      </c>
    </row>
    <row r="73" spans="1:50">
      <c r="A73" s="124" t="s">
        <v>46</v>
      </c>
      <c r="B73" s="109" t="s">
        <v>1320</v>
      </c>
      <c r="C73" s="214" t="s">
        <v>1968</v>
      </c>
      <c r="D73" s="163" t="s">
        <v>1972</v>
      </c>
      <c r="E73" s="170">
        <v>181</v>
      </c>
      <c r="F73" s="171">
        <v>170</v>
      </c>
      <c r="G73" s="184">
        <v>160</v>
      </c>
      <c r="H73" s="181">
        <v>181</v>
      </c>
      <c r="I73" s="171">
        <v>170</v>
      </c>
      <c r="J73" s="184">
        <v>160</v>
      </c>
      <c r="K73" s="181">
        <v>181</v>
      </c>
      <c r="L73" s="171">
        <v>170</v>
      </c>
      <c r="M73" s="184">
        <v>160</v>
      </c>
      <c r="N73" s="181">
        <v>181</v>
      </c>
      <c r="O73" s="171">
        <v>170</v>
      </c>
      <c r="P73" s="184">
        <v>160</v>
      </c>
      <c r="Q73" s="181">
        <v>181</v>
      </c>
      <c r="R73" s="171">
        <v>170</v>
      </c>
      <c r="S73" s="184">
        <v>160</v>
      </c>
      <c r="T73" s="181">
        <v>181</v>
      </c>
      <c r="U73" s="171">
        <v>170</v>
      </c>
      <c r="V73" s="184">
        <v>160</v>
      </c>
      <c r="W73" s="181">
        <v>181</v>
      </c>
      <c r="X73" s="171">
        <v>170</v>
      </c>
      <c r="Y73" s="184">
        <v>160</v>
      </c>
      <c r="Z73" s="181">
        <v>181</v>
      </c>
      <c r="AA73" s="171">
        <v>170</v>
      </c>
      <c r="AB73" s="184">
        <v>160</v>
      </c>
      <c r="AC73" s="181">
        <v>181</v>
      </c>
      <c r="AD73" s="171">
        <v>170</v>
      </c>
      <c r="AE73" s="184">
        <v>160</v>
      </c>
      <c r="AF73" s="204">
        <v>181</v>
      </c>
      <c r="AG73" s="171">
        <v>170</v>
      </c>
      <c r="AH73" s="184">
        <v>160</v>
      </c>
      <c r="AI73" s="182" t="s">
        <v>558</v>
      </c>
      <c r="AJ73" s="163" t="s">
        <v>1493</v>
      </c>
      <c r="AK73" s="65" t="s">
        <v>1360</v>
      </c>
      <c r="AL73" s="176">
        <v>1</v>
      </c>
      <c r="AM73" s="159"/>
      <c r="AN73" s="172">
        <v>181</v>
      </c>
      <c r="AO73" s="159"/>
      <c r="AP73" s="163" t="s">
        <v>55</v>
      </c>
      <c r="AQ73" s="109" t="s">
        <v>1403</v>
      </c>
      <c r="AR73" s="173"/>
      <c r="AS73" s="174" t="s">
        <v>1434</v>
      </c>
      <c r="AT73" s="175"/>
      <c r="AU73" s="65" t="s">
        <v>25</v>
      </c>
      <c r="AV73" s="163" t="s">
        <v>14</v>
      </c>
      <c r="AW73" s="65">
        <v>1053</v>
      </c>
      <c r="AX73" s="196">
        <v>44665.646296296298</v>
      </c>
    </row>
    <row r="74" spans="1:50">
      <c r="A74" s="124" t="s">
        <v>46</v>
      </c>
      <c r="B74" s="109" t="s">
        <v>1320</v>
      </c>
      <c r="C74" s="214" t="s">
        <v>1968</v>
      </c>
      <c r="D74" s="163" t="s">
        <v>1973</v>
      </c>
      <c r="E74" s="170">
        <v>181</v>
      </c>
      <c r="F74" s="171">
        <v>170</v>
      </c>
      <c r="G74" s="184">
        <v>160</v>
      </c>
      <c r="H74" s="181">
        <v>181</v>
      </c>
      <c r="I74" s="171">
        <v>170</v>
      </c>
      <c r="J74" s="184">
        <v>160</v>
      </c>
      <c r="K74" s="181">
        <v>181</v>
      </c>
      <c r="L74" s="171">
        <v>170</v>
      </c>
      <c r="M74" s="184">
        <v>160</v>
      </c>
      <c r="N74" s="181">
        <v>181</v>
      </c>
      <c r="O74" s="171">
        <v>170</v>
      </c>
      <c r="P74" s="184">
        <v>160</v>
      </c>
      <c r="Q74" s="181">
        <v>181</v>
      </c>
      <c r="R74" s="171">
        <v>170</v>
      </c>
      <c r="S74" s="184">
        <v>160</v>
      </c>
      <c r="T74" s="181">
        <v>181</v>
      </c>
      <c r="U74" s="171">
        <v>170</v>
      </c>
      <c r="V74" s="184">
        <v>160</v>
      </c>
      <c r="W74" s="181">
        <v>181</v>
      </c>
      <c r="X74" s="171">
        <v>170</v>
      </c>
      <c r="Y74" s="184">
        <v>160</v>
      </c>
      <c r="Z74" s="181">
        <v>181</v>
      </c>
      <c r="AA74" s="171">
        <v>170</v>
      </c>
      <c r="AB74" s="184">
        <v>160</v>
      </c>
      <c r="AC74" s="181">
        <v>181</v>
      </c>
      <c r="AD74" s="171">
        <v>170</v>
      </c>
      <c r="AE74" s="184">
        <v>160</v>
      </c>
      <c r="AF74" s="204">
        <v>181</v>
      </c>
      <c r="AG74" s="171">
        <v>170</v>
      </c>
      <c r="AH74" s="184">
        <v>160</v>
      </c>
      <c r="AI74" s="182" t="s">
        <v>558</v>
      </c>
      <c r="AJ74" s="163" t="s">
        <v>1493</v>
      </c>
      <c r="AK74" s="65" t="s">
        <v>1360</v>
      </c>
      <c r="AL74" s="176">
        <v>1</v>
      </c>
      <c r="AM74" s="159"/>
      <c r="AN74" s="172">
        <v>181</v>
      </c>
      <c r="AO74" s="159"/>
      <c r="AP74" s="163" t="s">
        <v>55</v>
      </c>
      <c r="AQ74" s="109" t="s">
        <v>1403</v>
      </c>
      <c r="AR74" s="173"/>
      <c r="AS74" s="174" t="s">
        <v>1434</v>
      </c>
      <c r="AT74" s="175"/>
      <c r="AU74" s="65" t="s">
        <v>25</v>
      </c>
      <c r="AV74" s="163" t="s">
        <v>14</v>
      </c>
      <c r="AW74" s="65">
        <v>1053</v>
      </c>
      <c r="AX74" s="196">
        <v>44665.646296296298</v>
      </c>
    </row>
    <row r="75" spans="1:50">
      <c r="A75" s="124" t="s">
        <v>62</v>
      </c>
      <c r="B75" s="109" t="s">
        <v>1385</v>
      </c>
      <c r="C75" s="214" t="s">
        <v>295</v>
      </c>
      <c r="D75" s="163" t="s">
        <v>208</v>
      </c>
      <c r="E75" s="170">
        <v>161.94999999999999</v>
      </c>
      <c r="F75" s="171">
        <v>161.94999999999999</v>
      </c>
      <c r="G75" s="184">
        <v>161.94999999999999</v>
      </c>
      <c r="H75" s="181">
        <v>161.94999999999999</v>
      </c>
      <c r="I75" s="171">
        <v>161.94999999999999</v>
      </c>
      <c r="J75" s="184">
        <v>161.94999999999999</v>
      </c>
      <c r="K75" s="181">
        <v>161.94999999999999</v>
      </c>
      <c r="L75" s="171">
        <v>161.94999999999999</v>
      </c>
      <c r="M75" s="184">
        <v>161.94999999999999</v>
      </c>
      <c r="N75" s="181">
        <v>161.94999999999999</v>
      </c>
      <c r="O75" s="171">
        <v>161.94999999999999</v>
      </c>
      <c r="P75" s="184">
        <v>161.94999999999999</v>
      </c>
      <c r="Q75" s="181">
        <v>161.94999999999999</v>
      </c>
      <c r="R75" s="171">
        <v>161.94999999999999</v>
      </c>
      <c r="S75" s="184">
        <v>161.94999999999999</v>
      </c>
      <c r="T75" s="181">
        <v>161.94999999999999</v>
      </c>
      <c r="U75" s="171">
        <v>161.94999999999999</v>
      </c>
      <c r="V75" s="184">
        <v>161.94999999999999</v>
      </c>
      <c r="W75" s="181">
        <v>161.94999999999999</v>
      </c>
      <c r="X75" s="171">
        <v>161.94999999999999</v>
      </c>
      <c r="Y75" s="184">
        <v>161.94999999999999</v>
      </c>
      <c r="Z75" s="181">
        <v>161.94999999999999</v>
      </c>
      <c r="AA75" s="171">
        <v>161.94999999999999</v>
      </c>
      <c r="AB75" s="184">
        <v>161.94999999999999</v>
      </c>
      <c r="AC75" s="181">
        <v>161.94999999999999</v>
      </c>
      <c r="AD75" s="171">
        <v>161.94999999999999</v>
      </c>
      <c r="AE75" s="184">
        <v>161.94999999999999</v>
      </c>
      <c r="AF75" s="204">
        <v>161.94999999999999</v>
      </c>
      <c r="AG75" s="171">
        <v>161.94999999999999</v>
      </c>
      <c r="AH75" s="184">
        <v>161.94999999999999</v>
      </c>
      <c r="AI75" s="182" t="s">
        <v>296</v>
      </c>
      <c r="AJ75" s="163" t="s">
        <v>1429</v>
      </c>
      <c r="AK75" s="65" t="s">
        <v>1388</v>
      </c>
      <c r="AL75" s="176">
        <v>79</v>
      </c>
      <c r="AM75" s="159"/>
      <c r="AN75" s="172">
        <v>217.25</v>
      </c>
      <c r="AO75" s="159">
        <v>0</v>
      </c>
      <c r="AP75" s="163" t="s">
        <v>27</v>
      </c>
      <c r="AQ75" s="109" t="s">
        <v>1407</v>
      </c>
      <c r="AR75" s="173" t="s">
        <v>1975</v>
      </c>
      <c r="AS75" s="174" t="s">
        <v>1681</v>
      </c>
      <c r="AT75" s="175"/>
      <c r="AU75" s="65" t="s">
        <v>27</v>
      </c>
      <c r="AV75" s="163" t="s">
        <v>1388</v>
      </c>
      <c r="AW75" s="65">
        <v>1459</v>
      </c>
      <c r="AX75" s="196">
        <v>44700.428391203706</v>
      </c>
    </row>
    <row r="76" spans="1:50">
      <c r="A76" s="124" t="s">
        <v>62</v>
      </c>
      <c r="B76" s="109" t="s">
        <v>1320</v>
      </c>
      <c r="C76" s="214" t="s">
        <v>1976</v>
      </c>
      <c r="D76" s="163" t="s">
        <v>1978</v>
      </c>
      <c r="E76" s="170">
        <v>87.813999999999993</v>
      </c>
      <c r="F76" s="171">
        <v>83.781999999999996</v>
      </c>
      <c r="G76" s="184">
        <v>83.573999999999998</v>
      </c>
      <c r="H76" s="181">
        <v>87.813999999999993</v>
      </c>
      <c r="I76" s="171">
        <v>83.781999999999996</v>
      </c>
      <c r="J76" s="184">
        <v>83.573999999999998</v>
      </c>
      <c r="K76" s="181">
        <v>87.813999999999993</v>
      </c>
      <c r="L76" s="171">
        <v>83.781999999999996</v>
      </c>
      <c r="M76" s="184">
        <v>83.573999999999998</v>
      </c>
      <c r="N76" s="181">
        <v>87.813999999999993</v>
      </c>
      <c r="O76" s="171">
        <v>83.781999999999996</v>
      </c>
      <c r="P76" s="184">
        <v>83.573999999999998</v>
      </c>
      <c r="Q76" s="181">
        <v>87.813999999999993</v>
      </c>
      <c r="R76" s="171">
        <v>83.781999999999996</v>
      </c>
      <c r="S76" s="184">
        <v>83.573999999999998</v>
      </c>
      <c r="T76" s="181">
        <v>87.813999999999993</v>
      </c>
      <c r="U76" s="171">
        <v>83.781999999999996</v>
      </c>
      <c r="V76" s="184">
        <v>83.573999999999998</v>
      </c>
      <c r="W76" s="181">
        <v>87.813999999999993</v>
      </c>
      <c r="X76" s="171">
        <v>83.781999999999996</v>
      </c>
      <c r="Y76" s="184">
        <v>83.573999999999998</v>
      </c>
      <c r="Z76" s="181">
        <v>87.813999999999993</v>
      </c>
      <c r="AA76" s="171">
        <v>83.781999999999996</v>
      </c>
      <c r="AB76" s="184">
        <v>83.573999999999998</v>
      </c>
      <c r="AC76" s="181">
        <v>87.813999999999993</v>
      </c>
      <c r="AD76" s="171">
        <v>83.781999999999996</v>
      </c>
      <c r="AE76" s="184">
        <v>83.573999999999998</v>
      </c>
      <c r="AF76" s="204">
        <v>87.813999999999993</v>
      </c>
      <c r="AG76" s="171">
        <v>83.781999999999996</v>
      </c>
      <c r="AH76" s="184">
        <v>83.573999999999998</v>
      </c>
      <c r="AI76" s="182" t="s">
        <v>1977</v>
      </c>
      <c r="AJ76" s="163" t="s">
        <v>1980</v>
      </c>
      <c r="AK76" s="65" t="s">
        <v>1722</v>
      </c>
      <c r="AL76" s="176">
        <v>2</v>
      </c>
      <c r="AM76" s="159"/>
      <c r="AN76" s="172">
        <v>87.4</v>
      </c>
      <c r="AO76" s="159"/>
      <c r="AP76" s="163" t="s">
        <v>55</v>
      </c>
      <c r="AQ76" s="109" t="s">
        <v>1403</v>
      </c>
      <c r="AR76" s="173"/>
      <c r="AS76" s="174" t="s">
        <v>1943</v>
      </c>
      <c r="AT76" s="175"/>
      <c r="AU76" s="65" t="s">
        <v>25</v>
      </c>
      <c r="AV76" s="163" t="s">
        <v>13</v>
      </c>
      <c r="AW76" s="65">
        <v>1054</v>
      </c>
      <c r="AX76" s="196">
        <v>44746.698275462964</v>
      </c>
    </row>
    <row r="77" spans="1:50">
      <c r="A77" s="124" t="s">
        <v>62</v>
      </c>
      <c r="B77" s="109" t="s">
        <v>1320</v>
      </c>
      <c r="C77" s="214" t="s">
        <v>1976</v>
      </c>
      <c r="D77" s="163" t="s">
        <v>1978</v>
      </c>
      <c r="E77" s="170">
        <v>56.433</v>
      </c>
      <c r="F77" s="171">
        <v>55.325000000000003</v>
      </c>
      <c r="G77" s="184">
        <v>54.970999999999997</v>
      </c>
      <c r="H77" s="181">
        <v>56.433</v>
      </c>
      <c r="I77" s="171">
        <v>55.325000000000003</v>
      </c>
      <c r="J77" s="184">
        <v>54.970999999999997</v>
      </c>
      <c r="K77" s="181">
        <v>56.433</v>
      </c>
      <c r="L77" s="171">
        <v>55.325000000000003</v>
      </c>
      <c r="M77" s="184">
        <v>54.970999999999997</v>
      </c>
      <c r="N77" s="181">
        <v>56.433</v>
      </c>
      <c r="O77" s="171">
        <v>55.325000000000003</v>
      </c>
      <c r="P77" s="184">
        <v>54.970999999999997</v>
      </c>
      <c r="Q77" s="181">
        <v>56.433</v>
      </c>
      <c r="R77" s="171">
        <v>55.325000000000003</v>
      </c>
      <c r="S77" s="184">
        <v>54.970999999999997</v>
      </c>
      <c r="T77" s="181">
        <v>56.433</v>
      </c>
      <c r="U77" s="171">
        <v>55.325000000000003</v>
      </c>
      <c r="V77" s="184">
        <v>54.970999999999997</v>
      </c>
      <c r="W77" s="181">
        <v>56.433</v>
      </c>
      <c r="X77" s="171">
        <v>55.325000000000003</v>
      </c>
      <c r="Y77" s="184">
        <v>54.970999999999997</v>
      </c>
      <c r="Z77" s="181">
        <v>56.433</v>
      </c>
      <c r="AA77" s="171">
        <v>55.325000000000003</v>
      </c>
      <c r="AB77" s="184">
        <v>54.970999999999997</v>
      </c>
      <c r="AC77" s="181">
        <v>56.433</v>
      </c>
      <c r="AD77" s="171">
        <v>55.325000000000003</v>
      </c>
      <c r="AE77" s="184">
        <v>54.970999999999997</v>
      </c>
      <c r="AF77" s="204">
        <v>56.433</v>
      </c>
      <c r="AG77" s="171">
        <v>55.325000000000003</v>
      </c>
      <c r="AH77" s="184">
        <v>54.970999999999997</v>
      </c>
      <c r="AI77" s="182" t="s">
        <v>1977</v>
      </c>
      <c r="AJ77" s="163" t="s">
        <v>1596</v>
      </c>
      <c r="AK77" s="65" t="s">
        <v>1722</v>
      </c>
      <c r="AL77" s="176">
        <v>1</v>
      </c>
      <c r="AM77" s="159"/>
      <c r="AN77" s="172">
        <v>57</v>
      </c>
      <c r="AO77" s="159"/>
      <c r="AP77" s="163" t="s">
        <v>55</v>
      </c>
      <c r="AQ77" s="109" t="s">
        <v>1403</v>
      </c>
      <c r="AR77" s="173"/>
      <c r="AS77" s="174" t="s">
        <v>1943</v>
      </c>
      <c r="AT77" s="175"/>
      <c r="AU77" s="65" t="s">
        <v>25</v>
      </c>
      <c r="AV77" s="163" t="s">
        <v>15</v>
      </c>
      <c r="AW77" s="65">
        <v>1054</v>
      </c>
      <c r="AX77" s="196">
        <v>44746.698275462964</v>
      </c>
    </row>
    <row r="78" spans="1:50">
      <c r="A78" s="124" t="s">
        <v>62</v>
      </c>
      <c r="B78" s="109" t="s">
        <v>1320</v>
      </c>
      <c r="C78" s="214" t="s">
        <v>476</v>
      </c>
      <c r="D78" s="163" t="s">
        <v>478</v>
      </c>
      <c r="E78" s="170">
        <v>439.97499999999997</v>
      </c>
      <c r="F78" s="171">
        <v>439.97499999999997</v>
      </c>
      <c r="G78" s="184">
        <v>439.97499999999997</v>
      </c>
      <c r="H78" s="181">
        <v>439.97499999999997</v>
      </c>
      <c r="I78" s="171">
        <v>439.97499999999997</v>
      </c>
      <c r="J78" s="184">
        <v>439.97499999999997</v>
      </c>
      <c r="K78" s="181">
        <v>439.97499999999997</v>
      </c>
      <c r="L78" s="171">
        <v>439.97499999999997</v>
      </c>
      <c r="M78" s="184">
        <v>439.97499999999997</v>
      </c>
      <c r="N78" s="181">
        <v>439.97499999999997</v>
      </c>
      <c r="O78" s="171">
        <v>439.97499999999997</v>
      </c>
      <c r="P78" s="184">
        <v>439.97499999999997</v>
      </c>
      <c r="Q78" s="181">
        <v>439.97499999999997</v>
      </c>
      <c r="R78" s="171">
        <v>439.97499999999997</v>
      </c>
      <c r="S78" s="184">
        <v>439.97499999999997</v>
      </c>
      <c r="T78" s="181">
        <v>439.97499999999997</v>
      </c>
      <c r="U78" s="171">
        <v>439.97499999999997</v>
      </c>
      <c r="V78" s="184">
        <v>439.97499999999997</v>
      </c>
      <c r="W78" s="181">
        <v>439.97499999999997</v>
      </c>
      <c r="X78" s="171">
        <v>439.97499999999997</v>
      </c>
      <c r="Y78" s="184">
        <v>439.97499999999997</v>
      </c>
      <c r="Z78" s="181">
        <v>439.97499999999997</v>
      </c>
      <c r="AA78" s="171">
        <v>439.97499999999997</v>
      </c>
      <c r="AB78" s="184">
        <v>439.97499999999997</v>
      </c>
      <c r="AC78" s="181">
        <v>439.97499999999997</v>
      </c>
      <c r="AD78" s="171">
        <v>439.97499999999997</v>
      </c>
      <c r="AE78" s="184">
        <v>439.97499999999997</v>
      </c>
      <c r="AF78" s="204">
        <v>439.97499999999997</v>
      </c>
      <c r="AG78" s="171">
        <v>439.97499999999997</v>
      </c>
      <c r="AH78" s="184">
        <v>439.97499999999997</v>
      </c>
      <c r="AI78" s="182" t="s">
        <v>477</v>
      </c>
      <c r="AJ78" s="163" t="s">
        <v>1419</v>
      </c>
      <c r="AK78" s="65" t="s">
        <v>17</v>
      </c>
      <c r="AL78" s="176">
        <v>123</v>
      </c>
      <c r="AM78" s="159"/>
      <c r="AN78" s="172">
        <v>452.89</v>
      </c>
      <c r="AO78" s="159"/>
      <c r="AP78" s="163" t="s">
        <v>131</v>
      </c>
      <c r="AQ78" s="109" t="s">
        <v>1407</v>
      </c>
      <c r="AR78" s="173" t="s">
        <v>2003</v>
      </c>
      <c r="AS78" s="174" t="s">
        <v>1558</v>
      </c>
      <c r="AT78" s="175"/>
      <c r="AU78" s="65" t="s">
        <v>25</v>
      </c>
      <c r="AV78" s="163" t="s">
        <v>17</v>
      </c>
      <c r="AW78" s="65">
        <v>1057</v>
      </c>
      <c r="AX78" s="196">
        <v>44670.584131944444</v>
      </c>
    </row>
    <row r="79" spans="1:50">
      <c r="A79" s="124" t="s">
        <v>46</v>
      </c>
      <c r="B79" s="109" t="s">
        <v>1320</v>
      </c>
      <c r="C79" s="214" t="s">
        <v>277</v>
      </c>
      <c r="D79" s="163" t="s">
        <v>279</v>
      </c>
      <c r="E79" s="170">
        <v>22</v>
      </c>
      <c r="F79" s="171">
        <v>30.008000000000003</v>
      </c>
      <c r="G79" s="184">
        <v>30.008000000000003</v>
      </c>
      <c r="H79" s="181">
        <v>30.008000000000003</v>
      </c>
      <c r="I79" s="171">
        <v>30.008000000000003</v>
      </c>
      <c r="J79" s="184">
        <v>30.008000000000003</v>
      </c>
      <c r="K79" s="181">
        <v>30.008000000000003</v>
      </c>
      <c r="L79" s="171">
        <v>30.008000000000003</v>
      </c>
      <c r="M79" s="184">
        <v>30.008000000000003</v>
      </c>
      <c r="N79" s="181">
        <v>30.008000000000003</v>
      </c>
      <c r="O79" s="171">
        <v>30.008000000000003</v>
      </c>
      <c r="P79" s="184">
        <v>30.008000000000003</v>
      </c>
      <c r="Q79" s="181">
        <v>30.008000000000003</v>
      </c>
      <c r="R79" s="171">
        <v>30.008000000000003</v>
      </c>
      <c r="S79" s="184">
        <v>30.008000000000003</v>
      </c>
      <c r="T79" s="181">
        <v>30.008000000000003</v>
      </c>
      <c r="U79" s="171">
        <v>30.008000000000003</v>
      </c>
      <c r="V79" s="184">
        <v>30.008000000000003</v>
      </c>
      <c r="W79" s="181">
        <v>30.008000000000003</v>
      </c>
      <c r="X79" s="171">
        <v>30.008000000000003</v>
      </c>
      <c r="Y79" s="184">
        <v>30.008000000000003</v>
      </c>
      <c r="Z79" s="181">
        <v>30.008000000000003</v>
      </c>
      <c r="AA79" s="171">
        <v>30.008000000000003</v>
      </c>
      <c r="AB79" s="184">
        <v>30.008000000000003</v>
      </c>
      <c r="AC79" s="181">
        <v>30.008000000000003</v>
      </c>
      <c r="AD79" s="171">
        <v>30.008000000000003</v>
      </c>
      <c r="AE79" s="184">
        <v>30.008000000000003</v>
      </c>
      <c r="AF79" s="204">
        <v>30.008000000000003</v>
      </c>
      <c r="AG79" s="171">
        <v>30.008000000000003</v>
      </c>
      <c r="AH79" s="184">
        <v>30.008000000000003</v>
      </c>
      <c r="AI79" s="182" t="s">
        <v>278</v>
      </c>
      <c r="AJ79" s="163" t="s">
        <v>1429</v>
      </c>
      <c r="AK79" s="65" t="s">
        <v>1388</v>
      </c>
      <c r="AL79" s="176">
        <v>22</v>
      </c>
      <c r="AM79" s="159"/>
      <c r="AN79" s="172">
        <v>35.991999999999997</v>
      </c>
      <c r="AO79" s="159"/>
      <c r="AP79" s="163" t="s">
        <v>27</v>
      </c>
      <c r="AQ79" s="109" t="s">
        <v>1407</v>
      </c>
      <c r="AR79" s="173" t="s">
        <v>1395</v>
      </c>
      <c r="AS79" s="174" t="s">
        <v>1744</v>
      </c>
      <c r="AT79" s="175"/>
      <c r="AU79" s="65" t="s">
        <v>25</v>
      </c>
      <c r="AV79" s="163" t="s">
        <v>1388</v>
      </c>
      <c r="AW79" s="65">
        <v>1520</v>
      </c>
      <c r="AX79" s="196">
        <v>44671.470833333333</v>
      </c>
    </row>
    <row r="80" spans="1:50">
      <c r="A80" s="124" t="s">
        <v>46</v>
      </c>
      <c r="B80" s="109" t="s">
        <v>1320</v>
      </c>
      <c r="C80" s="214" t="s">
        <v>540</v>
      </c>
      <c r="D80" s="163" t="s">
        <v>2020</v>
      </c>
      <c r="E80" s="170">
        <v>91</v>
      </c>
      <c r="F80" s="171">
        <v>91</v>
      </c>
      <c r="G80" s="184">
        <v>91</v>
      </c>
      <c r="H80" s="181">
        <v>91</v>
      </c>
      <c r="I80" s="171">
        <v>91</v>
      </c>
      <c r="J80" s="184">
        <v>91</v>
      </c>
      <c r="K80" s="181">
        <v>91</v>
      </c>
      <c r="L80" s="171">
        <v>91</v>
      </c>
      <c r="M80" s="184">
        <v>91</v>
      </c>
      <c r="N80" s="181">
        <v>91</v>
      </c>
      <c r="O80" s="171">
        <v>91</v>
      </c>
      <c r="P80" s="184">
        <v>91</v>
      </c>
      <c r="Q80" s="181">
        <v>91</v>
      </c>
      <c r="R80" s="171">
        <v>91</v>
      </c>
      <c r="S80" s="184">
        <v>91</v>
      </c>
      <c r="T80" s="181">
        <v>91</v>
      </c>
      <c r="U80" s="171">
        <v>91</v>
      </c>
      <c r="V80" s="184">
        <v>91</v>
      </c>
      <c r="W80" s="181">
        <v>91</v>
      </c>
      <c r="X80" s="171">
        <v>91</v>
      </c>
      <c r="Y80" s="184">
        <v>91</v>
      </c>
      <c r="Z80" s="181">
        <v>91</v>
      </c>
      <c r="AA80" s="171">
        <v>91</v>
      </c>
      <c r="AB80" s="184">
        <v>91</v>
      </c>
      <c r="AC80" s="181">
        <v>91</v>
      </c>
      <c r="AD80" s="171">
        <v>91</v>
      </c>
      <c r="AE80" s="184">
        <v>91</v>
      </c>
      <c r="AF80" s="204">
        <v>91</v>
      </c>
      <c r="AG80" s="171">
        <v>91</v>
      </c>
      <c r="AH80" s="184">
        <v>91</v>
      </c>
      <c r="AI80" s="182" t="s">
        <v>541</v>
      </c>
      <c r="AJ80" s="163" t="s">
        <v>1419</v>
      </c>
      <c r="AK80" s="65" t="s">
        <v>17</v>
      </c>
      <c r="AL80" s="176">
        <v>28</v>
      </c>
      <c r="AM80" s="159"/>
      <c r="AN80" s="172">
        <v>96.04</v>
      </c>
      <c r="AO80" s="159"/>
      <c r="AP80" s="163" t="s">
        <v>55</v>
      </c>
      <c r="AQ80" s="109" t="s">
        <v>1407</v>
      </c>
      <c r="AR80" s="173"/>
      <c r="AS80" s="174" t="s">
        <v>1769</v>
      </c>
      <c r="AT80" s="175"/>
      <c r="AU80" s="65" t="s">
        <v>25</v>
      </c>
      <c r="AV80" s="163" t="s">
        <v>17</v>
      </c>
      <c r="AW80" s="65">
        <v>1061</v>
      </c>
      <c r="AX80" s="196">
        <v>44742.559953703705</v>
      </c>
    </row>
    <row r="81" spans="1:50">
      <c r="A81" s="124" t="s">
        <v>100</v>
      </c>
      <c r="B81" s="109" t="s">
        <v>1320</v>
      </c>
      <c r="C81" s="214" t="s">
        <v>422</v>
      </c>
      <c r="D81" s="163" t="s">
        <v>424</v>
      </c>
      <c r="E81" s="170">
        <v>79.949999999999989</v>
      </c>
      <c r="F81" s="171">
        <v>79.949999999999989</v>
      </c>
      <c r="G81" s="184">
        <v>79.949999999999989</v>
      </c>
      <c r="H81" s="204">
        <v>79.949999999999989</v>
      </c>
      <c r="I81" s="171">
        <v>79.949999999999989</v>
      </c>
      <c r="J81" s="184">
        <v>79.949999999999989</v>
      </c>
      <c r="K81" s="204">
        <v>79.949999999999989</v>
      </c>
      <c r="L81" s="171">
        <v>79.949999999999989</v>
      </c>
      <c r="M81" s="184">
        <v>79.949999999999989</v>
      </c>
      <c r="N81" s="204">
        <v>79.949999999999989</v>
      </c>
      <c r="O81" s="171">
        <v>79.949999999999989</v>
      </c>
      <c r="P81" s="184">
        <v>79.949999999999989</v>
      </c>
      <c r="Q81" s="204">
        <v>79.949999999999989</v>
      </c>
      <c r="R81" s="171">
        <v>79.949999999999989</v>
      </c>
      <c r="S81" s="184">
        <v>79.949999999999989</v>
      </c>
      <c r="T81" s="204">
        <v>79.949999999999989</v>
      </c>
      <c r="U81" s="171">
        <v>79.949999999999989</v>
      </c>
      <c r="V81" s="184">
        <v>79.949999999999989</v>
      </c>
      <c r="W81" s="204">
        <v>79.949999999999989</v>
      </c>
      <c r="X81" s="171">
        <v>79.949999999999989</v>
      </c>
      <c r="Y81" s="184">
        <v>79.949999999999989</v>
      </c>
      <c r="Z81" s="204">
        <v>79.949999999999989</v>
      </c>
      <c r="AA81" s="171">
        <v>79.949999999999989</v>
      </c>
      <c r="AB81" s="184">
        <v>79.949999999999989</v>
      </c>
      <c r="AC81" s="204">
        <v>79.949999999999989</v>
      </c>
      <c r="AD81" s="171">
        <v>79.949999999999989</v>
      </c>
      <c r="AE81" s="184">
        <v>79.949999999999989</v>
      </c>
      <c r="AF81" s="204">
        <v>79.949999999999989</v>
      </c>
      <c r="AG81" s="171">
        <v>79.949999999999989</v>
      </c>
      <c r="AH81" s="184">
        <v>79.949999999999989</v>
      </c>
      <c r="AI81" s="182" t="s">
        <v>423</v>
      </c>
      <c r="AJ81" s="163" t="s">
        <v>1419</v>
      </c>
      <c r="AK81" s="65" t="s">
        <v>17</v>
      </c>
      <c r="AL81" s="176">
        <v>39</v>
      </c>
      <c r="AM81" s="159"/>
      <c r="AN81" s="172">
        <v>79.949999999999989</v>
      </c>
      <c r="AO81" s="159"/>
      <c r="AP81" s="163" t="s">
        <v>55</v>
      </c>
      <c r="AQ81" s="109" t="s">
        <v>1407</v>
      </c>
      <c r="AR81" s="173"/>
      <c r="AS81" s="174"/>
      <c r="AT81" s="175"/>
      <c r="AU81" s="65" t="s">
        <v>25</v>
      </c>
      <c r="AV81" s="163" t="s">
        <v>17</v>
      </c>
      <c r="AW81" s="65">
        <v>1566</v>
      </c>
      <c r="AX81" s="196">
        <v>44743.637997685182</v>
      </c>
    </row>
    <row r="82" spans="1:50">
      <c r="A82" s="124" t="s">
        <v>46</v>
      </c>
      <c r="B82" s="109" t="s">
        <v>1320</v>
      </c>
      <c r="C82" s="214" t="s">
        <v>164</v>
      </c>
      <c r="D82" s="163" t="s">
        <v>166</v>
      </c>
      <c r="E82" s="170">
        <v>138.01</v>
      </c>
      <c r="F82" s="171">
        <v>138.01</v>
      </c>
      <c r="G82" s="184">
        <v>0</v>
      </c>
      <c r="H82" s="204">
        <v>138.01</v>
      </c>
      <c r="I82" s="171">
        <v>138.01</v>
      </c>
      <c r="J82" s="184">
        <v>0</v>
      </c>
      <c r="K82" s="204">
        <v>138.01</v>
      </c>
      <c r="L82" s="171">
        <v>138.01</v>
      </c>
      <c r="M82" s="184">
        <v>0</v>
      </c>
      <c r="N82" s="204">
        <v>138.01</v>
      </c>
      <c r="O82" s="171">
        <v>138.01</v>
      </c>
      <c r="P82" s="184">
        <v>0</v>
      </c>
      <c r="Q82" s="204">
        <v>138.01</v>
      </c>
      <c r="R82" s="171">
        <v>138.01</v>
      </c>
      <c r="S82" s="184">
        <v>0</v>
      </c>
      <c r="T82" s="204">
        <v>138.01</v>
      </c>
      <c r="U82" s="171">
        <v>138.01</v>
      </c>
      <c r="V82" s="184">
        <v>0</v>
      </c>
      <c r="W82" s="204">
        <v>138.01</v>
      </c>
      <c r="X82" s="171">
        <v>138.01</v>
      </c>
      <c r="Y82" s="184">
        <v>0</v>
      </c>
      <c r="Z82" s="204">
        <v>138.01</v>
      </c>
      <c r="AA82" s="171">
        <v>138.01</v>
      </c>
      <c r="AB82" s="184">
        <v>0</v>
      </c>
      <c r="AC82" s="204">
        <v>138.01</v>
      </c>
      <c r="AD82" s="171">
        <v>138.01</v>
      </c>
      <c r="AE82" s="184">
        <v>0</v>
      </c>
      <c r="AF82" s="204">
        <v>138.01</v>
      </c>
      <c r="AG82" s="171">
        <v>138.01</v>
      </c>
      <c r="AH82" s="184">
        <v>0</v>
      </c>
      <c r="AI82" s="182" t="s">
        <v>165</v>
      </c>
      <c r="AJ82" s="163" t="s">
        <v>1419</v>
      </c>
      <c r="AK82" s="65" t="s">
        <v>17</v>
      </c>
      <c r="AL82" s="176">
        <v>37</v>
      </c>
      <c r="AM82" s="159"/>
      <c r="AN82" s="172">
        <v>141.71</v>
      </c>
      <c r="AO82" s="159"/>
      <c r="AP82" s="163" t="s">
        <v>131</v>
      </c>
      <c r="AQ82" s="109" t="s">
        <v>1407</v>
      </c>
      <c r="AR82" s="173" t="s">
        <v>1453</v>
      </c>
      <c r="AS82" s="174" t="s">
        <v>1405</v>
      </c>
      <c r="AT82" s="175"/>
      <c r="AU82" s="65" t="s">
        <v>25</v>
      </c>
      <c r="AV82" s="163" t="s">
        <v>17</v>
      </c>
      <c r="AW82" s="65">
        <v>1281</v>
      </c>
      <c r="AX82" s="196">
        <v>44746.445509259262</v>
      </c>
    </row>
    <row r="83" spans="1:50">
      <c r="A83" s="124" t="s">
        <v>80</v>
      </c>
      <c r="B83" s="109" t="s">
        <v>1320</v>
      </c>
      <c r="C83" s="214" t="s">
        <v>2053</v>
      </c>
      <c r="D83" s="163" t="s">
        <v>2055</v>
      </c>
      <c r="E83" s="170">
        <v>30</v>
      </c>
      <c r="F83" s="171">
        <v>30</v>
      </c>
      <c r="G83" s="184">
        <v>30</v>
      </c>
      <c r="H83" s="204">
        <v>30</v>
      </c>
      <c r="I83" s="171">
        <v>30</v>
      </c>
      <c r="J83" s="184">
        <v>30</v>
      </c>
      <c r="K83" s="204">
        <v>30</v>
      </c>
      <c r="L83" s="171">
        <v>30</v>
      </c>
      <c r="M83" s="184">
        <v>30</v>
      </c>
      <c r="N83" s="204">
        <v>30</v>
      </c>
      <c r="O83" s="171">
        <v>30</v>
      </c>
      <c r="P83" s="184">
        <v>30</v>
      </c>
      <c r="Q83" s="204">
        <v>30</v>
      </c>
      <c r="R83" s="171">
        <v>30</v>
      </c>
      <c r="S83" s="184">
        <v>30</v>
      </c>
      <c r="T83" s="204">
        <v>30</v>
      </c>
      <c r="U83" s="171">
        <v>30</v>
      </c>
      <c r="V83" s="184">
        <v>30</v>
      </c>
      <c r="W83" s="204">
        <v>30</v>
      </c>
      <c r="X83" s="171">
        <v>30</v>
      </c>
      <c r="Y83" s="184">
        <v>30</v>
      </c>
      <c r="Z83" s="204">
        <v>30</v>
      </c>
      <c r="AA83" s="171">
        <v>30</v>
      </c>
      <c r="AB83" s="184">
        <v>30</v>
      </c>
      <c r="AC83" s="204">
        <v>30</v>
      </c>
      <c r="AD83" s="171">
        <v>0</v>
      </c>
      <c r="AE83" s="184">
        <v>0</v>
      </c>
      <c r="AF83" s="204">
        <v>0</v>
      </c>
      <c r="AG83" s="171">
        <v>0</v>
      </c>
      <c r="AH83" s="184">
        <v>0</v>
      </c>
      <c r="AI83" s="182" t="s">
        <v>2054</v>
      </c>
      <c r="AJ83" s="163" t="s">
        <v>1391</v>
      </c>
      <c r="AK83" s="65" t="s">
        <v>21</v>
      </c>
      <c r="AL83" s="176">
        <v>12</v>
      </c>
      <c r="AM83" s="159"/>
      <c r="AN83" s="172">
        <v>30</v>
      </c>
      <c r="AO83" s="159">
        <v>8</v>
      </c>
      <c r="AP83" s="163" t="s">
        <v>55</v>
      </c>
      <c r="AQ83" s="109" t="s">
        <v>1403</v>
      </c>
      <c r="AR83" s="173"/>
      <c r="AS83" s="174" t="s">
        <v>1655</v>
      </c>
      <c r="AT83" s="175"/>
      <c r="AU83" s="65" t="s">
        <v>25</v>
      </c>
      <c r="AV83" s="163" t="s">
        <v>20</v>
      </c>
      <c r="AW83" s="65">
        <v>1553</v>
      </c>
      <c r="AX83" s="196">
        <v>44671.473483796297</v>
      </c>
    </row>
    <row r="84" spans="1:50">
      <c r="A84" s="124" t="s">
        <v>62</v>
      </c>
      <c r="B84" s="109" t="s">
        <v>1320</v>
      </c>
      <c r="C84" s="214" t="s">
        <v>2056</v>
      </c>
      <c r="D84" s="163" t="s">
        <v>2057</v>
      </c>
      <c r="E84" s="170">
        <v>630</v>
      </c>
      <c r="F84" s="171">
        <v>579</v>
      </c>
      <c r="G84" s="184">
        <v>563</v>
      </c>
      <c r="H84" s="204">
        <v>630</v>
      </c>
      <c r="I84" s="171">
        <v>579</v>
      </c>
      <c r="J84" s="184">
        <v>563</v>
      </c>
      <c r="K84" s="204">
        <v>630</v>
      </c>
      <c r="L84" s="171">
        <v>579</v>
      </c>
      <c r="M84" s="184">
        <v>563</v>
      </c>
      <c r="N84" s="204">
        <v>630</v>
      </c>
      <c r="O84" s="171">
        <v>579</v>
      </c>
      <c r="P84" s="184">
        <v>563</v>
      </c>
      <c r="Q84" s="204">
        <v>630</v>
      </c>
      <c r="R84" s="171">
        <v>579</v>
      </c>
      <c r="S84" s="184">
        <v>563</v>
      </c>
      <c r="T84" s="204">
        <v>630</v>
      </c>
      <c r="U84" s="171">
        <v>579</v>
      </c>
      <c r="V84" s="184">
        <v>563</v>
      </c>
      <c r="W84" s="204">
        <v>630</v>
      </c>
      <c r="X84" s="171">
        <v>579</v>
      </c>
      <c r="Y84" s="184">
        <v>563</v>
      </c>
      <c r="Z84" s="204">
        <v>630</v>
      </c>
      <c r="AA84" s="171">
        <v>579</v>
      </c>
      <c r="AB84" s="184">
        <v>563</v>
      </c>
      <c r="AC84" s="204">
        <v>630</v>
      </c>
      <c r="AD84" s="171">
        <v>579</v>
      </c>
      <c r="AE84" s="184">
        <v>563</v>
      </c>
      <c r="AF84" s="204">
        <v>630</v>
      </c>
      <c r="AG84" s="171">
        <v>579</v>
      </c>
      <c r="AH84" s="184">
        <v>563</v>
      </c>
      <c r="AI84" s="182" t="s">
        <v>465</v>
      </c>
      <c r="AJ84" s="163" t="s">
        <v>1980</v>
      </c>
      <c r="AK84" s="65" t="s">
        <v>1722</v>
      </c>
      <c r="AL84" s="176">
        <v>4</v>
      </c>
      <c r="AM84" s="159"/>
      <c r="AN84" s="172">
        <v>644.5</v>
      </c>
      <c r="AO84" s="159"/>
      <c r="AP84" s="163" t="s">
        <v>55</v>
      </c>
      <c r="AQ84" s="109" t="s">
        <v>1403</v>
      </c>
      <c r="AR84" s="173"/>
      <c r="AS84" s="174" t="s">
        <v>1534</v>
      </c>
      <c r="AT84" s="175"/>
      <c r="AU84" s="65" t="s">
        <v>25</v>
      </c>
      <c r="AV84" s="163" t="s">
        <v>13</v>
      </c>
      <c r="AW84" s="65">
        <v>1066</v>
      </c>
      <c r="AX84" s="196">
        <v>44665.661006944443</v>
      </c>
    </row>
    <row r="85" spans="1:50">
      <c r="A85" s="124" t="s">
        <v>62</v>
      </c>
      <c r="B85" s="109" t="s">
        <v>1320</v>
      </c>
      <c r="C85" s="214" t="s">
        <v>579</v>
      </c>
      <c r="D85" s="163" t="s">
        <v>2061</v>
      </c>
      <c r="E85" s="170">
        <v>110</v>
      </c>
      <c r="F85" s="171">
        <v>108.504</v>
      </c>
      <c r="G85" s="184">
        <v>108.504</v>
      </c>
      <c r="H85" s="181">
        <v>110</v>
      </c>
      <c r="I85" s="171">
        <v>108.504</v>
      </c>
      <c r="J85" s="184">
        <v>108.504</v>
      </c>
      <c r="K85" s="181">
        <v>110</v>
      </c>
      <c r="L85" s="171">
        <v>108.504</v>
      </c>
      <c r="M85" s="184">
        <v>108.504</v>
      </c>
      <c r="N85" s="181">
        <v>110</v>
      </c>
      <c r="O85" s="171">
        <v>108.504</v>
      </c>
      <c r="P85" s="184">
        <v>108.504</v>
      </c>
      <c r="Q85" s="181">
        <v>110</v>
      </c>
      <c r="R85" s="171">
        <v>108.504</v>
      </c>
      <c r="S85" s="184">
        <v>108.504</v>
      </c>
      <c r="T85" s="181">
        <v>110</v>
      </c>
      <c r="U85" s="171">
        <v>108.504</v>
      </c>
      <c r="V85" s="184">
        <v>108.504</v>
      </c>
      <c r="W85" s="181">
        <v>110</v>
      </c>
      <c r="X85" s="171">
        <v>108.504</v>
      </c>
      <c r="Y85" s="184">
        <v>108.504</v>
      </c>
      <c r="Z85" s="181">
        <v>110</v>
      </c>
      <c r="AA85" s="171">
        <v>108.504</v>
      </c>
      <c r="AB85" s="184">
        <v>108.504</v>
      </c>
      <c r="AC85" s="181">
        <v>110</v>
      </c>
      <c r="AD85" s="171">
        <v>108.504</v>
      </c>
      <c r="AE85" s="184">
        <v>108.504</v>
      </c>
      <c r="AF85" s="204">
        <v>110</v>
      </c>
      <c r="AG85" s="171">
        <v>108.504</v>
      </c>
      <c r="AH85" s="184">
        <v>108.504</v>
      </c>
      <c r="AI85" s="182" t="s">
        <v>580</v>
      </c>
      <c r="AJ85" s="163" t="s">
        <v>1398</v>
      </c>
      <c r="AK85" s="65" t="s">
        <v>1388</v>
      </c>
      <c r="AL85" s="176">
        <v>44</v>
      </c>
      <c r="AM85" s="159"/>
      <c r="AN85" s="172">
        <v>121</v>
      </c>
      <c r="AO85" s="159"/>
      <c r="AP85" s="163" t="s">
        <v>55</v>
      </c>
      <c r="AQ85" s="109" t="s">
        <v>1407</v>
      </c>
      <c r="AR85" s="173"/>
      <c r="AS85" s="174" t="s">
        <v>1441</v>
      </c>
      <c r="AT85" s="175"/>
      <c r="AU85" s="65" t="s">
        <v>25</v>
      </c>
      <c r="AV85" s="163" t="s">
        <v>1388</v>
      </c>
      <c r="AW85" s="65">
        <v>1545</v>
      </c>
      <c r="AX85" s="196">
        <v>44672.659513888888</v>
      </c>
    </row>
    <row r="86" spans="1:50">
      <c r="A86" s="124" t="s">
        <v>46</v>
      </c>
      <c r="B86" s="109" t="s">
        <v>1320</v>
      </c>
      <c r="C86" s="214" t="s">
        <v>329</v>
      </c>
      <c r="D86" s="163" t="s">
        <v>389</v>
      </c>
      <c r="E86" s="170">
        <v>274.96799999999996</v>
      </c>
      <c r="F86" s="171">
        <v>266.00400000000002</v>
      </c>
      <c r="G86" s="184">
        <v>263.30400000000003</v>
      </c>
      <c r="H86" s="181">
        <v>274.96799999999996</v>
      </c>
      <c r="I86" s="171">
        <v>266.00400000000002</v>
      </c>
      <c r="J86" s="184">
        <v>263.30400000000003</v>
      </c>
      <c r="K86" s="181">
        <v>274.96799999999996</v>
      </c>
      <c r="L86" s="171">
        <v>266.00400000000002</v>
      </c>
      <c r="M86" s="184">
        <v>263.30400000000003</v>
      </c>
      <c r="N86" s="181">
        <v>274.96799999999996</v>
      </c>
      <c r="O86" s="171">
        <v>266.00400000000002</v>
      </c>
      <c r="P86" s="184">
        <v>263.30400000000003</v>
      </c>
      <c r="Q86" s="181">
        <v>274.96799999999996</v>
      </c>
      <c r="R86" s="171">
        <v>266.00400000000002</v>
      </c>
      <c r="S86" s="184">
        <v>263.30400000000003</v>
      </c>
      <c r="T86" s="181">
        <v>274.96799999999996</v>
      </c>
      <c r="U86" s="171">
        <v>266.00400000000002</v>
      </c>
      <c r="V86" s="184">
        <v>263.30400000000003</v>
      </c>
      <c r="W86" s="181">
        <v>274.96799999999996</v>
      </c>
      <c r="X86" s="171">
        <v>266.00400000000002</v>
      </c>
      <c r="Y86" s="184">
        <v>263.30400000000003</v>
      </c>
      <c r="Z86" s="181">
        <v>274.96799999999996</v>
      </c>
      <c r="AA86" s="171">
        <v>266.00400000000002</v>
      </c>
      <c r="AB86" s="184">
        <v>263.30400000000003</v>
      </c>
      <c r="AC86" s="181">
        <v>274.96799999999996</v>
      </c>
      <c r="AD86" s="171">
        <v>266.00400000000002</v>
      </c>
      <c r="AE86" s="184">
        <v>263.30400000000003</v>
      </c>
      <c r="AF86" s="204">
        <v>274.96799999999996</v>
      </c>
      <c r="AG86" s="171">
        <v>266.00400000000002</v>
      </c>
      <c r="AH86" s="184">
        <v>263.30400000000003</v>
      </c>
      <c r="AI86" s="182" t="s">
        <v>330</v>
      </c>
      <c r="AJ86" s="163" t="s">
        <v>1429</v>
      </c>
      <c r="AK86" s="65" t="s">
        <v>1388</v>
      </c>
      <c r="AL86" s="176">
        <v>108</v>
      </c>
      <c r="AM86" s="159"/>
      <c r="AN86" s="172">
        <v>274.96799999999996</v>
      </c>
      <c r="AO86" s="159"/>
      <c r="AP86" s="163" t="s">
        <v>55</v>
      </c>
      <c r="AQ86" s="109" t="s">
        <v>1407</v>
      </c>
      <c r="AR86" s="173"/>
      <c r="AS86" s="174" t="s">
        <v>2065</v>
      </c>
      <c r="AT86" s="175"/>
      <c r="AU86" s="65" t="s">
        <v>25</v>
      </c>
      <c r="AV86" s="163" t="s">
        <v>1388</v>
      </c>
      <c r="AW86" s="65">
        <v>1518</v>
      </c>
      <c r="AX86" s="196">
        <v>44671.47016203704</v>
      </c>
    </row>
    <row r="87" spans="1:50">
      <c r="A87" s="124" t="s">
        <v>100</v>
      </c>
      <c r="B87" s="109" t="s">
        <v>1320</v>
      </c>
      <c r="C87" s="214" t="s">
        <v>2073</v>
      </c>
      <c r="D87" s="163" t="s">
        <v>2074</v>
      </c>
      <c r="E87" s="170">
        <v>170</v>
      </c>
      <c r="F87" s="171">
        <v>170</v>
      </c>
      <c r="G87" s="184">
        <v>170</v>
      </c>
      <c r="H87" s="181">
        <v>170</v>
      </c>
      <c r="I87" s="171">
        <v>170</v>
      </c>
      <c r="J87" s="184">
        <v>170</v>
      </c>
      <c r="K87" s="181">
        <v>170</v>
      </c>
      <c r="L87" s="171">
        <v>170</v>
      </c>
      <c r="M87" s="184">
        <v>170</v>
      </c>
      <c r="N87" s="181">
        <v>170</v>
      </c>
      <c r="O87" s="171">
        <v>170</v>
      </c>
      <c r="P87" s="184">
        <v>170</v>
      </c>
      <c r="Q87" s="181">
        <v>170</v>
      </c>
      <c r="R87" s="171">
        <v>170</v>
      </c>
      <c r="S87" s="184">
        <v>170</v>
      </c>
      <c r="T87" s="181">
        <v>170</v>
      </c>
      <c r="U87" s="171">
        <v>170</v>
      </c>
      <c r="V87" s="184">
        <v>170</v>
      </c>
      <c r="W87" s="181">
        <v>170</v>
      </c>
      <c r="X87" s="171">
        <v>170</v>
      </c>
      <c r="Y87" s="184">
        <v>170</v>
      </c>
      <c r="Z87" s="181">
        <v>170</v>
      </c>
      <c r="AA87" s="171">
        <v>170</v>
      </c>
      <c r="AB87" s="184">
        <v>170</v>
      </c>
      <c r="AC87" s="181">
        <v>170</v>
      </c>
      <c r="AD87" s="171">
        <v>170</v>
      </c>
      <c r="AE87" s="184">
        <v>170</v>
      </c>
      <c r="AF87" s="204">
        <v>170</v>
      </c>
      <c r="AG87" s="171">
        <v>170</v>
      </c>
      <c r="AH87" s="184">
        <v>170</v>
      </c>
      <c r="AI87" s="182" t="s">
        <v>49</v>
      </c>
      <c r="AJ87" s="163" t="s">
        <v>1539</v>
      </c>
      <c r="AK87" s="65" t="s">
        <v>18</v>
      </c>
      <c r="AL87" s="176">
        <v>1</v>
      </c>
      <c r="AM87" s="159"/>
      <c r="AN87" s="172">
        <v>185</v>
      </c>
      <c r="AO87" s="159"/>
      <c r="AP87" s="163" t="s">
        <v>55</v>
      </c>
      <c r="AQ87" s="109" t="s">
        <v>1403</v>
      </c>
      <c r="AR87" s="173"/>
      <c r="AS87" s="174" t="s">
        <v>1542</v>
      </c>
      <c r="AT87" s="175"/>
      <c r="AU87" s="65" t="s">
        <v>25</v>
      </c>
      <c r="AV87" s="163" t="s">
        <v>18</v>
      </c>
      <c r="AW87" s="65">
        <v>1068</v>
      </c>
      <c r="AX87" s="196">
        <v>44665.66333333333</v>
      </c>
    </row>
    <row r="88" spans="1:50">
      <c r="A88" s="124" t="s">
        <v>62</v>
      </c>
      <c r="B88" s="109" t="s">
        <v>1320</v>
      </c>
      <c r="C88" s="214" t="s">
        <v>583</v>
      </c>
      <c r="D88" s="163" t="s">
        <v>2076</v>
      </c>
      <c r="E88" s="170">
        <v>149.999</v>
      </c>
      <c r="F88" s="171">
        <v>147.071</v>
      </c>
      <c r="G88" s="184">
        <v>145.79000000000002</v>
      </c>
      <c r="H88" s="181">
        <v>149.999</v>
      </c>
      <c r="I88" s="171">
        <v>147.071</v>
      </c>
      <c r="J88" s="184">
        <v>145.79000000000002</v>
      </c>
      <c r="K88" s="181">
        <v>149.999</v>
      </c>
      <c r="L88" s="171">
        <v>147.071</v>
      </c>
      <c r="M88" s="184">
        <v>145.79000000000002</v>
      </c>
      <c r="N88" s="181">
        <v>149.999</v>
      </c>
      <c r="O88" s="171">
        <v>147.071</v>
      </c>
      <c r="P88" s="184">
        <v>145.79000000000002</v>
      </c>
      <c r="Q88" s="181">
        <v>149.999</v>
      </c>
      <c r="R88" s="171">
        <v>147.071</v>
      </c>
      <c r="S88" s="184">
        <v>145.79000000000002</v>
      </c>
      <c r="T88" s="181">
        <v>149.999</v>
      </c>
      <c r="U88" s="171">
        <v>147.071</v>
      </c>
      <c r="V88" s="184">
        <v>145.79000000000002</v>
      </c>
      <c r="W88" s="181">
        <v>149.999</v>
      </c>
      <c r="X88" s="171">
        <v>147.071</v>
      </c>
      <c r="Y88" s="184">
        <v>145.79000000000002</v>
      </c>
      <c r="Z88" s="181">
        <v>149.999</v>
      </c>
      <c r="AA88" s="171">
        <v>147.071</v>
      </c>
      <c r="AB88" s="184">
        <v>145.79000000000002</v>
      </c>
      <c r="AC88" s="181">
        <v>149.999</v>
      </c>
      <c r="AD88" s="171">
        <v>147.071</v>
      </c>
      <c r="AE88" s="184">
        <v>145.79000000000002</v>
      </c>
      <c r="AF88" s="204">
        <v>149.999</v>
      </c>
      <c r="AG88" s="171">
        <v>147.071</v>
      </c>
      <c r="AH88" s="184">
        <v>145.79000000000002</v>
      </c>
      <c r="AI88" s="182" t="s">
        <v>584</v>
      </c>
      <c r="AJ88" s="163" t="s">
        <v>1429</v>
      </c>
      <c r="AK88" s="65" t="s">
        <v>1388</v>
      </c>
      <c r="AL88" s="176">
        <v>61</v>
      </c>
      <c r="AM88" s="159"/>
      <c r="AN88" s="172">
        <v>167.75</v>
      </c>
      <c r="AO88" s="159"/>
      <c r="AP88" s="163" t="s">
        <v>55</v>
      </c>
      <c r="AQ88" s="109" t="s">
        <v>1407</v>
      </c>
      <c r="AR88" s="173"/>
      <c r="AS88" s="174" t="s">
        <v>1452</v>
      </c>
      <c r="AT88" s="175"/>
      <c r="AU88" s="65" t="s">
        <v>25</v>
      </c>
      <c r="AV88" s="163" t="s">
        <v>1388</v>
      </c>
      <c r="AW88" s="65">
        <v>1516</v>
      </c>
      <c r="AX88" s="196">
        <v>44671.468668981484</v>
      </c>
    </row>
    <row r="89" spans="1:50">
      <c r="A89" s="124" t="s">
        <v>95</v>
      </c>
      <c r="B89" s="109" t="s">
        <v>1320</v>
      </c>
      <c r="C89" s="214" t="s">
        <v>2090</v>
      </c>
      <c r="D89" s="163" t="s">
        <v>2091</v>
      </c>
      <c r="E89" s="170">
        <v>63</v>
      </c>
      <c r="F89" s="171">
        <v>63</v>
      </c>
      <c r="G89" s="184">
        <v>63</v>
      </c>
      <c r="H89" s="181">
        <v>63</v>
      </c>
      <c r="I89" s="171">
        <v>63</v>
      </c>
      <c r="J89" s="184">
        <v>63</v>
      </c>
      <c r="K89" s="181">
        <v>63</v>
      </c>
      <c r="L89" s="171">
        <v>63</v>
      </c>
      <c r="M89" s="184">
        <v>63</v>
      </c>
      <c r="N89" s="181">
        <v>63</v>
      </c>
      <c r="O89" s="171">
        <v>63</v>
      </c>
      <c r="P89" s="184">
        <v>63</v>
      </c>
      <c r="Q89" s="181">
        <v>63</v>
      </c>
      <c r="R89" s="171">
        <v>63</v>
      </c>
      <c r="S89" s="184">
        <v>63</v>
      </c>
      <c r="T89" s="181">
        <v>63</v>
      </c>
      <c r="U89" s="171">
        <v>63</v>
      </c>
      <c r="V89" s="184">
        <v>63</v>
      </c>
      <c r="W89" s="181">
        <v>63</v>
      </c>
      <c r="X89" s="171">
        <v>63</v>
      </c>
      <c r="Y89" s="184">
        <v>63</v>
      </c>
      <c r="Z89" s="181">
        <v>63</v>
      </c>
      <c r="AA89" s="171">
        <v>0</v>
      </c>
      <c r="AB89" s="184">
        <v>0</v>
      </c>
      <c r="AC89" s="181">
        <v>63</v>
      </c>
      <c r="AD89" s="171">
        <v>63</v>
      </c>
      <c r="AE89" s="184">
        <v>63</v>
      </c>
      <c r="AF89" s="204">
        <v>63</v>
      </c>
      <c r="AG89" s="171">
        <v>63</v>
      </c>
      <c r="AH89" s="184">
        <v>63</v>
      </c>
      <c r="AI89" s="182" t="s">
        <v>1585</v>
      </c>
      <c r="AJ89" s="163" t="s">
        <v>1539</v>
      </c>
      <c r="AK89" s="65" t="s">
        <v>18</v>
      </c>
      <c r="AL89" s="176">
        <v>1</v>
      </c>
      <c r="AM89" s="159"/>
      <c r="AN89" s="172">
        <v>60</v>
      </c>
      <c r="AO89" s="159"/>
      <c r="AP89" s="163" t="s">
        <v>55</v>
      </c>
      <c r="AQ89" s="109" t="s">
        <v>1403</v>
      </c>
      <c r="AR89" s="173"/>
      <c r="AS89" s="174" t="s">
        <v>1588</v>
      </c>
      <c r="AT89" s="175"/>
      <c r="AU89" s="65" t="s">
        <v>25</v>
      </c>
      <c r="AV89" s="163" t="s">
        <v>18</v>
      </c>
      <c r="AW89" s="65">
        <v>1069</v>
      </c>
      <c r="AX89" s="196">
        <v>44678.368935185186</v>
      </c>
    </row>
    <row r="90" spans="1:50">
      <c r="A90" s="124" t="s">
        <v>80</v>
      </c>
      <c r="B90" s="109" t="s">
        <v>1320</v>
      </c>
      <c r="C90" s="214" t="s">
        <v>2102</v>
      </c>
      <c r="D90" s="163" t="s">
        <v>2104</v>
      </c>
      <c r="E90" s="170">
        <v>47</v>
      </c>
      <c r="F90" s="171">
        <v>39</v>
      </c>
      <c r="G90" s="184">
        <v>37</v>
      </c>
      <c r="H90" s="181">
        <v>47</v>
      </c>
      <c r="I90" s="171">
        <v>39</v>
      </c>
      <c r="J90" s="184">
        <v>37</v>
      </c>
      <c r="K90" s="181">
        <v>47</v>
      </c>
      <c r="L90" s="171">
        <v>39</v>
      </c>
      <c r="M90" s="184">
        <v>37</v>
      </c>
      <c r="N90" s="181">
        <v>47</v>
      </c>
      <c r="O90" s="171">
        <v>39</v>
      </c>
      <c r="P90" s="184">
        <v>37</v>
      </c>
      <c r="Q90" s="181">
        <v>47</v>
      </c>
      <c r="R90" s="171">
        <v>39</v>
      </c>
      <c r="S90" s="184">
        <v>37</v>
      </c>
      <c r="T90" s="181">
        <v>47</v>
      </c>
      <c r="U90" s="171">
        <v>39</v>
      </c>
      <c r="V90" s="184">
        <v>37</v>
      </c>
      <c r="W90" s="181">
        <v>47</v>
      </c>
      <c r="X90" s="171">
        <v>39</v>
      </c>
      <c r="Y90" s="184">
        <v>37</v>
      </c>
      <c r="Z90" s="181">
        <v>47</v>
      </c>
      <c r="AA90" s="171">
        <v>39</v>
      </c>
      <c r="AB90" s="184">
        <v>37</v>
      </c>
      <c r="AC90" s="181">
        <v>47</v>
      </c>
      <c r="AD90" s="171">
        <v>39</v>
      </c>
      <c r="AE90" s="184">
        <v>37</v>
      </c>
      <c r="AF90" s="204">
        <v>0</v>
      </c>
      <c r="AG90" s="171">
        <v>0</v>
      </c>
      <c r="AH90" s="184">
        <v>0</v>
      </c>
      <c r="AI90" s="182" t="s">
        <v>2103</v>
      </c>
      <c r="AJ90" s="163" t="s">
        <v>1493</v>
      </c>
      <c r="AK90" s="65" t="s">
        <v>1360</v>
      </c>
      <c r="AL90" s="176">
        <v>1</v>
      </c>
      <c r="AM90" s="159"/>
      <c r="AN90" s="172">
        <v>52</v>
      </c>
      <c r="AO90" s="159"/>
      <c r="AP90" s="163" t="s">
        <v>55</v>
      </c>
      <c r="AQ90" s="109" t="s">
        <v>1403</v>
      </c>
      <c r="AR90" s="173"/>
      <c r="AS90" s="174" t="s">
        <v>1655</v>
      </c>
      <c r="AT90" s="175"/>
      <c r="AU90" s="65" t="s">
        <v>25</v>
      </c>
      <c r="AV90" s="163" t="s">
        <v>14</v>
      </c>
      <c r="AW90" s="65">
        <v>1070</v>
      </c>
      <c r="AX90" s="196">
        <v>44665.667407407411</v>
      </c>
    </row>
    <row r="91" spans="1:50">
      <c r="A91" s="124" t="s">
        <v>80</v>
      </c>
      <c r="B91" s="109" t="s">
        <v>1320</v>
      </c>
      <c r="C91" s="214" t="s">
        <v>2102</v>
      </c>
      <c r="D91" s="163" t="s">
        <v>2106</v>
      </c>
      <c r="E91" s="170">
        <v>47</v>
      </c>
      <c r="F91" s="171">
        <v>40</v>
      </c>
      <c r="G91" s="184">
        <v>37</v>
      </c>
      <c r="H91" s="181">
        <v>47</v>
      </c>
      <c r="I91" s="171">
        <v>40</v>
      </c>
      <c r="J91" s="184">
        <v>37</v>
      </c>
      <c r="K91" s="181">
        <v>47</v>
      </c>
      <c r="L91" s="171">
        <v>40</v>
      </c>
      <c r="M91" s="184">
        <v>37</v>
      </c>
      <c r="N91" s="181">
        <v>47</v>
      </c>
      <c r="O91" s="171">
        <v>40</v>
      </c>
      <c r="P91" s="184">
        <v>37</v>
      </c>
      <c r="Q91" s="181">
        <v>47</v>
      </c>
      <c r="R91" s="171">
        <v>40</v>
      </c>
      <c r="S91" s="184">
        <v>37</v>
      </c>
      <c r="T91" s="181">
        <v>47</v>
      </c>
      <c r="U91" s="171">
        <v>40</v>
      </c>
      <c r="V91" s="184">
        <v>37</v>
      </c>
      <c r="W91" s="181">
        <v>47</v>
      </c>
      <c r="X91" s="171">
        <v>40</v>
      </c>
      <c r="Y91" s="184">
        <v>37</v>
      </c>
      <c r="Z91" s="181">
        <v>47</v>
      </c>
      <c r="AA91" s="171">
        <v>40</v>
      </c>
      <c r="AB91" s="184">
        <v>37</v>
      </c>
      <c r="AC91" s="181">
        <v>47</v>
      </c>
      <c r="AD91" s="171">
        <v>40</v>
      </c>
      <c r="AE91" s="184">
        <v>37</v>
      </c>
      <c r="AF91" s="204">
        <v>0</v>
      </c>
      <c r="AG91" s="171">
        <v>0</v>
      </c>
      <c r="AH91" s="184">
        <v>0</v>
      </c>
      <c r="AI91" s="182" t="s">
        <v>2103</v>
      </c>
      <c r="AJ91" s="163" t="s">
        <v>1493</v>
      </c>
      <c r="AK91" s="65" t="s">
        <v>1360</v>
      </c>
      <c r="AL91" s="176">
        <v>1</v>
      </c>
      <c r="AM91" s="159"/>
      <c r="AN91" s="172">
        <v>52</v>
      </c>
      <c r="AO91" s="159"/>
      <c r="AP91" s="163" t="s">
        <v>55</v>
      </c>
      <c r="AQ91" s="109" t="s">
        <v>1403</v>
      </c>
      <c r="AR91" s="173"/>
      <c r="AS91" s="174" t="s">
        <v>1655</v>
      </c>
      <c r="AT91" s="175"/>
      <c r="AU91" s="65" t="s">
        <v>25</v>
      </c>
      <c r="AV91" s="163" t="s">
        <v>14</v>
      </c>
      <c r="AW91" s="65">
        <v>1070</v>
      </c>
      <c r="AX91" s="196">
        <v>44665.667407407411</v>
      </c>
    </row>
    <row r="92" spans="1:50">
      <c r="A92" s="124" t="s">
        <v>80</v>
      </c>
      <c r="B92" s="109" t="s">
        <v>1320</v>
      </c>
      <c r="C92" s="214" t="s">
        <v>2102</v>
      </c>
      <c r="D92" s="163" t="s">
        <v>2107</v>
      </c>
      <c r="E92" s="170">
        <v>49</v>
      </c>
      <c r="F92" s="171">
        <v>43</v>
      </c>
      <c r="G92" s="184">
        <v>38</v>
      </c>
      <c r="H92" s="181">
        <v>49</v>
      </c>
      <c r="I92" s="171">
        <v>43</v>
      </c>
      <c r="J92" s="184">
        <v>38</v>
      </c>
      <c r="K92" s="181">
        <v>49</v>
      </c>
      <c r="L92" s="171">
        <v>43</v>
      </c>
      <c r="M92" s="184">
        <v>38</v>
      </c>
      <c r="N92" s="181">
        <v>49</v>
      </c>
      <c r="O92" s="171">
        <v>43</v>
      </c>
      <c r="P92" s="184">
        <v>38</v>
      </c>
      <c r="Q92" s="181">
        <v>49</v>
      </c>
      <c r="R92" s="171">
        <v>43</v>
      </c>
      <c r="S92" s="184">
        <v>38</v>
      </c>
      <c r="T92" s="181">
        <v>49</v>
      </c>
      <c r="U92" s="171">
        <v>43</v>
      </c>
      <c r="V92" s="184">
        <v>38</v>
      </c>
      <c r="W92" s="181">
        <v>49</v>
      </c>
      <c r="X92" s="171">
        <v>43</v>
      </c>
      <c r="Y92" s="184">
        <v>38</v>
      </c>
      <c r="Z92" s="181">
        <v>49</v>
      </c>
      <c r="AA92" s="171">
        <v>43</v>
      </c>
      <c r="AB92" s="184">
        <v>38</v>
      </c>
      <c r="AC92" s="181">
        <v>49</v>
      </c>
      <c r="AD92" s="171">
        <v>43</v>
      </c>
      <c r="AE92" s="184">
        <v>38</v>
      </c>
      <c r="AF92" s="204">
        <v>0</v>
      </c>
      <c r="AG92" s="171">
        <v>0</v>
      </c>
      <c r="AH92" s="184">
        <v>0</v>
      </c>
      <c r="AI92" s="182" t="s">
        <v>2103</v>
      </c>
      <c r="AJ92" s="163" t="s">
        <v>1493</v>
      </c>
      <c r="AK92" s="65" t="s">
        <v>1360</v>
      </c>
      <c r="AL92" s="176">
        <v>1</v>
      </c>
      <c r="AM92" s="159"/>
      <c r="AN92" s="172">
        <v>52</v>
      </c>
      <c r="AO92" s="159"/>
      <c r="AP92" s="163" t="s">
        <v>55</v>
      </c>
      <c r="AQ92" s="109" t="s">
        <v>1403</v>
      </c>
      <c r="AR92" s="173"/>
      <c r="AS92" s="174" t="s">
        <v>1655</v>
      </c>
      <c r="AT92" s="175"/>
      <c r="AU92" s="65" t="s">
        <v>25</v>
      </c>
      <c r="AV92" s="163" t="s">
        <v>14</v>
      </c>
      <c r="AW92" s="65">
        <v>1070</v>
      </c>
      <c r="AX92" s="196">
        <v>44665.667407407411</v>
      </c>
    </row>
    <row r="93" spans="1:50">
      <c r="A93" s="124" t="s">
        <v>62</v>
      </c>
      <c r="B93" s="109" t="s">
        <v>1385</v>
      </c>
      <c r="C93" s="214" t="s">
        <v>229</v>
      </c>
      <c r="D93" s="163" t="s">
        <v>208</v>
      </c>
      <c r="E93" s="170">
        <v>0</v>
      </c>
      <c r="F93" s="171">
        <v>0</v>
      </c>
      <c r="G93" s="184">
        <v>0</v>
      </c>
      <c r="H93" s="181">
        <v>172.98899999999998</v>
      </c>
      <c r="I93" s="171">
        <v>147.834</v>
      </c>
      <c r="J93" s="184">
        <v>103.32900000000001</v>
      </c>
      <c r="K93" s="181">
        <v>172.98899999999998</v>
      </c>
      <c r="L93" s="171">
        <v>147.834</v>
      </c>
      <c r="M93" s="184">
        <v>103.32900000000001</v>
      </c>
      <c r="N93" s="181">
        <v>172.98899999999998</v>
      </c>
      <c r="O93" s="171">
        <v>147.834</v>
      </c>
      <c r="P93" s="184">
        <v>103.32900000000001</v>
      </c>
      <c r="Q93" s="181">
        <v>172.98899999999998</v>
      </c>
      <c r="R93" s="171">
        <v>147.834</v>
      </c>
      <c r="S93" s="184">
        <v>103.32900000000001</v>
      </c>
      <c r="T93" s="181">
        <v>172.98899999999998</v>
      </c>
      <c r="U93" s="171">
        <v>147.834</v>
      </c>
      <c r="V93" s="184">
        <v>103.32900000000001</v>
      </c>
      <c r="W93" s="181">
        <v>172.98899999999998</v>
      </c>
      <c r="X93" s="171">
        <v>147.834</v>
      </c>
      <c r="Y93" s="184">
        <v>103.32900000000001</v>
      </c>
      <c r="Z93" s="181">
        <v>172.98899999999998</v>
      </c>
      <c r="AA93" s="171">
        <v>147.834</v>
      </c>
      <c r="AB93" s="184">
        <v>103.32900000000001</v>
      </c>
      <c r="AC93" s="181">
        <v>172.98899999999998</v>
      </c>
      <c r="AD93" s="171">
        <v>147.834</v>
      </c>
      <c r="AE93" s="184">
        <v>103.32900000000001</v>
      </c>
      <c r="AF93" s="204">
        <v>172.98899999999998</v>
      </c>
      <c r="AG93" s="171">
        <v>147.834</v>
      </c>
      <c r="AH93" s="184">
        <v>103.32900000000001</v>
      </c>
      <c r="AI93" s="182" t="s">
        <v>2110</v>
      </c>
      <c r="AJ93" s="163" t="s">
        <v>1419</v>
      </c>
      <c r="AK93" s="65" t="s">
        <v>17</v>
      </c>
      <c r="AL93" s="176">
        <v>43</v>
      </c>
      <c r="AM93" s="159"/>
      <c r="AN93" s="172">
        <v>172.98899999999998</v>
      </c>
      <c r="AO93" s="159"/>
      <c r="AP93" s="163" t="s">
        <v>27</v>
      </c>
      <c r="AQ93" s="109" t="s">
        <v>1407</v>
      </c>
      <c r="AR93" s="173" t="s">
        <v>2112</v>
      </c>
      <c r="AS93" s="174" t="s">
        <v>1700</v>
      </c>
      <c r="AT93" s="175"/>
      <c r="AU93" s="65" t="s">
        <v>27</v>
      </c>
      <c r="AV93" s="163" t="s">
        <v>17</v>
      </c>
      <c r="AW93" s="65">
        <v>1706</v>
      </c>
      <c r="AX93" s="196">
        <v>44746.654178240744</v>
      </c>
    </row>
    <row r="94" spans="1:50">
      <c r="A94" s="124" t="s">
        <v>100</v>
      </c>
      <c r="B94" s="109" t="s">
        <v>1320</v>
      </c>
      <c r="C94" s="214" t="s">
        <v>425</v>
      </c>
      <c r="D94" s="163" t="s">
        <v>427</v>
      </c>
      <c r="E94" s="170">
        <v>168</v>
      </c>
      <c r="F94" s="171">
        <v>152</v>
      </c>
      <c r="G94" s="184">
        <v>108</v>
      </c>
      <c r="H94" s="181">
        <v>168</v>
      </c>
      <c r="I94" s="171">
        <v>152</v>
      </c>
      <c r="J94" s="184">
        <v>108</v>
      </c>
      <c r="K94" s="181">
        <v>168</v>
      </c>
      <c r="L94" s="171">
        <v>152</v>
      </c>
      <c r="M94" s="184">
        <v>108</v>
      </c>
      <c r="N94" s="181">
        <v>168</v>
      </c>
      <c r="O94" s="171">
        <v>152</v>
      </c>
      <c r="P94" s="184">
        <v>108</v>
      </c>
      <c r="Q94" s="181">
        <v>168</v>
      </c>
      <c r="R94" s="171">
        <v>152</v>
      </c>
      <c r="S94" s="184">
        <v>108</v>
      </c>
      <c r="T94" s="181">
        <v>168</v>
      </c>
      <c r="U94" s="171">
        <v>152</v>
      </c>
      <c r="V94" s="184">
        <v>108</v>
      </c>
      <c r="W94" s="181">
        <v>168</v>
      </c>
      <c r="X94" s="171">
        <v>152</v>
      </c>
      <c r="Y94" s="184">
        <v>108</v>
      </c>
      <c r="Z94" s="181">
        <v>168</v>
      </c>
      <c r="AA94" s="171">
        <v>152</v>
      </c>
      <c r="AB94" s="184">
        <v>108</v>
      </c>
      <c r="AC94" s="181">
        <v>168</v>
      </c>
      <c r="AD94" s="171">
        <v>152</v>
      </c>
      <c r="AE94" s="184">
        <v>108</v>
      </c>
      <c r="AF94" s="204">
        <v>168</v>
      </c>
      <c r="AG94" s="171">
        <v>152</v>
      </c>
      <c r="AH94" s="184">
        <v>108</v>
      </c>
      <c r="AI94" s="182" t="s">
        <v>426</v>
      </c>
      <c r="AJ94" s="163" t="s">
        <v>1419</v>
      </c>
      <c r="AK94" s="65" t="s">
        <v>17</v>
      </c>
      <c r="AL94" s="176">
        <v>40</v>
      </c>
      <c r="AM94" s="159"/>
      <c r="AN94" s="172">
        <v>168</v>
      </c>
      <c r="AO94" s="159"/>
      <c r="AP94" s="163" t="s">
        <v>131</v>
      </c>
      <c r="AQ94" s="109" t="s">
        <v>1407</v>
      </c>
      <c r="AR94" s="173" t="s">
        <v>1363</v>
      </c>
      <c r="AS94" s="174" t="s">
        <v>1534</v>
      </c>
      <c r="AT94" s="175"/>
      <c r="AU94" s="65" t="s">
        <v>25</v>
      </c>
      <c r="AV94" s="163" t="s">
        <v>17</v>
      </c>
      <c r="AW94" s="65">
        <v>1303</v>
      </c>
      <c r="AX94" s="196">
        <v>44671.696030092593</v>
      </c>
    </row>
    <row r="95" spans="1:50">
      <c r="A95" s="124" t="s">
        <v>100</v>
      </c>
      <c r="B95" s="109" t="s">
        <v>1320</v>
      </c>
      <c r="C95" s="214" t="s">
        <v>425</v>
      </c>
      <c r="D95" s="163" t="s">
        <v>2119</v>
      </c>
      <c r="E95" s="170">
        <v>46.2</v>
      </c>
      <c r="F95" s="171">
        <v>41.8</v>
      </c>
      <c r="G95" s="184">
        <v>29.700000000000003</v>
      </c>
      <c r="H95" s="181">
        <v>46.2</v>
      </c>
      <c r="I95" s="171">
        <v>41.8</v>
      </c>
      <c r="J95" s="184">
        <v>29.700000000000003</v>
      </c>
      <c r="K95" s="181">
        <v>46.2</v>
      </c>
      <c r="L95" s="171">
        <v>41.8</v>
      </c>
      <c r="M95" s="184">
        <v>29.700000000000003</v>
      </c>
      <c r="N95" s="181">
        <v>46.2</v>
      </c>
      <c r="O95" s="171">
        <v>41.8</v>
      </c>
      <c r="P95" s="184">
        <v>29.700000000000003</v>
      </c>
      <c r="Q95" s="181">
        <v>46.2</v>
      </c>
      <c r="R95" s="171">
        <v>41.8</v>
      </c>
      <c r="S95" s="184">
        <v>29.700000000000003</v>
      </c>
      <c r="T95" s="181">
        <v>46.2</v>
      </c>
      <c r="U95" s="171">
        <v>41.8</v>
      </c>
      <c r="V95" s="184">
        <v>29.700000000000003</v>
      </c>
      <c r="W95" s="181">
        <v>46.2</v>
      </c>
      <c r="X95" s="171">
        <v>41.8</v>
      </c>
      <c r="Y95" s="184">
        <v>29.700000000000003</v>
      </c>
      <c r="Z95" s="181">
        <v>46.2</v>
      </c>
      <c r="AA95" s="171">
        <v>41.8</v>
      </c>
      <c r="AB95" s="184">
        <v>29.700000000000003</v>
      </c>
      <c r="AC95" s="181">
        <v>46.2</v>
      </c>
      <c r="AD95" s="171">
        <v>41.8</v>
      </c>
      <c r="AE95" s="184">
        <v>29.700000000000003</v>
      </c>
      <c r="AF95" s="204">
        <v>46.2</v>
      </c>
      <c r="AG95" s="171">
        <v>41.8</v>
      </c>
      <c r="AH95" s="184">
        <v>29.700000000000003</v>
      </c>
      <c r="AI95" s="182" t="s">
        <v>426</v>
      </c>
      <c r="AJ95" s="163" t="s">
        <v>1419</v>
      </c>
      <c r="AK95" s="65" t="s">
        <v>17</v>
      </c>
      <c r="AL95" s="176">
        <v>11</v>
      </c>
      <c r="AM95" s="159"/>
      <c r="AN95" s="172">
        <v>46.2</v>
      </c>
      <c r="AO95" s="159"/>
      <c r="AP95" s="163" t="s">
        <v>131</v>
      </c>
      <c r="AQ95" s="109" t="s">
        <v>1407</v>
      </c>
      <c r="AR95" s="173" t="s">
        <v>1363</v>
      </c>
      <c r="AS95" s="174" t="s">
        <v>1534</v>
      </c>
      <c r="AT95" s="114"/>
      <c r="AU95" s="162" t="s">
        <v>25</v>
      </c>
      <c r="AV95" s="163" t="s">
        <v>17</v>
      </c>
      <c r="AW95" s="65">
        <v>1303</v>
      </c>
      <c r="AX95" s="199">
        <v>44671.696030092593</v>
      </c>
    </row>
    <row r="96" spans="1:50">
      <c r="A96" s="124" t="s">
        <v>100</v>
      </c>
      <c r="B96" s="109" t="s">
        <v>1320</v>
      </c>
      <c r="C96" s="214" t="s">
        <v>425</v>
      </c>
      <c r="D96" s="163" t="s">
        <v>2121</v>
      </c>
      <c r="E96" s="170">
        <v>121.80000000000001</v>
      </c>
      <c r="F96" s="171">
        <v>110.19999999999999</v>
      </c>
      <c r="G96" s="184">
        <v>78.300000000000011</v>
      </c>
      <c r="H96" s="181">
        <v>121.80000000000001</v>
      </c>
      <c r="I96" s="171">
        <v>110.19999999999999</v>
      </c>
      <c r="J96" s="184">
        <v>78.300000000000011</v>
      </c>
      <c r="K96" s="181">
        <v>121.80000000000001</v>
      </c>
      <c r="L96" s="171">
        <v>110.19999999999999</v>
      </c>
      <c r="M96" s="184">
        <v>78.300000000000011</v>
      </c>
      <c r="N96" s="181">
        <v>121.80000000000001</v>
      </c>
      <c r="O96" s="171">
        <v>110.19999999999999</v>
      </c>
      <c r="P96" s="184">
        <v>78.300000000000011</v>
      </c>
      <c r="Q96" s="181">
        <v>121.80000000000001</v>
      </c>
      <c r="R96" s="171">
        <v>110.19999999999999</v>
      </c>
      <c r="S96" s="184">
        <v>78.300000000000011</v>
      </c>
      <c r="T96" s="181">
        <v>121.80000000000001</v>
      </c>
      <c r="U96" s="171">
        <v>110.19999999999999</v>
      </c>
      <c r="V96" s="184">
        <v>78.300000000000011</v>
      </c>
      <c r="W96" s="181">
        <v>121.80000000000001</v>
      </c>
      <c r="X96" s="171">
        <v>110.19999999999999</v>
      </c>
      <c r="Y96" s="184">
        <v>78.300000000000011</v>
      </c>
      <c r="Z96" s="181">
        <v>121.80000000000001</v>
      </c>
      <c r="AA96" s="171">
        <v>110.19999999999999</v>
      </c>
      <c r="AB96" s="184">
        <v>78.300000000000011</v>
      </c>
      <c r="AC96" s="181">
        <v>121.80000000000001</v>
      </c>
      <c r="AD96" s="171">
        <v>110.19999999999999</v>
      </c>
      <c r="AE96" s="184">
        <v>78.300000000000011</v>
      </c>
      <c r="AF96" s="204">
        <v>121.80000000000001</v>
      </c>
      <c r="AG96" s="171">
        <v>110.19999999999999</v>
      </c>
      <c r="AH96" s="184">
        <v>78.300000000000011</v>
      </c>
      <c r="AI96" s="182" t="s">
        <v>426</v>
      </c>
      <c r="AJ96" s="163" t="s">
        <v>1419</v>
      </c>
      <c r="AK96" s="65" t="s">
        <v>17</v>
      </c>
      <c r="AL96" s="176">
        <v>29</v>
      </c>
      <c r="AM96" s="159"/>
      <c r="AN96" s="172">
        <v>121.80000000000001</v>
      </c>
      <c r="AO96" s="159"/>
      <c r="AP96" s="163" t="s">
        <v>131</v>
      </c>
      <c r="AQ96" s="109" t="s">
        <v>1407</v>
      </c>
      <c r="AR96" s="173" t="s">
        <v>1363</v>
      </c>
      <c r="AS96" s="174" t="s">
        <v>1534</v>
      </c>
      <c r="AT96" s="114"/>
      <c r="AU96" s="162" t="s">
        <v>25</v>
      </c>
      <c r="AV96" s="163" t="s">
        <v>17</v>
      </c>
      <c r="AW96" s="65">
        <v>1303</v>
      </c>
      <c r="AX96" s="199">
        <v>44671.696030092593</v>
      </c>
    </row>
    <row r="97" spans="1:50">
      <c r="A97" s="124" t="s">
        <v>62</v>
      </c>
      <c r="B97" s="109" t="s">
        <v>1385</v>
      </c>
      <c r="C97" s="214" t="s">
        <v>230</v>
      </c>
      <c r="D97" s="163" t="s">
        <v>208</v>
      </c>
      <c r="E97" s="170">
        <v>0</v>
      </c>
      <c r="F97" s="171">
        <v>0</v>
      </c>
      <c r="G97" s="184">
        <v>0</v>
      </c>
      <c r="H97" s="181">
        <v>146</v>
      </c>
      <c r="I97" s="171">
        <v>146</v>
      </c>
      <c r="J97" s="184">
        <v>146</v>
      </c>
      <c r="K97" s="181">
        <v>146</v>
      </c>
      <c r="L97" s="171">
        <v>146</v>
      </c>
      <c r="M97" s="184">
        <v>146</v>
      </c>
      <c r="N97" s="181">
        <v>146</v>
      </c>
      <c r="O97" s="171">
        <v>146</v>
      </c>
      <c r="P97" s="184">
        <v>146</v>
      </c>
      <c r="Q97" s="181">
        <v>146</v>
      </c>
      <c r="R97" s="171">
        <v>146</v>
      </c>
      <c r="S97" s="184">
        <v>146</v>
      </c>
      <c r="T97" s="181">
        <v>146</v>
      </c>
      <c r="U97" s="171">
        <v>146</v>
      </c>
      <c r="V97" s="184">
        <v>146</v>
      </c>
      <c r="W97" s="181">
        <v>146</v>
      </c>
      <c r="X97" s="171">
        <v>146</v>
      </c>
      <c r="Y97" s="184">
        <v>146</v>
      </c>
      <c r="Z97" s="181">
        <v>146</v>
      </c>
      <c r="AA97" s="171">
        <v>146</v>
      </c>
      <c r="AB97" s="184">
        <v>146</v>
      </c>
      <c r="AC97" s="181">
        <v>146</v>
      </c>
      <c r="AD97" s="171">
        <v>146</v>
      </c>
      <c r="AE97" s="184">
        <v>146</v>
      </c>
      <c r="AF97" s="204">
        <v>146</v>
      </c>
      <c r="AG97" s="171">
        <v>146</v>
      </c>
      <c r="AH97" s="184">
        <v>146</v>
      </c>
      <c r="AI97" s="182" t="s">
        <v>231</v>
      </c>
      <c r="AJ97" s="163" t="s">
        <v>1429</v>
      </c>
      <c r="AK97" s="65" t="s">
        <v>1388</v>
      </c>
      <c r="AL97" s="176">
        <v>1</v>
      </c>
      <c r="AM97" s="159"/>
      <c r="AN97" s="172">
        <v>180</v>
      </c>
      <c r="AO97" s="159"/>
      <c r="AP97" s="163" t="s">
        <v>27</v>
      </c>
      <c r="AQ97" s="109" t="s">
        <v>1407</v>
      </c>
      <c r="AR97" s="173" t="s">
        <v>2142</v>
      </c>
      <c r="AS97" s="174" t="s">
        <v>1700</v>
      </c>
      <c r="AT97" s="114"/>
      <c r="AU97" s="162" t="s">
        <v>27</v>
      </c>
      <c r="AV97" s="163" t="s">
        <v>1388</v>
      </c>
      <c r="AW97" s="65">
        <v>1902</v>
      </c>
      <c r="AX97" s="199">
        <v>44746.519837962966</v>
      </c>
    </row>
    <row r="98" spans="1:50">
      <c r="A98" s="124" t="s">
        <v>100</v>
      </c>
      <c r="B98" s="109" t="s">
        <v>1320</v>
      </c>
      <c r="C98" s="214" t="s">
        <v>2143</v>
      </c>
      <c r="D98" s="163" t="s">
        <v>2144</v>
      </c>
      <c r="E98" s="170">
        <v>60</v>
      </c>
      <c r="F98" s="171">
        <v>60</v>
      </c>
      <c r="G98" s="184">
        <v>60</v>
      </c>
      <c r="H98" s="181">
        <v>60</v>
      </c>
      <c r="I98" s="171">
        <v>60</v>
      </c>
      <c r="J98" s="184">
        <v>60</v>
      </c>
      <c r="K98" s="181">
        <v>60</v>
      </c>
      <c r="L98" s="171">
        <v>60</v>
      </c>
      <c r="M98" s="184">
        <v>60</v>
      </c>
      <c r="N98" s="181">
        <v>60</v>
      </c>
      <c r="O98" s="171">
        <v>60</v>
      </c>
      <c r="P98" s="184">
        <v>60</v>
      </c>
      <c r="Q98" s="181">
        <v>60</v>
      </c>
      <c r="R98" s="171">
        <v>60</v>
      </c>
      <c r="S98" s="184">
        <v>60</v>
      </c>
      <c r="T98" s="181">
        <v>60</v>
      </c>
      <c r="U98" s="171">
        <v>60</v>
      </c>
      <c r="V98" s="184">
        <v>60</v>
      </c>
      <c r="W98" s="181">
        <v>60</v>
      </c>
      <c r="X98" s="171">
        <v>60</v>
      </c>
      <c r="Y98" s="184">
        <v>60</v>
      </c>
      <c r="Z98" s="181">
        <v>60</v>
      </c>
      <c r="AA98" s="171">
        <v>60</v>
      </c>
      <c r="AB98" s="184">
        <v>60</v>
      </c>
      <c r="AC98" s="181">
        <v>60</v>
      </c>
      <c r="AD98" s="171">
        <v>60</v>
      </c>
      <c r="AE98" s="184">
        <v>60</v>
      </c>
      <c r="AF98" s="204">
        <v>60</v>
      </c>
      <c r="AG98" s="171">
        <v>60</v>
      </c>
      <c r="AH98" s="184">
        <v>60</v>
      </c>
      <c r="AI98" s="182" t="s">
        <v>49</v>
      </c>
      <c r="AJ98" s="163" t="s">
        <v>1539</v>
      </c>
      <c r="AK98" s="65" t="s">
        <v>18</v>
      </c>
      <c r="AL98" s="176">
        <v>2</v>
      </c>
      <c r="AM98" s="159"/>
      <c r="AN98" s="172">
        <v>67.5</v>
      </c>
      <c r="AO98" s="159"/>
      <c r="AP98" s="163" t="s">
        <v>55</v>
      </c>
      <c r="AQ98" s="109" t="s">
        <v>1403</v>
      </c>
      <c r="AR98" s="173"/>
      <c r="AS98" s="174" t="s">
        <v>1542</v>
      </c>
      <c r="AT98" s="114"/>
      <c r="AU98" s="162" t="s">
        <v>25</v>
      </c>
      <c r="AV98" s="163" t="s">
        <v>18</v>
      </c>
      <c r="AW98" s="65">
        <v>1072</v>
      </c>
      <c r="AX98" s="199">
        <v>44665.668495370373</v>
      </c>
    </row>
    <row r="99" spans="1:50">
      <c r="A99" s="124" t="s">
        <v>100</v>
      </c>
      <c r="B99" s="109" t="s">
        <v>1320</v>
      </c>
      <c r="C99" s="214" t="s">
        <v>2143</v>
      </c>
      <c r="D99" s="163" t="s">
        <v>2145</v>
      </c>
      <c r="E99" s="170">
        <v>60</v>
      </c>
      <c r="F99" s="171">
        <v>60</v>
      </c>
      <c r="G99" s="184">
        <v>60</v>
      </c>
      <c r="H99" s="181">
        <v>60</v>
      </c>
      <c r="I99" s="171">
        <v>60</v>
      </c>
      <c r="J99" s="184">
        <v>60</v>
      </c>
      <c r="K99" s="181">
        <v>60</v>
      </c>
      <c r="L99" s="171">
        <v>60</v>
      </c>
      <c r="M99" s="184">
        <v>60</v>
      </c>
      <c r="N99" s="181">
        <v>60</v>
      </c>
      <c r="O99" s="171">
        <v>60</v>
      </c>
      <c r="P99" s="184">
        <v>60</v>
      </c>
      <c r="Q99" s="181">
        <v>60</v>
      </c>
      <c r="R99" s="171">
        <v>60</v>
      </c>
      <c r="S99" s="184">
        <v>60</v>
      </c>
      <c r="T99" s="181">
        <v>60</v>
      </c>
      <c r="U99" s="171">
        <v>60</v>
      </c>
      <c r="V99" s="184">
        <v>60</v>
      </c>
      <c r="W99" s="181">
        <v>60</v>
      </c>
      <c r="X99" s="171">
        <v>60</v>
      </c>
      <c r="Y99" s="184">
        <v>60</v>
      </c>
      <c r="Z99" s="181">
        <v>60</v>
      </c>
      <c r="AA99" s="171">
        <v>60</v>
      </c>
      <c r="AB99" s="184">
        <v>60</v>
      </c>
      <c r="AC99" s="181">
        <v>60</v>
      </c>
      <c r="AD99" s="171">
        <v>60</v>
      </c>
      <c r="AE99" s="184">
        <v>60</v>
      </c>
      <c r="AF99" s="204">
        <v>60</v>
      </c>
      <c r="AG99" s="171">
        <v>60</v>
      </c>
      <c r="AH99" s="184">
        <v>60</v>
      </c>
      <c r="AI99" s="182" t="s">
        <v>49</v>
      </c>
      <c r="AJ99" s="163" t="s">
        <v>1539</v>
      </c>
      <c r="AK99" s="65" t="s">
        <v>18</v>
      </c>
      <c r="AL99" s="176">
        <v>2</v>
      </c>
      <c r="AM99" s="159"/>
      <c r="AN99" s="172">
        <v>67.5</v>
      </c>
      <c r="AO99" s="159"/>
      <c r="AP99" s="163" t="s">
        <v>55</v>
      </c>
      <c r="AQ99" s="109" t="s">
        <v>1403</v>
      </c>
      <c r="AR99" s="173"/>
      <c r="AS99" s="174" t="s">
        <v>1542</v>
      </c>
      <c r="AT99" s="175"/>
      <c r="AU99" s="65" t="s">
        <v>25</v>
      </c>
      <c r="AV99" s="163" t="s">
        <v>18</v>
      </c>
      <c r="AW99" s="65">
        <v>1072</v>
      </c>
      <c r="AX99" s="196">
        <v>44665.668495370373</v>
      </c>
    </row>
    <row r="100" spans="1:50">
      <c r="A100" s="124" t="s">
        <v>100</v>
      </c>
      <c r="B100" s="109" t="s">
        <v>1320</v>
      </c>
      <c r="C100" s="214" t="s">
        <v>361</v>
      </c>
      <c r="D100" s="163" t="s">
        <v>363</v>
      </c>
      <c r="E100" s="170">
        <v>83.6</v>
      </c>
      <c r="F100" s="171">
        <v>83.6</v>
      </c>
      <c r="G100" s="184">
        <v>83.6</v>
      </c>
      <c r="H100" s="181">
        <v>83.6</v>
      </c>
      <c r="I100" s="171">
        <v>83.6</v>
      </c>
      <c r="J100" s="184">
        <v>83.6</v>
      </c>
      <c r="K100" s="181">
        <v>83.6</v>
      </c>
      <c r="L100" s="171">
        <v>83.6</v>
      </c>
      <c r="M100" s="184">
        <v>83.6</v>
      </c>
      <c r="N100" s="181">
        <v>83.6</v>
      </c>
      <c r="O100" s="171">
        <v>83.6</v>
      </c>
      <c r="P100" s="184">
        <v>83.6</v>
      </c>
      <c r="Q100" s="181">
        <v>83.6</v>
      </c>
      <c r="R100" s="171">
        <v>83.6</v>
      </c>
      <c r="S100" s="184">
        <v>83.6</v>
      </c>
      <c r="T100" s="181">
        <v>83.6</v>
      </c>
      <c r="U100" s="171">
        <v>83.6</v>
      </c>
      <c r="V100" s="184">
        <v>83.6</v>
      </c>
      <c r="W100" s="181">
        <v>83.6</v>
      </c>
      <c r="X100" s="171">
        <v>83.6</v>
      </c>
      <c r="Y100" s="184">
        <v>83.6</v>
      </c>
      <c r="Z100" s="181">
        <v>83.6</v>
      </c>
      <c r="AA100" s="171">
        <v>83.6</v>
      </c>
      <c r="AB100" s="184">
        <v>83.6</v>
      </c>
      <c r="AC100" s="181">
        <v>83.6</v>
      </c>
      <c r="AD100" s="171">
        <v>83.6</v>
      </c>
      <c r="AE100" s="184">
        <v>83.6</v>
      </c>
      <c r="AF100" s="204">
        <v>83.6</v>
      </c>
      <c r="AG100" s="171">
        <v>83.6</v>
      </c>
      <c r="AH100" s="184">
        <v>83.6</v>
      </c>
      <c r="AI100" s="182" t="s">
        <v>362</v>
      </c>
      <c r="AJ100" s="163" t="s">
        <v>1419</v>
      </c>
      <c r="AK100" s="65" t="s">
        <v>17</v>
      </c>
      <c r="AL100" s="176">
        <v>22</v>
      </c>
      <c r="AM100" s="159"/>
      <c r="AN100" s="172">
        <v>83.6</v>
      </c>
      <c r="AO100" s="159"/>
      <c r="AP100" s="163" t="s">
        <v>55</v>
      </c>
      <c r="AQ100" s="109" t="s">
        <v>1407</v>
      </c>
      <c r="AR100" s="173"/>
      <c r="AS100" s="174" t="s">
        <v>1547</v>
      </c>
      <c r="AT100" s="175"/>
      <c r="AU100" s="65" t="s">
        <v>25</v>
      </c>
      <c r="AV100" s="163" t="s">
        <v>17</v>
      </c>
      <c r="AW100" s="65">
        <v>1113</v>
      </c>
      <c r="AX100" s="196">
        <v>44693.43478009259</v>
      </c>
    </row>
    <row r="101" spans="1:50">
      <c r="A101" s="124" t="s">
        <v>62</v>
      </c>
      <c r="B101" s="109" t="s">
        <v>1320</v>
      </c>
      <c r="C101" s="214" t="s">
        <v>586</v>
      </c>
      <c r="D101" s="163" t="s">
        <v>2160</v>
      </c>
      <c r="E101" s="170">
        <v>72</v>
      </c>
      <c r="F101" s="171">
        <v>69.760000000000005</v>
      </c>
      <c r="G101" s="184">
        <v>68.48</v>
      </c>
      <c r="H101" s="181">
        <v>72</v>
      </c>
      <c r="I101" s="171">
        <v>69.760000000000005</v>
      </c>
      <c r="J101" s="184">
        <v>68.48</v>
      </c>
      <c r="K101" s="181">
        <v>72</v>
      </c>
      <c r="L101" s="171">
        <v>69.760000000000005</v>
      </c>
      <c r="M101" s="184">
        <v>68.48</v>
      </c>
      <c r="N101" s="181">
        <v>72</v>
      </c>
      <c r="O101" s="171">
        <v>69.760000000000005</v>
      </c>
      <c r="P101" s="184">
        <v>68.48</v>
      </c>
      <c r="Q101" s="181">
        <v>72</v>
      </c>
      <c r="R101" s="171">
        <v>69.760000000000005</v>
      </c>
      <c r="S101" s="184">
        <v>68.48</v>
      </c>
      <c r="T101" s="181">
        <v>72</v>
      </c>
      <c r="U101" s="171">
        <v>69.760000000000005</v>
      </c>
      <c r="V101" s="184">
        <v>68.48</v>
      </c>
      <c r="W101" s="181">
        <v>72</v>
      </c>
      <c r="X101" s="171">
        <v>69.760000000000005</v>
      </c>
      <c r="Y101" s="184">
        <v>68.48</v>
      </c>
      <c r="Z101" s="181">
        <v>72</v>
      </c>
      <c r="AA101" s="171">
        <v>69.760000000000005</v>
      </c>
      <c r="AB101" s="184">
        <v>68.48</v>
      </c>
      <c r="AC101" s="181">
        <v>72</v>
      </c>
      <c r="AD101" s="171">
        <v>69.760000000000005</v>
      </c>
      <c r="AE101" s="184">
        <v>68.48</v>
      </c>
      <c r="AF101" s="204">
        <v>72</v>
      </c>
      <c r="AG101" s="171">
        <v>69.760000000000005</v>
      </c>
      <c r="AH101" s="184">
        <v>68.48</v>
      </c>
      <c r="AI101" s="182" t="s">
        <v>587</v>
      </c>
      <c r="AJ101" s="163" t="s">
        <v>1429</v>
      </c>
      <c r="AK101" s="65" t="s">
        <v>1388</v>
      </c>
      <c r="AL101" s="176">
        <v>32</v>
      </c>
      <c r="AM101" s="159"/>
      <c r="AN101" s="172">
        <v>72</v>
      </c>
      <c r="AO101" s="159"/>
      <c r="AP101" s="163" t="s">
        <v>55</v>
      </c>
      <c r="AQ101" s="109" t="s">
        <v>1407</v>
      </c>
      <c r="AR101" s="173"/>
      <c r="AS101" s="174" t="s">
        <v>1452</v>
      </c>
      <c r="AT101" s="175"/>
      <c r="AU101" s="65" t="s">
        <v>25</v>
      </c>
      <c r="AV101" s="163" t="s">
        <v>1388</v>
      </c>
      <c r="AW101" s="65">
        <v>1443</v>
      </c>
      <c r="AX101" s="196">
        <v>44693.448125000003</v>
      </c>
    </row>
    <row r="102" spans="1:50">
      <c r="A102" s="124" t="s">
        <v>46</v>
      </c>
      <c r="B102" s="109" t="s">
        <v>1320</v>
      </c>
      <c r="C102" s="214" t="s">
        <v>147</v>
      </c>
      <c r="D102" s="163" t="s">
        <v>2164</v>
      </c>
      <c r="E102" s="170">
        <v>720</v>
      </c>
      <c r="F102" s="171">
        <v>680</v>
      </c>
      <c r="G102" s="184">
        <v>680</v>
      </c>
      <c r="H102" s="181">
        <v>720</v>
      </c>
      <c r="I102" s="171">
        <v>680</v>
      </c>
      <c r="J102" s="184">
        <v>680</v>
      </c>
      <c r="K102" s="181">
        <v>720</v>
      </c>
      <c r="L102" s="171">
        <v>672</v>
      </c>
      <c r="M102" s="184">
        <v>680</v>
      </c>
      <c r="N102" s="181">
        <v>720</v>
      </c>
      <c r="O102" s="171">
        <v>0</v>
      </c>
      <c r="P102" s="184">
        <v>0</v>
      </c>
      <c r="Q102" s="181">
        <v>0</v>
      </c>
      <c r="R102" s="171">
        <v>0</v>
      </c>
      <c r="S102" s="184">
        <v>0</v>
      </c>
      <c r="T102" s="181">
        <v>0</v>
      </c>
      <c r="U102" s="171">
        <v>0</v>
      </c>
      <c r="V102" s="184">
        <v>0</v>
      </c>
      <c r="W102" s="181">
        <v>0</v>
      </c>
      <c r="X102" s="171">
        <v>0</v>
      </c>
      <c r="Y102" s="184">
        <v>0</v>
      </c>
      <c r="Z102" s="181">
        <v>0</v>
      </c>
      <c r="AA102" s="171">
        <v>0</v>
      </c>
      <c r="AB102" s="184">
        <v>0</v>
      </c>
      <c r="AC102" s="181">
        <v>0</v>
      </c>
      <c r="AD102" s="171">
        <v>0</v>
      </c>
      <c r="AE102" s="184">
        <v>0</v>
      </c>
      <c r="AF102" s="204">
        <v>0</v>
      </c>
      <c r="AG102" s="171">
        <v>0</v>
      </c>
      <c r="AH102" s="184">
        <v>0</v>
      </c>
      <c r="AI102" s="182" t="s">
        <v>148</v>
      </c>
      <c r="AJ102" s="163" t="s">
        <v>1596</v>
      </c>
      <c r="AK102" s="65" t="s">
        <v>1597</v>
      </c>
      <c r="AL102" s="176">
        <v>1</v>
      </c>
      <c r="AM102" s="159"/>
      <c r="AN102" s="172">
        <v>720</v>
      </c>
      <c r="AO102" s="159"/>
      <c r="AP102" s="163" t="s">
        <v>2166</v>
      </c>
      <c r="AQ102" s="109" t="s">
        <v>1403</v>
      </c>
      <c r="AR102" s="173"/>
      <c r="AS102" s="174" t="s">
        <v>1382</v>
      </c>
      <c r="AT102" s="175">
        <v>45888</v>
      </c>
      <c r="AU102" s="65" t="s">
        <v>24</v>
      </c>
      <c r="AV102" s="163" t="s">
        <v>12</v>
      </c>
      <c r="AW102" s="65">
        <v>1074</v>
      </c>
      <c r="AX102" s="196">
        <v>44665.672442129631</v>
      </c>
    </row>
    <row r="103" spans="1:50">
      <c r="A103" s="124" t="s">
        <v>46</v>
      </c>
      <c r="B103" s="109" t="s">
        <v>1320</v>
      </c>
      <c r="C103" s="214" t="s">
        <v>147</v>
      </c>
      <c r="D103" s="163" t="s">
        <v>2167</v>
      </c>
      <c r="E103" s="170">
        <v>720</v>
      </c>
      <c r="F103" s="171">
        <v>660</v>
      </c>
      <c r="G103" s="184">
        <v>680</v>
      </c>
      <c r="H103" s="181">
        <v>720</v>
      </c>
      <c r="I103" s="171">
        <v>680</v>
      </c>
      <c r="J103" s="184">
        <v>680</v>
      </c>
      <c r="K103" s="181">
        <v>720</v>
      </c>
      <c r="L103" s="171">
        <v>680</v>
      </c>
      <c r="M103" s="184">
        <v>680</v>
      </c>
      <c r="N103" s="181">
        <v>720</v>
      </c>
      <c r="O103" s="171">
        <v>0</v>
      </c>
      <c r="P103" s="184">
        <v>0</v>
      </c>
      <c r="Q103" s="181">
        <v>0</v>
      </c>
      <c r="R103" s="171">
        <v>0</v>
      </c>
      <c r="S103" s="184">
        <v>0</v>
      </c>
      <c r="T103" s="181">
        <v>0</v>
      </c>
      <c r="U103" s="171">
        <v>0</v>
      </c>
      <c r="V103" s="184">
        <v>0</v>
      </c>
      <c r="W103" s="181">
        <v>0</v>
      </c>
      <c r="X103" s="171">
        <v>0</v>
      </c>
      <c r="Y103" s="184">
        <v>0</v>
      </c>
      <c r="Z103" s="181">
        <v>0</v>
      </c>
      <c r="AA103" s="171">
        <v>0</v>
      </c>
      <c r="AB103" s="184">
        <v>0</v>
      </c>
      <c r="AC103" s="181">
        <v>0</v>
      </c>
      <c r="AD103" s="171">
        <v>0</v>
      </c>
      <c r="AE103" s="184">
        <v>0</v>
      </c>
      <c r="AF103" s="204">
        <v>0</v>
      </c>
      <c r="AG103" s="171">
        <v>0</v>
      </c>
      <c r="AH103" s="184">
        <v>0</v>
      </c>
      <c r="AI103" s="182" t="s">
        <v>148</v>
      </c>
      <c r="AJ103" s="163" t="s">
        <v>1596</v>
      </c>
      <c r="AK103" s="65" t="s">
        <v>1597</v>
      </c>
      <c r="AL103" s="176">
        <v>1</v>
      </c>
      <c r="AM103" s="159"/>
      <c r="AN103" s="172">
        <v>720</v>
      </c>
      <c r="AO103" s="159"/>
      <c r="AP103" s="163" t="s">
        <v>2166</v>
      </c>
      <c r="AQ103" s="109" t="s">
        <v>1403</v>
      </c>
      <c r="AR103" s="173"/>
      <c r="AS103" s="174" t="s">
        <v>1382</v>
      </c>
      <c r="AT103" s="175">
        <v>45888</v>
      </c>
      <c r="AU103" s="65" t="s">
        <v>24</v>
      </c>
      <c r="AV103" s="163" t="s">
        <v>12</v>
      </c>
      <c r="AW103" s="65">
        <v>1074</v>
      </c>
      <c r="AX103" s="196">
        <v>44665.672442129631</v>
      </c>
    </row>
    <row r="104" spans="1:50">
      <c r="A104" s="124" t="s">
        <v>46</v>
      </c>
      <c r="B104" s="109" t="s">
        <v>1320</v>
      </c>
      <c r="C104" s="214" t="s">
        <v>147</v>
      </c>
      <c r="D104" s="163" t="s">
        <v>2168</v>
      </c>
      <c r="E104" s="170">
        <v>700</v>
      </c>
      <c r="F104" s="171">
        <v>680</v>
      </c>
      <c r="G104" s="184">
        <v>680</v>
      </c>
      <c r="H104" s="181">
        <v>700</v>
      </c>
      <c r="I104" s="171">
        <v>660</v>
      </c>
      <c r="J104" s="184">
        <v>660</v>
      </c>
      <c r="K104" s="181">
        <v>680</v>
      </c>
      <c r="L104" s="171">
        <v>670</v>
      </c>
      <c r="M104" s="184">
        <v>670</v>
      </c>
      <c r="N104" s="181">
        <v>690</v>
      </c>
      <c r="O104" s="171">
        <v>0</v>
      </c>
      <c r="P104" s="184">
        <v>0</v>
      </c>
      <c r="Q104" s="181">
        <v>0</v>
      </c>
      <c r="R104" s="171">
        <v>0</v>
      </c>
      <c r="S104" s="184">
        <v>0</v>
      </c>
      <c r="T104" s="181">
        <v>0</v>
      </c>
      <c r="U104" s="171">
        <v>0</v>
      </c>
      <c r="V104" s="184">
        <v>0</v>
      </c>
      <c r="W104" s="181">
        <v>0</v>
      </c>
      <c r="X104" s="171">
        <v>0</v>
      </c>
      <c r="Y104" s="184">
        <v>0</v>
      </c>
      <c r="Z104" s="181">
        <v>0</v>
      </c>
      <c r="AA104" s="171">
        <v>0</v>
      </c>
      <c r="AB104" s="184">
        <v>0</v>
      </c>
      <c r="AC104" s="181">
        <v>0</v>
      </c>
      <c r="AD104" s="171">
        <v>0</v>
      </c>
      <c r="AE104" s="184">
        <v>0</v>
      </c>
      <c r="AF104" s="204"/>
      <c r="AG104" s="171"/>
      <c r="AH104" s="184"/>
      <c r="AI104" s="182" t="s">
        <v>148</v>
      </c>
      <c r="AJ104" s="163" t="s">
        <v>1596</v>
      </c>
      <c r="AK104" s="65" t="s">
        <v>1597</v>
      </c>
      <c r="AL104" s="176">
        <v>1</v>
      </c>
      <c r="AM104" s="159"/>
      <c r="AN104" s="172">
        <v>720</v>
      </c>
      <c r="AO104" s="159"/>
      <c r="AP104" s="163" t="s">
        <v>2166</v>
      </c>
      <c r="AQ104" s="109" t="s">
        <v>1403</v>
      </c>
      <c r="AR104" s="173"/>
      <c r="AS104" s="174" t="s">
        <v>1382</v>
      </c>
      <c r="AT104" s="175">
        <v>45888</v>
      </c>
      <c r="AU104" s="65" t="s">
        <v>24</v>
      </c>
      <c r="AV104" s="163" t="s">
        <v>12</v>
      </c>
      <c r="AW104" s="65">
        <v>1074</v>
      </c>
      <c r="AX104" s="196">
        <v>44665.672442129631</v>
      </c>
    </row>
    <row r="105" spans="1:50">
      <c r="A105" s="124" t="s">
        <v>46</v>
      </c>
      <c r="B105" s="109" t="s">
        <v>1320</v>
      </c>
      <c r="C105" s="214" t="s">
        <v>147</v>
      </c>
      <c r="D105" s="163" t="s">
        <v>2169</v>
      </c>
      <c r="E105" s="170">
        <v>680</v>
      </c>
      <c r="F105" s="171">
        <v>660</v>
      </c>
      <c r="G105" s="184">
        <v>660</v>
      </c>
      <c r="H105" s="181">
        <v>680</v>
      </c>
      <c r="I105" s="171">
        <v>660</v>
      </c>
      <c r="J105" s="184">
        <v>660</v>
      </c>
      <c r="K105" s="181">
        <v>680</v>
      </c>
      <c r="L105" s="171">
        <v>660</v>
      </c>
      <c r="M105" s="184">
        <v>660</v>
      </c>
      <c r="N105" s="181">
        <v>680</v>
      </c>
      <c r="O105" s="171">
        <v>0</v>
      </c>
      <c r="P105" s="184">
        <v>0</v>
      </c>
      <c r="Q105" s="181">
        <v>0</v>
      </c>
      <c r="R105" s="171">
        <v>0</v>
      </c>
      <c r="S105" s="184">
        <v>0</v>
      </c>
      <c r="T105" s="181">
        <v>0</v>
      </c>
      <c r="U105" s="171">
        <v>0</v>
      </c>
      <c r="V105" s="184">
        <v>0</v>
      </c>
      <c r="W105" s="181">
        <v>0</v>
      </c>
      <c r="X105" s="171">
        <v>0</v>
      </c>
      <c r="Y105" s="184">
        <v>0</v>
      </c>
      <c r="Z105" s="181">
        <v>0</v>
      </c>
      <c r="AA105" s="171">
        <v>0</v>
      </c>
      <c r="AB105" s="184">
        <v>0</v>
      </c>
      <c r="AC105" s="181">
        <v>0</v>
      </c>
      <c r="AD105" s="171">
        <v>0</v>
      </c>
      <c r="AE105" s="184">
        <v>0</v>
      </c>
      <c r="AF105" s="204">
        <v>0</v>
      </c>
      <c r="AG105" s="171">
        <v>0</v>
      </c>
      <c r="AH105" s="184">
        <v>0</v>
      </c>
      <c r="AI105" s="182" t="s">
        <v>148</v>
      </c>
      <c r="AJ105" s="163" t="s">
        <v>1596</v>
      </c>
      <c r="AK105" s="65" t="s">
        <v>1597</v>
      </c>
      <c r="AL105" s="176">
        <v>1</v>
      </c>
      <c r="AM105" s="159"/>
      <c r="AN105" s="172">
        <v>720</v>
      </c>
      <c r="AO105" s="159"/>
      <c r="AP105" s="163" t="s">
        <v>2166</v>
      </c>
      <c r="AQ105" s="109" t="s">
        <v>1403</v>
      </c>
      <c r="AR105" s="173"/>
      <c r="AS105" s="174" t="s">
        <v>1382</v>
      </c>
      <c r="AT105" s="175">
        <v>45888</v>
      </c>
      <c r="AU105" s="65" t="s">
        <v>24</v>
      </c>
      <c r="AV105" s="163" t="s">
        <v>12</v>
      </c>
      <c r="AW105" s="65">
        <v>1074</v>
      </c>
      <c r="AX105" s="196">
        <v>44665.672442129631</v>
      </c>
    </row>
    <row r="106" spans="1:50">
      <c r="A106" s="124" t="s">
        <v>46</v>
      </c>
      <c r="B106" s="109" t="s">
        <v>1320</v>
      </c>
      <c r="C106" s="214" t="s">
        <v>471</v>
      </c>
      <c r="D106" s="163" t="s">
        <v>473</v>
      </c>
      <c r="E106" s="170">
        <v>132.66</v>
      </c>
      <c r="F106" s="171">
        <v>129.98699999999999</v>
      </c>
      <c r="G106" s="184">
        <v>116.721</v>
      </c>
      <c r="H106" s="181">
        <v>132.66</v>
      </c>
      <c r="I106" s="171">
        <v>129.98699999999999</v>
      </c>
      <c r="J106" s="184">
        <v>116.721</v>
      </c>
      <c r="K106" s="181">
        <v>132.66</v>
      </c>
      <c r="L106" s="171">
        <v>129.98699999999999</v>
      </c>
      <c r="M106" s="184">
        <v>116.721</v>
      </c>
      <c r="N106" s="181">
        <v>132.66</v>
      </c>
      <c r="O106" s="171">
        <v>129.98699999999999</v>
      </c>
      <c r="P106" s="184">
        <v>116.721</v>
      </c>
      <c r="Q106" s="181">
        <v>132.66</v>
      </c>
      <c r="R106" s="171">
        <v>129.98699999999999</v>
      </c>
      <c r="S106" s="184">
        <v>116.721</v>
      </c>
      <c r="T106" s="181">
        <v>132.66</v>
      </c>
      <c r="U106" s="171">
        <v>129.98699999999999</v>
      </c>
      <c r="V106" s="184">
        <v>116.721</v>
      </c>
      <c r="W106" s="181">
        <v>132.66</v>
      </c>
      <c r="X106" s="171">
        <v>129.98699999999999</v>
      </c>
      <c r="Y106" s="184">
        <v>116.721</v>
      </c>
      <c r="Z106" s="181">
        <v>132.66</v>
      </c>
      <c r="AA106" s="171">
        <v>129.98699999999999</v>
      </c>
      <c r="AB106" s="184">
        <v>116.721</v>
      </c>
      <c r="AC106" s="181">
        <v>132.66</v>
      </c>
      <c r="AD106" s="171">
        <v>129.98699999999999</v>
      </c>
      <c r="AE106" s="184">
        <v>116.721</v>
      </c>
      <c r="AF106" s="204">
        <v>132.66</v>
      </c>
      <c r="AG106" s="171">
        <v>129.98699999999999</v>
      </c>
      <c r="AH106" s="184">
        <v>116.721</v>
      </c>
      <c r="AI106" s="182" t="s">
        <v>472</v>
      </c>
      <c r="AJ106" s="163" t="s">
        <v>1429</v>
      </c>
      <c r="AK106" s="65" t="s">
        <v>1388</v>
      </c>
      <c r="AL106" s="176">
        <v>99</v>
      </c>
      <c r="AM106" s="159"/>
      <c r="AN106" s="172">
        <v>162.35999999999999</v>
      </c>
      <c r="AO106" s="159">
        <v>0</v>
      </c>
      <c r="AP106" s="163" t="s">
        <v>55</v>
      </c>
      <c r="AQ106" s="109" t="s">
        <v>1407</v>
      </c>
      <c r="AR106" s="173"/>
      <c r="AS106" s="174" t="s">
        <v>1547</v>
      </c>
      <c r="AT106" s="175"/>
      <c r="AU106" s="65" t="s">
        <v>25</v>
      </c>
      <c r="AV106" s="163" t="s">
        <v>1388</v>
      </c>
      <c r="AW106" s="65">
        <v>1680</v>
      </c>
      <c r="AX106" s="196">
        <v>44700.334687499999</v>
      </c>
    </row>
    <row r="107" spans="1:50">
      <c r="A107" s="124" t="s">
        <v>95</v>
      </c>
      <c r="B107" s="109" t="s">
        <v>1320</v>
      </c>
      <c r="C107" s="214" t="s">
        <v>2186</v>
      </c>
      <c r="D107" s="163" t="s">
        <v>2187</v>
      </c>
      <c r="E107" s="170">
        <v>46</v>
      </c>
      <c r="F107" s="171">
        <v>46</v>
      </c>
      <c r="G107" s="184">
        <v>46</v>
      </c>
      <c r="H107" s="181">
        <v>46</v>
      </c>
      <c r="I107" s="171">
        <v>46</v>
      </c>
      <c r="J107" s="184">
        <v>46</v>
      </c>
      <c r="K107" s="181">
        <v>46</v>
      </c>
      <c r="L107" s="171">
        <v>0</v>
      </c>
      <c r="M107" s="184">
        <v>0</v>
      </c>
      <c r="N107" s="181">
        <v>46</v>
      </c>
      <c r="O107" s="171">
        <v>46</v>
      </c>
      <c r="P107" s="184">
        <v>46</v>
      </c>
      <c r="Q107" s="181">
        <v>46</v>
      </c>
      <c r="R107" s="171">
        <v>46</v>
      </c>
      <c r="S107" s="184">
        <v>46</v>
      </c>
      <c r="T107" s="181">
        <v>46</v>
      </c>
      <c r="U107" s="171">
        <v>46</v>
      </c>
      <c r="V107" s="184">
        <v>46</v>
      </c>
      <c r="W107" s="181">
        <v>46</v>
      </c>
      <c r="X107" s="171">
        <v>0</v>
      </c>
      <c r="Y107" s="184">
        <v>0</v>
      </c>
      <c r="Z107" s="181">
        <v>46</v>
      </c>
      <c r="AA107" s="171">
        <v>46</v>
      </c>
      <c r="AB107" s="184">
        <v>46</v>
      </c>
      <c r="AC107" s="181">
        <v>46</v>
      </c>
      <c r="AD107" s="171">
        <v>46</v>
      </c>
      <c r="AE107" s="184">
        <v>46</v>
      </c>
      <c r="AF107" s="204">
        <v>46</v>
      </c>
      <c r="AG107" s="171">
        <v>46</v>
      </c>
      <c r="AH107" s="184">
        <v>46</v>
      </c>
      <c r="AI107" s="182" t="s">
        <v>1585</v>
      </c>
      <c r="AJ107" s="163" t="s">
        <v>1539</v>
      </c>
      <c r="AK107" s="65" t="s">
        <v>18</v>
      </c>
      <c r="AL107" s="176">
        <v>1</v>
      </c>
      <c r="AM107" s="159"/>
      <c r="AN107" s="172">
        <v>43.2</v>
      </c>
      <c r="AO107" s="159"/>
      <c r="AP107" s="163" t="s">
        <v>55</v>
      </c>
      <c r="AQ107" s="109" t="s">
        <v>1403</v>
      </c>
      <c r="AR107" s="173"/>
      <c r="AS107" s="174" t="s">
        <v>1588</v>
      </c>
      <c r="AT107" s="175"/>
      <c r="AU107" s="65" t="s">
        <v>25</v>
      </c>
      <c r="AV107" s="163" t="s">
        <v>18</v>
      </c>
      <c r="AW107" s="65">
        <v>1076</v>
      </c>
      <c r="AX107" s="196">
        <v>44670.589108796295</v>
      </c>
    </row>
    <row r="108" spans="1:50">
      <c r="A108" s="124" t="s">
        <v>62</v>
      </c>
      <c r="B108" s="109" t="s">
        <v>1320</v>
      </c>
      <c r="C108" s="214" t="s">
        <v>458</v>
      </c>
      <c r="D108" s="163" t="s">
        <v>2215</v>
      </c>
      <c r="E108" s="170">
        <v>119.88000000000001</v>
      </c>
      <c r="F108" s="171">
        <v>119.88000000000001</v>
      </c>
      <c r="G108" s="184">
        <v>119.88000000000001</v>
      </c>
      <c r="H108" s="181">
        <v>119.88000000000001</v>
      </c>
      <c r="I108" s="171">
        <v>119.88000000000001</v>
      </c>
      <c r="J108" s="184">
        <v>119.88000000000001</v>
      </c>
      <c r="K108" s="181">
        <v>119.88000000000001</v>
      </c>
      <c r="L108" s="171">
        <v>119.88000000000001</v>
      </c>
      <c r="M108" s="184">
        <v>119.88000000000001</v>
      </c>
      <c r="N108" s="181">
        <v>119.88000000000001</v>
      </c>
      <c r="O108" s="171">
        <v>119.88000000000001</v>
      </c>
      <c r="P108" s="184">
        <v>119.88000000000001</v>
      </c>
      <c r="Q108" s="181">
        <v>119.88000000000001</v>
      </c>
      <c r="R108" s="171">
        <v>119.88000000000001</v>
      </c>
      <c r="S108" s="184">
        <v>119.88000000000001</v>
      </c>
      <c r="T108" s="181">
        <v>119.88000000000001</v>
      </c>
      <c r="U108" s="171">
        <v>119.88000000000001</v>
      </c>
      <c r="V108" s="184">
        <v>119.88000000000001</v>
      </c>
      <c r="W108" s="181">
        <v>119.88000000000001</v>
      </c>
      <c r="X108" s="171">
        <v>119.88000000000001</v>
      </c>
      <c r="Y108" s="184">
        <v>119.88000000000001</v>
      </c>
      <c r="Z108" s="181">
        <v>119.88000000000001</v>
      </c>
      <c r="AA108" s="171">
        <v>119.88000000000001</v>
      </c>
      <c r="AB108" s="184">
        <v>119.88000000000001</v>
      </c>
      <c r="AC108" s="181">
        <v>119.88000000000001</v>
      </c>
      <c r="AD108" s="171">
        <v>119.88000000000001</v>
      </c>
      <c r="AE108" s="184">
        <v>119.88000000000001</v>
      </c>
      <c r="AF108" s="204">
        <v>119.88000000000001</v>
      </c>
      <c r="AG108" s="171">
        <v>119.88000000000001</v>
      </c>
      <c r="AH108" s="184">
        <v>119.88000000000001</v>
      </c>
      <c r="AI108" s="182" t="s">
        <v>459</v>
      </c>
      <c r="AJ108" s="163" t="s">
        <v>1429</v>
      </c>
      <c r="AK108" s="65" t="s">
        <v>1388</v>
      </c>
      <c r="AL108" s="176">
        <v>54</v>
      </c>
      <c r="AM108" s="159"/>
      <c r="AN108" s="172">
        <v>162</v>
      </c>
      <c r="AO108" s="159"/>
      <c r="AP108" s="163" t="s">
        <v>131</v>
      </c>
      <c r="AQ108" s="109" t="s">
        <v>1407</v>
      </c>
      <c r="AR108" s="173" t="s">
        <v>1843</v>
      </c>
      <c r="AS108" s="174" t="s">
        <v>1744</v>
      </c>
      <c r="AT108" s="175"/>
      <c r="AU108" s="65" t="s">
        <v>25</v>
      </c>
      <c r="AV108" s="163" t="s">
        <v>1388</v>
      </c>
      <c r="AW108" s="65">
        <v>1538</v>
      </c>
      <c r="AX108" s="196">
        <v>44743.647453703707</v>
      </c>
    </row>
    <row r="109" spans="1:50">
      <c r="A109" s="124" t="s">
        <v>100</v>
      </c>
      <c r="B109" s="109" t="s">
        <v>1320</v>
      </c>
      <c r="C109" s="214" t="s">
        <v>708</v>
      </c>
      <c r="D109" s="163" t="s">
        <v>2218</v>
      </c>
      <c r="E109" s="170">
        <v>25.33</v>
      </c>
      <c r="F109" s="171">
        <v>25.33</v>
      </c>
      <c r="G109" s="184">
        <v>25.33</v>
      </c>
      <c r="H109" s="181">
        <v>25.33</v>
      </c>
      <c r="I109" s="171">
        <v>25.33</v>
      </c>
      <c r="J109" s="184">
        <v>25.33</v>
      </c>
      <c r="K109" s="181">
        <v>25.33</v>
      </c>
      <c r="L109" s="171">
        <v>25.33</v>
      </c>
      <c r="M109" s="184">
        <v>25.33</v>
      </c>
      <c r="N109" s="181">
        <v>25.33</v>
      </c>
      <c r="O109" s="171">
        <v>25.33</v>
      </c>
      <c r="P109" s="184">
        <v>25.33</v>
      </c>
      <c r="Q109" s="181">
        <v>25.33</v>
      </c>
      <c r="R109" s="171">
        <v>25.33</v>
      </c>
      <c r="S109" s="184">
        <v>25.33</v>
      </c>
      <c r="T109" s="181">
        <v>25.33</v>
      </c>
      <c r="U109" s="171">
        <v>25.33</v>
      </c>
      <c r="V109" s="184">
        <v>25.33</v>
      </c>
      <c r="W109" s="181">
        <v>25.33</v>
      </c>
      <c r="X109" s="171">
        <v>25.33</v>
      </c>
      <c r="Y109" s="184">
        <v>25.33</v>
      </c>
      <c r="Z109" s="181">
        <v>25.33</v>
      </c>
      <c r="AA109" s="171">
        <v>25.33</v>
      </c>
      <c r="AB109" s="184">
        <v>25.33</v>
      </c>
      <c r="AC109" s="181">
        <v>25.33</v>
      </c>
      <c r="AD109" s="171">
        <v>25.33</v>
      </c>
      <c r="AE109" s="184">
        <v>25.33</v>
      </c>
      <c r="AF109" s="204">
        <v>25.33</v>
      </c>
      <c r="AG109" s="171">
        <v>25.33</v>
      </c>
      <c r="AH109" s="184">
        <v>25.33</v>
      </c>
      <c r="AI109" s="182" t="s">
        <v>2217</v>
      </c>
      <c r="AJ109" s="163" t="s">
        <v>1391</v>
      </c>
      <c r="AK109" s="65" t="s">
        <v>21</v>
      </c>
      <c r="AL109" s="176">
        <v>1</v>
      </c>
      <c r="AM109" s="159"/>
      <c r="AN109" s="172">
        <v>25.33</v>
      </c>
      <c r="AO109" s="159">
        <v>50</v>
      </c>
      <c r="AP109" s="163" t="s">
        <v>55</v>
      </c>
      <c r="AQ109" s="109" t="s">
        <v>1403</v>
      </c>
      <c r="AR109" s="178"/>
      <c r="AS109" s="174" t="s">
        <v>1521</v>
      </c>
      <c r="AT109" s="175"/>
      <c r="AU109" s="65" t="s">
        <v>25</v>
      </c>
      <c r="AV109" s="163" t="s">
        <v>20</v>
      </c>
      <c r="AW109" s="65">
        <v>1470</v>
      </c>
      <c r="AX109" s="196">
        <v>44746.565474537034</v>
      </c>
    </row>
    <row r="110" spans="1:50">
      <c r="A110" s="124" t="s">
        <v>100</v>
      </c>
      <c r="B110" s="109" t="s">
        <v>1320</v>
      </c>
      <c r="C110" s="214" t="s">
        <v>710</v>
      </c>
      <c r="D110" s="163" t="s">
        <v>2221</v>
      </c>
      <c r="E110" s="170">
        <v>50.006</v>
      </c>
      <c r="F110" s="171">
        <v>49.016000000000005</v>
      </c>
      <c r="G110" s="184">
        <v>47.761999999999993</v>
      </c>
      <c r="H110" s="181">
        <v>50.006</v>
      </c>
      <c r="I110" s="171">
        <v>49.016000000000005</v>
      </c>
      <c r="J110" s="184">
        <v>47.761999999999993</v>
      </c>
      <c r="K110" s="181">
        <v>50.006</v>
      </c>
      <c r="L110" s="171">
        <v>49.016000000000005</v>
      </c>
      <c r="M110" s="184">
        <v>47.761999999999993</v>
      </c>
      <c r="N110" s="181">
        <v>50.006</v>
      </c>
      <c r="O110" s="171">
        <v>49.016000000000005</v>
      </c>
      <c r="P110" s="184">
        <v>47.761999999999993</v>
      </c>
      <c r="Q110" s="181">
        <v>50.006</v>
      </c>
      <c r="R110" s="171">
        <v>49.016000000000005</v>
      </c>
      <c r="S110" s="184">
        <v>47.761999999999993</v>
      </c>
      <c r="T110" s="181">
        <v>50.006</v>
      </c>
      <c r="U110" s="171">
        <v>49.016000000000005</v>
      </c>
      <c r="V110" s="184">
        <v>47.761999999999993</v>
      </c>
      <c r="W110" s="181">
        <v>50.006</v>
      </c>
      <c r="X110" s="171">
        <v>49.016000000000005</v>
      </c>
      <c r="Y110" s="184">
        <v>47.761999999999993</v>
      </c>
      <c r="Z110" s="181">
        <v>50.006</v>
      </c>
      <c r="AA110" s="171">
        <v>49.016000000000005</v>
      </c>
      <c r="AB110" s="184">
        <v>47.761999999999993</v>
      </c>
      <c r="AC110" s="181">
        <v>50.006</v>
      </c>
      <c r="AD110" s="171">
        <v>49.016000000000005</v>
      </c>
      <c r="AE110" s="184">
        <v>47.761999999999993</v>
      </c>
      <c r="AF110" s="204">
        <v>50.006</v>
      </c>
      <c r="AG110" s="171">
        <v>49.016000000000005</v>
      </c>
      <c r="AH110" s="184">
        <v>47.761999999999993</v>
      </c>
      <c r="AI110" s="182" t="s">
        <v>2220</v>
      </c>
      <c r="AJ110" s="163" t="s">
        <v>1429</v>
      </c>
      <c r="AK110" s="65" t="s">
        <v>1388</v>
      </c>
      <c r="AL110" s="176">
        <v>22</v>
      </c>
      <c r="AM110" s="159"/>
      <c r="AN110" s="172">
        <v>55</v>
      </c>
      <c r="AO110" s="159"/>
      <c r="AP110" s="163" t="s">
        <v>55</v>
      </c>
      <c r="AQ110" s="109" t="s">
        <v>1407</v>
      </c>
      <c r="AR110" s="173"/>
      <c r="AS110" s="174" t="s">
        <v>1452</v>
      </c>
      <c r="AT110" s="175"/>
      <c r="AU110" s="65" t="s">
        <v>25</v>
      </c>
      <c r="AV110" s="163" t="s">
        <v>1388</v>
      </c>
      <c r="AW110" s="65">
        <v>1396</v>
      </c>
      <c r="AX110" s="196">
        <v>44671.436006944445</v>
      </c>
    </row>
    <row r="111" spans="1:50">
      <c r="A111" s="124" t="s">
        <v>62</v>
      </c>
      <c r="B111" s="109" t="s">
        <v>1320</v>
      </c>
      <c r="C111" s="214" t="s">
        <v>2238</v>
      </c>
      <c r="D111" s="163" t="s">
        <v>2240</v>
      </c>
      <c r="E111" s="170">
        <v>280</v>
      </c>
      <c r="F111" s="171">
        <v>280</v>
      </c>
      <c r="G111" s="184">
        <v>280</v>
      </c>
      <c r="H111" s="204">
        <v>280</v>
      </c>
      <c r="I111" s="171">
        <v>280</v>
      </c>
      <c r="J111" s="184">
        <v>280</v>
      </c>
      <c r="K111" s="204">
        <v>280</v>
      </c>
      <c r="L111" s="171">
        <v>280</v>
      </c>
      <c r="M111" s="184">
        <v>280</v>
      </c>
      <c r="N111" s="204">
        <v>280</v>
      </c>
      <c r="O111" s="171">
        <v>280</v>
      </c>
      <c r="P111" s="184">
        <v>280</v>
      </c>
      <c r="Q111" s="204">
        <v>280</v>
      </c>
      <c r="R111" s="171">
        <v>280</v>
      </c>
      <c r="S111" s="184">
        <v>280</v>
      </c>
      <c r="T111" s="204">
        <v>280</v>
      </c>
      <c r="U111" s="171">
        <v>280</v>
      </c>
      <c r="V111" s="184">
        <v>280</v>
      </c>
      <c r="W111" s="204">
        <v>280</v>
      </c>
      <c r="X111" s="171">
        <v>280</v>
      </c>
      <c r="Y111" s="184">
        <v>280</v>
      </c>
      <c r="Z111" s="204">
        <v>280</v>
      </c>
      <c r="AA111" s="171">
        <v>280</v>
      </c>
      <c r="AB111" s="184">
        <v>280</v>
      </c>
      <c r="AC111" s="204">
        <v>280</v>
      </c>
      <c r="AD111" s="171">
        <v>280</v>
      </c>
      <c r="AE111" s="184">
        <v>280</v>
      </c>
      <c r="AF111" s="204">
        <v>280</v>
      </c>
      <c r="AG111" s="171">
        <v>280</v>
      </c>
      <c r="AH111" s="184">
        <v>280</v>
      </c>
      <c r="AI111" s="182" t="s">
        <v>2239</v>
      </c>
      <c r="AJ111" s="163" t="s">
        <v>1596</v>
      </c>
      <c r="AK111" s="65" t="s">
        <v>1597</v>
      </c>
      <c r="AL111" s="176">
        <v>1</v>
      </c>
      <c r="AM111" s="159"/>
      <c r="AN111" s="172">
        <v>280</v>
      </c>
      <c r="AO111" s="159"/>
      <c r="AP111" s="163" t="s">
        <v>55</v>
      </c>
      <c r="AQ111" s="109" t="s">
        <v>1403</v>
      </c>
      <c r="AR111" s="173"/>
      <c r="AS111" s="174" t="s">
        <v>1837</v>
      </c>
      <c r="AT111" s="175"/>
      <c r="AU111" s="65" t="s">
        <v>25</v>
      </c>
      <c r="AV111" s="163" t="s">
        <v>12</v>
      </c>
      <c r="AW111" s="65">
        <v>1077</v>
      </c>
      <c r="AX111" s="196">
        <v>44732.466435185182</v>
      </c>
    </row>
    <row r="112" spans="1:50">
      <c r="A112" s="124" t="s">
        <v>62</v>
      </c>
      <c r="B112" s="109" t="s">
        <v>1320</v>
      </c>
      <c r="C112" s="214" t="s">
        <v>2238</v>
      </c>
      <c r="D112" s="163" t="s">
        <v>2241</v>
      </c>
      <c r="E112" s="170">
        <v>280</v>
      </c>
      <c r="F112" s="171">
        <v>280</v>
      </c>
      <c r="G112" s="184">
        <v>280</v>
      </c>
      <c r="H112" s="204">
        <v>280</v>
      </c>
      <c r="I112" s="171">
        <v>280</v>
      </c>
      <c r="J112" s="184">
        <v>280</v>
      </c>
      <c r="K112" s="204">
        <v>280</v>
      </c>
      <c r="L112" s="171">
        <v>280</v>
      </c>
      <c r="M112" s="184">
        <v>280</v>
      </c>
      <c r="N112" s="204">
        <v>280</v>
      </c>
      <c r="O112" s="171">
        <v>280</v>
      </c>
      <c r="P112" s="184">
        <v>280</v>
      </c>
      <c r="Q112" s="204">
        <v>280</v>
      </c>
      <c r="R112" s="171">
        <v>280</v>
      </c>
      <c r="S112" s="184">
        <v>280</v>
      </c>
      <c r="T112" s="204">
        <v>280</v>
      </c>
      <c r="U112" s="171">
        <v>280</v>
      </c>
      <c r="V112" s="184">
        <v>280</v>
      </c>
      <c r="W112" s="204">
        <v>280</v>
      </c>
      <c r="X112" s="171">
        <v>280</v>
      </c>
      <c r="Y112" s="184">
        <v>280</v>
      </c>
      <c r="Z112" s="204">
        <v>280</v>
      </c>
      <c r="AA112" s="171">
        <v>280</v>
      </c>
      <c r="AB112" s="184">
        <v>280</v>
      </c>
      <c r="AC112" s="204">
        <v>280</v>
      </c>
      <c r="AD112" s="171">
        <v>280</v>
      </c>
      <c r="AE112" s="184">
        <v>280</v>
      </c>
      <c r="AF112" s="204">
        <v>280</v>
      </c>
      <c r="AG112" s="171">
        <v>280</v>
      </c>
      <c r="AH112" s="184">
        <v>280</v>
      </c>
      <c r="AI112" s="182" t="s">
        <v>2239</v>
      </c>
      <c r="AJ112" s="163" t="s">
        <v>1596</v>
      </c>
      <c r="AK112" s="65" t="s">
        <v>1597</v>
      </c>
      <c r="AL112" s="176">
        <v>1</v>
      </c>
      <c r="AM112" s="159"/>
      <c r="AN112" s="172">
        <v>280</v>
      </c>
      <c r="AO112" s="159"/>
      <c r="AP112" s="163" t="s">
        <v>55</v>
      </c>
      <c r="AQ112" s="109" t="s">
        <v>1403</v>
      </c>
      <c r="AR112" s="178"/>
      <c r="AS112" s="174" t="s">
        <v>1837</v>
      </c>
      <c r="AT112" s="175"/>
      <c r="AU112" s="65" t="s">
        <v>25</v>
      </c>
      <c r="AV112" s="163" t="s">
        <v>12</v>
      </c>
      <c r="AW112" s="65">
        <v>1077</v>
      </c>
      <c r="AX112" s="196">
        <v>44732.466435185182</v>
      </c>
    </row>
    <row r="113" spans="1:50">
      <c r="A113" s="124" t="s">
        <v>62</v>
      </c>
      <c r="B113" s="109" t="s">
        <v>1320</v>
      </c>
      <c r="C113" s="214" t="s">
        <v>2238</v>
      </c>
      <c r="D113" s="163" t="s">
        <v>2242</v>
      </c>
      <c r="E113" s="170">
        <v>280</v>
      </c>
      <c r="F113" s="171">
        <v>280</v>
      </c>
      <c r="G113" s="184">
        <v>280</v>
      </c>
      <c r="H113" s="204">
        <v>280</v>
      </c>
      <c r="I113" s="171">
        <v>280</v>
      </c>
      <c r="J113" s="184">
        <v>280</v>
      </c>
      <c r="K113" s="204">
        <v>280</v>
      </c>
      <c r="L113" s="171">
        <v>280</v>
      </c>
      <c r="M113" s="184">
        <v>280</v>
      </c>
      <c r="N113" s="204">
        <v>280</v>
      </c>
      <c r="O113" s="171">
        <v>280</v>
      </c>
      <c r="P113" s="184">
        <v>280</v>
      </c>
      <c r="Q113" s="204">
        <v>280</v>
      </c>
      <c r="R113" s="171">
        <v>280</v>
      </c>
      <c r="S113" s="184">
        <v>280</v>
      </c>
      <c r="T113" s="204">
        <v>280</v>
      </c>
      <c r="U113" s="171">
        <v>280</v>
      </c>
      <c r="V113" s="184">
        <v>280</v>
      </c>
      <c r="W113" s="204">
        <v>280</v>
      </c>
      <c r="X113" s="171">
        <v>280</v>
      </c>
      <c r="Y113" s="184">
        <v>280</v>
      </c>
      <c r="Z113" s="204">
        <v>280</v>
      </c>
      <c r="AA113" s="171">
        <v>280</v>
      </c>
      <c r="AB113" s="184">
        <v>280</v>
      </c>
      <c r="AC113" s="204">
        <v>280</v>
      </c>
      <c r="AD113" s="171">
        <v>280</v>
      </c>
      <c r="AE113" s="184">
        <v>280</v>
      </c>
      <c r="AF113" s="204">
        <v>280</v>
      </c>
      <c r="AG113" s="171">
        <v>280</v>
      </c>
      <c r="AH113" s="184">
        <v>280</v>
      </c>
      <c r="AI113" s="182" t="s">
        <v>2239</v>
      </c>
      <c r="AJ113" s="163" t="s">
        <v>1596</v>
      </c>
      <c r="AK113" s="65" t="s">
        <v>1597</v>
      </c>
      <c r="AL113" s="176">
        <v>1</v>
      </c>
      <c r="AM113" s="159"/>
      <c r="AN113" s="172">
        <v>280</v>
      </c>
      <c r="AO113" s="159"/>
      <c r="AP113" s="163" t="s">
        <v>55</v>
      </c>
      <c r="AQ113" s="109" t="s">
        <v>1403</v>
      </c>
      <c r="AR113" s="173"/>
      <c r="AS113" s="174" t="s">
        <v>1837</v>
      </c>
      <c r="AT113" s="175"/>
      <c r="AU113" s="65" t="s">
        <v>25</v>
      </c>
      <c r="AV113" s="163" t="s">
        <v>12</v>
      </c>
      <c r="AW113" s="65">
        <v>1077</v>
      </c>
      <c r="AX113" s="196">
        <v>44732.466435185182</v>
      </c>
    </row>
    <row r="114" spans="1:50">
      <c r="A114" s="124" t="s">
        <v>62</v>
      </c>
      <c r="B114" s="109" t="s">
        <v>1320</v>
      </c>
      <c r="C114" s="214" t="s">
        <v>2238</v>
      </c>
      <c r="D114" s="163" t="s">
        <v>2243</v>
      </c>
      <c r="E114" s="170">
        <v>280</v>
      </c>
      <c r="F114" s="171">
        <v>280</v>
      </c>
      <c r="G114" s="184">
        <v>280</v>
      </c>
      <c r="H114" s="204">
        <v>280</v>
      </c>
      <c r="I114" s="171">
        <v>280</v>
      </c>
      <c r="J114" s="184">
        <v>280</v>
      </c>
      <c r="K114" s="204">
        <v>280</v>
      </c>
      <c r="L114" s="171">
        <v>280</v>
      </c>
      <c r="M114" s="184">
        <v>280</v>
      </c>
      <c r="N114" s="204">
        <v>280</v>
      </c>
      <c r="O114" s="171">
        <v>280</v>
      </c>
      <c r="P114" s="184">
        <v>280</v>
      </c>
      <c r="Q114" s="204">
        <v>280</v>
      </c>
      <c r="R114" s="171">
        <v>280</v>
      </c>
      <c r="S114" s="184">
        <v>280</v>
      </c>
      <c r="T114" s="204">
        <v>280</v>
      </c>
      <c r="U114" s="171">
        <v>280</v>
      </c>
      <c r="V114" s="184">
        <v>280</v>
      </c>
      <c r="W114" s="204">
        <v>280</v>
      </c>
      <c r="X114" s="171">
        <v>280</v>
      </c>
      <c r="Y114" s="184">
        <v>280</v>
      </c>
      <c r="Z114" s="204">
        <v>280</v>
      </c>
      <c r="AA114" s="171">
        <v>280</v>
      </c>
      <c r="AB114" s="184">
        <v>280</v>
      </c>
      <c r="AC114" s="204">
        <v>280</v>
      </c>
      <c r="AD114" s="171">
        <v>280</v>
      </c>
      <c r="AE114" s="184">
        <v>280</v>
      </c>
      <c r="AF114" s="204">
        <v>280</v>
      </c>
      <c r="AG114" s="171">
        <v>280</v>
      </c>
      <c r="AH114" s="184">
        <v>280</v>
      </c>
      <c r="AI114" s="182" t="s">
        <v>2239</v>
      </c>
      <c r="AJ114" s="163" t="s">
        <v>1596</v>
      </c>
      <c r="AK114" s="65" t="s">
        <v>1597</v>
      </c>
      <c r="AL114" s="176">
        <v>1</v>
      </c>
      <c r="AM114" s="159"/>
      <c r="AN114" s="172">
        <v>280</v>
      </c>
      <c r="AO114" s="159"/>
      <c r="AP114" s="163" t="s">
        <v>55</v>
      </c>
      <c r="AQ114" s="109" t="s">
        <v>1403</v>
      </c>
      <c r="AR114" s="173"/>
      <c r="AS114" s="174" t="s">
        <v>1837</v>
      </c>
      <c r="AT114" s="175"/>
      <c r="AU114" s="65" t="s">
        <v>25</v>
      </c>
      <c r="AV114" s="163" t="s">
        <v>12</v>
      </c>
      <c r="AW114" s="65">
        <v>1077</v>
      </c>
      <c r="AX114" s="196">
        <v>44732.466435185182</v>
      </c>
    </row>
    <row r="115" spans="1:50">
      <c r="A115" s="124" t="s">
        <v>62</v>
      </c>
      <c r="B115" s="109" t="s">
        <v>1320</v>
      </c>
      <c r="C115" s="214" t="s">
        <v>2238</v>
      </c>
      <c r="D115" s="163" t="s">
        <v>2244</v>
      </c>
      <c r="E115" s="170">
        <v>280</v>
      </c>
      <c r="F115" s="171">
        <v>280</v>
      </c>
      <c r="G115" s="184">
        <v>280</v>
      </c>
      <c r="H115" s="181">
        <v>280</v>
      </c>
      <c r="I115" s="171">
        <v>280</v>
      </c>
      <c r="J115" s="184">
        <v>280</v>
      </c>
      <c r="K115" s="181">
        <v>280</v>
      </c>
      <c r="L115" s="171">
        <v>280</v>
      </c>
      <c r="M115" s="184">
        <v>280</v>
      </c>
      <c r="N115" s="181">
        <v>280</v>
      </c>
      <c r="O115" s="171">
        <v>280</v>
      </c>
      <c r="P115" s="184">
        <v>280</v>
      </c>
      <c r="Q115" s="181">
        <v>280</v>
      </c>
      <c r="R115" s="171">
        <v>280</v>
      </c>
      <c r="S115" s="184">
        <v>280</v>
      </c>
      <c r="T115" s="181">
        <v>280</v>
      </c>
      <c r="U115" s="171">
        <v>280</v>
      </c>
      <c r="V115" s="184">
        <v>280</v>
      </c>
      <c r="W115" s="181">
        <v>280</v>
      </c>
      <c r="X115" s="171">
        <v>280</v>
      </c>
      <c r="Y115" s="184">
        <v>280</v>
      </c>
      <c r="Z115" s="181">
        <v>280</v>
      </c>
      <c r="AA115" s="171">
        <v>280</v>
      </c>
      <c r="AB115" s="184">
        <v>280</v>
      </c>
      <c r="AC115" s="181">
        <v>280</v>
      </c>
      <c r="AD115" s="171">
        <v>280</v>
      </c>
      <c r="AE115" s="184">
        <v>280</v>
      </c>
      <c r="AF115" s="204">
        <v>280</v>
      </c>
      <c r="AG115" s="171">
        <v>280</v>
      </c>
      <c r="AH115" s="184">
        <v>280</v>
      </c>
      <c r="AI115" s="182" t="s">
        <v>2239</v>
      </c>
      <c r="AJ115" s="163" t="s">
        <v>1596</v>
      </c>
      <c r="AK115" s="65" t="s">
        <v>1597</v>
      </c>
      <c r="AL115" s="176">
        <v>1</v>
      </c>
      <c r="AM115" s="159"/>
      <c r="AN115" s="172">
        <v>280</v>
      </c>
      <c r="AO115" s="159"/>
      <c r="AP115" s="163" t="s">
        <v>55</v>
      </c>
      <c r="AQ115" s="109" t="s">
        <v>1403</v>
      </c>
      <c r="AR115" s="173"/>
      <c r="AS115" s="174" t="s">
        <v>1837</v>
      </c>
      <c r="AT115" s="175"/>
      <c r="AU115" s="65" t="s">
        <v>25</v>
      </c>
      <c r="AV115" s="163" t="s">
        <v>12</v>
      </c>
      <c r="AW115" s="65">
        <v>1077</v>
      </c>
      <c r="AX115" s="196">
        <v>44732.466435185182</v>
      </c>
    </row>
    <row r="116" spans="1:50">
      <c r="A116" s="124" t="s">
        <v>62</v>
      </c>
      <c r="B116" s="109" t="s">
        <v>1320</v>
      </c>
      <c r="C116" s="214" t="s">
        <v>2238</v>
      </c>
      <c r="D116" s="163" t="s">
        <v>2245</v>
      </c>
      <c r="E116" s="170">
        <v>280</v>
      </c>
      <c r="F116" s="171">
        <v>280</v>
      </c>
      <c r="G116" s="184">
        <v>280</v>
      </c>
      <c r="H116" s="181">
        <v>280</v>
      </c>
      <c r="I116" s="171">
        <v>280</v>
      </c>
      <c r="J116" s="184">
        <v>280</v>
      </c>
      <c r="K116" s="181">
        <v>280</v>
      </c>
      <c r="L116" s="171">
        <v>280</v>
      </c>
      <c r="M116" s="184">
        <v>280</v>
      </c>
      <c r="N116" s="181">
        <v>280</v>
      </c>
      <c r="O116" s="171">
        <v>280</v>
      </c>
      <c r="P116" s="184">
        <v>280</v>
      </c>
      <c r="Q116" s="181">
        <v>280</v>
      </c>
      <c r="R116" s="171">
        <v>280</v>
      </c>
      <c r="S116" s="184">
        <v>280</v>
      </c>
      <c r="T116" s="181">
        <v>280</v>
      </c>
      <c r="U116" s="171">
        <v>280</v>
      </c>
      <c r="V116" s="184">
        <v>280</v>
      </c>
      <c r="W116" s="181">
        <v>280</v>
      </c>
      <c r="X116" s="171">
        <v>280</v>
      </c>
      <c r="Y116" s="184">
        <v>280</v>
      </c>
      <c r="Z116" s="181">
        <v>280</v>
      </c>
      <c r="AA116" s="171">
        <v>280</v>
      </c>
      <c r="AB116" s="184">
        <v>280</v>
      </c>
      <c r="AC116" s="181">
        <v>280</v>
      </c>
      <c r="AD116" s="171">
        <v>280</v>
      </c>
      <c r="AE116" s="184">
        <v>280</v>
      </c>
      <c r="AF116" s="204">
        <v>280</v>
      </c>
      <c r="AG116" s="171">
        <v>280</v>
      </c>
      <c r="AH116" s="184">
        <v>280</v>
      </c>
      <c r="AI116" s="182" t="s">
        <v>2239</v>
      </c>
      <c r="AJ116" s="163" t="s">
        <v>1596</v>
      </c>
      <c r="AK116" s="65" t="s">
        <v>1597</v>
      </c>
      <c r="AL116" s="176">
        <v>1</v>
      </c>
      <c r="AM116" s="159"/>
      <c r="AN116" s="172">
        <v>280</v>
      </c>
      <c r="AO116" s="159"/>
      <c r="AP116" s="163" t="s">
        <v>55</v>
      </c>
      <c r="AQ116" s="109" t="s">
        <v>1403</v>
      </c>
      <c r="AR116" s="173"/>
      <c r="AS116" s="174" t="s">
        <v>1837</v>
      </c>
      <c r="AT116" s="175"/>
      <c r="AU116" s="65" t="s">
        <v>25</v>
      </c>
      <c r="AV116" s="163" t="s">
        <v>12</v>
      </c>
      <c r="AW116" s="65">
        <v>1077</v>
      </c>
      <c r="AX116" s="196">
        <v>44732.466435185182</v>
      </c>
    </row>
    <row r="117" spans="1:50">
      <c r="A117" s="124" t="s">
        <v>100</v>
      </c>
      <c r="B117" s="109" t="s">
        <v>1320</v>
      </c>
      <c r="C117" s="214" t="s">
        <v>2265</v>
      </c>
      <c r="D117" s="163" t="s">
        <v>316</v>
      </c>
      <c r="E117" s="170">
        <v>110.01599999999999</v>
      </c>
      <c r="F117" s="171">
        <v>106.94400000000002</v>
      </c>
      <c r="G117" s="184">
        <v>102.96000000000001</v>
      </c>
      <c r="H117" s="181">
        <v>110.01599999999999</v>
      </c>
      <c r="I117" s="171">
        <v>106.94400000000002</v>
      </c>
      <c r="J117" s="184">
        <v>102.96000000000001</v>
      </c>
      <c r="K117" s="181">
        <v>110.01599999999999</v>
      </c>
      <c r="L117" s="171">
        <v>106.94400000000002</v>
      </c>
      <c r="M117" s="184">
        <v>102.96000000000001</v>
      </c>
      <c r="N117" s="181">
        <v>110.01599999999999</v>
      </c>
      <c r="O117" s="171">
        <v>106.94400000000002</v>
      </c>
      <c r="P117" s="184">
        <v>102.96000000000001</v>
      </c>
      <c r="Q117" s="181">
        <v>110.01599999999999</v>
      </c>
      <c r="R117" s="171">
        <v>106.94400000000002</v>
      </c>
      <c r="S117" s="184">
        <v>102.96000000000001</v>
      </c>
      <c r="T117" s="181">
        <v>110.01599999999999</v>
      </c>
      <c r="U117" s="171">
        <v>106.94400000000002</v>
      </c>
      <c r="V117" s="184">
        <v>102.96000000000001</v>
      </c>
      <c r="W117" s="181">
        <v>110.01599999999999</v>
      </c>
      <c r="X117" s="171">
        <v>106.94400000000002</v>
      </c>
      <c r="Y117" s="184">
        <v>102.96000000000001</v>
      </c>
      <c r="Z117" s="181">
        <v>110.01599999999999</v>
      </c>
      <c r="AA117" s="171">
        <v>106.94400000000002</v>
      </c>
      <c r="AB117" s="184">
        <v>102.96000000000001</v>
      </c>
      <c r="AC117" s="181">
        <v>110.01599999999999</v>
      </c>
      <c r="AD117" s="171">
        <v>106.94400000000002</v>
      </c>
      <c r="AE117" s="184">
        <v>102.96000000000001</v>
      </c>
      <c r="AF117" s="204">
        <v>110.01599999999999</v>
      </c>
      <c r="AG117" s="171">
        <v>106.94400000000002</v>
      </c>
      <c r="AH117" s="184">
        <v>102.96000000000001</v>
      </c>
      <c r="AI117" s="182" t="s">
        <v>315</v>
      </c>
      <c r="AJ117" s="163" t="s">
        <v>1429</v>
      </c>
      <c r="AK117" s="65" t="s">
        <v>1388</v>
      </c>
      <c r="AL117" s="176">
        <v>48</v>
      </c>
      <c r="AM117" s="159"/>
      <c r="AN117" s="172">
        <v>132</v>
      </c>
      <c r="AO117" s="159">
        <v>0</v>
      </c>
      <c r="AP117" s="163" t="s">
        <v>55</v>
      </c>
      <c r="AQ117" s="109" t="s">
        <v>1407</v>
      </c>
      <c r="AR117" s="173"/>
      <c r="AS117" s="174" t="s">
        <v>1744</v>
      </c>
      <c r="AT117" s="175"/>
      <c r="AU117" s="65" t="s">
        <v>25</v>
      </c>
      <c r="AV117" s="163" t="s">
        <v>1388</v>
      </c>
      <c r="AW117" s="65">
        <v>1541</v>
      </c>
      <c r="AX117" s="196">
        <v>44699.358287037037</v>
      </c>
    </row>
    <row r="118" spans="1:50">
      <c r="A118" s="124" t="s">
        <v>46</v>
      </c>
      <c r="B118" s="109" t="s">
        <v>1320</v>
      </c>
      <c r="C118" s="214" t="s">
        <v>168</v>
      </c>
      <c r="D118" s="163" t="s">
        <v>170</v>
      </c>
      <c r="E118" s="170">
        <v>69.75</v>
      </c>
      <c r="F118" s="171">
        <v>69.316000000000003</v>
      </c>
      <c r="G118" s="184">
        <v>67.734999999999999</v>
      </c>
      <c r="H118" s="181">
        <v>69.75</v>
      </c>
      <c r="I118" s="171">
        <v>69.316000000000003</v>
      </c>
      <c r="J118" s="184">
        <v>67.734999999999999</v>
      </c>
      <c r="K118" s="181">
        <v>69.75</v>
      </c>
      <c r="L118" s="171">
        <v>69.316000000000003</v>
      </c>
      <c r="M118" s="184">
        <v>67.734999999999999</v>
      </c>
      <c r="N118" s="181">
        <v>69.75</v>
      </c>
      <c r="O118" s="171">
        <v>69.316000000000003</v>
      </c>
      <c r="P118" s="184">
        <v>67.734999999999999</v>
      </c>
      <c r="Q118" s="181">
        <v>69.75</v>
      </c>
      <c r="R118" s="171">
        <v>69.316000000000003</v>
      </c>
      <c r="S118" s="184">
        <v>67.734999999999999</v>
      </c>
      <c r="T118" s="181">
        <v>69.75</v>
      </c>
      <c r="U118" s="171">
        <v>69.316000000000003</v>
      </c>
      <c r="V118" s="184">
        <v>67.734999999999999</v>
      </c>
      <c r="W118" s="181">
        <v>69.75</v>
      </c>
      <c r="X118" s="171">
        <v>69.316000000000003</v>
      </c>
      <c r="Y118" s="184">
        <v>67.734999999999999</v>
      </c>
      <c r="Z118" s="181">
        <v>69.75</v>
      </c>
      <c r="AA118" s="171">
        <v>69.316000000000003</v>
      </c>
      <c r="AB118" s="184">
        <v>67.734999999999999</v>
      </c>
      <c r="AC118" s="181">
        <v>69.75</v>
      </c>
      <c r="AD118" s="171">
        <v>69.316000000000003</v>
      </c>
      <c r="AE118" s="184">
        <v>67.734999999999999</v>
      </c>
      <c r="AF118" s="204">
        <v>69.75</v>
      </c>
      <c r="AG118" s="171">
        <v>69.316000000000003</v>
      </c>
      <c r="AH118" s="184">
        <v>67.734999999999999</v>
      </c>
      <c r="AI118" s="182" t="s">
        <v>169</v>
      </c>
      <c r="AJ118" s="163" t="s">
        <v>1429</v>
      </c>
      <c r="AK118" s="65" t="s">
        <v>1388</v>
      </c>
      <c r="AL118" s="176">
        <v>31</v>
      </c>
      <c r="AM118" s="159"/>
      <c r="AN118" s="172">
        <v>69.75</v>
      </c>
      <c r="AO118" s="159"/>
      <c r="AP118" s="163" t="s">
        <v>55</v>
      </c>
      <c r="AQ118" s="109" t="s">
        <v>1407</v>
      </c>
      <c r="AR118" s="173"/>
      <c r="AS118" s="174" t="s">
        <v>1532</v>
      </c>
      <c r="AT118" s="175"/>
      <c r="AU118" s="65" t="s">
        <v>25</v>
      </c>
      <c r="AV118" s="163" t="s">
        <v>1388</v>
      </c>
      <c r="AW118" s="65">
        <v>1400</v>
      </c>
      <c r="AX118" s="196">
        <v>44671.436712962961</v>
      </c>
    </row>
    <row r="119" spans="1:50">
      <c r="A119" s="124" t="s">
        <v>95</v>
      </c>
      <c r="B119" s="109" t="s">
        <v>1320</v>
      </c>
      <c r="C119" s="214" t="s">
        <v>2288</v>
      </c>
      <c r="D119" s="163" t="s">
        <v>2289</v>
      </c>
      <c r="E119" s="170">
        <v>378</v>
      </c>
      <c r="F119" s="171">
        <v>378</v>
      </c>
      <c r="G119" s="184">
        <v>378</v>
      </c>
      <c r="H119" s="181">
        <v>252</v>
      </c>
      <c r="I119" s="171">
        <v>378</v>
      </c>
      <c r="J119" s="184">
        <v>378</v>
      </c>
      <c r="K119" s="181">
        <v>378</v>
      </c>
      <c r="L119" s="171">
        <v>378</v>
      </c>
      <c r="M119" s="184">
        <v>378</v>
      </c>
      <c r="N119" s="181">
        <v>378</v>
      </c>
      <c r="O119" s="171">
        <v>378</v>
      </c>
      <c r="P119" s="184">
        <v>378</v>
      </c>
      <c r="Q119" s="181">
        <v>252</v>
      </c>
      <c r="R119" s="171">
        <v>378</v>
      </c>
      <c r="S119" s="184">
        <v>378</v>
      </c>
      <c r="T119" s="181">
        <v>378</v>
      </c>
      <c r="U119" s="171">
        <v>378</v>
      </c>
      <c r="V119" s="184">
        <v>378</v>
      </c>
      <c r="W119" s="181">
        <v>378</v>
      </c>
      <c r="X119" s="171">
        <v>378</v>
      </c>
      <c r="Y119" s="184">
        <v>378</v>
      </c>
      <c r="Z119" s="181">
        <v>252</v>
      </c>
      <c r="AA119" s="171">
        <v>378</v>
      </c>
      <c r="AB119" s="184">
        <v>378</v>
      </c>
      <c r="AC119" s="181">
        <v>378</v>
      </c>
      <c r="AD119" s="171">
        <v>378</v>
      </c>
      <c r="AE119" s="184">
        <v>378</v>
      </c>
      <c r="AF119" s="204">
        <v>378</v>
      </c>
      <c r="AG119" s="171">
        <v>378</v>
      </c>
      <c r="AH119" s="184">
        <v>378</v>
      </c>
      <c r="AI119" s="182" t="s">
        <v>1585</v>
      </c>
      <c r="AJ119" s="163" t="s">
        <v>1539</v>
      </c>
      <c r="AK119" s="65" t="s">
        <v>18</v>
      </c>
      <c r="AL119" s="176">
        <v>3</v>
      </c>
      <c r="AM119" s="159"/>
      <c r="AN119" s="172">
        <v>432</v>
      </c>
      <c r="AO119" s="159"/>
      <c r="AP119" s="163" t="s">
        <v>55</v>
      </c>
      <c r="AQ119" s="109" t="s">
        <v>1403</v>
      </c>
      <c r="AR119" s="173"/>
      <c r="AS119" s="174" t="s">
        <v>1588</v>
      </c>
      <c r="AT119" s="175"/>
      <c r="AU119" s="65" t="s">
        <v>25</v>
      </c>
      <c r="AV119" s="163" t="s">
        <v>18</v>
      </c>
      <c r="AW119" s="65">
        <v>1081</v>
      </c>
      <c r="AX119" s="196">
        <v>44670.591226851851</v>
      </c>
    </row>
    <row r="120" spans="1:50">
      <c r="A120" s="124" t="s">
        <v>95</v>
      </c>
      <c r="B120" s="109" t="s">
        <v>1320</v>
      </c>
      <c r="C120" s="214" t="s">
        <v>897</v>
      </c>
      <c r="D120" s="163" t="s">
        <v>2309</v>
      </c>
      <c r="E120" s="170">
        <v>111.60000000000001</v>
      </c>
      <c r="F120" s="171">
        <v>111.60000000000001</v>
      </c>
      <c r="G120" s="184">
        <v>111.60000000000001</v>
      </c>
      <c r="H120" s="181">
        <v>111.60000000000001</v>
      </c>
      <c r="I120" s="171">
        <v>111.60000000000001</v>
      </c>
      <c r="J120" s="184">
        <v>111.60000000000001</v>
      </c>
      <c r="K120" s="181">
        <v>111.60000000000001</v>
      </c>
      <c r="L120" s="171">
        <v>111.60000000000001</v>
      </c>
      <c r="M120" s="184">
        <v>111.60000000000001</v>
      </c>
      <c r="N120" s="181">
        <v>111.60000000000001</v>
      </c>
      <c r="O120" s="171">
        <v>111.60000000000001</v>
      </c>
      <c r="P120" s="184">
        <v>111.60000000000001</v>
      </c>
      <c r="Q120" s="181">
        <v>111.60000000000001</v>
      </c>
      <c r="R120" s="171">
        <v>111.60000000000001</v>
      </c>
      <c r="S120" s="184">
        <v>111.60000000000001</v>
      </c>
      <c r="T120" s="181">
        <v>111.60000000000001</v>
      </c>
      <c r="U120" s="171">
        <v>111.60000000000001</v>
      </c>
      <c r="V120" s="184">
        <v>111.60000000000001</v>
      </c>
      <c r="W120" s="181">
        <v>111.60000000000001</v>
      </c>
      <c r="X120" s="171">
        <v>111.60000000000001</v>
      </c>
      <c r="Y120" s="184">
        <v>111.60000000000001</v>
      </c>
      <c r="Z120" s="181">
        <v>111.60000000000001</v>
      </c>
      <c r="AA120" s="171">
        <v>111.60000000000001</v>
      </c>
      <c r="AB120" s="184">
        <v>111.60000000000001</v>
      </c>
      <c r="AC120" s="181">
        <v>111.60000000000001</v>
      </c>
      <c r="AD120" s="171">
        <v>111.60000000000001</v>
      </c>
      <c r="AE120" s="184">
        <v>111.60000000000001</v>
      </c>
      <c r="AF120" s="204">
        <v>111.60000000000001</v>
      </c>
      <c r="AG120" s="171">
        <v>111.60000000000001</v>
      </c>
      <c r="AH120" s="184">
        <v>111.60000000000001</v>
      </c>
      <c r="AI120" s="182" t="s">
        <v>2308</v>
      </c>
      <c r="AJ120" s="163" t="s">
        <v>1419</v>
      </c>
      <c r="AK120" s="65" t="s">
        <v>17</v>
      </c>
      <c r="AL120" s="176">
        <v>31</v>
      </c>
      <c r="AM120" s="159"/>
      <c r="AN120" s="172">
        <v>111.60000000000001</v>
      </c>
      <c r="AO120" s="159"/>
      <c r="AP120" s="65" t="s">
        <v>55</v>
      </c>
      <c r="AQ120" s="109" t="s">
        <v>1407</v>
      </c>
      <c r="AR120" s="173"/>
      <c r="AS120" s="174" t="s">
        <v>2065</v>
      </c>
      <c r="AT120" s="175"/>
      <c r="AU120" s="65" t="s">
        <v>25</v>
      </c>
      <c r="AV120" s="163" t="s">
        <v>17</v>
      </c>
      <c r="AW120" s="65">
        <v>1322</v>
      </c>
      <c r="AX120" s="196">
        <v>44742.562615740739</v>
      </c>
    </row>
    <row r="121" spans="1:50">
      <c r="A121" s="124" t="s">
        <v>46</v>
      </c>
      <c r="B121" s="109" t="s">
        <v>1320</v>
      </c>
      <c r="C121" s="214" t="s">
        <v>857</v>
      </c>
      <c r="D121" s="163" t="s">
        <v>2334</v>
      </c>
      <c r="E121" s="170">
        <v>10</v>
      </c>
      <c r="F121" s="171">
        <v>10</v>
      </c>
      <c r="G121" s="184">
        <v>10</v>
      </c>
      <c r="H121" s="181">
        <v>10</v>
      </c>
      <c r="I121" s="171">
        <v>10</v>
      </c>
      <c r="J121" s="184">
        <v>10</v>
      </c>
      <c r="K121" s="181">
        <v>10</v>
      </c>
      <c r="L121" s="171">
        <v>10</v>
      </c>
      <c r="M121" s="184">
        <v>10</v>
      </c>
      <c r="N121" s="181">
        <v>10</v>
      </c>
      <c r="O121" s="171">
        <v>10</v>
      </c>
      <c r="P121" s="184">
        <v>10</v>
      </c>
      <c r="Q121" s="181">
        <v>10</v>
      </c>
      <c r="R121" s="171">
        <v>10</v>
      </c>
      <c r="S121" s="184">
        <v>10</v>
      </c>
      <c r="T121" s="181">
        <v>10</v>
      </c>
      <c r="U121" s="171">
        <v>10</v>
      </c>
      <c r="V121" s="184">
        <v>10</v>
      </c>
      <c r="W121" s="181">
        <v>10</v>
      </c>
      <c r="X121" s="171">
        <v>10</v>
      </c>
      <c r="Y121" s="184">
        <v>10</v>
      </c>
      <c r="Z121" s="181">
        <v>10</v>
      </c>
      <c r="AA121" s="171">
        <v>10</v>
      </c>
      <c r="AB121" s="184">
        <v>10</v>
      </c>
      <c r="AC121" s="181">
        <v>10</v>
      </c>
      <c r="AD121" s="171">
        <v>10</v>
      </c>
      <c r="AE121" s="184">
        <v>10</v>
      </c>
      <c r="AF121" s="204">
        <v>10</v>
      </c>
      <c r="AG121" s="171">
        <v>10</v>
      </c>
      <c r="AH121" s="184">
        <v>10</v>
      </c>
      <c r="AI121" s="182" t="s">
        <v>2333</v>
      </c>
      <c r="AJ121" s="163" t="s">
        <v>1398</v>
      </c>
      <c r="AK121" s="65" t="s">
        <v>1388</v>
      </c>
      <c r="AL121" s="176">
        <v>4</v>
      </c>
      <c r="AM121" s="159"/>
      <c r="AN121" s="172">
        <v>10</v>
      </c>
      <c r="AO121" s="159">
        <v>0</v>
      </c>
      <c r="AP121" s="163" t="s">
        <v>55</v>
      </c>
      <c r="AQ121" s="109" t="s">
        <v>1407</v>
      </c>
      <c r="AR121" s="173"/>
      <c r="AS121" s="174" t="s">
        <v>1588</v>
      </c>
      <c r="AT121" s="175"/>
      <c r="AU121" s="65" t="s">
        <v>25</v>
      </c>
      <c r="AV121" s="163" t="s">
        <v>1388</v>
      </c>
      <c r="AW121" s="65">
        <v>1432</v>
      </c>
      <c r="AX121" s="196">
        <v>44693.447013888886</v>
      </c>
    </row>
    <row r="122" spans="1:50">
      <c r="A122" s="124" t="s">
        <v>46</v>
      </c>
      <c r="B122" s="109" t="s">
        <v>1320</v>
      </c>
      <c r="C122" s="214" t="s">
        <v>1045</v>
      </c>
      <c r="D122" s="163" t="s">
        <v>2335</v>
      </c>
      <c r="E122" s="170">
        <v>165.5</v>
      </c>
      <c r="F122" s="171">
        <v>165.5</v>
      </c>
      <c r="G122" s="184">
        <v>165.5</v>
      </c>
      <c r="H122" s="181">
        <v>165.5</v>
      </c>
      <c r="I122" s="171">
        <v>165.5</v>
      </c>
      <c r="J122" s="184">
        <v>165.5</v>
      </c>
      <c r="K122" s="181">
        <v>165.5</v>
      </c>
      <c r="L122" s="171">
        <v>165.5</v>
      </c>
      <c r="M122" s="184">
        <v>165.5</v>
      </c>
      <c r="N122" s="181">
        <v>165.5</v>
      </c>
      <c r="O122" s="171">
        <v>165.5</v>
      </c>
      <c r="P122" s="184">
        <v>165.5</v>
      </c>
      <c r="Q122" s="181">
        <v>165.5</v>
      </c>
      <c r="R122" s="171">
        <v>165.5</v>
      </c>
      <c r="S122" s="184">
        <v>165.5</v>
      </c>
      <c r="T122" s="181">
        <v>165.5</v>
      </c>
      <c r="U122" s="171">
        <v>165.5</v>
      </c>
      <c r="V122" s="184">
        <v>165.5</v>
      </c>
      <c r="W122" s="181">
        <v>165.5</v>
      </c>
      <c r="X122" s="171">
        <v>165.5</v>
      </c>
      <c r="Y122" s="184">
        <v>165.5</v>
      </c>
      <c r="Z122" s="181">
        <v>165.5</v>
      </c>
      <c r="AA122" s="171">
        <v>165.5</v>
      </c>
      <c r="AB122" s="184">
        <v>165.5</v>
      </c>
      <c r="AC122" s="181">
        <v>165.5</v>
      </c>
      <c r="AD122" s="171">
        <v>165.5</v>
      </c>
      <c r="AE122" s="184">
        <v>165.5</v>
      </c>
      <c r="AF122" s="204">
        <v>165.5</v>
      </c>
      <c r="AG122" s="171">
        <v>165.5</v>
      </c>
      <c r="AH122" s="184">
        <v>165.5</v>
      </c>
      <c r="AI122" s="182" t="s">
        <v>2333</v>
      </c>
      <c r="AJ122" s="163" t="s">
        <v>1419</v>
      </c>
      <c r="AK122" s="65" t="s">
        <v>17</v>
      </c>
      <c r="AL122" s="176">
        <v>73</v>
      </c>
      <c r="AM122" s="159"/>
      <c r="AN122" s="172">
        <v>165.5</v>
      </c>
      <c r="AO122" s="159">
        <v>0</v>
      </c>
      <c r="AP122" s="163" t="s">
        <v>55</v>
      </c>
      <c r="AQ122" s="109" t="s">
        <v>1407</v>
      </c>
      <c r="AR122" s="173"/>
      <c r="AS122" s="174" t="s">
        <v>1588</v>
      </c>
      <c r="AT122" s="175"/>
      <c r="AU122" s="65" t="s">
        <v>25</v>
      </c>
      <c r="AV122" s="163" t="s">
        <v>17</v>
      </c>
      <c r="AW122" s="65">
        <v>1422</v>
      </c>
      <c r="AX122" s="196">
        <v>44693.445474537039</v>
      </c>
    </row>
    <row r="123" spans="1:50">
      <c r="A123" s="124" t="s">
        <v>46</v>
      </c>
      <c r="B123" s="109" t="s">
        <v>1320</v>
      </c>
      <c r="C123" s="214" t="s">
        <v>3837</v>
      </c>
      <c r="D123" s="163" t="s">
        <v>173</v>
      </c>
      <c r="E123" s="170">
        <v>110.67</v>
      </c>
      <c r="F123" s="171">
        <v>110.67</v>
      </c>
      <c r="G123" s="184">
        <v>105.39999999999999</v>
      </c>
      <c r="H123" s="181">
        <v>110.67</v>
      </c>
      <c r="I123" s="171">
        <v>110.67</v>
      </c>
      <c r="J123" s="184">
        <v>105.39999999999999</v>
      </c>
      <c r="K123" s="181">
        <v>110.67</v>
      </c>
      <c r="L123" s="171">
        <v>110.67</v>
      </c>
      <c r="M123" s="184">
        <v>105.39999999999999</v>
      </c>
      <c r="N123" s="181">
        <v>110.67</v>
      </c>
      <c r="O123" s="171">
        <v>110.67</v>
      </c>
      <c r="P123" s="184">
        <v>105.39999999999999</v>
      </c>
      <c r="Q123" s="181">
        <v>110.67</v>
      </c>
      <c r="R123" s="171">
        <v>110.67</v>
      </c>
      <c r="S123" s="184">
        <v>105.39999999999999</v>
      </c>
      <c r="T123" s="181">
        <v>110.67</v>
      </c>
      <c r="U123" s="171">
        <v>110.67</v>
      </c>
      <c r="V123" s="184">
        <v>105.39999999999999</v>
      </c>
      <c r="W123" s="181">
        <v>110.67</v>
      </c>
      <c r="X123" s="171">
        <v>110.67</v>
      </c>
      <c r="Y123" s="184">
        <v>105.39999999999999</v>
      </c>
      <c r="Z123" s="181">
        <v>110.67</v>
      </c>
      <c r="AA123" s="171">
        <v>110.67</v>
      </c>
      <c r="AB123" s="184">
        <v>105.39999999999999</v>
      </c>
      <c r="AC123" s="181">
        <v>110.67</v>
      </c>
      <c r="AD123" s="171">
        <v>110.67</v>
      </c>
      <c r="AE123" s="184">
        <v>105.39999999999999</v>
      </c>
      <c r="AF123" s="204">
        <v>110.67</v>
      </c>
      <c r="AG123" s="171">
        <v>110.67</v>
      </c>
      <c r="AH123" s="184">
        <v>105.39999999999999</v>
      </c>
      <c r="AI123" s="182" t="s">
        <v>172</v>
      </c>
      <c r="AJ123" s="163" t="s">
        <v>1419</v>
      </c>
      <c r="AK123" s="65" t="s">
        <v>17</v>
      </c>
      <c r="AL123" s="176">
        <v>31</v>
      </c>
      <c r="AM123" s="159"/>
      <c r="AN123" s="172">
        <v>110.67</v>
      </c>
      <c r="AO123" s="159">
        <v>0</v>
      </c>
      <c r="AP123" s="163" t="s">
        <v>131</v>
      </c>
      <c r="AQ123" s="109" t="s">
        <v>1407</v>
      </c>
      <c r="AR123" s="173" t="s">
        <v>2063</v>
      </c>
      <c r="AS123" s="174" t="s">
        <v>2339</v>
      </c>
      <c r="AT123" s="175"/>
      <c r="AU123" s="65" t="s">
        <v>25</v>
      </c>
      <c r="AV123" s="163" t="s">
        <v>17</v>
      </c>
      <c r="AW123" s="65">
        <v>1588</v>
      </c>
      <c r="AX123" s="196">
        <v>44696.335497685184</v>
      </c>
    </row>
    <row r="124" spans="1:50">
      <c r="A124" s="124" t="s">
        <v>46</v>
      </c>
      <c r="B124" s="109" t="s">
        <v>1385</v>
      </c>
      <c r="C124" s="214" t="s">
        <v>281</v>
      </c>
      <c r="D124" s="163" t="s">
        <v>2340</v>
      </c>
      <c r="E124" s="170">
        <v>110</v>
      </c>
      <c r="F124" s="171">
        <v>110</v>
      </c>
      <c r="G124" s="184">
        <v>110</v>
      </c>
      <c r="H124" s="181">
        <v>110</v>
      </c>
      <c r="I124" s="171">
        <v>110</v>
      </c>
      <c r="J124" s="184">
        <v>110</v>
      </c>
      <c r="K124" s="181">
        <v>110</v>
      </c>
      <c r="L124" s="171">
        <v>110</v>
      </c>
      <c r="M124" s="184">
        <v>110</v>
      </c>
      <c r="N124" s="181">
        <v>110</v>
      </c>
      <c r="O124" s="171">
        <v>110</v>
      </c>
      <c r="P124" s="184">
        <v>110</v>
      </c>
      <c r="Q124" s="181">
        <v>110</v>
      </c>
      <c r="R124" s="171">
        <v>110</v>
      </c>
      <c r="S124" s="184">
        <v>110</v>
      </c>
      <c r="T124" s="181">
        <v>110</v>
      </c>
      <c r="U124" s="171">
        <v>110</v>
      </c>
      <c r="V124" s="184">
        <v>110</v>
      </c>
      <c r="W124" s="181">
        <v>110</v>
      </c>
      <c r="X124" s="171">
        <v>110</v>
      </c>
      <c r="Y124" s="184">
        <v>110</v>
      </c>
      <c r="Z124" s="181">
        <v>110</v>
      </c>
      <c r="AA124" s="171">
        <v>110</v>
      </c>
      <c r="AB124" s="184">
        <v>110</v>
      </c>
      <c r="AC124" s="181">
        <v>110</v>
      </c>
      <c r="AD124" s="171">
        <v>110</v>
      </c>
      <c r="AE124" s="184">
        <v>110</v>
      </c>
      <c r="AF124" s="204"/>
      <c r="AG124" s="171"/>
      <c r="AH124" s="184"/>
      <c r="AI124" s="182" t="s">
        <v>282</v>
      </c>
      <c r="AJ124" s="163" t="s">
        <v>1429</v>
      </c>
      <c r="AK124" s="65" t="s">
        <v>1388</v>
      </c>
      <c r="AL124" s="176">
        <v>1</v>
      </c>
      <c r="AM124" s="159"/>
      <c r="AN124" s="172">
        <v>110</v>
      </c>
      <c r="AO124" s="159">
        <v>0</v>
      </c>
      <c r="AP124" s="163" t="s">
        <v>27</v>
      </c>
      <c r="AQ124" s="109" t="s">
        <v>1407</v>
      </c>
      <c r="AR124" s="173" t="s">
        <v>2094</v>
      </c>
      <c r="AS124" s="174" t="s">
        <v>2342</v>
      </c>
      <c r="AT124" s="175"/>
      <c r="AU124" s="65" t="s">
        <v>27</v>
      </c>
      <c r="AV124" s="163" t="s">
        <v>1388</v>
      </c>
      <c r="AW124" s="65">
        <v>1585</v>
      </c>
      <c r="AX124" s="196">
        <v>44679.573055555556</v>
      </c>
    </row>
    <row r="125" spans="1:50">
      <c r="A125" s="124" t="s">
        <v>46</v>
      </c>
      <c r="B125" s="109" t="s">
        <v>1320</v>
      </c>
      <c r="C125" s="214" t="s">
        <v>2347</v>
      </c>
      <c r="D125" s="163" t="s">
        <v>2349</v>
      </c>
      <c r="E125" s="170">
        <v>46.5</v>
      </c>
      <c r="F125" s="171">
        <v>46.5</v>
      </c>
      <c r="G125" s="184">
        <v>46.5</v>
      </c>
      <c r="H125" s="181">
        <v>46.5</v>
      </c>
      <c r="I125" s="171">
        <v>46.5</v>
      </c>
      <c r="J125" s="184">
        <v>46.5</v>
      </c>
      <c r="K125" s="181">
        <v>46.5</v>
      </c>
      <c r="L125" s="171">
        <v>46.5</v>
      </c>
      <c r="M125" s="184">
        <v>46.5</v>
      </c>
      <c r="N125" s="181">
        <v>46.5</v>
      </c>
      <c r="O125" s="171">
        <v>46.5</v>
      </c>
      <c r="P125" s="184">
        <v>46.5</v>
      </c>
      <c r="Q125" s="181">
        <v>46.5</v>
      </c>
      <c r="R125" s="171">
        <v>46.5</v>
      </c>
      <c r="S125" s="184">
        <v>46.5</v>
      </c>
      <c r="T125" s="181">
        <v>46.5</v>
      </c>
      <c r="U125" s="171">
        <v>46.5</v>
      </c>
      <c r="V125" s="184">
        <v>46.5</v>
      </c>
      <c r="W125" s="181">
        <v>46.5</v>
      </c>
      <c r="X125" s="171">
        <v>46.5</v>
      </c>
      <c r="Y125" s="184">
        <v>46.5</v>
      </c>
      <c r="Z125" s="181">
        <v>46.5</v>
      </c>
      <c r="AA125" s="171">
        <v>46.5</v>
      </c>
      <c r="AB125" s="184">
        <v>46.5</v>
      </c>
      <c r="AC125" s="181">
        <v>46.5</v>
      </c>
      <c r="AD125" s="171">
        <v>46.5</v>
      </c>
      <c r="AE125" s="184">
        <v>46.5</v>
      </c>
      <c r="AF125" s="204">
        <v>46.5</v>
      </c>
      <c r="AG125" s="171">
        <v>46.5</v>
      </c>
      <c r="AH125" s="184">
        <v>46.5</v>
      </c>
      <c r="AI125" s="182" t="s">
        <v>2348</v>
      </c>
      <c r="AJ125" s="163" t="s">
        <v>1419</v>
      </c>
      <c r="AK125" s="65" t="s">
        <v>17</v>
      </c>
      <c r="AL125" s="176">
        <v>31</v>
      </c>
      <c r="AM125" s="159"/>
      <c r="AN125" s="172">
        <v>46.5</v>
      </c>
      <c r="AO125" s="159"/>
      <c r="AP125" s="163" t="s">
        <v>55</v>
      </c>
      <c r="AQ125" s="109" t="s">
        <v>1407</v>
      </c>
      <c r="AR125" s="173"/>
      <c r="AS125" s="174" t="s">
        <v>1441</v>
      </c>
      <c r="AT125" s="175"/>
      <c r="AU125" s="65" t="s">
        <v>25</v>
      </c>
      <c r="AV125" s="163" t="s">
        <v>17</v>
      </c>
      <c r="AW125" s="65">
        <v>1082</v>
      </c>
      <c r="AX125" s="196">
        <v>44665.678206018521</v>
      </c>
    </row>
    <row r="126" spans="1:50">
      <c r="A126" s="124" t="s">
        <v>46</v>
      </c>
      <c r="B126" s="109" t="s">
        <v>1320</v>
      </c>
      <c r="C126" s="214" t="s">
        <v>2351</v>
      </c>
      <c r="D126" s="163" t="s">
        <v>2352</v>
      </c>
      <c r="E126" s="170">
        <v>68</v>
      </c>
      <c r="F126" s="171">
        <v>68</v>
      </c>
      <c r="G126" s="184">
        <v>68</v>
      </c>
      <c r="H126" s="181">
        <v>68</v>
      </c>
      <c r="I126" s="171">
        <v>68</v>
      </c>
      <c r="J126" s="184">
        <v>68</v>
      </c>
      <c r="K126" s="181">
        <v>68</v>
      </c>
      <c r="L126" s="171">
        <v>68</v>
      </c>
      <c r="M126" s="184">
        <v>68</v>
      </c>
      <c r="N126" s="181">
        <v>68</v>
      </c>
      <c r="O126" s="171">
        <v>68</v>
      </c>
      <c r="P126" s="184">
        <v>68</v>
      </c>
      <c r="Q126" s="181">
        <v>68</v>
      </c>
      <c r="R126" s="171">
        <v>68</v>
      </c>
      <c r="S126" s="184">
        <v>68</v>
      </c>
      <c r="T126" s="181">
        <v>68</v>
      </c>
      <c r="U126" s="171">
        <v>68</v>
      </c>
      <c r="V126" s="184">
        <v>68</v>
      </c>
      <c r="W126" s="181">
        <v>68</v>
      </c>
      <c r="X126" s="171">
        <v>68</v>
      </c>
      <c r="Y126" s="184">
        <v>68</v>
      </c>
      <c r="Z126" s="181">
        <v>68</v>
      </c>
      <c r="AA126" s="171">
        <v>68</v>
      </c>
      <c r="AB126" s="184">
        <v>68</v>
      </c>
      <c r="AC126" s="181">
        <v>68</v>
      </c>
      <c r="AD126" s="171">
        <v>68</v>
      </c>
      <c r="AE126" s="184">
        <v>68</v>
      </c>
      <c r="AF126" s="204">
        <v>68</v>
      </c>
      <c r="AG126" s="171">
        <v>68</v>
      </c>
      <c r="AH126" s="184">
        <v>68</v>
      </c>
      <c r="AI126" s="182" t="s">
        <v>558</v>
      </c>
      <c r="AJ126" s="163" t="s">
        <v>1539</v>
      </c>
      <c r="AK126" s="65" t="s">
        <v>18</v>
      </c>
      <c r="AL126" s="176">
        <v>2</v>
      </c>
      <c r="AM126" s="159"/>
      <c r="AN126" s="172">
        <v>60</v>
      </c>
      <c r="AO126" s="159"/>
      <c r="AP126" s="163" t="s">
        <v>55</v>
      </c>
      <c r="AQ126" s="109" t="s">
        <v>1403</v>
      </c>
      <c r="AR126" s="173"/>
      <c r="AS126" s="174" t="s">
        <v>1434</v>
      </c>
      <c r="AT126" s="175"/>
      <c r="AU126" s="65" t="s">
        <v>25</v>
      </c>
      <c r="AV126" s="163" t="s">
        <v>18</v>
      </c>
      <c r="AW126" s="65">
        <v>1083</v>
      </c>
      <c r="AX126" s="196">
        <v>44672.607789351852</v>
      </c>
    </row>
    <row r="127" spans="1:50">
      <c r="A127" s="124" t="s">
        <v>80</v>
      </c>
      <c r="B127" s="109" t="s">
        <v>1320</v>
      </c>
      <c r="C127" s="214" t="s">
        <v>1152</v>
      </c>
      <c r="D127" s="163" t="s">
        <v>2363</v>
      </c>
      <c r="E127" s="170">
        <v>131.98500000000001</v>
      </c>
      <c r="F127" s="171">
        <v>131.98500000000001</v>
      </c>
      <c r="G127" s="184">
        <v>88.199999999999989</v>
      </c>
      <c r="H127" s="181">
        <v>131.98500000000001</v>
      </c>
      <c r="I127" s="171">
        <v>131.98500000000001</v>
      </c>
      <c r="J127" s="184">
        <v>88.199999999999989</v>
      </c>
      <c r="K127" s="181">
        <v>131.98500000000001</v>
      </c>
      <c r="L127" s="171">
        <v>131.98500000000001</v>
      </c>
      <c r="M127" s="184">
        <v>88.199999999999989</v>
      </c>
      <c r="N127" s="181">
        <v>131.98500000000001</v>
      </c>
      <c r="O127" s="171">
        <v>131.98500000000001</v>
      </c>
      <c r="P127" s="184">
        <v>88.199999999999989</v>
      </c>
      <c r="Q127" s="181">
        <v>131.98500000000001</v>
      </c>
      <c r="R127" s="171">
        <v>131.98500000000001</v>
      </c>
      <c r="S127" s="184">
        <v>88.199999999999989</v>
      </c>
      <c r="T127" s="181">
        <v>131.98500000000001</v>
      </c>
      <c r="U127" s="171">
        <v>131.98500000000001</v>
      </c>
      <c r="V127" s="184">
        <v>88.199999999999989</v>
      </c>
      <c r="W127" s="181">
        <v>131.98500000000001</v>
      </c>
      <c r="X127" s="171">
        <v>131.98500000000001</v>
      </c>
      <c r="Y127" s="184">
        <v>88.199999999999989</v>
      </c>
      <c r="Z127" s="181">
        <v>131.98500000000001</v>
      </c>
      <c r="AA127" s="171">
        <v>131.98500000000001</v>
      </c>
      <c r="AB127" s="184">
        <v>88.199999999999989</v>
      </c>
      <c r="AC127" s="181">
        <v>131.98500000000001</v>
      </c>
      <c r="AD127" s="171">
        <v>131.98500000000001</v>
      </c>
      <c r="AE127" s="184">
        <v>88.199999999999989</v>
      </c>
      <c r="AF127" s="204">
        <v>131.98500000000001</v>
      </c>
      <c r="AG127" s="171">
        <v>131.98500000000001</v>
      </c>
      <c r="AH127" s="184">
        <v>88.199999999999989</v>
      </c>
      <c r="AI127" s="182" t="s">
        <v>2362</v>
      </c>
      <c r="AJ127" s="163" t="s">
        <v>1419</v>
      </c>
      <c r="AK127" s="65" t="s">
        <v>17</v>
      </c>
      <c r="AL127" s="176">
        <v>63</v>
      </c>
      <c r="AM127" s="159"/>
      <c r="AN127" s="172">
        <v>132.30000000000001</v>
      </c>
      <c r="AO127" s="159"/>
      <c r="AP127" s="163" t="s">
        <v>55</v>
      </c>
      <c r="AQ127" s="109" t="s">
        <v>1407</v>
      </c>
      <c r="AR127" s="173"/>
      <c r="AS127" s="174" t="s">
        <v>1441</v>
      </c>
      <c r="AT127" s="175"/>
      <c r="AU127" s="65" t="s">
        <v>25</v>
      </c>
      <c r="AV127" s="163" t="s">
        <v>17</v>
      </c>
      <c r="AW127" s="65">
        <v>1311</v>
      </c>
      <c r="AX127" s="196">
        <v>44678.389432870368</v>
      </c>
    </row>
    <row r="128" spans="1:50">
      <c r="A128" s="124" t="s">
        <v>80</v>
      </c>
      <c r="B128" s="109" t="s">
        <v>1320</v>
      </c>
      <c r="C128" s="214" t="s">
        <v>2365</v>
      </c>
      <c r="D128" s="163" t="s">
        <v>2367</v>
      </c>
      <c r="E128" s="170">
        <v>52.5</v>
      </c>
      <c r="F128" s="171">
        <v>52.5</v>
      </c>
      <c r="G128" s="184">
        <v>35</v>
      </c>
      <c r="H128" s="181">
        <v>52.5</v>
      </c>
      <c r="I128" s="171">
        <v>52.5</v>
      </c>
      <c r="J128" s="184">
        <v>35</v>
      </c>
      <c r="K128" s="181">
        <v>52.5</v>
      </c>
      <c r="L128" s="171">
        <v>52.5</v>
      </c>
      <c r="M128" s="184">
        <v>35</v>
      </c>
      <c r="N128" s="181">
        <v>52.5</v>
      </c>
      <c r="O128" s="171">
        <v>52.5</v>
      </c>
      <c r="P128" s="184">
        <v>35</v>
      </c>
      <c r="Q128" s="181">
        <v>52.5</v>
      </c>
      <c r="R128" s="171">
        <v>52.5</v>
      </c>
      <c r="S128" s="184">
        <v>35</v>
      </c>
      <c r="T128" s="181">
        <v>52.5</v>
      </c>
      <c r="U128" s="171">
        <v>52.5</v>
      </c>
      <c r="V128" s="184">
        <v>35</v>
      </c>
      <c r="W128" s="181">
        <v>52.5</v>
      </c>
      <c r="X128" s="171">
        <v>52.5</v>
      </c>
      <c r="Y128" s="184">
        <v>35</v>
      </c>
      <c r="Z128" s="181">
        <v>52.5</v>
      </c>
      <c r="AA128" s="171">
        <v>52.5</v>
      </c>
      <c r="AB128" s="184">
        <v>35</v>
      </c>
      <c r="AC128" s="181">
        <v>52.5</v>
      </c>
      <c r="AD128" s="171">
        <v>52.5</v>
      </c>
      <c r="AE128" s="184">
        <v>35</v>
      </c>
      <c r="AF128" s="204">
        <v>52.5</v>
      </c>
      <c r="AG128" s="171">
        <v>52.5</v>
      </c>
      <c r="AH128" s="184">
        <v>35</v>
      </c>
      <c r="AI128" s="182" t="s">
        <v>2366</v>
      </c>
      <c r="AJ128" s="163" t="s">
        <v>1419</v>
      </c>
      <c r="AK128" s="65" t="s">
        <v>17</v>
      </c>
      <c r="AL128" s="176">
        <v>25</v>
      </c>
      <c r="AM128" s="159"/>
      <c r="AN128" s="172">
        <v>52.5</v>
      </c>
      <c r="AO128" s="159"/>
      <c r="AP128" s="163" t="s">
        <v>55</v>
      </c>
      <c r="AQ128" s="109" t="s">
        <v>1407</v>
      </c>
      <c r="AR128" s="173"/>
      <c r="AS128" s="174" t="s">
        <v>1441</v>
      </c>
      <c r="AT128" s="175"/>
      <c r="AU128" s="65" t="s">
        <v>25</v>
      </c>
      <c r="AV128" s="163" t="s">
        <v>17</v>
      </c>
      <c r="AW128" s="65">
        <v>1085</v>
      </c>
      <c r="AX128" s="196">
        <v>44665.690775462965</v>
      </c>
    </row>
    <row r="129" spans="1:50">
      <c r="A129" s="124" t="s">
        <v>80</v>
      </c>
      <c r="B129" s="109" t="s">
        <v>1320</v>
      </c>
      <c r="C129" s="214" t="s">
        <v>435</v>
      </c>
      <c r="D129" s="163" t="s">
        <v>437</v>
      </c>
      <c r="E129" s="170">
        <v>128</v>
      </c>
      <c r="F129" s="171">
        <v>166</v>
      </c>
      <c r="G129" s="184">
        <v>143</v>
      </c>
      <c r="H129" s="181">
        <v>176.5</v>
      </c>
      <c r="I129" s="171">
        <v>203</v>
      </c>
      <c r="J129" s="184">
        <v>193</v>
      </c>
      <c r="K129" s="181">
        <v>216</v>
      </c>
      <c r="L129" s="171">
        <v>203</v>
      </c>
      <c r="M129" s="184">
        <v>193</v>
      </c>
      <c r="N129" s="181">
        <v>216</v>
      </c>
      <c r="O129" s="171">
        <v>203</v>
      </c>
      <c r="P129" s="184">
        <v>193</v>
      </c>
      <c r="Q129" s="181">
        <v>216</v>
      </c>
      <c r="R129" s="171">
        <v>203</v>
      </c>
      <c r="S129" s="184">
        <v>193</v>
      </c>
      <c r="T129" s="181">
        <v>216</v>
      </c>
      <c r="U129" s="171">
        <v>203</v>
      </c>
      <c r="V129" s="184">
        <v>193</v>
      </c>
      <c r="W129" s="181">
        <v>216</v>
      </c>
      <c r="X129" s="171">
        <v>203</v>
      </c>
      <c r="Y129" s="184">
        <v>193</v>
      </c>
      <c r="Z129" s="181">
        <v>216</v>
      </c>
      <c r="AA129" s="171">
        <v>203</v>
      </c>
      <c r="AB129" s="184">
        <v>193</v>
      </c>
      <c r="AC129" s="181">
        <v>216</v>
      </c>
      <c r="AD129" s="171">
        <v>203</v>
      </c>
      <c r="AE129" s="184">
        <v>193</v>
      </c>
      <c r="AF129" s="204">
        <v>216</v>
      </c>
      <c r="AG129" s="171">
        <v>203</v>
      </c>
      <c r="AH129" s="184">
        <v>193</v>
      </c>
      <c r="AI129" s="182" t="s">
        <v>436</v>
      </c>
      <c r="AJ129" s="163" t="s">
        <v>1493</v>
      </c>
      <c r="AK129" s="65" t="s">
        <v>1360</v>
      </c>
      <c r="AL129" s="176">
        <v>12</v>
      </c>
      <c r="AM129" s="159"/>
      <c r="AN129" s="172">
        <v>239.65999999999997</v>
      </c>
      <c r="AO129" s="159"/>
      <c r="AP129" s="163" t="s">
        <v>55</v>
      </c>
      <c r="AQ129" s="109" t="s">
        <v>1403</v>
      </c>
      <c r="AR129" s="173"/>
      <c r="AS129" s="174" t="s">
        <v>2176</v>
      </c>
      <c r="AT129" s="175"/>
      <c r="AU129" s="65" t="s">
        <v>25</v>
      </c>
      <c r="AV129" s="163" t="s">
        <v>14</v>
      </c>
      <c r="AW129" s="65">
        <v>1086</v>
      </c>
      <c r="AX129" s="196">
        <v>44746.476793981485</v>
      </c>
    </row>
    <row r="130" spans="1:50">
      <c r="A130" s="124" t="s">
        <v>80</v>
      </c>
      <c r="B130" s="109" t="s">
        <v>1320</v>
      </c>
      <c r="C130" s="214" t="s">
        <v>435</v>
      </c>
      <c r="D130" s="163" t="s">
        <v>437</v>
      </c>
      <c r="E130" s="170">
        <v>33</v>
      </c>
      <c r="F130" s="171">
        <v>32</v>
      </c>
      <c r="G130" s="184">
        <v>30</v>
      </c>
      <c r="H130" s="181">
        <v>33</v>
      </c>
      <c r="I130" s="171">
        <v>32</v>
      </c>
      <c r="J130" s="184">
        <v>30</v>
      </c>
      <c r="K130" s="181">
        <v>33</v>
      </c>
      <c r="L130" s="171">
        <v>32</v>
      </c>
      <c r="M130" s="184">
        <v>30</v>
      </c>
      <c r="N130" s="181">
        <v>33</v>
      </c>
      <c r="O130" s="171">
        <v>32</v>
      </c>
      <c r="P130" s="184">
        <v>30</v>
      </c>
      <c r="Q130" s="181">
        <v>33</v>
      </c>
      <c r="R130" s="171">
        <v>32</v>
      </c>
      <c r="S130" s="184">
        <v>30</v>
      </c>
      <c r="T130" s="181">
        <v>33</v>
      </c>
      <c r="U130" s="171">
        <v>32</v>
      </c>
      <c r="V130" s="184">
        <v>30</v>
      </c>
      <c r="W130" s="181">
        <v>33</v>
      </c>
      <c r="X130" s="171">
        <v>32</v>
      </c>
      <c r="Y130" s="184">
        <v>30</v>
      </c>
      <c r="Z130" s="181">
        <v>33</v>
      </c>
      <c r="AA130" s="171">
        <v>32</v>
      </c>
      <c r="AB130" s="184">
        <v>30</v>
      </c>
      <c r="AC130" s="181">
        <v>33</v>
      </c>
      <c r="AD130" s="171">
        <v>32</v>
      </c>
      <c r="AE130" s="184">
        <v>30</v>
      </c>
      <c r="AF130" s="204">
        <v>33</v>
      </c>
      <c r="AG130" s="171">
        <v>32</v>
      </c>
      <c r="AH130" s="184">
        <v>30</v>
      </c>
      <c r="AI130" s="182" t="s">
        <v>436</v>
      </c>
      <c r="AJ130" s="163" t="s">
        <v>1493</v>
      </c>
      <c r="AK130" s="65" t="s">
        <v>1360</v>
      </c>
      <c r="AL130" s="176">
        <v>1</v>
      </c>
      <c r="AM130" s="179"/>
      <c r="AN130" s="172">
        <v>37.200000000000003</v>
      </c>
      <c r="AO130" s="159"/>
      <c r="AP130" s="163" t="s">
        <v>55</v>
      </c>
      <c r="AQ130" s="109" t="s">
        <v>1403</v>
      </c>
      <c r="AR130" s="173"/>
      <c r="AS130" s="174" t="s">
        <v>1532</v>
      </c>
      <c r="AT130" s="175"/>
      <c r="AU130" s="65" t="s">
        <v>25</v>
      </c>
      <c r="AV130" s="163" t="s">
        <v>14</v>
      </c>
      <c r="AW130" s="65">
        <v>1086</v>
      </c>
      <c r="AX130" s="196">
        <v>44746.476793981485</v>
      </c>
    </row>
    <row r="131" spans="1:50">
      <c r="A131" s="124" t="s">
        <v>80</v>
      </c>
      <c r="B131" s="109" t="s">
        <v>1320</v>
      </c>
      <c r="C131" s="214" t="s">
        <v>1154</v>
      </c>
      <c r="D131" s="163" t="s">
        <v>2375</v>
      </c>
      <c r="E131" s="170">
        <v>94.5</v>
      </c>
      <c r="F131" s="171">
        <v>94.5</v>
      </c>
      <c r="G131" s="184">
        <v>62.999999999999993</v>
      </c>
      <c r="H131" s="181">
        <v>94.5</v>
      </c>
      <c r="I131" s="171">
        <v>94.5</v>
      </c>
      <c r="J131" s="184">
        <v>62.999999999999993</v>
      </c>
      <c r="K131" s="181">
        <v>94.5</v>
      </c>
      <c r="L131" s="171">
        <v>94.5</v>
      </c>
      <c r="M131" s="184">
        <v>62.999999999999993</v>
      </c>
      <c r="N131" s="181">
        <v>94.5</v>
      </c>
      <c r="O131" s="171">
        <v>94.5</v>
      </c>
      <c r="P131" s="184">
        <v>62.999999999999993</v>
      </c>
      <c r="Q131" s="181">
        <v>94.5</v>
      </c>
      <c r="R131" s="171">
        <v>94.5</v>
      </c>
      <c r="S131" s="184">
        <v>62.999999999999993</v>
      </c>
      <c r="T131" s="181">
        <v>94.5</v>
      </c>
      <c r="U131" s="171">
        <v>94.5</v>
      </c>
      <c r="V131" s="184">
        <v>62.999999999999993</v>
      </c>
      <c r="W131" s="181">
        <v>94.5</v>
      </c>
      <c r="X131" s="171">
        <v>94.5</v>
      </c>
      <c r="Y131" s="184">
        <v>62.999999999999993</v>
      </c>
      <c r="Z131" s="181">
        <v>94.5</v>
      </c>
      <c r="AA131" s="171">
        <v>94.5</v>
      </c>
      <c r="AB131" s="184">
        <v>62.999999999999993</v>
      </c>
      <c r="AC131" s="181">
        <v>94.5</v>
      </c>
      <c r="AD131" s="171">
        <v>94.5</v>
      </c>
      <c r="AE131" s="184">
        <v>62.999999999999993</v>
      </c>
      <c r="AF131" s="204">
        <v>94.5</v>
      </c>
      <c r="AG131" s="171">
        <v>94.5</v>
      </c>
      <c r="AH131" s="184">
        <v>62.999999999999993</v>
      </c>
      <c r="AI131" s="182" t="s">
        <v>2374</v>
      </c>
      <c r="AJ131" s="163" t="s">
        <v>1419</v>
      </c>
      <c r="AK131" s="65" t="s">
        <v>17</v>
      </c>
      <c r="AL131" s="176">
        <v>45</v>
      </c>
      <c r="AM131" s="159"/>
      <c r="AN131" s="172">
        <v>94.5</v>
      </c>
      <c r="AO131" s="159"/>
      <c r="AP131" s="163" t="s">
        <v>55</v>
      </c>
      <c r="AQ131" s="109" t="s">
        <v>1407</v>
      </c>
      <c r="AR131" s="173"/>
      <c r="AS131" s="174" t="s">
        <v>1769</v>
      </c>
      <c r="AT131" s="175"/>
      <c r="AU131" s="65" t="s">
        <v>25</v>
      </c>
      <c r="AV131" s="163" t="s">
        <v>17</v>
      </c>
      <c r="AW131" s="65">
        <v>1087</v>
      </c>
      <c r="AX131" s="196">
        <v>44721.50476851852</v>
      </c>
    </row>
    <row r="132" spans="1:50">
      <c r="A132" s="124" t="s">
        <v>80</v>
      </c>
      <c r="B132" s="109" t="s">
        <v>1320</v>
      </c>
      <c r="C132" s="214" t="s">
        <v>2377</v>
      </c>
      <c r="D132" s="163" t="s">
        <v>2379</v>
      </c>
      <c r="E132" s="170">
        <v>71.400000000000006</v>
      </c>
      <c r="F132" s="171">
        <v>71.400000000000006</v>
      </c>
      <c r="G132" s="184">
        <v>47.599999999999994</v>
      </c>
      <c r="H132" s="181">
        <v>71.400000000000006</v>
      </c>
      <c r="I132" s="171">
        <v>71.400000000000006</v>
      </c>
      <c r="J132" s="184">
        <v>47.599999999999994</v>
      </c>
      <c r="K132" s="181">
        <v>71.400000000000006</v>
      </c>
      <c r="L132" s="171">
        <v>71.400000000000006</v>
      </c>
      <c r="M132" s="184">
        <v>47.599999999999994</v>
      </c>
      <c r="N132" s="181">
        <v>71.400000000000006</v>
      </c>
      <c r="O132" s="171">
        <v>71.400000000000006</v>
      </c>
      <c r="P132" s="184">
        <v>47.599999999999994</v>
      </c>
      <c r="Q132" s="181">
        <v>71.400000000000006</v>
      </c>
      <c r="R132" s="171">
        <v>71.400000000000006</v>
      </c>
      <c r="S132" s="184">
        <v>47.599999999999994</v>
      </c>
      <c r="T132" s="181">
        <v>71.400000000000006</v>
      </c>
      <c r="U132" s="171">
        <v>71.400000000000006</v>
      </c>
      <c r="V132" s="184">
        <v>47.599999999999994</v>
      </c>
      <c r="W132" s="181">
        <v>71.400000000000006</v>
      </c>
      <c r="X132" s="171">
        <v>71.400000000000006</v>
      </c>
      <c r="Y132" s="184">
        <v>47.599999999999994</v>
      </c>
      <c r="Z132" s="181">
        <v>71.400000000000006</v>
      </c>
      <c r="AA132" s="171">
        <v>71.400000000000006</v>
      </c>
      <c r="AB132" s="184">
        <v>47.599999999999994</v>
      </c>
      <c r="AC132" s="181">
        <v>71.400000000000006</v>
      </c>
      <c r="AD132" s="171">
        <v>71.400000000000006</v>
      </c>
      <c r="AE132" s="184">
        <v>47.599999999999994</v>
      </c>
      <c r="AF132" s="204">
        <v>71.400000000000006</v>
      </c>
      <c r="AG132" s="171">
        <v>71.400000000000006</v>
      </c>
      <c r="AH132" s="184">
        <v>47.599999999999994</v>
      </c>
      <c r="AI132" s="182" t="s">
        <v>2378</v>
      </c>
      <c r="AJ132" s="163" t="s">
        <v>1419</v>
      </c>
      <c r="AK132" s="65" t="s">
        <v>17</v>
      </c>
      <c r="AL132" s="176">
        <v>34</v>
      </c>
      <c r="AM132" s="159"/>
      <c r="AN132" s="172">
        <v>71.400000000000006</v>
      </c>
      <c r="AO132" s="159"/>
      <c r="AP132" s="163" t="s">
        <v>55</v>
      </c>
      <c r="AQ132" s="109" t="s">
        <v>1407</v>
      </c>
      <c r="AR132" s="173"/>
      <c r="AS132" s="174" t="s">
        <v>1837</v>
      </c>
      <c r="AT132" s="175"/>
      <c r="AU132" s="65" t="s">
        <v>25</v>
      </c>
      <c r="AV132" s="163" t="s">
        <v>17</v>
      </c>
      <c r="AW132" s="65">
        <v>1088</v>
      </c>
      <c r="AX132" s="196">
        <v>44665.712094907409</v>
      </c>
    </row>
    <row r="133" spans="1:50">
      <c r="A133" s="124" t="s">
        <v>62</v>
      </c>
      <c r="B133" s="109" t="s">
        <v>1320</v>
      </c>
      <c r="C133" s="214" t="s">
        <v>731</v>
      </c>
      <c r="D133" s="163" t="s">
        <v>2385</v>
      </c>
      <c r="E133" s="170">
        <v>56.005000000000003</v>
      </c>
      <c r="F133" s="171">
        <v>54.901000000000003</v>
      </c>
      <c r="G133" s="184">
        <v>54.119000000000007</v>
      </c>
      <c r="H133" s="181">
        <v>56.005000000000003</v>
      </c>
      <c r="I133" s="171">
        <v>54.901000000000003</v>
      </c>
      <c r="J133" s="184">
        <v>54.119000000000007</v>
      </c>
      <c r="K133" s="181">
        <v>56.005000000000003</v>
      </c>
      <c r="L133" s="171">
        <v>54.901000000000003</v>
      </c>
      <c r="M133" s="184">
        <v>54.119000000000007</v>
      </c>
      <c r="N133" s="181">
        <v>56.005000000000003</v>
      </c>
      <c r="O133" s="171">
        <v>54.901000000000003</v>
      </c>
      <c r="P133" s="184">
        <v>54.119000000000007</v>
      </c>
      <c r="Q133" s="181">
        <v>56.005000000000003</v>
      </c>
      <c r="R133" s="171">
        <v>54.901000000000003</v>
      </c>
      <c r="S133" s="184">
        <v>54.119000000000007</v>
      </c>
      <c r="T133" s="181">
        <v>56.005000000000003</v>
      </c>
      <c r="U133" s="171">
        <v>54.901000000000003</v>
      </c>
      <c r="V133" s="184">
        <v>54.119000000000007</v>
      </c>
      <c r="W133" s="181">
        <v>56.005000000000003</v>
      </c>
      <c r="X133" s="171">
        <v>54.901000000000003</v>
      </c>
      <c r="Y133" s="184">
        <v>54.119000000000007</v>
      </c>
      <c r="Z133" s="181">
        <v>56.005000000000003</v>
      </c>
      <c r="AA133" s="171">
        <v>54.901000000000003</v>
      </c>
      <c r="AB133" s="184">
        <v>54.119000000000007</v>
      </c>
      <c r="AC133" s="181">
        <v>56.005000000000003</v>
      </c>
      <c r="AD133" s="171">
        <v>54.901000000000003</v>
      </c>
      <c r="AE133" s="184">
        <v>54.119000000000007</v>
      </c>
      <c r="AF133" s="204">
        <v>56.005000000000003</v>
      </c>
      <c r="AG133" s="171">
        <v>54.901000000000003</v>
      </c>
      <c r="AH133" s="184">
        <v>54.119000000000007</v>
      </c>
      <c r="AI133" s="182" t="s">
        <v>2384</v>
      </c>
      <c r="AJ133" s="163" t="s">
        <v>1429</v>
      </c>
      <c r="AK133" s="65" t="s">
        <v>1388</v>
      </c>
      <c r="AL133" s="176">
        <v>23</v>
      </c>
      <c r="AM133" s="159"/>
      <c r="AN133" s="172">
        <v>57.5</v>
      </c>
      <c r="AO133" s="159"/>
      <c r="AP133" s="163" t="s">
        <v>55</v>
      </c>
      <c r="AQ133" s="109" t="s">
        <v>1407</v>
      </c>
      <c r="AR133" s="173"/>
      <c r="AS133" s="174" t="s">
        <v>1452</v>
      </c>
      <c r="AT133" s="175"/>
      <c r="AU133" s="65" t="s">
        <v>25</v>
      </c>
      <c r="AV133" s="163" t="s">
        <v>1388</v>
      </c>
      <c r="AW133" s="65">
        <v>1408</v>
      </c>
      <c r="AX133" s="196">
        <v>44671.444826388892</v>
      </c>
    </row>
    <row r="134" spans="1:50">
      <c r="A134" s="124" t="s">
        <v>80</v>
      </c>
      <c r="B134" s="109" t="s">
        <v>1385</v>
      </c>
      <c r="C134" s="214" t="s">
        <v>125</v>
      </c>
      <c r="D134" s="163" t="s">
        <v>126</v>
      </c>
      <c r="E134" s="170">
        <v>4</v>
      </c>
      <c r="F134" s="171">
        <v>4</v>
      </c>
      <c r="G134" s="184">
        <v>4</v>
      </c>
      <c r="H134" s="181">
        <v>4</v>
      </c>
      <c r="I134" s="171">
        <v>4</v>
      </c>
      <c r="J134" s="184">
        <v>4</v>
      </c>
      <c r="K134" s="181">
        <v>4</v>
      </c>
      <c r="L134" s="171">
        <v>4</v>
      </c>
      <c r="M134" s="184">
        <v>4</v>
      </c>
      <c r="N134" s="181">
        <v>4</v>
      </c>
      <c r="O134" s="171">
        <v>4</v>
      </c>
      <c r="P134" s="184">
        <v>4</v>
      </c>
      <c r="Q134" s="181">
        <v>4</v>
      </c>
      <c r="R134" s="171">
        <v>4</v>
      </c>
      <c r="S134" s="184">
        <v>4</v>
      </c>
      <c r="T134" s="181">
        <v>4</v>
      </c>
      <c r="U134" s="171">
        <v>4</v>
      </c>
      <c r="V134" s="184">
        <v>4</v>
      </c>
      <c r="W134" s="181">
        <v>4</v>
      </c>
      <c r="X134" s="171">
        <v>4</v>
      </c>
      <c r="Y134" s="184">
        <v>4</v>
      </c>
      <c r="Z134" s="181">
        <v>4</v>
      </c>
      <c r="AA134" s="171">
        <v>4</v>
      </c>
      <c r="AB134" s="184">
        <v>4</v>
      </c>
      <c r="AC134" s="181">
        <v>4</v>
      </c>
      <c r="AD134" s="171">
        <v>4</v>
      </c>
      <c r="AE134" s="184">
        <v>4</v>
      </c>
      <c r="AF134" s="204">
        <v>4</v>
      </c>
      <c r="AG134" s="171">
        <v>4</v>
      </c>
      <c r="AH134" s="184">
        <v>4</v>
      </c>
      <c r="AI134" s="182" t="s">
        <v>82</v>
      </c>
      <c r="AJ134" s="163" t="s">
        <v>1391</v>
      </c>
      <c r="AK134" s="65" t="s">
        <v>21</v>
      </c>
      <c r="AL134" s="176">
        <v>1</v>
      </c>
      <c r="AM134" s="159"/>
      <c r="AN134" s="172">
        <v>4.41</v>
      </c>
      <c r="AO134" s="159">
        <v>8.82</v>
      </c>
      <c r="AP134" s="163" t="s">
        <v>27</v>
      </c>
      <c r="AQ134" s="109" t="s">
        <v>1403</v>
      </c>
      <c r="AR134" s="173" t="s">
        <v>1537</v>
      </c>
      <c r="AS134" s="174" t="s">
        <v>1405</v>
      </c>
      <c r="AT134" s="175"/>
      <c r="AU134" s="65" t="s">
        <v>27</v>
      </c>
      <c r="AV134" s="163" t="s">
        <v>20</v>
      </c>
      <c r="AW134" s="65">
        <v>1846</v>
      </c>
      <c r="AX134" s="196">
        <v>44671.362511574072</v>
      </c>
    </row>
    <row r="135" spans="1:50">
      <c r="A135" s="124" t="s">
        <v>80</v>
      </c>
      <c r="B135" s="109" t="s">
        <v>1385</v>
      </c>
      <c r="C135" s="214" t="s">
        <v>125</v>
      </c>
      <c r="D135" s="163" t="s">
        <v>127</v>
      </c>
      <c r="E135" s="170">
        <v>8.3279999999999994</v>
      </c>
      <c r="F135" s="171">
        <v>7.9920000000000009</v>
      </c>
      <c r="G135" s="184">
        <v>7.827</v>
      </c>
      <c r="H135" s="181">
        <v>8.3279999999999994</v>
      </c>
      <c r="I135" s="171">
        <v>7.9920000000000009</v>
      </c>
      <c r="J135" s="184">
        <v>7.827</v>
      </c>
      <c r="K135" s="181">
        <v>8.3279999999999994</v>
      </c>
      <c r="L135" s="171">
        <v>7.9920000000000009</v>
      </c>
      <c r="M135" s="184">
        <v>7.827</v>
      </c>
      <c r="N135" s="181">
        <v>8.3279999999999994</v>
      </c>
      <c r="O135" s="171">
        <v>7.9920000000000009</v>
      </c>
      <c r="P135" s="184">
        <v>7.827</v>
      </c>
      <c r="Q135" s="181">
        <v>8.3279999999999994</v>
      </c>
      <c r="R135" s="171">
        <v>7.9920000000000009</v>
      </c>
      <c r="S135" s="184">
        <v>7.827</v>
      </c>
      <c r="T135" s="181">
        <v>8.3279999999999994</v>
      </c>
      <c r="U135" s="171">
        <v>7.9920000000000009</v>
      </c>
      <c r="V135" s="184">
        <v>7.827</v>
      </c>
      <c r="W135" s="181">
        <v>8.3279999999999994</v>
      </c>
      <c r="X135" s="171">
        <v>7.9920000000000009</v>
      </c>
      <c r="Y135" s="184">
        <v>7.827</v>
      </c>
      <c r="Z135" s="181">
        <v>8.3279999999999994</v>
      </c>
      <c r="AA135" s="171">
        <v>7.9920000000000009</v>
      </c>
      <c r="AB135" s="184">
        <v>7.827</v>
      </c>
      <c r="AC135" s="181">
        <v>8.3279999999999994</v>
      </c>
      <c r="AD135" s="171">
        <v>7.9920000000000009</v>
      </c>
      <c r="AE135" s="184">
        <v>7.827</v>
      </c>
      <c r="AF135" s="204">
        <v>8.3279999999999994</v>
      </c>
      <c r="AG135" s="171">
        <v>7.9920000000000009</v>
      </c>
      <c r="AH135" s="184">
        <v>7.827</v>
      </c>
      <c r="AI135" s="182" t="s">
        <v>82</v>
      </c>
      <c r="AJ135" s="163" t="s">
        <v>1429</v>
      </c>
      <c r="AK135" s="65" t="s">
        <v>1388</v>
      </c>
      <c r="AL135" s="176">
        <v>3</v>
      </c>
      <c r="AM135" s="159"/>
      <c r="AN135" s="172">
        <v>8.34</v>
      </c>
      <c r="AO135" s="159"/>
      <c r="AP135" s="163" t="s">
        <v>27</v>
      </c>
      <c r="AQ135" s="109" t="s">
        <v>1407</v>
      </c>
      <c r="AR135" s="173" t="s">
        <v>1537</v>
      </c>
      <c r="AS135" s="174" t="s">
        <v>1405</v>
      </c>
      <c r="AT135" s="175"/>
      <c r="AU135" s="65" t="s">
        <v>27</v>
      </c>
      <c r="AV135" s="163" t="s">
        <v>1388</v>
      </c>
      <c r="AW135" s="65">
        <v>1846</v>
      </c>
      <c r="AX135" s="196">
        <v>44671.362511574072</v>
      </c>
    </row>
    <row r="136" spans="1:50">
      <c r="A136" s="124" t="s">
        <v>62</v>
      </c>
      <c r="B136" s="109" t="s">
        <v>1320</v>
      </c>
      <c r="C136" s="214" t="s">
        <v>479</v>
      </c>
      <c r="D136" s="163" t="s">
        <v>481</v>
      </c>
      <c r="E136" s="170">
        <v>100.03500000000001</v>
      </c>
      <c r="F136" s="171">
        <v>100.03500000000001</v>
      </c>
      <c r="G136" s="184">
        <v>100.03500000000001</v>
      </c>
      <c r="H136" s="181">
        <v>100.03500000000001</v>
      </c>
      <c r="I136" s="171">
        <v>100.03500000000001</v>
      </c>
      <c r="J136" s="184">
        <v>100.03500000000001</v>
      </c>
      <c r="K136" s="181">
        <v>100.03500000000001</v>
      </c>
      <c r="L136" s="171">
        <v>100.03500000000001</v>
      </c>
      <c r="M136" s="184">
        <v>100.03500000000001</v>
      </c>
      <c r="N136" s="181">
        <v>100.03500000000001</v>
      </c>
      <c r="O136" s="171">
        <v>100.03500000000001</v>
      </c>
      <c r="P136" s="184">
        <v>100.03500000000001</v>
      </c>
      <c r="Q136" s="181">
        <v>100.03500000000001</v>
      </c>
      <c r="R136" s="171">
        <v>100.03500000000001</v>
      </c>
      <c r="S136" s="184">
        <v>100.03500000000001</v>
      </c>
      <c r="T136" s="181">
        <v>100.03500000000001</v>
      </c>
      <c r="U136" s="171">
        <v>100.03500000000001</v>
      </c>
      <c r="V136" s="184">
        <v>100.03500000000001</v>
      </c>
      <c r="W136" s="181">
        <v>100.03500000000001</v>
      </c>
      <c r="X136" s="171">
        <v>100.03500000000001</v>
      </c>
      <c r="Y136" s="184">
        <v>100.03500000000001</v>
      </c>
      <c r="Z136" s="181">
        <v>100.03500000000001</v>
      </c>
      <c r="AA136" s="171">
        <v>100.03500000000001</v>
      </c>
      <c r="AB136" s="184">
        <v>100.03500000000001</v>
      </c>
      <c r="AC136" s="181">
        <v>100.03500000000001</v>
      </c>
      <c r="AD136" s="171">
        <v>100.03500000000001</v>
      </c>
      <c r="AE136" s="184">
        <v>100.03500000000001</v>
      </c>
      <c r="AF136" s="204">
        <v>100.03500000000001</v>
      </c>
      <c r="AG136" s="171">
        <v>100.03500000000001</v>
      </c>
      <c r="AH136" s="184">
        <v>100.03500000000001</v>
      </c>
      <c r="AI136" s="182" t="s">
        <v>480</v>
      </c>
      <c r="AJ136" s="163" t="s">
        <v>1429</v>
      </c>
      <c r="AK136" s="65" t="s">
        <v>1388</v>
      </c>
      <c r="AL136" s="176">
        <v>81</v>
      </c>
      <c r="AM136" s="159"/>
      <c r="AN136" s="172">
        <v>132.59700000000001</v>
      </c>
      <c r="AO136" s="159"/>
      <c r="AP136" s="163" t="s">
        <v>55</v>
      </c>
      <c r="AQ136" s="109" t="s">
        <v>1407</v>
      </c>
      <c r="AR136" s="173"/>
      <c r="AS136" s="174" t="s">
        <v>1532</v>
      </c>
      <c r="AT136" s="175"/>
      <c r="AU136" s="65" t="s">
        <v>25</v>
      </c>
      <c r="AV136" s="163" t="s">
        <v>1388</v>
      </c>
      <c r="AW136" s="65">
        <v>1564</v>
      </c>
      <c r="AX136" s="196">
        <v>44743.622407407405</v>
      </c>
    </row>
    <row r="137" spans="1:50">
      <c r="A137" s="124" t="s">
        <v>62</v>
      </c>
      <c r="B137" s="109" t="s">
        <v>1320</v>
      </c>
      <c r="C137" s="214" t="s">
        <v>592</v>
      </c>
      <c r="D137" s="163" t="s">
        <v>594</v>
      </c>
      <c r="E137" s="170">
        <v>50.000999999999998</v>
      </c>
      <c r="F137" s="171">
        <v>48.006</v>
      </c>
      <c r="G137" s="184">
        <v>47.838000000000001</v>
      </c>
      <c r="H137" s="181">
        <v>50.000999999999998</v>
      </c>
      <c r="I137" s="171">
        <v>48.006</v>
      </c>
      <c r="J137" s="184">
        <v>47.838000000000001</v>
      </c>
      <c r="K137" s="181">
        <v>50.000999999999998</v>
      </c>
      <c r="L137" s="171">
        <v>48.006</v>
      </c>
      <c r="M137" s="184">
        <v>47.838000000000001</v>
      </c>
      <c r="N137" s="181">
        <v>50.000999999999998</v>
      </c>
      <c r="O137" s="171">
        <v>48.006</v>
      </c>
      <c r="P137" s="184">
        <v>47.838000000000001</v>
      </c>
      <c r="Q137" s="181">
        <v>50.000999999999998</v>
      </c>
      <c r="R137" s="171">
        <v>48.006</v>
      </c>
      <c r="S137" s="184">
        <v>47.838000000000001</v>
      </c>
      <c r="T137" s="181">
        <v>50.000999999999998</v>
      </c>
      <c r="U137" s="171">
        <v>48.006</v>
      </c>
      <c r="V137" s="184">
        <v>47.838000000000001</v>
      </c>
      <c r="W137" s="181">
        <v>50.000999999999998</v>
      </c>
      <c r="X137" s="171">
        <v>48.006</v>
      </c>
      <c r="Y137" s="184">
        <v>47.838000000000001</v>
      </c>
      <c r="Z137" s="181">
        <v>50.000999999999998</v>
      </c>
      <c r="AA137" s="171">
        <v>48.006</v>
      </c>
      <c r="AB137" s="184">
        <v>47.838000000000001</v>
      </c>
      <c r="AC137" s="181">
        <v>50.000999999999998</v>
      </c>
      <c r="AD137" s="171">
        <v>48.006</v>
      </c>
      <c r="AE137" s="184">
        <v>47.838000000000001</v>
      </c>
      <c r="AF137" s="204">
        <v>50.000999999999998</v>
      </c>
      <c r="AG137" s="171">
        <v>48.006</v>
      </c>
      <c r="AH137" s="184">
        <v>47.838000000000001</v>
      </c>
      <c r="AI137" s="182" t="s">
        <v>593</v>
      </c>
      <c r="AJ137" s="163" t="s">
        <v>1429</v>
      </c>
      <c r="AK137" s="65" t="s">
        <v>1388</v>
      </c>
      <c r="AL137" s="176">
        <v>21</v>
      </c>
      <c r="AM137" s="159"/>
      <c r="AN137" s="172">
        <v>57.75</v>
      </c>
      <c r="AO137" s="159"/>
      <c r="AP137" s="163" t="s">
        <v>55</v>
      </c>
      <c r="AQ137" s="109" t="s">
        <v>1407</v>
      </c>
      <c r="AR137" s="173"/>
      <c r="AS137" s="174" t="s">
        <v>1452</v>
      </c>
      <c r="AT137" s="175"/>
      <c r="AU137" s="65" t="s">
        <v>25</v>
      </c>
      <c r="AV137" s="163" t="s">
        <v>1388</v>
      </c>
      <c r="AW137" s="65">
        <v>1517</v>
      </c>
      <c r="AX137" s="196">
        <v>44671.469594907408</v>
      </c>
    </row>
    <row r="138" spans="1:50">
      <c r="A138" s="124" t="s">
        <v>46</v>
      </c>
      <c r="B138" s="109" t="s">
        <v>1385</v>
      </c>
      <c r="C138" s="214" t="s">
        <v>214</v>
      </c>
      <c r="D138" s="163" t="s">
        <v>208</v>
      </c>
      <c r="E138" s="170">
        <v>85</v>
      </c>
      <c r="F138" s="171">
        <v>85</v>
      </c>
      <c r="G138" s="184">
        <v>76.52</v>
      </c>
      <c r="H138" s="181">
        <v>85</v>
      </c>
      <c r="I138" s="171">
        <v>85</v>
      </c>
      <c r="J138" s="184">
        <v>76.52</v>
      </c>
      <c r="K138" s="181">
        <v>85</v>
      </c>
      <c r="L138" s="171">
        <v>85</v>
      </c>
      <c r="M138" s="184">
        <v>76.52</v>
      </c>
      <c r="N138" s="181">
        <v>85</v>
      </c>
      <c r="O138" s="171">
        <v>85</v>
      </c>
      <c r="P138" s="184">
        <v>76.52</v>
      </c>
      <c r="Q138" s="181">
        <v>85</v>
      </c>
      <c r="R138" s="171">
        <v>85</v>
      </c>
      <c r="S138" s="184">
        <v>76.52</v>
      </c>
      <c r="T138" s="181">
        <v>85</v>
      </c>
      <c r="U138" s="171">
        <v>85</v>
      </c>
      <c r="V138" s="184">
        <v>76.52</v>
      </c>
      <c r="W138" s="181">
        <v>85</v>
      </c>
      <c r="X138" s="171">
        <v>85</v>
      </c>
      <c r="Y138" s="184">
        <v>76.52</v>
      </c>
      <c r="Z138" s="181">
        <v>85</v>
      </c>
      <c r="AA138" s="171">
        <v>85</v>
      </c>
      <c r="AB138" s="184">
        <v>76.52</v>
      </c>
      <c r="AC138" s="181">
        <v>85</v>
      </c>
      <c r="AD138" s="171">
        <v>85</v>
      </c>
      <c r="AE138" s="184">
        <v>76.52</v>
      </c>
      <c r="AF138" s="204">
        <v>85</v>
      </c>
      <c r="AG138" s="171">
        <v>85</v>
      </c>
      <c r="AH138" s="184">
        <v>76.52</v>
      </c>
      <c r="AI138" s="182" t="s">
        <v>215</v>
      </c>
      <c r="AJ138" s="163" t="s">
        <v>1429</v>
      </c>
      <c r="AK138" s="65" t="s">
        <v>1388</v>
      </c>
      <c r="AL138" s="176">
        <v>40</v>
      </c>
      <c r="AM138" s="159"/>
      <c r="AN138" s="172">
        <v>85</v>
      </c>
      <c r="AO138" s="159"/>
      <c r="AP138" s="163" t="s">
        <v>27</v>
      </c>
      <c r="AQ138" s="109" t="s">
        <v>1407</v>
      </c>
      <c r="AR138" s="173" t="s">
        <v>1409</v>
      </c>
      <c r="AS138" s="174" t="s">
        <v>1474</v>
      </c>
      <c r="AT138" s="175"/>
      <c r="AU138" s="65" t="s">
        <v>27</v>
      </c>
      <c r="AV138" s="163" t="s">
        <v>1388</v>
      </c>
      <c r="AW138" s="65">
        <v>1452</v>
      </c>
      <c r="AX138" s="196">
        <v>44732.471550925926</v>
      </c>
    </row>
    <row r="139" spans="1:50">
      <c r="A139" s="124" t="s">
        <v>80</v>
      </c>
      <c r="B139" s="109" t="s">
        <v>1320</v>
      </c>
      <c r="C139" s="214" t="s">
        <v>406</v>
      </c>
      <c r="D139" s="163" t="s">
        <v>408</v>
      </c>
      <c r="E139" s="170">
        <v>150</v>
      </c>
      <c r="F139" s="171">
        <v>150</v>
      </c>
      <c r="G139" s="184">
        <v>150</v>
      </c>
      <c r="H139" s="181">
        <v>150</v>
      </c>
      <c r="I139" s="171">
        <v>150</v>
      </c>
      <c r="J139" s="184">
        <v>150</v>
      </c>
      <c r="K139" s="181">
        <v>150</v>
      </c>
      <c r="L139" s="171">
        <v>150</v>
      </c>
      <c r="M139" s="184">
        <v>150</v>
      </c>
      <c r="N139" s="181">
        <v>150</v>
      </c>
      <c r="O139" s="171">
        <v>150</v>
      </c>
      <c r="P139" s="184">
        <v>150</v>
      </c>
      <c r="Q139" s="181">
        <v>150</v>
      </c>
      <c r="R139" s="171">
        <v>150</v>
      </c>
      <c r="S139" s="184">
        <v>150</v>
      </c>
      <c r="T139" s="181">
        <v>150</v>
      </c>
      <c r="U139" s="171">
        <v>150</v>
      </c>
      <c r="V139" s="184">
        <v>150</v>
      </c>
      <c r="W139" s="181">
        <v>150</v>
      </c>
      <c r="X139" s="171">
        <v>150</v>
      </c>
      <c r="Y139" s="184">
        <v>150</v>
      </c>
      <c r="Z139" s="181">
        <v>150</v>
      </c>
      <c r="AA139" s="171">
        <v>150</v>
      </c>
      <c r="AB139" s="184">
        <v>150</v>
      </c>
      <c r="AC139" s="181">
        <v>150</v>
      </c>
      <c r="AD139" s="171">
        <v>150</v>
      </c>
      <c r="AE139" s="184">
        <v>150</v>
      </c>
      <c r="AF139" s="204">
        <v>150</v>
      </c>
      <c r="AG139" s="171">
        <v>150</v>
      </c>
      <c r="AH139" s="184">
        <v>150</v>
      </c>
      <c r="AI139" s="182" t="s">
        <v>407</v>
      </c>
      <c r="AJ139" s="163" t="s">
        <v>1391</v>
      </c>
      <c r="AK139" s="65" t="s">
        <v>21</v>
      </c>
      <c r="AL139" s="176">
        <v>2</v>
      </c>
      <c r="AM139" s="159"/>
      <c r="AN139" s="172">
        <v>150</v>
      </c>
      <c r="AO139" s="159">
        <v>178.3</v>
      </c>
      <c r="AP139" s="163" t="s">
        <v>55</v>
      </c>
      <c r="AQ139" s="109" t="s">
        <v>1403</v>
      </c>
      <c r="AR139" s="173"/>
      <c r="AS139" s="174" t="s">
        <v>1542</v>
      </c>
      <c r="AT139" s="175"/>
      <c r="AU139" s="65" t="s">
        <v>25</v>
      </c>
      <c r="AV139" s="163" t="s">
        <v>20</v>
      </c>
      <c r="AW139" s="65">
        <v>1610</v>
      </c>
      <c r="AX139" s="196">
        <v>44671.595173611109</v>
      </c>
    </row>
    <row r="140" spans="1:50">
      <c r="A140" s="124" t="s">
        <v>80</v>
      </c>
      <c r="B140" s="109" t="s">
        <v>1320</v>
      </c>
      <c r="C140" s="214" t="s">
        <v>916</v>
      </c>
      <c r="D140" s="163" t="s">
        <v>2425</v>
      </c>
      <c r="E140" s="170">
        <v>100</v>
      </c>
      <c r="F140" s="171">
        <v>100</v>
      </c>
      <c r="G140" s="184">
        <v>100</v>
      </c>
      <c r="H140" s="205">
        <v>100</v>
      </c>
      <c r="I140" s="171">
        <v>100</v>
      </c>
      <c r="J140" s="184">
        <v>100</v>
      </c>
      <c r="K140" s="205">
        <v>100</v>
      </c>
      <c r="L140" s="171">
        <v>100</v>
      </c>
      <c r="M140" s="184">
        <v>100</v>
      </c>
      <c r="N140" s="205">
        <v>100</v>
      </c>
      <c r="O140" s="171">
        <v>100</v>
      </c>
      <c r="P140" s="184">
        <v>100</v>
      </c>
      <c r="Q140" s="205">
        <v>100</v>
      </c>
      <c r="R140" s="171">
        <v>100</v>
      </c>
      <c r="S140" s="184">
        <v>100</v>
      </c>
      <c r="T140" s="205">
        <v>100</v>
      </c>
      <c r="U140" s="171">
        <v>100</v>
      </c>
      <c r="V140" s="184">
        <v>100</v>
      </c>
      <c r="W140" s="205">
        <v>100</v>
      </c>
      <c r="X140" s="171">
        <v>100</v>
      </c>
      <c r="Y140" s="184">
        <v>100</v>
      </c>
      <c r="Z140" s="205">
        <v>100</v>
      </c>
      <c r="AA140" s="171">
        <v>100</v>
      </c>
      <c r="AB140" s="184">
        <v>100</v>
      </c>
      <c r="AC140" s="205">
        <v>100</v>
      </c>
      <c r="AD140" s="171">
        <v>100</v>
      </c>
      <c r="AE140" s="184">
        <v>100</v>
      </c>
      <c r="AF140" s="170">
        <v>100</v>
      </c>
      <c r="AG140" s="171">
        <v>100</v>
      </c>
      <c r="AH140" s="184">
        <v>100</v>
      </c>
      <c r="AI140" s="65" t="s">
        <v>2424</v>
      </c>
      <c r="AJ140" s="163" t="s">
        <v>1419</v>
      </c>
      <c r="AK140" s="65" t="s">
        <v>17</v>
      </c>
      <c r="AL140" s="176">
        <v>32</v>
      </c>
      <c r="AM140" s="159"/>
      <c r="AN140" s="172">
        <v>102.4</v>
      </c>
      <c r="AO140" s="159"/>
      <c r="AP140" s="163" t="s">
        <v>55</v>
      </c>
      <c r="AQ140" s="109" t="s">
        <v>1407</v>
      </c>
      <c r="AR140" s="173"/>
      <c r="AS140" s="174" t="s">
        <v>2342</v>
      </c>
      <c r="AT140" s="175"/>
      <c r="AU140" s="65" t="s">
        <v>25</v>
      </c>
      <c r="AV140" s="163" t="s">
        <v>17</v>
      </c>
      <c r="AW140" s="65">
        <v>1300</v>
      </c>
      <c r="AX140" s="196">
        <v>44671.363923611112</v>
      </c>
    </row>
    <row r="141" spans="1:50">
      <c r="A141" s="124" t="s">
        <v>80</v>
      </c>
      <c r="B141" s="109" t="s">
        <v>1320</v>
      </c>
      <c r="C141" s="214" t="s">
        <v>838</v>
      </c>
      <c r="D141" s="163" t="s">
        <v>2428</v>
      </c>
      <c r="E141" s="170">
        <v>100</v>
      </c>
      <c r="F141" s="171">
        <v>100</v>
      </c>
      <c r="G141" s="184">
        <v>100</v>
      </c>
      <c r="H141" s="204">
        <v>100</v>
      </c>
      <c r="I141" s="171">
        <v>100</v>
      </c>
      <c r="J141" s="184">
        <v>100</v>
      </c>
      <c r="K141" s="204">
        <v>100</v>
      </c>
      <c r="L141" s="171">
        <v>100</v>
      </c>
      <c r="M141" s="184">
        <v>100</v>
      </c>
      <c r="N141" s="204">
        <v>100</v>
      </c>
      <c r="O141" s="171">
        <v>100</v>
      </c>
      <c r="P141" s="184">
        <v>100</v>
      </c>
      <c r="Q141" s="204">
        <v>100</v>
      </c>
      <c r="R141" s="171">
        <v>100</v>
      </c>
      <c r="S141" s="184">
        <v>100</v>
      </c>
      <c r="T141" s="204">
        <v>100</v>
      </c>
      <c r="U141" s="171">
        <v>100</v>
      </c>
      <c r="V141" s="184">
        <v>100</v>
      </c>
      <c r="W141" s="204">
        <v>100</v>
      </c>
      <c r="X141" s="171">
        <v>100</v>
      </c>
      <c r="Y141" s="184">
        <v>100</v>
      </c>
      <c r="Z141" s="204">
        <v>100</v>
      </c>
      <c r="AA141" s="171">
        <v>100</v>
      </c>
      <c r="AB141" s="184">
        <v>100</v>
      </c>
      <c r="AC141" s="204">
        <v>100</v>
      </c>
      <c r="AD141" s="171">
        <v>100</v>
      </c>
      <c r="AE141" s="184">
        <v>100</v>
      </c>
      <c r="AF141" s="204">
        <v>100</v>
      </c>
      <c r="AG141" s="171">
        <v>100</v>
      </c>
      <c r="AH141" s="184">
        <v>100</v>
      </c>
      <c r="AI141" s="182" t="s">
        <v>2427</v>
      </c>
      <c r="AJ141" s="163" t="s">
        <v>1419</v>
      </c>
      <c r="AK141" s="65" t="s">
        <v>17</v>
      </c>
      <c r="AL141" s="176">
        <v>32</v>
      </c>
      <c r="AM141" s="159"/>
      <c r="AN141" s="172">
        <v>102.4</v>
      </c>
      <c r="AO141" s="159"/>
      <c r="AP141" s="163" t="s">
        <v>55</v>
      </c>
      <c r="AQ141" s="109" t="s">
        <v>1407</v>
      </c>
      <c r="AR141" s="173"/>
      <c r="AS141" s="174" t="s">
        <v>1542</v>
      </c>
      <c r="AT141" s="175"/>
      <c r="AU141" s="65" t="s">
        <v>25</v>
      </c>
      <c r="AV141" s="163" t="s">
        <v>17</v>
      </c>
      <c r="AW141" s="65">
        <v>1376</v>
      </c>
      <c r="AX141" s="196">
        <v>44673.356863425928</v>
      </c>
    </row>
    <row r="142" spans="1:50">
      <c r="A142" s="124" t="s">
        <v>80</v>
      </c>
      <c r="B142" s="109" t="s">
        <v>1320</v>
      </c>
      <c r="C142" s="214" t="s">
        <v>840</v>
      </c>
      <c r="D142" s="163" t="s">
        <v>2430</v>
      </c>
      <c r="E142" s="170">
        <v>108.99</v>
      </c>
      <c r="F142" s="171">
        <v>108.99</v>
      </c>
      <c r="G142" s="184">
        <v>108.99</v>
      </c>
      <c r="H142" s="204">
        <v>108.99</v>
      </c>
      <c r="I142" s="171">
        <v>108.99</v>
      </c>
      <c r="J142" s="184">
        <v>108.99</v>
      </c>
      <c r="K142" s="204">
        <v>108.99</v>
      </c>
      <c r="L142" s="171">
        <v>108.99</v>
      </c>
      <c r="M142" s="184">
        <v>108.99</v>
      </c>
      <c r="N142" s="204">
        <v>108.99</v>
      </c>
      <c r="O142" s="171">
        <v>108.99</v>
      </c>
      <c r="P142" s="184">
        <v>108.99</v>
      </c>
      <c r="Q142" s="204">
        <v>108.99</v>
      </c>
      <c r="R142" s="171">
        <v>108.99</v>
      </c>
      <c r="S142" s="184">
        <v>108.99</v>
      </c>
      <c r="T142" s="204">
        <v>108.99</v>
      </c>
      <c r="U142" s="171">
        <v>108.99</v>
      </c>
      <c r="V142" s="184">
        <v>108.99</v>
      </c>
      <c r="W142" s="204">
        <v>108.99</v>
      </c>
      <c r="X142" s="171">
        <v>108.99</v>
      </c>
      <c r="Y142" s="184">
        <v>108.99</v>
      </c>
      <c r="Z142" s="204">
        <v>108.99</v>
      </c>
      <c r="AA142" s="171">
        <v>108.99</v>
      </c>
      <c r="AB142" s="184">
        <v>108.99</v>
      </c>
      <c r="AC142" s="204">
        <v>108.99</v>
      </c>
      <c r="AD142" s="171">
        <v>108.99</v>
      </c>
      <c r="AE142" s="184">
        <v>108.99</v>
      </c>
      <c r="AF142" s="204">
        <v>108.99</v>
      </c>
      <c r="AG142" s="171">
        <v>108.99</v>
      </c>
      <c r="AH142" s="184">
        <v>108.99</v>
      </c>
      <c r="AI142" s="182" t="s">
        <v>2429</v>
      </c>
      <c r="AJ142" s="163" t="s">
        <v>1419</v>
      </c>
      <c r="AK142" s="65" t="s">
        <v>17</v>
      </c>
      <c r="AL142" s="176">
        <v>35</v>
      </c>
      <c r="AM142" s="159"/>
      <c r="AN142" s="172">
        <v>112</v>
      </c>
      <c r="AO142" s="159"/>
      <c r="AP142" s="163" t="s">
        <v>55</v>
      </c>
      <c r="AQ142" s="109" t="s">
        <v>1407</v>
      </c>
      <c r="AR142" s="173"/>
      <c r="AS142" s="174" t="s">
        <v>1542</v>
      </c>
      <c r="AT142" s="175"/>
      <c r="AU142" s="65" t="s">
        <v>25</v>
      </c>
      <c r="AV142" s="163" t="s">
        <v>17</v>
      </c>
      <c r="AW142" s="65">
        <v>1381</v>
      </c>
      <c r="AX142" s="196">
        <v>44671.429155092592</v>
      </c>
    </row>
    <row r="143" spans="1:50">
      <c r="A143" s="124" t="s">
        <v>46</v>
      </c>
      <c r="B143" s="109" t="s">
        <v>1320</v>
      </c>
      <c r="C143" s="214" t="s">
        <v>2435</v>
      </c>
      <c r="D143" s="163" t="s">
        <v>2437</v>
      </c>
      <c r="E143" s="170">
        <v>0</v>
      </c>
      <c r="F143" s="171">
        <v>29</v>
      </c>
      <c r="G143" s="184">
        <v>29</v>
      </c>
      <c r="H143" s="204">
        <v>0</v>
      </c>
      <c r="I143" s="171">
        <v>29</v>
      </c>
      <c r="J143" s="184">
        <v>29</v>
      </c>
      <c r="K143" s="204">
        <v>0</v>
      </c>
      <c r="L143" s="171">
        <v>29</v>
      </c>
      <c r="M143" s="184">
        <v>29</v>
      </c>
      <c r="N143" s="204">
        <v>0</v>
      </c>
      <c r="O143" s="171">
        <v>29</v>
      </c>
      <c r="P143" s="184">
        <v>29</v>
      </c>
      <c r="Q143" s="204">
        <v>0</v>
      </c>
      <c r="R143" s="171">
        <v>29</v>
      </c>
      <c r="S143" s="184">
        <v>29</v>
      </c>
      <c r="T143" s="204">
        <v>0</v>
      </c>
      <c r="U143" s="171">
        <v>29</v>
      </c>
      <c r="V143" s="184">
        <v>29</v>
      </c>
      <c r="W143" s="204">
        <v>0</v>
      </c>
      <c r="X143" s="171">
        <v>29</v>
      </c>
      <c r="Y143" s="184">
        <v>29</v>
      </c>
      <c r="Z143" s="204">
        <v>0</v>
      </c>
      <c r="AA143" s="171">
        <v>29</v>
      </c>
      <c r="AB143" s="184">
        <v>29</v>
      </c>
      <c r="AC143" s="204">
        <v>0</v>
      </c>
      <c r="AD143" s="171">
        <v>29</v>
      </c>
      <c r="AE143" s="184">
        <v>29</v>
      </c>
      <c r="AF143" s="204">
        <v>0</v>
      </c>
      <c r="AG143" s="171">
        <v>29</v>
      </c>
      <c r="AH143" s="184">
        <v>29</v>
      </c>
      <c r="AI143" s="182" t="s">
        <v>2436</v>
      </c>
      <c r="AJ143" s="163" t="s">
        <v>1539</v>
      </c>
      <c r="AK143" s="65" t="s">
        <v>18</v>
      </c>
      <c r="AL143" s="176">
        <v>1</v>
      </c>
      <c r="AM143" s="159"/>
      <c r="AN143" s="172">
        <v>29</v>
      </c>
      <c r="AO143" s="159"/>
      <c r="AP143" s="163" t="s">
        <v>55</v>
      </c>
      <c r="AQ143" s="109" t="s">
        <v>1403</v>
      </c>
      <c r="AR143" s="178"/>
      <c r="AS143" s="174" t="s">
        <v>1542</v>
      </c>
      <c r="AT143" s="175"/>
      <c r="AU143" s="65" t="s">
        <v>25</v>
      </c>
      <c r="AV143" s="163" t="s">
        <v>18</v>
      </c>
      <c r="AW143" s="65">
        <v>1732</v>
      </c>
      <c r="AX143" s="196">
        <v>44671.386874999997</v>
      </c>
    </row>
    <row r="144" spans="1:50">
      <c r="A144" s="124" t="s">
        <v>100</v>
      </c>
      <c r="B144" s="109" t="s">
        <v>1320</v>
      </c>
      <c r="C144" s="214" t="s">
        <v>2438</v>
      </c>
      <c r="D144" s="163" t="s">
        <v>2439</v>
      </c>
      <c r="E144" s="170">
        <v>0</v>
      </c>
      <c r="F144" s="171">
        <v>29</v>
      </c>
      <c r="G144" s="184">
        <v>29</v>
      </c>
      <c r="H144" s="204">
        <v>0</v>
      </c>
      <c r="I144" s="171">
        <v>29</v>
      </c>
      <c r="J144" s="184">
        <v>29</v>
      </c>
      <c r="K144" s="204">
        <v>0</v>
      </c>
      <c r="L144" s="171">
        <v>29</v>
      </c>
      <c r="M144" s="184">
        <v>29</v>
      </c>
      <c r="N144" s="204">
        <v>0</v>
      </c>
      <c r="O144" s="171">
        <v>29</v>
      </c>
      <c r="P144" s="184">
        <v>29</v>
      </c>
      <c r="Q144" s="204">
        <v>0</v>
      </c>
      <c r="R144" s="171">
        <v>29</v>
      </c>
      <c r="S144" s="184">
        <v>29</v>
      </c>
      <c r="T144" s="204">
        <v>0</v>
      </c>
      <c r="U144" s="171">
        <v>29</v>
      </c>
      <c r="V144" s="184">
        <v>29</v>
      </c>
      <c r="W144" s="204">
        <v>0</v>
      </c>
      <c r="X144" s="171">
        <v>29</v>
      </c>
      <c r="Y144" s="184">
        <v>29</v>
      </c>
      <c r="Z144" s="204">
        <v>0</v>
      </c>
      <c r="AA144" s="171">
        <v>29</v>
      </c>
      <c r="AB144" s="184">
        <v>29</v>
      </c>
      <c r="AC144" s="204">
        <v>0</v>
      </c>
      <c r="AD144" s="171">
        <v>29</v>
      </c>
      <c r="AE144" s="184">
        <v>29</v>
      </c>
      <c r="AF144" s="204">
        <v>0</v>
      </c>
      <c r="AG144" s="171">
        <v>29</v>
      </c>
      <c r="AH144" s="184">
        <v>29</v>
      </c>
      <c r="AI144" s="182" t="s">
        <v>1809</v>
      </c>
      <c r="AJ144" s="163" t="s">
        <v>1539</v>
      </c>
      <c r="AK144" s="65" t="s">
        <v>18</v>
      </c>
      <c r="AL144" s="176">
        <v>1</v>
      </c>
      <c r="AM144" s="159"/>
      <c r="AN144" s="172">
        <v>29</v>
      </c>
      <c r="AO144" s="159"/>
      <c r="AP144" s="163" t="s">
        <v>55</v>
      </c>
      <c r="AQ144" s="109" t="s">
        <v>1403</v>
      </c>
      <c r="AR144" s="178"/>
      <c r="AS144" s="174" t="s">
        <v>1542</v>
      </c>
      <c r="AT144" s="175"/>
      <c r="AU144" s="65" t="s">
        <v>25</v>
      </c>
      <c r="AV144" s="163" t="s">
        <v>18</v>
      </c>
      <c r="AW144" s="65">
        <v>1736</v>
      </c>
      <c r="AX144" s="196">
        <v>44671.370798611111</v>
      </c>
    </row>
    <row r="145" spans="1:50">
      <c r="A145" s="124" t="s">
        <v>100</v>
      </c>
      <c r="B145" s="109" t="s">
        <v>1320</v>
      </c>
      <c r="C145" s="214" t="s">
        <v>2476</v>
      </c>
      <c r="D145" s="163" t="s">
        <v>2478</v>
      </c>
      <c r="E145" s="170">
        <v>56</v>
      </c>
      <c r="F145" s="171">
        <v>50</v>
      </c>
      <c r="G145" s="184">
        <v>46.6</v>
      </c>
      <c r="H145" s="181">
        <v>56</v>
      </c>
      <c r="I145" s="171">
        <v>50</v>
      </c>
      <c r="J145" s="184">
        <v>46.6</v>
      </c>
      <c r="K145" s="181">
        <v>56</v>
      </c>
      <c r="L145" s="171">
        <v>50</v>
      </c>
      <c r="M145" s="184">
        <v>46.6</v>
      </c>
      <c r="N145" s="181">
        <v>56</v>
      </c>
      <c r="O145" s="171">
        <v>50</v>
      </c>
      <c r="P145" s="184">
        <v>46.6</v>
      </c>
      <c r="Q145" s="181">
        <v>56</v>
      </c>
      <c r="R145" s="171">
        <v>50</v>
      </c>
      <c r="S145" s="184">
        <v>46.6</v>
      </c>
      <c r="T145" s="181">
        <v>56</v>
      </c>
      <c r="U145" s="171">
        <v>50</v>
      </c>
      <c r="V145" s="184">
        <v>46.6</v>
      </c>
      <c r="W145" s="181">
        <v>56</v>
      </c>
      <c r="X145" s="171">
        <v>50</v>
      </c>
      <c r="Y145" s="184">
        <v>46.6</v>
      </c>
      <c r="Z145" s="181">
        <v>56</v>
      </c>
      <c r="AA145" s="171">
        <v>50</v>
      </c>
      <c r="AB145" s="184">
        <v>46.6</v>
      </c>
      <c r="AC145" s="181">
        <v>56</v>
      </c>
      <c r="AD145" s="171">
        <v>50</v>
      </c>
      <c r="AE145" s="184">
        <v>46.6</v>
      </c>
      <c r="AF145" s="204">
        <v>56</v>
      </c>
      <c r="AG145" s="171">
        <v>50</v>
      </c>
      <c r="AH145" s="184">
        <v>46.6</v>
      </c>
      <c r="AI145" s="182" t="s">
        <v>2477</v>
      </c>
      <c r="AJ145" s="163" t="s">
        <v>1493</v>
      </c>
      <c r="AK145" s="65" t="s">
        <v>1360</v>
      </c>
      <c r="AL145" s="176">
        <v>1</v>
      </c>
      <c r="AM145" s="159"/>
      <c r="AN145" s="172">
        <v>53</v>
      </c>
      <c r="AO145" s="159"/>
      <c r="AP145" s="163" t="s">
        <v>55</v>
      </c>
      <c r="AQ145" s="109" t="s">
        <v>1403</v>
      </c>
      <c r="AR145" s="173"/>
      <c r="AS145" s="174" t="s">
        <v>1943</v>
      </c>
      <c r="AT145" s="175"/>
      <c r="AU145" s="65" t="s">
        <v>25</v>
      </c>
      <c r="AV145" s="163" t="s">
        <v>14</v>
      </c>
      <c r="AW145" s="65">
        <v>1373</v>
      </c>
      <c r="AX145" s="196">
        <v>44746.641539351855</v>
      </c>
    </row>
    <row r="146" spans="1:50">
      <c r="A146" s="124" t="s">
        <v>100</v>
      </c>
      <c r="B146" s="109" t="s">
        <v>1320</v>
      </c>
      <c r="C146" s="214" t="s">
        <v>2476</v>
      </c>
      <c r="D146" s="163" t="s">
        <v>2479</v>
      </c>
      <c r="E146" s="170">
        <v>56</v>
      </c>
      <c r="F146" s="171">
        <v>50</v>
      </c>
      <c r="G146" s="184">
        <v>46.6</v>
      </c>
      <c r="H146" s="181">
        <v>56</v>
      </c>
      <c r="I146" s="171">
        <v>50</v>
      </c>
      <c r="J146" s="184">
        <v>46.6</v>
      </c>
      <c r="K146" s="181">
        <v>56</v>
      </c>
      <c r="L146" s="171">
        <v>50</v>
      </c>
      <c r="M146" s="184">
        <v>46.6</v>
      </c>
      <c r="N146" s="181">
        <v>56</v>
      </c>
      <c r="O146" s="171">
        <v>50</v>
      </c>
      <c r="P146" s="184">
        <v>46.6</v>
      </c>
      <c r="Q146" s="181">
        <v>56</v>
      </c>
      <c r="R146" s="171">
        <v>50</v>
      </c>
      <c r="S146" s="184">
        <v>46.6</v>
      </c>
      <c r="T146" s="181">
        <v>56</v>
      </c>
      <c r="U146" s="171">
        <v>50</v>
      </c>
      <c r="V146" s="184">
        <v>46.6</v>
      </c>
      <c r="W146" s="181">
        <v>56</v>
      </c>
      <c r="X146" s="171">
        <v>50</v>
      </c>
      <c r="Y146" s="184">
        <v>46.6</v>
      </c>
      <c r="Z146" s="181">
        <v>56</v>
      </c>
      <c r="AA146" s="171">
        <v>50</v>
      </c>
      <c r="AB146" s="184">
        <v>46.6</v>
      </c>
      <c r="AC146" s="181">
        <v>56</v>
      </c>
      <c r="AD146" s="171">
        <v>50</v>
      </c>
      <c r="AE146" s="184">
        <v>46.6</v>
      </c>
      <c r="AF146" s="204">
        <v>56</v>
      </c>
      <c r="AG146" s="171">
        <v>50</v>
      </c>
      <c r="AH146" s="184">
        <v>46.6</v>
      </c>
      <c r="AI146" s="182" t="s">
        <v>2477</v>
      </c>
      <c r="AJ146" s="163" t="s">
        <v>1493</v>
      </c>
      <c r="AK146" s="65" t="s">
        <v>1360</v>
      </c>
      <c r="AL146" s="176">
        <v>1</v>
      </c>
      <c r="AM146" s="159"/>
      <c r="AN146" s="172">
        <v>53</v>
      </c>
      <c r="AO146" s="159"/>
      <c r="AP146" s="163" t="s">
        <v>55</v>
      </c>
      <c r="AQ146" s="109" t="s">
        <v>1403</v>
      </c>
      <c r="AR146" s="173"/>
      <c r="AS146" s="174" t="s">
        <v>1943</v>
      </c>
      <c r="AT146" s="175"/>
      <c r="AU146" s="65" t="s">
        <v>25</v>
      </c>
      <c r="AV146" s="163" t="s">
        <v>14</v>
      </c>
      <c r="AW146" s="65">
        <v>1373</v>
      </c>
      <c r="AX146" s="196">
        <v>44746.641539351855</v>
      </c>
    </row>
    <row r="147" spans="1:50">
      <c r="A147" s="124" t="s">
        <v>100</v>
      </c>
      <c r="B147" s="109" t="s">
        <v>1320</v>
      </c>
      <c r="C147" s="214" t="s">
        <v>2476</v>
      </c>
      <c r="D147" s="163" t="s">
        <v>2480</v>
      </c>
      <c r="E147" s="170">
        <v>55</v>
      </c>
      <c r="F147" s="171">
        <v>50</v>
      </c>
      <c r="G147" s="184">
        <v>46.6</v>
      </c>
      <c r="H147" s="181">
        <v>55</v>
      </c>
      <c r="I147" s="171">
        <v>50</v>
      </c>
      <c r="J147" s="184">
        <v>46.6</v>
      </c>
      <c r="K147" s="181">
        <v>55</v>
      </c>
      <c r="L147" s="171">
        <v>50</v>
      </c>
      <c r="M147" s="184">
        <v>46.6</v>
      </c>
      <c r="N147" s="181">
        <v>55</v>
      </c>
      <c r="O147" s="171">
        <v>50</v>
      </c>
      <c r="P147" s="184">
        <v>46.6</v>
      </c>
      <c r="Q147" s="181">
        <v>55</v>
      </c>
      <c r="R147" s="171">
        <v>50</v>
      </c>
      <c r="S147" s="184">
        <v>46.6</v>
      </c>
      <c r="T147" s="181">
        <v>55</v>
      </c>
      <c r="U147" s="171">
        <v>50</v>
      </c>
      <c r="V147" s="184">
        <v>46.6</v>
      </c>
      <c r="W147" s="181">
        <v>55</v>
      </c>
      <c r="X147" s="171">
        <v>50</v>
      </c>
      <c r="Y147" s="184">
        <v>46.6</v>
      </c>
      <c r="Z147" s="181">
        <v>55</v>
      </c>
      <c r="AA147" s="171">
        <v>50</v>
      </c>
      <c r="AB147" s="184">
        <v>46.6</v>
      </c>
      <c r="AC147" s="181">
        <v>55</v>
      </c>
      <c r="AD147" s="171">
        <v>50</v>
      </c>
      <c r="AE147" s="184">
        <v>46.6</v>
      </c>
      <c r="AF147" s="204">
        <v>55</v>
      </c>
      <c r="AG147" s="171">
        <v>50</v>
      </c>
      <c r="AH147" s="184">
        <v>46.6</v>
      </c>
      <c r="AI147" s="182" t="s">
        <v>2477</v>
      </c>
      <c r="AJ147" s="163" t="s">
        <v>1493</v>
      </c>
      <c r="AK147" s="65" t="s">
        <v>1360</v>
      </c>
      <c r="AL147" s="176">
        <v>1</v>
      </c>
      <c r="AM147" s="159"/>
      <c r="AN147" s="172">
        <v>53</v>
      </c>
      <c r="AO147" s="159"/>
      <c r="AP147" s="163" t="s">
        <v>55</v>
      </c>
      <c r="AQ147" s="109" t="s">
        <v>1403</v>
      </c>
      <c r="AR147" s="173"/>
      <c r="AS147" s="174" t="s">
        <v>1943</v>
      </c>
      <c r="AT147" s="175"/>
      <c r="AU147" s="65" t="s">
        <v>25</v>
      </c>
      <c r="AV147" s="163" t="s">
        <v>14</v>
      </c>
      <c r="AW147" s="65">
        <v>1373</v>
      </c>
      <c r="AX147" s="196">
        <v>44746.641539351855</v>
      </c>
    </row>
    <row r="148" spans="1:50">
      <c r="A148" s="124" t="s">
        <v>100</v>
      </c>
      <c r="B148" s="109" t="s">
        <v>1320</v>
      </c>
      <c r="C148" s="214" t="s">
        <v>2476</v>
      </c>
      <c r="D148" s="163" t="s">
        <v>2481</v>
      </c>
      <c r="E148" s="170">
        <v>55</v>
      </c>
      <c r="F148" s="171">
        <v>50</v>
      </c>
      <c r="G148" s="184">
        <v>46.6</v>
      </c>
      <c r="H148" s="181">
        <v>55</v>
      </c>
      <c r="I148" s="171">
        <v>50</v>
      </c>
      <c r="J148" s="184">
        <v>46.6</v>
      </c>
      <c r="K148" s="181">
        <v>55</v>
      </c>
      <c r="L148" s="171">
        <v>50</v>
      </c>
      <c r="M148" s="184">
        <v>46.6</v>
      </c>
      <c r="N148" s="181">
        <v>55</v>
      </c>
      <c r="O148" s="171">
        <v>50</v>
      </c>
      <c r="P148" s="184">
        <v>46.6</v>
      </c>
      <c r="Q148" s="181">
        <v>55</v>
      </c>
      <c r="R148" s="171">
        <v>50</v>
      </c>
      <c r="S148" s="184">
        <v>46.6</v>
      </c>
      <c r="T148" s="181">
        <v>55</v>
      </c>
      <c r="U148" s="171">
        <v>50</v>
      </c>
      <c r="V148" s="184">
        <v>46.6</v>
      </c>
      <c r="W148" s="181">
        <v>55</v>
      </c>
      <c r="X148" s="171">
        <v>50</v>
      </c>
      <c r="Y148" s="184">
        <v>46.6</v>
      </c>
      <c r="Z148" s="181">
        <v>55</v>
      </c>
      <c r="AA148" s="171">
        <v>50</v>
      </c>
      <c r="AB148" s="184">
        <v>46.6</v>
      </c>
      <c r="AC148" s="181">
        <v>55</v>
      </c>
      <c r="AD148" s="171">
        <v>50</v>
      </c>
      <c r="AE148" s="184">
        <v>46.6</v>
      </c>
      <c r="AF148" s="204">
        <v>55</v>
      </c>
      <c r="AG148" s="171">
        <v>50</v>
      </c>
      <c r="AH148" s="184">
        <v>46.6</v>
      </c>
      <c r="AI148" s="182" t="s">
        <v>2477</v>
      </c>
      <c r="AJ148" s="163" t="s">
        <v>1493</v>
      </c>
      <c r="AK148" s="65" t="s">
        <v>1360</v>
      </c>
      <c r="AL148" s="176">
        <v>1</v>
      </c>
      <c r="AM148" s="159"/>
      <c r="AN148" s="172">
        <v>53</v>
      </c>
      <c r="AO148" s="159"/>
      <c r="AP148" s="163" t="s">
        <v>55</v>
      </c>
      <c r="AQ148" s="109" t="s">
        <v>1403</v>
      </c>
      <c r="AR148" s="173"/>
      <c r="AS148" s="174" t="s">
        <v>1943</v>
      </c>
      <c r="AT148" s="175"/>
      <c r="AU148" s="65" t="s">
        <v>25</v>
      </c>
      <c r="AV148" s="163" t="s">
        <v>14</v>
      </c>
      <c r="AW148" s="65">
        <v>1373</v>
      </c>
      <c r="AX148" s="196">
        <v>44746.641539351855</v>
      </c>
    </row>
    <row r="149" spans="1:50">
      <c r="A149" s="124" t="s">
        <v>100</v>
      </c>
      <c r="B149" s="109" t="s">
        <v>1320</v>
      </c>
      <c r="C149" s="214" t="s">
        <v>2482</v>
      </c>
      <c r="D149" s="163" t="s">
        <v>2483</v>
      </c>
      <c r="E149" s="170">
        <v>85</v>
      </c>
      <c r="F149" s="171">
        <v>76</v>
      </c>
      <c r="G149" s="184">
        <v>70.3</v>
      </c>
      <c r="H149" s="181">
        <v>85</v>
      </c>
      <c r="I149" s="171">
        <v>76</v>
      </c>
      <c r="J149" s="184">
        <v>70.3</v>
      </c>
      <c r="K149" s="181">
        <v>85</v>
      </c>
      <c r="L149" s="171">
        <v>76</v>
      </c>
      <c r="M149" s="184">
        <v>70.3</v>
      </c>
      <c r="N149" s="181">
        <v>85</v>
      </c>
      <c r="O149" s="171">
        <v>76</v>
      </c>
      <c r="P149" s="184">
        <v>70.3</v>
      </c>
      <c r="Q149" s="181">
        <v>85</v>
      </c>
      <c r="R149" s="171">
        <v>76</v>
      </c>
      <c r="S149" s="184">
        <v>70.3</v>
      </c>
      <c r="T149" s="181">
        <v>85</v>
      </c>
      <c r="U149" s="171">
        <v>76</v>
      </c>
      <c r="V149" s="184">
        <v>70.3</v>
      </c>
      <c r="W149" s="181">
        <v>85</v>
      </c>
      <c r="X149" s="171">
        <v>76</v>
      </c>
      <c r="Y149" s="184">
        <v>70.3</v>
      </c>
      <c r="Z149" s="181">
        <v>85</v>
      </c>
      <c r="AA149" s="171">
        <v>76</v>
      </c>
      <c r="AB149" s="184">
        <v>70.3</v>
      </c>
      <c r="AC149" s="181">
        <v>85</v>
      </c>
      <c r="AD149" s="171">
        <v>76</v>
      </c>
      <c r="AE149" s="184">
        <v>70.3</v>
      </c>
      <c r="AF149" s="204">
        <v>85</v>
      </c>
      <c r="AG149" s="171">
        <v>76</v>
      </c>
      <c r="AH149" s="184">
        <v>70.3</v>
      </c>
      <c r="AI149" s="182" t="s">
        <v>641</v>
      </c>
      <c r="AJ149" s="163" t="s">
        <v>1493</v>
      </c>
      <c r="AK149" s="65" t="s">
        <v>1360</v>
      </c>
      <c r="AL149" s="176">
        <v>1</v>
      </c>
      <c r="AM149" s="159"/>
      <c r="AN149" s="172">
        <v>76</v>
      </c>
      <c r="AO149" s="159"/>
      <c r="AP149" s="65" t="s">
        <v>55</v>
      </c>
      <c r="AQ149" s="109" t="s">
        <v>1403</v>
      </c>
      <c r="AR149" s="173"/>
      <c r="AS149" s="174" t="s">
        <v>1943</v>
      </c>
      <c r="AT149" s="175"/>
      <c r="AU149" s="65" t="s">
        <v>25</v>
      </c>
      <c r="AV149" s="163" t="s">
        <v>14</v>
      </c>
      <c r="AW149" s="65">
        <v>1374</v>
      </c>
      <c r="AX149" s="196">
        <v>44746.559247685182</v>
      </c>
    </row>
    <row r="150" spans="1:50">
      <c r="A150" s="124" t="s">
        <v>100</v>
      </c>
      <c r="B150" s="109" t="s">
        <v>1320</v>
      </c>
      <c r="C150" s="214" t="s">
        <v>2482</v>
      </c>
      <c r="D150" s="163" t="s">
        <v>2485</v>
      </c>
      <c r="E150" s="170">
        <v>85</v>
      </c>
      <c r="F150" s="171">
        <v>76</v>
      </c>
      <c r="G150" s="184">
        <v>70.3</v>
      </c>
      <c r="H150" s="181">
        <v>85</v>
      </c>
      <c r="I150" s="171">
        <v>76</v>
      </c>
      <c r="J150" s="184">
        <v>70.3</v>
      </c>
      <c r="K150" s="181">
        <v>85</v>
      </c>
      <c r="L150" s="171">
        <v>76</v>
      </c>
      <c r="M150" s="184">
        <v>70.3</v>
      </c>
      <c r="N150" s="181">
        <v>85</v>
      </c>
      <c r="O150" s="171">
        <v>76</v>
      </c>
      <c r="P150" s="184">
        <v>70.3</v>
      </c>
      <c r="Q150" s="181">
        <v>85</v>
      </c>
      <c r="R150" s="171">
        <v>76</v>
      </c>
      <c r="S150" s="184">
        <v>70.3</v>
      </c>
      <c r="T150" s="181">
        <v>85</v>
      </c>
      <c r="U150" s="171">
        <v>76</v>
      </c>
      <c r="V150" s="184">
        <v>70.3</v>
      </c>
      <c r="W150" s="181">
        <v>85</v>
      </c>
      <c r="X150" s="171">
        <v>76</v>
      </c>
      <c r="Y150" s="184">
        <v>70.3</v>
      </c>
      <c r="Z150" s="181">
        <v>85</v>
      </c>
      <c r="AA150" s="171">
        <v>76</v>
      </c>
      <c r="AB150" s="184">
        <v>70.3</v>
      </c>
      <c r="AC150" s="181">
        <v>85</v>
      </c>
      <c r="AD150" s="171">
        <v>76</v>
      </c>
      <c r="AE150" s="184">
        <v>70.3</v>
      </c>
      <c r="AF150" s="204">
        <v>85</v>
      </c>
      <c r="AG150" s="171">
        <v>76</v>
      </c>
      <c r="AH150" s="184">
        <v>70.3</v>
      </c>
      <c r="AI150" s="182" t="s">
        <v>641</v>
      </c>
      <c r="AJ150" s="163" t="s">
        <v>1493</v>
      </c>
      <c r="AK150" s="65" t="s">
        <v>1360</v>
      </c>
      <c r="AL150" s="176">
        <v>1</v>
      </c>
      <c r="AM150" s="159"/>
      <c r="AN150" s="172">
        <v>76</v>
      </c>
      <c r="AO150" s="159"/>
      <c r="AP150" s="163" t="s">
        <v>55</v>
      </c>
      <c r="AQ150" s="109" t="s">
        <v>1403</v>
      </c>
      <c r="AR150" s="173"/>
      <c r="AS150" s="174" t="s">
        <v>1943</v>
      </c>
      <c r="AT150" s="175"/>
      <c r="AU150" s="65" t="s">
        <v>25</v>
      </c>
      <c r="AV150" s="163" t="s">
        <v>14</v>
      </c>
      <c r="AW150" s="65">
        <v>1374</v>
      </c>
      <c r="AX150" s="196">
        <v>44746.559247685182</v>
      </c>
    </row>
    <row r="151" spans="1:50">
      <c r="A151" s="124" t="s">
        <v>100</v>
      </c>
      <c r="B151" s="109" t="s">
        <v>1320</v>
      </c>
      <c r="C151" s="214" t="s">
        <v>2482</v>
      </c>
      <c r="D151" s="163" t="s">
        <v>2486</v>
      </c>
      <c r="E151" s="170">
        <v>87</v>
      </c>
      <c r="F151" s="171">
        <v>78</v>
      </c>
      <c r="G151" s="184">
        <v>72.3</v>
      </c>
      <c r="H151" s="181">
        <v>87</v>
      </c>
      <c r="I151" s="171">
        <v>78</v>
      </c>
      <c r="J151" s="184">
        <v>72.3</v>
      </c>
      <c r="K151" s="181">
        <v>87</v>
      </c>
      <c r="L151" s="171">
        <v>78</v>
      </c>
      <c r="M151" s="184">
        <v>72.3</v>
      </c>
      <c r="N151" s="181">
        <v>87</v>
      </c>
      <c r="O151" s="171">
        <v>78</v>
      </c>
      <c r="P151" s="184">
        <v>72.3</v>
      </c>
      <c r="Q151" s="181">
        <v>87</v>
      </c>
      <c r="R151" s="171">
        <v>78</v>
      </c>
      <c r="S151" s="184">
        <v>72.3</v>
      </c>
      <c r="T151" s="181">
        <v>87</v>
      </c>
      <c r="U151" s="171">
        <v>78</v>
      </c>
      <c r="V151" s="184">
        <v>72.3</v>
      </c>
      <c r="W151" s="181">
        <v>87</v>
      </c>
      <c r="X151" s="171">
        <v>78</v>
      </c>
      <c r="Y151" s="184">
        <v>72.3</v>
      </c>
      <c r="Z151" s="181">
        <v>87</v>
      </c>
      <c r="AA151" s="171">
        <v>78</v>
      </c>
      <c r="AB151" s="184">
        <v>72.3</v>
      </c>
      <c r="AC151" s="181">
        <v>87</v>
      </c>
      <c r="AD151" s="171">
        <v>78</v>
      </c>
      <c r="AE151" s="184">
        <v>72.3</v>
      </c>
      <c r="AF151" s="204">
        <v>87</v>
      </c>
      <c r="AG151" s="171">
        <v>78</v>
      </c>
      <c r="AH151" s="184">
        <v>72.3</v>
      </c>
      <c r="AI151" s="182" t="s">
        <v>641</v>
      </c>
      <c r="AJ151" s="163" t="s">
        <v>1493</v>
      </c>
      <c r="AK151" s="65" t="s">
        <v>1360</v>
      </c>
      <c r="AL151" s="176">
        <v>1</v>
      </c>
      <c r="AM151" s="159"/>
      <c r="AN151" s="172">
        <v>76</v>
      </c>
      <c r="AO151" s="159"/>
      <c r="AP151" s="163" t="s">
        <v>55</v>
      </c>
      <c r="AQ151" s="109" t="s">
        <v>1403</v>
      </c>
      <c r="AR151" s="173"/>
      <c r="AS151" s="174" t="s">
        <v>1943</v>
      </c>
      <c r="AT151" s="175"/>
      <c r="AU151" s="65" t="s">
        <v>25</v>
      </c>
      <c r="AV151" s="163" t="s">
        <v>14</v>
      </c>
      <c r="AW151" s="65">
        <v>1374</v>
      </c>
      <c r="AX151" s="196">
        <v>44746.559247685182</v>
      </c>
    </row>
    <row r="152" spans="1:50">
      <c r="A152" s="124" t="s">
        <v>46</v>
      </c>
      <c r="B152" s="109" t="s">
        <v>1320</v>
      </c>
      <c r="C152" s="214" t="s">
        <v>52</v>
      </c>
      <c r="D152" s="163" t="s">
        <v>54</v>
      </c>
      <c r="E152" s="170">
        <v>50</v>
      </c>
      <c r="F152" s="171">
        <v>50</v>
      </c>
      <c r="G152" s="184">
        <v>50</v>
      </c>
      <c r="H152" s="181">
        <v>50</v>
      </c>
      <c r="I152" s="171">
        <v>50</v>
      </c>
      <c r="J152" s="184">
        <v>50</v>
      </c>
      <c r="K152" s="181">
        <v>50</v>
      </c>
      <c r="L152" s="171">
        <v>50</v>
      </c>
      <c r="M152" s="184">
        <v>50</v>
      </c>
      <c r="N152" s="181">
        <v>50</v>
      </c>
      <c r="O152" s="171">
        <v>50</v>
      </c>
      <c r="P152" s="184">
        <v>50</v>
      </c>
      <c r="Q152" s="181">
        <v>50</v>
      </c>
      <c r="R152" s="171">
        <v>50</v>
      </c>
      <c r="S152" s="184">
        <v>50</v>
      </c>
      <c r="T152" s="181">
        <v>50</v>
      </c>
      <c r="U152" s="171">
        <v>50</v>
      </c>
      <c r="V152" s="184">
        <v>50</v>
      </c>
      <c r="W152" s="181">
        <v>50</v>
      </c>
      <c r="X152" s="171">
        <v>50</v>
      </c>
      <c r="Y152" s="184">
        <v>50</v>
      </c>
      <c r="Z152" s="181">
        <v>50</v>
      </c>
      <c r="AA152" s="171">
        <v>50</v>
      </c>
      <c r="AB152" s="184">
        <v>50</v>
      </c>
      <c r="AC152" s="181">
        <v>50</v>
      </c>
      <c r="AD152" s="171">
        <v>50</v>
      </c>
      <c r="AE152" s="184">
        <v>50</v>
      </c>
      <c r="AF152" s="204">
        <v>50</v>
      </c>
      <c r="AG152" s="171">
        <v>50</v>
      </c>
      <c r="AH152" s="184">
        <v>50</v>
      </c>
      <c r="AI152" s="182" t="s">
        <v>53</v>
      </c>
      <c r="AJ152" s="163" t="s">
        <v>1429</v>
      </c>
      <c r="AK152" s="65" t="s">
        <v>1388</v>
      </c>
      <c r="AL152" s="176">
        <v>20</v>
      </c>
      <c r="AM152" s="159"/>
      <c r="AN152" s="172">
        <v>55</v>
      </c>
      <c r="AO152" s="159">
        <v>0</v>
      </c>
      <c r="AP152" s="163" t="s">
        <v>55</v>
      </c>
      <c r="AQ152" s="109" t="s">
        <v>1407</v>
      </c>
      <c r="AR152" s="173"/>
      <c r="AS152" s="174" t="s">
        <v>1532</v>
      </c>
      <c r="AT152" s="175"/>
      <c r="AU152" s="65" t="s">
        <v>25</v>
      </c>
      <c r="AV152" s="163" t="s">
        <v>1388</v>
      </c>
      <c r="AW152" s="65">
        <v>1521</v>
      </c>
      <c r="AX152" s="196">
        <v>44700.293923611112</v>
      </c>
    </row>
    <row r="153" spans="1:50">
      <c r="A153" s="124" t="s">
        <v>95</v>
      </c>
      <c r="B153" s="109" t="s">
        <v>1320</v>
      </c>
      <c r="C153" s="214" t="s">
        <v>2497</v>
      </c>
      <c r="D153" s="163" t="s">
        <v>2498</v>
      </c>
      <c r="E153" s="170">
        <v>140</v>
      </c>
      <c r="F153" s="171">
        <v>140</v>
      </c>
      <c r="G153" s="184">
        <v>140</v>
      </c>
      <c r="H153" s="181">
        <v>140</v>
      </c>
      <c r="I153" s="171">
        <v>140</v>
      </c>
      <c r="J153" s="184">
        <v>140</v>
      </c>
      <c r="K153" s="181">
        <v>140</v>
      </c>
      <c r="L153" s="171">
        <v>140</v>
      </c>
      <c r="M153" s="184">
        <v>140</v>
      </c>
      <c r="N153" s="181">
        <v>140</v>
      </c>
      <c r="O153" s="171">
        <v>140</v>
      </c>
      <c r="P153" s="184">
        <v>140</v>
      </c>
      <c r="Q153" s="181">
        <v>140</v>
      </c>
      <c r="R153" s="171">
        <v>140</v>
      </c>
      <c r="S153" s="184">
        <v>140</v>
      </c>
      <c r="T153" s="181">
        <v>140</v>
      </c>
      <c r="U153" s="171">
        <v>0</v>
      </c>
      <c r="V153" s="184">
        <v>0</v>
      </c>
      <c r="W153" s="181">
        <v>144</v>
      </c>
      <c r="X153" s="171">
        <v>144</v>
      </c>
      <c r="Y153" s="184">
        <v>144</v>
      </c>
      <c r="Z153" s="181">
        <v>144</v>
      </c>
      <c r="AA153" s="171">
        <v>144</v>
      </c>
      <c r="AB153" s="184">
        <v>144</v>
      </c>
      <c r="AC153" s="181">
        <v>144</v>
      </c>
      <c r="AD153" s="171">
        <v>144</v>
      </c>
      <c r="AE153" s="184">
        <v>144</v>
      </c>
      <c r="AF153" s="204">
        <v>144</v>
      </c>
      <c r="AG153" s="171">
        <v>144</v>
      </c>
      <c r="AH153" s="184">
        <v>144</v>
      </c>
      <c r="AI153" s="182" t="s">
        <v>1585</v>
      </c>
      <c r="AJ153" s="163" t="s">
        <v>1539</v>
      </c>
      <c r="AK153" s="65" t="s">
        <v>18</v>
      </c>
      <c r="AL153" s="176">
        <v>1</v>
      </c>
      <c r="AM153" s="159"/>
      <c r="AN153" s="172">
        <v>144</v>
      </c>
      <c r="AO153" s="159"/>
      <c r="AP153" s="163" t="s">
        <v>55</v>
      </c>
      <c r="AQ153" s="109" t="s">
        <v>1403</v>
      </c>
      <c r="AR153" s="173"/>
      <c r="AS153" s="174" t="s">
        <v>1588</v>
      </c>
      <c r="AT153" s="175"/>
      <c r="AU153" s="65" t="s">
        <v>25</v>
      </c>
      <c r="AV153" s="163" t="s">
        <v>18</v>
      </c>
      <c r="AW153" s="65">
        <v>1097</v>
      </c>
      <c r="AX153" s="196">
        <v>44670.602511574078</v>
      </c>
    </row>
    <row r="154" spans="1:50">
      <c r="A154" s="124" t="s">
        <v>46</v>
      </c>
      <c r="B154" s="109" t="s">
        <v>1320</v>
      </c>
      <c r="C154" s="214" t="s">
        <v>369</v>
      </c>
      <c r="D154" s="163" t="s">
        <v>2501</v>
      </c>
      <c r="E154" s="170">
        <v>30.008000000000003</v>
      </c>
      <c r="F154" s="171">
        <v>30.008000000000003</v>
      </c>
      <c r="G154" s="184">
        <v>30.008000000000003</v>
      </c>
      <c r="H154" s="205">
        <v>30.008000000000003</v>
      </c>
      <c r="I154" s="171">
        <v>30.008000000000003</v>
      </c>
      <c r="J154" s="184">
        <v>30.008000000000003</v>
      </c>
      <c r="K154" s="205">
        <v>30.008000000000003</v>
      </c>
      <c r="L154" s="171">
        <v>30.008000000000003</v>
      </c>
      <c r="M154" s="184">
        <v>30.008000000000003</v>
      </c>
      <c r="N154" s="205">
        <v>30.008000000000003</v>
      </c>
      <c r="O154" s="171">
        <v>30.008000000000003</v>
      </c>
      <c r="P154" s="184">
        <v>30.008000000000003</v>
      </c>
      <c r="Q154" s="205">
        <v>30.008000000000003</v>
      </c>
      <c r="R154" s="171">
        <v>30.008000000000003</v>
      </c>
      <c r="S154" s="184">
        <v>30.008000000000003</v>
      </c>
      <c r="T154" s="205">
        <v>30.008000000000003</v>
      </c>
      <c r="U154" s="171">
        <v>30.008000000000003</v>
      </c>
      <c r="V154" s="184">
        <v>30.008000000000003</v>
      </c>
      <c r="W154" s="205">
        <v>30.008000000000003</v>
      </c>
      <c r="X154" s="171">
        <v>30.008000000000003</v>
      </c>
      <c r="Y154" s="184">
        <v>30.008000000000003</v>
      </c>
      <c r="Z154" s="205">
        <v>30.008000000000003</v>
      </c>
      <c r="AA154" s="171">
        <v>30.008000000000003</v>
      </c>
      <c r="AB154" s="184">
        <v>30.008000000000003</v>
      </c>
      <c r="AC154" s="205">
        <v>30.008000000000003</v>
      </c>
      <c r="AD154" s="171">
        <v>30.008000000000003</v>
      </c>
      <c r="AE154" s="184">
        <v>30.008000000000003</v>
      </c>
      <c r="AF154" s="170">
        <v>30.008000000000003</v>
      </c>
      <c r="AG154" s="171">
        <v>30.008000000000003</v>
      </c>
      <c r="AH154" s="184">
        <v>30.008000000000003</v>
      </c>
      <c r="AI154" s="65" t="s">
        <v>370</v>
      </c>
      <c r="AJ154" s="163" t="s">
        <v>1429</v>
      </c>
      <c r="AK154" s="65" t="s">
        <v>1388</v>
      </c>
      <c r="AL154" s="176">
        <v>22</v>
      </c>
      <c r="AM154" s="159"/>
      <c r="AN154" s="172">
        <v>36.014000000000003</v>
      </c>
      <c r="AO154" s="159"/>
      <c r="AP154" s="163" t="s">
        <v>27</v>
      </c>
      <c r="AQ154" s="109" t="s">
        <v>1407</v>
      </c>
      <c r="AR154" s="173" t="s">
        <v>2503</v>
      </c>
      <c r="AS154" s="174" t="s">
        <v>1532</v>
      </c>
      <c r="AT154" s="175"/>
      <c r="AU154" s="65" t="s">
        <v>25</v>
      </c>
      <c r="AV154" s="163" t="s">
        <v>1388</v>
      </c>
      <c r="AW154" s="65">
        <v>1526</v>
      </c>
      <c r="AX154" s="196">
        <v>44671.471736111111</v>
      </c>
    </row>
    <row r="155" spans="1:50">
      <c r="A155" s="124" t="s">
        <v>62</v>
      </c>
      <c r="B155" s="109" t="s">
        <v>1385</v>
      </c>
      <c r="C155" s="214" t="s">
        <v>232</v>
      </c>
      <c r="D155" s="163" t="s">
        <v>208</v>
      </c>
      <c r="E155" s="170">
        <v>0</v>
      </c>
      <c r="F155" s="171">
        <v>145.6</v>
      </c>
      <c r="G155" s="184">
        <v>137.20000000000002</v>
      </c>
      <c r="H155" s="181">
        <v>156.79999999999998</v>
      </c>
      <c r="I155" s="171">
        <v>145.6</v>
      </c>
      <c r="J155" s="184">
        <v>137.20000000000002</v>
      </c>
      <c r="K155" s="181">
        <v>156.79999999999998</v>
      </c>
      <c r="L155" s="171">
        <v>145.6</v>
      </c>
      <c r="M155" s="184">
        <v>137.20000000000002</v>
      </c>
      <c r="N155" s="181">
        <v>156.79999999999998</v>
      </c>
      <c r="O155" s="171">
        <v>145.6</v>
      </c>
      <c r="P155" s="184">
        <v>137.20000000000002</v>
      </c>
      <c r="Q155" s="181">
        <v>156.79999999999998</v>
      </c>
      <c r="R155" s="171">
        <v>145.6</v>
      </c>
      <c r="S155" s="184">
        <v>137.20000000000002</v>
      </c>
      <c r="T155" s="181">
        <v>156.79999999999998</v>
      </c>
      <c r="U155" s="171">
        <v>145.6</v>
      </c>
      <c r="V155" s="184">
        <v>137.20000000000002</v>
      </c>
      <c r="W155" s="181">
        <v>156.79999999999998</v>
      </c>
      <c r="X155" s="171">
        <v>145.6</v>
      </c>
      <c r="Y155" s="184">
        <v>137.20000000000002</v>
      </c>
      <c r="Z155" s="181">
        <v>156.79999999999998</v>
      </c>
      <c r="AA155" s="171">
        <v>145.6</v>
      </c>
      <c r="AB155" s="184">
        <v>137.20000000000002</v>
      </c>
      <c r="AC155" s="181">
        <v>156.79999999999998</v>
      </c>
      <c r="AD155" s="171">
        <v>145.6</v>
      </c>
      <c r="AE155" s="184">
        <v>137.20000000000002</v>
      </c>
      <c r="AF155" s="204">
        <v>156.79999999999998</v>
      </c>
      <c r="AG155" s="171">
        <v>145.6</v>
      </c>
      <c r="AH155" s="184">
        <v>137.20000000000002</v>
      </c>
      <c r="AI155" s="182" t="s">
        <v>233</v>
      </c>
      <c r="AJ155" s="163" t="s">
        <v>1419</v>
      </c>
      <c r="AK155" s="65" t="s">
        <v>17</v>
      </c>
      <c r="AL155" s="176">
        <v>28</v>
      </c>
      <c r="AM155" s="159"/>
      <c r="AN155" s="172">
        <v>156.79999999999998</v>
      </c>
      <c r="AO155" s="159"/>
      <c r="AP155" s="163" t="s">
        <v>27</v>
      </c>
      <c r="AQ155" s="109" t="s">
        <v>1407</v>
      </c>
      <c r="AR155" s="173" t="s">
        <v>2505</v>
      </c>
      <c r="AS155" s="174" t="s">
        <v>1452</v>
      </c>
      <c r="AT155" s="175"/>
      <c r="AU155" s="65" t="s">
        <v>27</v>
      </c>
      <c r="AV155" s="163" t="s">
        <v>17</v>
      </c>
      <c r="AW155" s="65">
        <v>1524</v>
      </c>
      <c r="AX155" s="196">
        <v>44742.599895833337</v>
      </c>
    </row>
    <row r="156" spans="1:50">
      <c r="A156" s="124" t="s">
        <v>100</v>
      </c>
      <c r="B156" s="109" t="s">
        <v>1320</v>
      </c>
      <c r="C156" s="214" t="s">
        <v>671</v>
      </c>
      <c r="D156" s="163" t="s">
        <v>2511</v>
      </c>
      <c r="E156" s="170">
        <v>90.06</v>
      </c>
      <c r="F156" s="171">
        <v>90.06</v>
      </c>
      <c r="G156" s="184">
        <v>90.06</v>
      </c>
      <c r="H156" s="181">
        <v>90.06</v>
      </c>
      <c r="I156" s="171">
        <v>90.06</v>
      </c>
      <c r="J156" s="184">
        <v>90.06</v>
      </c>
      <c r="K156" s="181">
        <v>90.06</v>
      </c>
      <c r="L156" s="171">
        <v>90.06</v>
      </c>
      <c r="M156" s="184">
        <v>90.06</v>
      </c>
      <c r="N156" s="181">
        <v>90.06</v>
      </c>
      <c r="O156" s="171">
        <v>90.06</v>
      </c>
      <c r="P156" s="184">
        <v>90.06</v>
      </c>
      <c r="Q156" s="181">
        <v>90.06</v>
      </c>
      <c r="R156" s="171">
        <v>90.06</v>
      </c>
      <c r="S156" s="184">
        <v>90.06</v>
      </c>
      <c r="T156" s="181">
        <v>90.06</v>
      </c>
      <c r="U156" s="171">
        <v>90.06</v>
      </c>
      <c r="V156" s="184">
        <v>90.06</v>
      </c>
      <c r="W156" s="181">
        <v>90.06</v>
      </c>
      <c r="X156" s="171">
        <v>90.06</v>
      </c>
      <c r="Y156" s="184">
        <v>90.06</v>
      </c>
      <c r="Z156" s="181">
        <v>90.06</v>
      </c>
      <c r="AA156" s="171">
        <v>90.06</v>
      </c>
      <c r="AB156" s="184">
        <v>90.06</v>
      </c>
      <c r="AC156" s="181">
        <v>90.06</v>
      </c>
      <c r="AD156" s="171">
        <v>90.06</v>
      </c>
      <c r="AE156" s="184">
        <v>90.06</v>
      </c>
      <c r="AF156" s="204">
        <v>90.06</v>
      </c>
      <c r="AG156" s="171">
        <v>90.06</v>
      </c>
      <c r="AH156" s="184">
        <v>90.06</v>
      </c>
      <c r="AI156" s="182" t="s">
        <v>2510</v>
      </c>
      <c r="AJ156" s="163" t="s">
        <v>1429</v>
      </c>
      <c r="AK156" s="65" t="s">
        <v>1388</v>
      </c>
      <c r="AL156" s="176">
        <v>38</v>
      </c>
      <c r="AM156" s="159"/>
      <c r="AN156" s="172">
        <v>104.5</v>
      </c>
      <c r="AO156" s="159"/>
      <c r="AP156" s="163" t="s">
        <v>55</v>
      </c>
      <c r="AQ156" s="109" t="s">
        <v>1407</v>
      </c>
      <c r="AR156" s="173"/>
      <c r="AS156" s="174" t="s">
        <v>1452</v>
      </c>
      <c r="AT156" s="175"/>
      <c r="AU156" s="65" t="s">
        <v>25</v>
      </c>
      <c r="AV156" s="163" t="s">
        <v>1388</v>
      </c>
      <c r="AW156" s="65">
        <v>1424</v>
      </c>
      <c r="AX156" s="196">
        <v>44706.473229166666</v>
      </c>
    </row>
    <row r="157" spans="1:50">
      <c r="A157" s="124" t="s">
        <v>62</v>
      </c>
      <c r="B157" s="109" t="s">
        <v>1320</v>
      </c>
      <c r="C157" s="214" t="s">
        <v>2517</v>
      </c>
      <c r="D157" s="163" t="s">
        <v>2518</v>
      </c>
      <c r="E157" s="170">
        <v>21.6</v>
      </c>
      <c r="F157" s="171">
        <v>21.6</v>
      </c>
      <c r="G157" s="184">
        <v>21.6</v>
      </c>
      <c r="H157" s="181">
        <v>21.6</v>
      </c>
      <c r="I157" s="171">
        <v>21.6</v>
      </c>
      <c r="J157" s="184">
        <v>21.6</v>
      </c>
      <c r="K157" s="181">
        <v>21.6</v>
      </c>
      <c r="L157" s="171">
        <v>21.6</v>
      </c>
      <c r="M157" s="184">
        <v>21.6</v>
      </c>
      <c r="N157" s="181">
        <v>21.6</v>
      </c>
      <c r="O157" s="171">
        <v>21.6</v>
      </c>
      <c r="P157" s="184">
        <v>21.6</v>
      </c>
      <c r="Q157" s="181">
        <v>21.6</v>
      </c>
      <c r="R157" s="171">
        <v>21.6</v>
      </c>
      <c r="S157" s="184">
        <v>21.6</v>
      </c>
      <c r="T157" s="181">
        <v>21.6</v>
      </c>
      <c r="U157" s="171">
        <v>21.6</v>
      </c>
      <c r="V157" s="184">
        <v>21.6</v>
      </c>
      <c r="W157" s="181">
        <v>21.6</v>
      </c>
      <c r="X157" s="171">
        <v>21.6</v>
      </c>
      <c r="Y157" s="184">
        <v>21.6</v>
      </c>
      <c r="Z157" s="181">
        <v>21.6</v>
      </c>
      <c r="AA157" s="171">
        <v>21.6</v>
      </c>
      <c r="AB157" s="184">
        <v>21.6</v>
      </c>
      <c r="AC157" s="181">
        <v>21.6</v>
      </c>
      <c r="AD157" s="171">
        <v>21.6</v>
      </c>
      <c r="AE157" s="184">
        <v>21.6</v>
      </c>
      <c r="AF157" s="204">
        <v>21.6</v>
      </c>
      <c r="AG157" s="171">
        <v>21.6</v>
      </c>
      <c r="AH157" s="184">
        <v>21.6</v>
      </c>
      <c r="AI157" s="182" t="s">
        <v>1568</v>
      </c>
      <c r="AJ157" s="163" t="s">
        <v>1569</v>
      </c>
      <c r="AK157" s="65" t="s">
        <v>18</v>
      </c>
      <c r="AL157" s="176">
        <v>1</v>
      </c>
      <c r="AM157" s="159"/>
      <c r="AN157" s="172">
        <v>21.6</v>
      </c>
      <c r="AO157" s="159"/>
      <c r="AP157" s="163" t="s">
        <v>55</v>
      </c>
      <c r="AQ157" s="109" t="s">
        <v>1403</v>
      </c>
      <c r="AR157" s="173"/>
      <c r="AS157" s="174" t="s">
        <v>1424</v>
      </c>
      <c r="AT157" s="175"/>
      <c r="AU157" s="65" t="s">
        <v>25</v>
      </c>
      <c r="AV157" s="163" t="s">
        <v>18</v>
      </c>
      <c r="AW157" s="65">
        <v>1100</v>
      </c>
      <c r="AX157" s="196">
        <v>44746.655393518522</v>
      </c>
    </row>
    <row r="158" spans="1:50">
      <c r="A158" s="124" t="s">
        <v>62</v>
      </c>
      <c r="B158" s="109" t="s">
        <v>1320</v>
      </c>
      <c r="C158" s="214" t="s">
        <v>2517</v>
      </c>
      <c r="D158" s="163" t="s">
        <v>2520</v>
      </c>
      <c r="E158" s="170">
        <v>21.6</v>
      </c>
      <c r="F158" s="171">
        <v>21.6</v>
      </c>
      <c r="G158" s="184">
        <v>21.6</v>
      </c>
      <c r="H158" s="181">
        <v>21.6</v>
      </c>
      <c r="I158" s="171">
        <v>21.6</v>
      </c>
      <c r="J158" s="184">
        <v>21.6</v>
      </c>
      <c r="K158" s="181">
        <v>21.6</v>
      </c>
      <c r="L158" s="171">
        <v>21.6</v>
      </c>
      <c r="M158" s="184">
        <v>21.6</v>
      </c>
      <c r="N158" s="181">
        <v>21.6</v>
      </c>
      <c r="O158" s="171">
        <v>21.6</v>
      </c>
      <c r="P158" s="184">
        <v>21.6</v>
      </c>
      <c r="Q158" s="181">
        <v>21.6</v>
      </c>
      <c r="R158" s="171">
        <v>21.6</v>
      </c>
      <c r="S158" s="184">
        <v>21.6</v>
      </c>
      <c r="T158" s="181">
        <v>21.6</v>
      </c>
      <c r="U158" s="171">
        <v>21.6</v>
      </c>
      <c r="V158" s="184">
        <v>21.6</v>
      </c>
      <c r="W158" s="181">
        <v>21.6</v>
      </c>
      <c r="X158" s="171">
        <v>21.6</v>
      </c>
      <c r="Y158" s="184">
        <v>21.6</v>
      </c>
      <c r="Z158" s="181">
        <v>21.6</v>
      </c>
      <c r="AA158" s="171">
        <v>21.6</v>
      </c>
      <c r="AB158" s="184">
        <v>21.6</v>
      </c>
      <c r="AC158" s="181">
        <v>21.6</v>
      </c>
      <c r="AD158" s="171">
        <v>21.6</v>
      </c>
      <c r="AE158" s="184">
        <v>21.6</v>
      </c>
      <c r="AF158" s="204">
        <v>21.6</v>
      </c>
      <c r="AG158" s="171">
        <v>21.6</v>
      </c>
      <c r="AH158" s="184">
        <v>21.6</v>
      </c>
      <c r="AI158" s="182" t="s">
        <v>1568</v>
      </c>
      <c r="AJ158" s="163" t="s">
        <v>1569</v>
      </c>
      <c r="AK158" s="65" t="s">
        <v>18</v>
      </c>
      <c r="AL158" s="176">
        <v>1</v>
      </c>
      <c r="AM158" s="159"/>
      <c r="AN158" s="172">
        <v>21.6</v>
      </c>
      <c r="AO158" s="159"/>
      <c r="AP158" s="163" t="s">
        <v>55</v>
      </c>
      <c r="AQ158" s="109" t="s">
        <v>1403</v>
      </c>
      <c r="AR158" s="173"/>
      <c r="AS158" s="174" t="s">
        <v>1424</v>
      </c>
      <c r="AT158" s="175"/>
      <c r="AU158" s="65" t="s">
        <v>25</v>
      </c>
      <c r="AV158" s="163" t="s">
        <v>18</v>
      </c>
      <c r="AW158" s="65">
        <v>1100</v>
      </c>
      <c r="AX158" s="196">
        <v>44746.655393518522</v>
      </c>
    </row>
    <row r="159" spans="1:50">
      <c r="A159" s="124" t="s">
        <v>62</v>
      </c>
      <c r="B159" s="109" t="s">
        <v>1320</v>
      </c>
      <c r="C159" s="214" t="s">
        <v>2517</v>
      </c>
      <c r="D159" s="163" t="s">
        <v>2521</v>
      </c>
      <c r="E159" s="170">
        <v>21.6</v>
      </c>
      <c r="F159" s="171">
        <v>21.6</v>
      </c>
      <c r="G159" s="184">
        <v>21.6</v>
      </c>
      <c r="H159" s="181">
        <v>21.6</v>
      </c>
      <c r="I159" s="171">
        <v>21.6</v>
      </c>
      <c r="J159" s="184">
        <v>21.6</v>
      </c>
      <c r="K159" s="181">
        <v>21.6</v>
      </c>
      <c r="L159" s="171">
        <v>21.6</v>
      </c>
      <c r="M159" s="184">
        <v>21.6</v>
      </c>
      <c r="N159" s="181">
        <v>21.6</v>
      </c>
      <c r="O159" s="171">
        <v>21.6</v>
      </c>
      <c r="P159" s="184">
        <v>21.6</v>
      </c>
      <c r="Q159" s="181">
        <v>21.6</v>
      </c>
      <c r="R159" s="171">
        <v>21.6</v>
      </c>
      <c r="S159" s="184">
        <v>21.6</v>
      </c>
      <c r="T159" s="181">
        <v>21.6</v>
      </c>
      <c r="U159" s="171">
        <v>21.6</v>
      </c>
      <c r="V159" s="184">
        <v>21.6</v>
      </c>
      <c r="W159" s="181">
        <v>21.6</v>
      </c>
      <c r="X159" s="171">
        <v>21.6</v>
      </c>
      <c r="Y159" s="184">
        <v>21.6</v>
      </c>
      <c r="Z159" s="181">
        <v>21.6</v>
      </c>
      <c r="AA159" s="171">
        <v>21.6</v>
      </c>
      <c r="AB159" s="184">
        <v>21.6</v>
      </c>
      <c r="AC159" s="181">
        <v>21.6</v>
      </c>
      <c r="AD159" s="171">
        <v>21.6</v>
      </c>
      <c r="AE159" s="184">
        <v>21.6</v>
      </c>
      <c r="AF159" s="204">
        <v>21.6</v>
      </c>
      <c r="AG159" s="171">
        <v>21.6</v>
      </c>
      <c r="AH159" s="184">
        <v>21.6</v>
      </c>
      <c r="AI159" s="182" t="s">
        <v>1568</v>
      </c>
      <c r="AJ159" s="163" t="s">
        <v>1569</v>
      </c>
      <c r="AK159" s="65" t="s">
        <v>18</v>
      </c>
      <c r="AL159" s="176">
        <v>1</v>
      </c>
      <c r="AM159" s="159"/>
      <c r="AN159" s="172">
        <v>21.6</v>
      </c>
      <c r="AO159" s="159"/>
      <c r="AP159" s="163" t="s">
        <v>55</v>
      </c>
      <c r="AQ159" s="109" t="s">
        <v>1403</v>
      </c>
      <c r="AR159" s="173"/>
      <c r="AS159" s="174" t="s">
        <v>1424</v>
      </c>
      <c r="AT159" s="175"/>
      <c r="AU159" s="65" t="s">
        <v>25</v>
      </c>
      <c r="AV159" s="163" t="s">
        <v>18</v>
      </c>
      <c r="AW159" s="65">
        <v>1100</v>
      </c>
      <c r="AX159" s="199">
        <v>44746.655393518522</v>
      </c>
    </row>
    <row r="160" spans="1:50">
      <c r="A160" s="124" t="s">
        <v>62</v>
      </c>
      <c r="B160" s="109" t="s">
        <v>1320</v>
      </c>
      <c r="C160" s="214" t="s">
        <v>2517</v>
      </c>
      <c r="D160" s="163" t="s">
        <v>2522</v>
      </c>
      <c r="E160" s="170">
        <v>21.6</v>
      </c>
      <c r="F160" s="171">
        <v>21.6</v>
      </c>
      <c r="G160" s="184">
        <v>21.6</v>
      </c>
      <c r="H160" s="181">
        <v>21.6</v>
      </c>
      <c r="I160" s="171">
        <v>21.6</v>
      </c>
      <c r="J160" s="184">
        <v>21.6</v>
      </c>
      <c r="K160" s="181">
        <v>21.6</v>
      </c>
      <c r="L160" s="171">
        <v>21.6</v>
      </c>
      <c r="M160" s="184">
        <v>21.6</v>
      </c>
      <c r="N160" s="181">
        <v>21.6</v>
      </c>
      <c r="O160" s="171">
        <v>21.6</v>
      </c>
      <c r="P160" s="184">
        <v>21.6</v>
      </c>
      <c r="Q160" s="181">
        <v>21.6</v>
      </c>
      <c r="R160" s="171">
        <v>21.6</v>
      </c>
      <c r="S160" s="184">
        <v>21.6</v>
      </c>
      <c r="T160" s="181">
        <v>21.6</v>
      </c>
      <c r="U160" s="171">
        <v>21.6</v>
      </c>
      <c r="V160" s="184">
        <v>21.6</v>
      </c>
      <c r="W160" s="181">
        <v>21.6</v>
      </c>
      <c r="X160" s="171">
        <v>21.6</v>
      </c>
      <c r="Y160" s="184">
        <v>21.6</v>
      </c>
      <c r="Z160" s="181">
        <v>21.6</v>
      </c>
      <c r="AA160" s="171">
        <v>21.6</v>
      </c>
      <c r="AB160" s="184">
        <v>21.6</v>
      </c>
      <c r="AC160" s="181">
        <v>21.6</v>
      </c>
      <c r="AD160" s="171">
        <v>21.6</v>
      </c>
      <c r="AE160" s="184">
        <v>21.6</v>
      </c>
      <c r="AF160" s="204">
        <v>21.6</v>
      </c>
      <c r="AG160" s="171">
        <v>21.6</v>
      </c>
      <c r="AH160" s="184">
        <v>21.6</v>
      </c>
      <c r="AI160" s="182" t="s">
        <v>1568</v>
      </c>
      <c r="AJ160" s="163" t="s">
        <v>1569</v>
      </c>
      <c r="AK160" s="65" t="s">
        <v>18</v>
      </c>
      <c r="AL160" s="176">
        <v>1</v>
      </c>
      <c r="AM160" s="159"/>
      <c r="AN160" s="172">
        <v>21.6</v>
      </c>
      <c r="AO160" s="159"/>
      <c r="AP160" s="65" t="s">
        <v>55</v>
      </c>
      <c r="AQ160" s="109" t="s">
        <v>1403</v>
      </c>
      <c r="AR160" s="173"/>
      <c r="AS160" s="174" t="s">
        <v>1424</v>
      </c>
      <c r="AT160" s="175"/>
      <c r="AU160" s="65" t="s">
        <v>25</v>
      </c>
      <c r="AV160" s="163" t="s">
        <v>18</v>
      </c>
      <c r="AW160" s="65">
        <v>1100</v>
      </c>
      <c r="AX160" s="196">
        <v>44746.655393518522</v>
      </c>
    </row>
    <row r="161" spans="1:50">
      <c r="A161" s="124" t="s">
        <v>62</v>
      </c>
      <c r="B161" s="109" t="s">
        <v>1385</v>
      </c>
      <c r="C161" s="214" t="s">
        <v>234</v>
      </c>
      <c r="D161" s="163" t="s">
        <v>236</v>
      </c>
      <c r="E161" s="170">
        <v>15</v>
      </c>
      <c r="F161" s="171">
        <v>14.580000000000002</v>
      </c>
      <c r="G161" s="184">
        <v>14.28</v>
      </c>
      <c r="H161" s="181">
        <v>15</v>
      </c>
      <c r="I161" s="171">
        <v>14.580000000000002</v>
      </c>
      <c r="J161" s="184">
        <v>14.28</v>
      </c>
      <c r="K161" s="181">
        <v>15</v>
      </c>
      <c r="L161" s="171">
        <v>14.580000000000002</v>
      </c>
      <c r="M161" s="184">
        <v>14.28</v>
      </c>
      <c r="N161" s="181">
        <v>15</v>
      </c>
      <c r="O161" s="171">
        <v>14.580000000000002</v>
      </c>
      <c r="P161" s="184">
        <v>14.28</v>
      </c>
      <c r="Q161" s="181">
        <v>15</v>
      </c>
      <c r="R161" s="171">
        <v>14.580000000000002</v>
      </c>
      <c r="S161" s="184">
        <v>14.28</v>
      </c>
      <c r="T161" s="181">
        <v>15</v>
      </c>
      <c r="U161" s="171">
        <v>14.580000000000002</v>
      </c>
      <c r="V161" s="184">
        <v>14.28</v>
      </c>
      <c r="W161" s="181">
        <v>15</v>
      </c>
      <c r="X161" s="171">
        <v>14.580000000000002</v>
      </c>
      <c r="Y161" s="184">
        <v>14.28</v>
      </c>
      <c r="Z161" s="181">
        <v>15</v>
      </c>
      <c r="AA161" s="171">
        <v>14.580000000000002</v>
      </c>
      <c r="AB161" s="184">
        <v>14.28</v>
      </c>
      <c r="AC161" s="181">
        <v>15</v>
      </c>
      <c r="AD161" s="171">
        <v>14.580000000000002</v>
      </c>
      <c r="AE161" s="184">
        <v>14.28</v>
      </c>
      <c r="AF161" s="204">
        <v>15</v>
      </c>
      <c r="AG161" s="171">
        <v>14.580000000000002</v>
      </c>
      <c r="AH161" s="184">
        <v>14.28</v>
      </c>
      <c r="AI161" s="182" t="s">
        <v>235</v>
      </c>
      <c r="AJ161" s="163" t="s">
        <v>1429</v>
      </c>
      <c r="AK161" s="65" t="s">
        <v>1388</v>
      </c>
      <c r="AL161" s="176">
        <v>6</v>
      </c>
      <c r="AM161" s="159"/>
      <c r="AN161" s="172">
        <v>15</v>
      </c>
      <c r="AO161" s="159">
        <v>0</v>
      </c>
      <c r="AP161" s="163" t="s">
        <v>27</v>
      </c>
      <c r="AQ161" s="109" t="s">
        <v>1407</v>
      </c>
      <c r="AR161" s="173" t="s">
        <v>1537</v>
      </c>
      <c r="AS161" s="174" t="s">
        <v>1681</v>
      </c>
      <c r="AT161" s="175"/>
      <c r="AU161" s="65" t="s">
        <v>27</v>
      </c>
      <c r="AV161" s="163" t="s">
        <v>1388</v>
      </c>
      <c r="AW161" s="65">
        <v>1465</v>
      </c>
      <c r="AX161" s="196">
        <v>44742.566284722219</v>
      </c>
    </row>
    <row r="162" spans="1:50">
      <c r="A162" s="124" t="s">
        <v>62</v>
      </c>
      <c r="B162" s="109" t="s">
        <v>1385</v>
      </c>
      <c r="C162" s="214" t="s">
        <v>240</v>
      </c>
      <c r="D162" s="163" t="s">
        <v>241</v>
      </c>
      <c r="E162" s="170">
        <v>43.2</v>
      </c>
      <c r="F162" s="171">
        <v>43.2</v>
      </c>
      <c r="G162" s="184">
        <v>36</v>
      </c>
      <c r="H162" s="181">
        <v>43.2</v>
      </c>
      <c r="I162" s="171">
        <v>43.2</v>
      </c>
      <c r="J162" s="184">
        <v>36</v>
      </c>
      <c r="K162" s="181">
        <v>43.2</v>
      </c>
      <c r="L162" s="171">
        <v>43.2</v>
      </c>
      <c r="M162" s="184">
        <v>36</v>
      </c>
      <c r="N162" s="181">
        <v>43.2</v>
      </c>
      <c r="O162" s="171">
        <v>43.2</v>
      </c>
      <c r="P162" s="184">
        <v>36</v>
      </c>
      <c r="Q162" s="181">
        <v>43.2</v>
      </c>
      <c r="R162" s="171">
        <v>43.2</v>
      </c>
      <c r="S162" s="184">
        <v>36</v>
      </c>
      <c r="T162" s="181">
        <v>43.2</v>
      </c>
      <c r="U162" s="171">
        <v>43.2</v>
      </c>
      <c r="V162" s="184">
        <v>36</v>
      </c>
      <c r="W162" s="181">
        <v>43.2</v>
      </c>
      <c r="X162" s="171">
        <v>43.2</v>
      </c>
      <c r="Y162" s="184">
        <v>36</v>
      </c>
      <c r="Z162" s="181">
        <v>43.2</v>
      </c>
      <c r="AA162" s="171">
        <v>43.2</v>
      </c>
      <c r="AB162" s="184">
        <v>36</v>
      </c>
      <c r="AC162" s="181">
        <v>43.2</v>
      </c>
      <c r="AD162" s="171">
        <v>43.2</v>
      </c>
      <c r="AE162" s="184">
        <v>36</v>
      </c>
      <c r="AF162" s="204">
        <v>43.2</v>
      </c>
      <c r="AG162" s="171">
        <v>43.2</v>
      </c>
      <c r="AH162" s="184">
        <v>36</v>
      </c>
      <c r="AI162" s="182" t="s">
        <v>235</v>
      </c>
      <c r="AJ162" s="163" t="s">
        <v>1419</v>
      </c>
      <c r="AK162" s="65" t="s">
        <v>17</v>
      </c>
      <c r="AL162" s="176">
        <v>12</v>
      </c>
      <c r="AM162" s="159"/>
      <c r="AN162" s="172">
        <v>43.2</v>
      </c>
      <c r="AO162" s="159"/>
      <c r="AP162" s="163" t="s">
        <v>27</v>
      </c>
      <c r="AQ162" s="109" t="s">
        <v>1407</v>
      </c>
      <c r="AR162" s="173" t="s">
        <v>1537</v>
      </c>
      <c r="AS162" s="174" t="s">
        <v>1681</v>
      </c>
      <c r="AT162" s="175"/>
      <c r="AU162" s="65" t="s">
        <v>27</v>
      </c>
      <c r="AV162" s="163" t="s">
        <v>17</v>
      </c>
      <c r="AW162" s="65">
        <v>1464</v>
      </c>
      <c r="AX162" s="196">
        <v>44742.565150462964</v>
      </c>
    </row>
    <row r="163" spans="1:50">
      <c r="A163" s="124" t="s">
        <v>100</v>
      </c>
      <c r="B163" s="109" t="s">
        <v>1320</v>
      </c>
      <c r="C163" s="214" t="s">
        <v>103</v>
      </c>
      <c r="D163" s="163" t="s">
        <v>105</v>
      </c>
      <c r="E163" s="170">
        <v>199.95</v>
      </c>
      <c r="F163" s="171">
        <v>199.95</v>
      </c>
      <c r="G163" s="184">
        <v>189.74999999999997</v>
      </c>
      <c r="H163" s="181">
        <v>199.95</v>
      </c>
      <c r="I163" s="171">
        <v>199.95</v>
      </c>
      <c r="J163" s="184">
        <v>189.74999999999997</v>
      </c>
      <c r="K163" s="181">
        <v>199.95</v>
      </c>
      <c r="L163" s="171">
        <v>199.95</v>
      </c>
      <c r="M163" s="184">
        <v>189.74999999999997</v>
      </c>
      <c r="N163" s="181">
        <v>199.95</v>
      </c>
      <c r="O163" s="171">
        <v>199.95</v>
      </c>
      <c r="P163" s="184">
        <v>189.74999999999997</v>
      </c>
      <c r="Q163" s="181">
        <v>199.95</v>
      </c>
      <c r="R163" s="171">
        <v>199.95</v>
      </c>
      <c r="S163" s="184">
        <v>189.74999999999997</v>
      </c>
      <c r="T163" s="181">
        <v>199.95</v>
      </c>
      <c r="U163" s="171">
        <v>199.95</v>
      </c>
      <c r="V163" s="184">
        <v>189.74999999999997</v>
      </c>
      <c r="W163" s="181">
        <v>199.95</v>
      </c>
      <c r="X163" s="171">
        <v>199.95</v>
      </c>
      <c r="Y163" s="184">
        <v>189.74999999999997</v>
      </c>
      <c r="Z163" s="181">
        <v>199.95</v>
      </c>
      <c r="AA163" s="171">
        <v>199.95</v>
      </c>
      <c r="AB163" s="184">
        <v>189.74999999999997</v>
      </c>
      <c r="AC163" s="181">
        <v>199.95</v>
      </c>
      <c r="AD163" s="171">
        <v>199.95</v>
      </c>
      <c r="AE163" s="184">
        <v>189.74999999999997</v>
      </c>
      <c r="AF163" s="204">
        <v>199.95</v>
      </c>
      <c r="AG163" s="171">
        <v>199.95</v>
      </c>
      <c r="AH163" s="184">
        <v>189.74999999999997</v>
      </c>
      <c r="AI163" s="182" t="s">
        <v>104</v>
      </c>
      <c r="AJ163" s="163" t="s">
        <v>1429</v>
      </c>
      <c r="AK163" s="65" t="s">
        <v>1388</v>
      </c>
      <c r="AL163" s="176">
        <v>150</v>
      </c>
      <c r="AM163" s="159"/>
      <c r="AN163" s="172">
        <v>199.95</v>
      </c>
      <c r="AO163" s="159">
        <v>0</v>
      </c>
      <c r="AP163" s="163" t="s">
        <v>55</v>
      </c>
      <c r="AQ163" s="109" t="s">
        <v>1407</v>
      </c>
      <c r="AR163" s="173"/>
      <c r="AS163" s="174" t="s">
        <v>1547</v>
      </c>
      <c r="AT163" s="175"/>
      <c r="AU163" s="65" t="s">
        <v>25</v>
      </c>
      <c r="AV163" s="163" t="s">
        <v>1388</v>
      </c>
      <c r="AW163" s="65">
        <v>1602</v>
      </c>
      <c r="AX163" s="196">
        <v>44746.594490740739</v>
      </c>
    </row>
    <row r="164" spans="1:50">
      <c r="A164" s="124" t="s">
        <v>100</v>
      </c>
      <c r="B164" s="109" t="s">
        <v>1320</v>
      </c>
      <c r="C164" s="214" t="s">
        <v>849</v>
      </c>
      <c r="D164" s="163" t="s">
        <v>2552</v>
      </c>
      <c r="E164" s="170">
        <v>31.05</v>
      </c>
      <c r="F164" s="171">
        <v>29.7</v>
      </c>
      <c r="G164" s="184">
        <v>27</v>
      </c>
      <c r="H164" s="181">
        <v>31.05</v>
      </c>
      <c r="I164" s="171">
        <v>29.7</v>
      </c>
      <c r="J164" s="184">
        <v>27</v>
      </c>
      <c r="K164" s="181">
        <v>31.05</v>
      </c>
      <c r="L164" s="171">
        <v>29.7</v>
      </c>
      <c r="M164" s="184">
        <v>27</v>
      </c>
      <c r="N164" s="181">
        <v>31.05</v>
      </c>
      <c r="O164" s="171">
        <v>29.7</v>
      </c>
      <c r="P164" s="184">
        <v>27</v>
      </c>
      <c r="Q164" s="181">
        <v>31.05</v>
      </c>
      <c r="R164" s="171">
        <v>29.7</v>
      </c>
      <c r="S164" s="184">
        <v>27</v>
      </c>
      <c r="T164" s="181">
        <v>31.05</v>
      </c>
      <c r="U164" s="171">
        <v>29.7</v>
      </c>
      <c r="V164" s="184">
        <v>27</v>
      </c>
      <c r="W164" s="181">
        <v>31.05</v>
      </c>
      <c r="X164" s="171">
        <v>29.7</v>
      </c>
      <c r="Y164" s="184">
        <v>27</v>
      </c>
      <c r="Z164" s="181">
        <v>31.05</v>
      </c>
      <c r="AA164" s="171">
        <v>29.7</v>
      </c>
      <c r="AB164" s="184">
        <v>27</v>
      </c>
      <c r="AC164" s="181">
        <v>31.05</v>
      </c>
      <c r="AD164" s="171">
        <v>29.7</v>
      </c>
      <c r="AE164" s="184">
        <v>27</v>
      </c>
      <c r="AF164" s="204">
        <v>31.05</v>
      </c>
      <c r="AG164" s="171">
        <v>29.7</v>
      </c>
      <c r="AH164" s="184">
        <v>27</v>
      </c>
      <c r="AI164" s="182" t="s">
        <v>2551</v>
      </c>
      <c r="AJ164" s="163" t="s">
        <v>1419</v>
      </c>
      <c r="AK164" s="65" t="s">
        <v>17</v>
      </c>
      <c r="AL164" s="176">
        <v>9</v>
      </c>
      <c r="AM164" s="159"/>
      <c r="AN164" s="172">
        <v>31.05</v>
      </c>
      <c r="AO164" s="159"/>
      <c r="AP164" s="163" t="s">
        <v>55</v>
      </c>
      <c r="AQ164" s="109" t="s">
        <v>1407</v>
      </c>
      <c r="AR164" s="173"/>
      <c r="AS164" s="174" t="s">
        <v>1496</v>
      </c>
      <c r="AT164" s="175"/>
      <c r="AU164" s="65" t="s">
        <v>25</v>
      </c>
      <c r="AV164" s="163" t="s">
        <v>17</v>
      </c>
      <c r="AW164" s="65">
        <v>1382</v>
      </c>
      <c r="AX164" s="196">
        <v>44746.675185185188</v>
      </c>
    </row>
    <row r="165" spans="1:50">
      <c r="A165" s="124" t="s">
        <v>62</v>
      </c>
      <c r="B165" s="109" t="s">
        <v>1385</v>
      </c>
      <c r="C165" s="214" t="s">
        <v>346</v>
      </c>
      <c r="D165" s="163" t="s">
        <v>208</v>
      </c>
      <c r="E165" s="170">
        <v>0</v>
      </c>
      <c r="F165" s="171">
        <v>0</v>
      </c>
      <c r="G165" s="184">
        <v>0</v>
      </c>
      <c r="H165" s="181">
        <v>0</v>
      </c>
      <c r="I165" s="171">
        <v>0</v>
      </c>
      <c r="J165" s="184">
        <v>0</v>
      </c>
      <c r="K165" s="181">
        <v>0</v>
      </c>
      <c r="L165" s="171">
        <v>250</v>
      </c>
      <c r="M165" s="184">
        <v>250</v>
      </c>
      <c r="N165" s="181">
        <v>250</v>
      </c>
      <c r="O165" s="171">
        <v>250</v>
      </c>
      <c r="P165" s="184">
        <v>250</v>
      </c>
      <c r="Q165" s="181">
        <v>250</v>
      </c>
      <c r="R165" s="171">
        <v>250</v>
      </c>
      <c r="S165" s="184">
        <v>250</v>
      </c>
      <c r="T165" s="181">
        <v>250</v>
      </c>
      <c r="U165" s="171">
        <v>250</v>
      </c>
      <c r="V165" s="184">
        <v>250</v>
      </c>
      <c r="W165" s="181">
        <v>250</v>
      </c>
      <c r="X165" s="171">
        <v>250</v>
      </c>
      <c r="Y165" s="184">
        <v>250</v>
      </c>
      <c r="Z165" s="181">
        <v>250</v>
      </c>
      <c r="AA165" s="171">
        <v>250</v>
      </c>
      <c r="AB165" s="184">
        <v>250</v>
      </c>
      <c r="AC165" s="181">
        <v>250</v>
      </c>
      <c r="AD165" s="171">
        <v>250</v>
      </c>
      <c r="AE165" s="184">
        <v>250</v>
      </c>
      <c r="AF165" s="204">
        <v>250</v>
      </c>
      <c r="AG165" s="171">
        <v>250</v>
      </c>
      <c r="AH165" s="184">
        <v>250</v>
      </c>
      <c r="AI165" s="182" t="s">
        <v>347</v>
      </c>
      <c r="AJ165" s="163" t="s">
        <v>1469</v>
      </c>
      <c r="AK165" s="65" t="s">
        <v>18</v>
      </c>
      <c r="AL165" s="176">
        <v>2</v>
      </c>
      <c r="AM165" s="159"/>
      <c r="AN165" s="172">
        <v>250</v>
      </c>
      <c r="AO165" s="159">
        <v>2000</v>
      </c>
      <c r="AP165" s="163" t="s">
        <v>27</v>
      </c>
      <c r="AQ165" s="109" t="s">
        <v>1403</v>
      </c>
      <c r="AR165" s="178" t="s">
        <v>2554</v>
      </c>
      <c r="AS165" s="174" t="s">
        <v>2555</v>
      </c>
      <c r="AT165" s="175"/>
      <c r="AU165" s="65" t="s">
        <v>27</v>
      </c>
      <c r="AV165" s="163" t="s">
        <v>18</v>
      </c>
      <c r="AW165" s="65">
        <v>1352</v>
      </c>
      <c r="AX165" s="196">
        <v>44743.432905092595</v>
      </c>
    </row>
    <row r="166" spans="1:50">
      <c r="A166" s="124" t="s">
        <v>62</v>
      </c>
      <c r="B166" s="109" t="s">
        <v>1320</v>
      </c>
      <c r="C166" s="214" t="s">
        <v>2556</v>
      </c>
      <c r="D166" s="163" t="s">
        <v>2557</v>
      </c>
      <c r="E166" s="170">
        <v>48.5</v>
      </c>
      <c r="F166" s="171">
        <v>48.5</v>
      </c>
      <c r="G166" s="184">
        <v>48.5</v>
      </c>
      <c r="H166" s="181">
        <v>48.5</v>
      </c>
      <c r="I166" s="171">
        <v>48.5</v>
      </c>
      <c r="J166" s="184">
        <v>48.5</v>
      </c>
      <c r="K166" s="181">
        <v>48.5</v>
      </c>
      <c r="L166" s="171">
        <v>48.5</v>
      </c>
      <c r="M166" s="184">
        <v>48.5</v>
      </c>
      <c r="N166" s="181">
        <v>48.5</v>
      </c>
      <c r="O166" s="171">
        <v>48.5</v>
      </c>
      <c r="P166" s="184">
        <v>48.5</v>
      </c>
      <c r="Q166" s="181">
        <v>48.5</v>
      </c>
      <c r="R166" s="171">
        <v>48.5</v>
      </c>
      <c r="S166" s="184">
        <v>48.5</v>
      </c>
      <c r="T166" s="181">
        <v>48.5</v>
      </c>
      <c r="U166" s="171">
        <v>48.5</v>
      </c>
      <c r="V166" s="184">
        <v>48.5</v>
      </c>
      <c r="W166" s="181">
        <v>48.5</v>
      </c>
      <c r="X166" s="171">
        <v>48.5</v>
      </c>
      <c r="Y166" s="184">
        <v>48.5</v>
      </c>
      <c r="Z166" s="181">
        <v>48.5</v>
      </c>
      <c r="AA166" s="171">
        <v>48.5</v>
      </c>
      <c r="AB166" s="184">
        <v>48.5</v>
      </c>
      <c r="AC166" s="181">
        <v>48.5</v>
      </c>
      <c r="AD166" s="171">
        <v>48.5</v>
      </c>
      <c r="AE166" s="184">
        <v>48.5</v>
      </c>
      <c r="AF166" s="204">
        <v>48.5</v>
      </c>
      <c r="AG166" s="171">
        <v>48.5</v>
      </c>
      <c r="AH166" s="184">
        <v>48.5</v>
      </c>
      <c r="AI166" s="182" t="s">
        <v>1712</v>
      </c>
      <c r="AJ166" s="163" t="s">
        <v>1398</v>
      </c>
      <c r="AK166" s="65" t="s">
        <v>1388</v>
      </c>
      <c r="AL166" s="176">
        <v>20</v>
      </c>
      <c r="AM166" s="159"/>
      <c r="AN166" s="172">
        <v>50</v>
      </c>
      <c r="AO166" s="159">
        <v>0</v>
      </c>
      <c r="AP166" s="163" t="s">
        <v>55</v>
      </c>
      <c r="AQ166" s="109" t="s">
        <v>1407</v>
      </c>
      <c r="AR166" s="173"/>
      <c r="AS166" s="174" t="s">
        <v>1424</v>
      </c>
      <c r="AT166" s="175"/>
      <c r="AU166" s="65" t="s">
        <v>25</v>
      </c>
      <c r="AV166" s="163" t="s">
        <v>1388</v>
      </c>
      <c r="AW166" s="65">
        <v>1378</v>
      </c>
      <c r="AX166" s="196">
        <v>44746.661249999997</v>
      </c>
    </row>
    <row r="167" spans="1:50">
      <c r="A167" s="124" t="s">
        <v>62</v>
      </c>
      <c r="B167" s="109" t="s">
        <v>1320</v>
      </c>
      <c r="C167" s="214" t="s">
        <v>2572</v>
      </c>
      <c r="D167" s="163" t="s">
        <v>2573</v>
      </c>
      <c r="E167" s="170">
        <v>720</v>
      </c>
      <c r="F167" s="171">
        <v>720</v>
      </c>
      <c r="G167" s="184">
        <v>710</v>
      </c>
      <c r="H167" s="181">
        <v>750</v>
      </c>
      <c r="I167" s="171">
        <v>730</v>
      </c>
      <c r="J167" s="184">
        <v>710</v>
      </c>
      <c r="K167" s="181">
        <v>750</v>
      </c>
      <c r="L167" s="171">
        <v>730</v>
      </c>
      <c r="M167" s="184">
        <v>710</v>
      </c>
      <c r="N167" s="181">
        <v>750</v>
      </c>
      <c r="O167" s="171">
        <v>730</v>
      </c>
      <c r="P167" s="184">
        <v>710</v>
      </c>
      <c r="Q167" s="181">
        <v>750</v>
      </c>
      <c r="R167" s="171">
        <v>730</v>
      </c>
      <c r="S167" s="184">
        <v>710</v>
      </c>
      <c r="T167" s="181">
        <v>750</v>
      </c>
      <c r="U167" s="171">
        <v>730</v>
      </c>
      <c r="V167" s="184">
        <v>710</v>
      </c>
      <c r="W167" s="181">
        <v>750</v>
      </c>
      <c r="X167" s="171">
        <v>730</v>
      </c>
      <c r="Y167" s="184">
        <v>710</v>
      </c>
      <c r="Z167" s="181">
        <v>750</v>
      </c>
      <c r="AA167" s="171">
        <v>730</v>
      </c>
      <c r="AB167" s="184">
        <v>710</v>
      </c>
      <c r="AC167" s="181">
        <v>750</v>
      </c>
      <c r="AD167" s="171">
        <v>730</v>
      </c>
      <c r="AE167" s="184">
        <v>710</v>
      </c>
      <c r="AF167" s="204">
        <v>750</v>
      </c>
      <c r="AG167" s="171">
        <v>730</v>
      </c>
      <c r="AH167" s="184">
        <v>710</v>
      </c>
      <c r="AI167" s="182" t="s">
        <v>1817</v>
      </c>
      <c r="AJ167" s="163" t="s">
        <v>1822</v>
      </c>
      <c r="AK167" s="65" t="s">
        <v>1597</v>
      </c>
      <c r="AL167" s="176">
        <v>1</v>
      </c>
      <c r="AM167" s="159"/>
      <c r="AN167" s="172">
        <v>744</v>
      </c>
      <c r="AO167" s="159"/>
      <c r="AP167" s="163" t="s">
        <v>55</v>
      </c>
      <c r="AQ167" s="109" t="s">
        <v>1403</v>
      </c>
      <c r="AR167" s="173"/>
      <c r="AS167" s="174" t="s">
        <v>1496</v>
      </c>
      <c r="AT167" s="175"/>
      <c r="AU167" s="65" t="s">
        <v>25</v>
      </c>
      <c r="AV167" s="163" t="s">
        <v>12</v>
      </c>
      <c r="AW167" s="65">
        <v>1104</v>
      </c>
      <c r="AX167" s="196">
        <v>44732.4690162037</v>
      </c>
    </row>
    <row r="168" spans="1:50">
      <c r="A168" s="124" t="s">
        <v>46</v>
      </c>
      <c r="B168" s="109" t="s">
        <v>1385</v>
      </c>
      <c r="C168" s="214" t="s">
        <v>152</v>
      </c>
      <c r="D168" s="163" t="s">
        <v>208</v>
      </c>
      <c r="E168" s="170">
        <v>0</v>
      </c>
      <c r="F168" s="171">
        <v>0</v>
      </c>
      <c r="G168" s="184">
        <v>0</v>
      </c>
      <c r="H168" s="181">
        <v>0</v>
      </c>
      <c r="I168" s="171">
        <v>660</v>
      </c>
      <c r="J168" s="184">
        <v>660</v>
      </c>
      <c r="K168" s="181">
        <v>660</v>
      </c>
      <c r="L168" s="171">
        <v>660</v>
      </c>
      <c r="M168" s="184">
        <v>660</v>
      </c>
      <c r="N168" s="181">
        <v>660</v>
      </c>
      <c r="O168" s="171">
        <v>660</v>
      </c>
      <c r="P168" s="184">
        <v>660</v>
      </c>
      <c r="Q168" s="181">
        <v>660</v>
      </c>
      <c r="R168" s="171">
        <v>660</v>
      </c>
      <c r="S168" s="184">
        <v>660</v>
      </c>
      <c r="T168" s="181">
        <v>660</v>
      </c>
      <c r="U168" s="171">
        <v>660</v>
      </c>
      <c r="V168" s="184">
        <v>660</v>
      </c>
      <c r="W168" s="181">
        <v>660</v>
      </c>
      <c r="X168" s="171">
        <v>660</v>
      </c>
      <c r="Y168" s="184">
        <v>660</v>
      </c>
      <c r="Z168" s="181">
        <v>660</v>
      </c>
      <c r="AA168" s="171">
        <v>660</v>
      </c>
      <c r="AB168" s="184">
        <v>660</v>
      </c>
      <c r="AC168" s="181">
        <v>660</v>
      </c>
      <c r="AD168" s="171">
        <v>660</v>
      </c>
      <c r="AE168" s="184">
        <v>660</v>
      </c>
      <c r="AF168" s="204">
        <v>660</v>
      </c>
      <c r="AG168" s="171">
        <v>660</v>
      </c>
      <c r="AH168" s="184">
        <v>660</v>
      </c>
      <c r="AI168" s="182" t="s">
        <v>283</v>
      </c>
      <c r="AJ168" s="163" t="s">
        <v>1493</v>
      </c>
      <c r="AK168" s="65" t="s">
        <v>1360</v>
      </c>
      <c r="AL168" s="176">
        <v>2</v>
      </c>
      <c r="AM168" s="159"/>
      <c r="AN168" s="172">
        <v>750</v>
      </c>
      <c r="AO168" s="159"/>
      <c r="AP168" s="163" t="s">
        <v>2577</v>
      </c>
      <c r="AQ168" s="109" t="s">
        <v>1403</v>
      </c>
      <c r="AR168" s="173" t="s">
        <v>2578</v>
      </c>
      <c r="AS168" s="174"/>
      <c r="AT168" s="175"/>
      <c r="AU168" s="65" t="s">
        <v>27</v>
      </c>
      <c r="AV168" s="163" t="s">
        <v>14</v>
      </c>
      <c r="AW168" s="65">
        <v>1871</v>
      </c>
      <c r="AX168" s="196">
        <v>44747.480069444442</v>
      </c>
    </row>
    <row r="169" spans="1:50">
      <c r="A169" s="124" t="s">
        <v>80</v>
      </c>
      <c r="B169" s="109" t="s">
        <v>1320</v>
      </c>
      <c r="C169" s="214" t="s">
        <v>490</v>
      </c>
      <c r="D169" s="163" t="s">
        <v>2579</v>
      </c>
      <c r="E169" s="170">
        <v>42</v>
      </c>
      <c r="F169" s="171">
        <v>37</v>
      </c>
      <c r="G169" s="184">
        <v>35</v>
      </c>
      <c r="H169" s="181">
        <v>42</v>
      </c>
      <c r="I169" s="171">
        <v>37</v>
      </c>
      <c r="J169" s="184">
        <v>35</v>
      </c>
      <c r="K169" s="181">
        <v>42</v>
      </c>
      <c r="L169" s="171">
        <v>37</v>
      </c>
      <c r="M169" s="184">
        <v>35</v>
      </c>
      <c r="N169" s="181">
        <v>42</v>
      </c>
      <c r="O169" s="171">
        <v>37</v>
      </c>
      <c r="P169" s="184">
        <v>35</v>
      </c>
      <c r="Q169" s="181">
        <v>42</v>
      </c>
      <c r="R169" s="171">
        <v>37</v>
      </c>
      <c r="S169" s="184">
        <v>35</v>
      </c>
      <c r="T169" s="181">
        <v>42</v>
      </c>
      <c r="U169" s="171">
        <v>37</v>
      </c>
      <c r="V169" s="184">
        <v>35</v>
      </c>
      <c r="W169" s="181">
        <v>42</v>
      </c>
      <c r="X169" s="171">
        <v>37</v>
      </c>
      <c r="Y169" s="184">
        <v>35</v>
      </c>
      <c r="Z169" s="181">
        <v>42</v>
      </c>
      <c r="AA169" s="171">
        <v>37</v>
      </c>
      <c r="AB169" s="184">
        <v>35</v>
      </c>
      <c r="AC169" s="181">
        <v>42</v>
      </c>
      <c r="AD169" s="171">
        <v>37</v>
      </c>
      <c r="AE169" s="184">
        <v>35</v>
      </c>
      <c r="AF169" s="204">
        <v>42</v>
      </c>
      <c r="AG169" s="171">
        <v>37</v>
      </c>
      <c r="AH169" s="184">
        <v>35</v>
      </c>
      <c r="AI169" s="182" t="s">
        <v>465</v>
      </c>
      <c r="AJ169" s="163" t="s">
        <v>1493</v>
      </c>
      <c r="AK169" s="65" t="s">
        <v>1360</v>
      </c>
      <c r="AL169" s="176">
        <v>1</v>
      </c>
      <c r="AM169" s="159"/>
      <c r="AN169" s="172">
        <v>40</v>
      </c>
      <c r="AO169" s="159"/>
      <c r="AP169" s="163" t="s">
        <v>55</v>
      </c>
      <c r="AQ169" s="109" t="s">
        <v>1403</v>
      </c>
      <c r="AR169" s="173"/>
      <c r="AS169" s="174" t="s">
        <v>1837</v>
      </c>
      <c r="AT169" s="175"/>
      <c r="AU169" s="65" t="s">
        <v>25</v>
      </c>
      <c r="AV169" s="163" t="s">
        <v>14</v>
      </c>
      <c r="AW169" s="65">
        <v>1107</v>
      </c>
      <c r="AX169" s="196">
        <v>44670.382928240739</v>
      </c>
    </row>
    <row r="170" spans="1:50">
      <c r="A170" s="124" t="s">
        <v>80</v>
      </c>
      <c r="B170" s="109" t="s">
        <v>1320</v>
      </c>
      <c r="C170" s="214" t="s">
        <v>490</v>
      </c>
      <c r="D170" s="163" t="s">
        <v>2580</v>
      </c>
      <c r="E170" s="170">
        <v>42</v>
      </c>
      <c r="F170" s="171">
        <v>37</v>
      </c>
      <c r="G170" s="184">
        <v>35</v>
      </c>
      <c r="H170" s="181">
        <v>42</v>
      </c>
      <c r="I170" s="171">
        <v>37</v>
      </c>
      <c r="J170" s="184">
        <v>35</v>
      </c>
      <c r="K170" s="181">
        <v>42</v>
      </c>
      <c r="L170" s="171">
        <v>37</v>
      </c>
      <c r="M170" s="184">
        <v>35</v>
      </c>
      <c r="N170" s="181">
        <v>42</v>
      </c>
      <c r="O170" s="171">
        <v>37</v>
      </c>
      <c r="P170" s="184">
        <v>35</v>
      </c>
      <c r="Q170" s="181">
        <v>42</v>
      </c>
      <c r="R170" s="171">
        <v>37</v>
      </c>
      <c r="S170" s="184">
        <v>35</v>
      </c>
      <c r="T170" s="181">
        <v>42</v>
      </c>
      <c r="U170" s="171">
        <v>37</v>
      </c>
      <c r="V170" s="184">
        <v>35</v>
      </c>
      <c r="W170" s="181">
        <v>42</v>
      </c>
      <c r="X170" s="171">
        <v>37</v>
      </c>
      <c r="Y170" s="184">
        <v>35</v>
      </c>
      <c r="Z170" s="181">
        <v>42</v>
      </c>
      <c r="AA170" s="171">
        <v>37</v>
      </c>
      <c r="AB170" s="184">
        <v>35</v>
      </c>
      <c r="AC170" s="181">
        <v>42</v>
      </c>
      <c r="AD170" s="171">
        <v>37</v>
      </c>
      <c r="AE170" s="184">
        <v>35</v>
      </c>
      <c r="AF170" s="204">
        <v>42</v>
      </c>
      <c r="AG170" s="171">
        <v>37</v>
      </c>
      <c r="AH170" s="184">
        <v>35</v>
      </c>
      <c r="AI170" s="182" t="s">
        <v>465</v>
      </c>
      <c r="AJ170" s="163" t="s">
        <v>1493</v>
      </c>
      <c r="AK170" s="65" t="s">
        <v>1360</v>
      </c>
      <c r="AL170" s="176">
        <v>1</v>
      </c>
      <c r="AM170" s="159"/>
      <c r="AN170" s="172">
        <v>40</v>
      </c>
      <c r="AO170" s="159"/>
      <c r="AP170" s="163" t="s">
        <v>55</v>
      </c>
      <c r="AQ170" s="109" t="s">
        <v>1403</v>
      </c>
      <c r="AR170" s="173"/>
      <c r="AS170" s="174" t="s">
        <v>1837</v>
      </c>
      <c r="AT170" s="175"/>
      <c r="AU170" s="65" t="s">
        <v>25</v>
      </c>
      <c r="AV170" s="163" t="s">
        <v>14</v>
      </c>
      <c r="AW170" s="65">
        <v>1107</v>
      </c>
      <c r="AX170" s="196">
        <v>44670.382928240739</v>
      </c>
    </row>
    <row r="171" spans="1:50">
      <c r="A171" s="124" t="s">
        <v>80</v>
      </c>
      <c r="B171" s="109" t="s">
        <v>1320</v>
      </c>
      <c r="C171" s="214" t="s">
        <v>2585</v>
      </c>
      <c r="D171" s="163" t="s">
        <v>2586</v>
      </c>
      <c r="E171" s="170">
        <v>159</v>
      </c>
      <c r="F171" s="171">
        <v>159</v>
      </c>
      <c r="G171" s="184">
        <v>159</v>
      </c>
      <c r="H171" s="204">
        <v>159</v>
      </c>
      <c r="I171" s="171">
        <v>159</v>
      </c>
      <c r="J171" s="184">
        <v>159</v>
      </c>
      <c r="K171" s="204">
        <v>159</v>
      </c>
      <c r="L171" s="171">
        <v>159</v>
      </c>
      <c r="M171" s="184">
        <v>159</v>
      </c>
      <c r="N171" s="204">
        <v>159</v>
      </c>
      <c r="O171" s="171">
        <v>159</v>
      </c>
      <c r="P171" s="184">
        <v>159</v>
      </c>
      <c r="Q171" s="204">
        <v>159</v>
      </c>
      <c r="R171" s="171">
        <v>159</v>
      </c>
      <c r="S171" s="184">
        <v>159</v>
      </c>
      <c r="T171" s="204">
        <v>159</v>
      </c>
      <c r="U171" s="171">
        <v>159</v>
      </c>
      <c r="V171" s="184">
        <v>159</v>
      </c>
      <c r="W171" s="204">
        <v>159</v>
      </c>
      <c r="X171" s="171">
        <v>159</v>
      </c>
      <c r="Y171" s="184">
        <v>159</v>
      </c>
      <c r="Z171" s="204">
        <v>159</v>
      </c>
      <c r="AA171" s="171">
        <v>159</v>
      </c>
      <c r="AB171" s="184">
        <v>159</v>
      </c>
      <c r="AC171" s="204">
        <v>159</v>
      </c>
      <c r="AD171" s="171">
        <v>159</v>
      </c>
      <c r="AE171" s="184">
        <v>159</v>
      </c>
      <c r="AF171" s="204">
        <v>159</v>
      </c>
      <c r="AG171" s="171">
        <v>159</v>
      </c>
      <c r="AH171" s="184">
        <v>159</v>
      </c>
      <c r="AI171" s="182" t="s">
        <v>2582</v>
      </c>
      <c r="AJ171" s="163" t="s">
        <v>1419</v>
      </c>
      <c r="AK171" s="65" t="s">
        <v>17</v>
      </c>
      <c r="AL171" s="176">
        <v>53</v>
      </c>
      <c r="AM171" s="159"/>
      <c r="AN171" s="172">
        <v>159</v>
      </c>
      <c r="AO171" s="159"/>
      <c r="AP171" s="163" t="s">
        <v>55</v>
      </c>
      <c r="AQ171" s="109" t="s">
        <v>1407</v>
      </c>
      <c r="AR171" s="173"/>
      <c r="AS171" s="174" t="s">
        <v>1959</v>
      </c>
      <c r="AT171" s="175"/>
      <c r="AU171" s="65" t="s">
        <v>25</v>
      </c>
      <c r="AV171" s="163" t="s">
        <v>17</v>
      </c>
      <c r="AW171" s="65">
        <v>1109</v>
      </c>
      <c r="AX171" s="196">
        <v>44670.387418981481</v>
      </c>
    </row>
    <row r="172" spans="1:50">
      <c r="A172" s="124" t="s">
        <v>80</v>
      </c>
      <c r="B172" s="109" t="s">
        <v>1320</v>
      </c>
      <c r="C172" s="214" t="s">
        <v>2587</v>
      </c>
      <c r="D172" s="163" t="s">
        <v>2588</v>
      </c>
      <c r="E172" s="170">
        <v>39</v>
      </c>
      <c r="F172" s="171">
        <v>39</v>
      </c>
      <c r="G172" s="184">
        <v>39</v>
      </c>
      <c r="H172" s="204">
        <v>39</v>
      </c>
      <c r="I172" s="171">
        <v>39</v>
      </c>
      <c r="J172" s="184">
        <v>39</v>
      </c>
      <c r="K172" s="204">
        <v>39</v>
      </c>
      <c r="L172" s="171">
        <v>39</v>
      </c>
      <c r="M172" s="184">
        <v>39</v>
      </c>
      <c r="N172" s="204">
        <v>39</v>
      </c>
      <c r="O172" s="171">
        <v>39</v>
      </c>
      <c r="P172" s="184">
        <v>39</v>
      </c>
      <c r="Q172" s="204">
        <v>39</v>
      </c>
      <c r="R172" s="171">
        <v>39</v>
      </c>
      <c r="S172" s="184">
        <v>39</v>
      </c>
      <c r="T172" s="204">
        <v>39</v>
      </c>
      <c r="U172" s="171">
        <v>39</v>
      </c>
      <c r="V172" s="184">
        <v>39</v>
      </c>
      <c r="W172" s="204">
        <v>39</v>
      </c>
      <c r="X172" s="171">
        <v>39</v>
      </c>
      <c r="Y172" s="184">
        <v>39</v>
      </c>
      <c r="Z172" s="204">
        <v>39</v>
      </c>
      <c r="AA172" s="171">
        <v>39</v>
      </c>
      <c r="AB172" s="184">
        <v>39</v>
      </c>
      <c r="AC172" s="204">
        <v>39</v>
      </c>
      <c r="AD172" s="171">
        <v>39</v>
      </c>
      <c r="AE172" s="184">
        <v>39</v>
      </c>
      <c r="AF172" s="204">
        <v>39</v>
      </c>
      <c r="AG172" s="171">
        <v>39</v>
      </c>
      <c r="AH172" s="184">
        <v>39</v>
      </c>
      <c r="AI172" s="182" t="s">
        <v>2582</v>
      </c>
      <c r="AJ172" s="163" t="s">
        <v>1419</v>
      </c>
      <c r="AK172" s="65" t="s">
        <v>17</v>
      </c>
      <c r="AL172" s="176">
        <v>13</v>
      </c>
      <c r="AM172" s="159"/>
      <c r="AN172" s="172">
        <v>39</v>
      </c>
      <c r="AO172" s="159"/>
      <c r="AP172" s="163" t="s">
        <v>55</v>
      </c>
      <c r="AQ172" s="109" t="s">
        <v>1407</v>
      </c>
      <c r="AR172" s="173"/>
      <c r="AS172" s="174" t="s">
        <v>1511</v>
      </c>
      <c r="AT172" s="175"/>
      <c r="AU172" s="65" t="s">
        <v>25</v>
      </c>
      <c r="AV172" s="163" t="s">
        <v>17</v>
      </c>
      <c r="AW172" s="65">
        <v>1110</v>
      </c>
      <c r="AX172" s="196">
        <v>44670.388483796298</v>
      </c>
    </row>
    <row r="173" spans="1:50">
      <c r="A173" s="124" t="s">
        <v>80</v>
      </c>
      <c r="B173" s="109" t="s">
        <v>1320</v>
      </c>
      <c r="C173" s="214" t="s">
        <v>492</v>
      </c>
      <c r="D173" s="163" t="s">
        <v>494</v>
      </c>
      <c r="E173" s="170">
        <v>25</v>
      </c>
      <c r="F173" s="171">
        <v>25</v>
      </c>
      <c r="G173" s="184">
        <v>25</v>
      </c>
      <c r="H173" s="204">
        <v>25</v>
      </c>
      <c r="I173" s="171">
        <v>25</v>
      </c>
      <c r="J173" s="184">
        <v>25</v>
      </c>
      <c r="K173" s="204">
        <v>25</v>
      </c>
      <c r="L173" s="171">
        <v>25</v>
      </c>
      <c r="M173" s="184">
        <v>25</v>
      </c>
      <c r="N173" s="204">
        <v>25</v>
      </c>
      <c r="O173" s="171">
        <v>25</v>
      </c>
      <c r="P173" s="184">
        <v>25</v>
      </c>
      <c r="Q173" s="204">
        <v>25</v>
      </c>
      <c r="R173" s="171">
        <v>25</v>
      </c>
      <c r="S173" s="184">
        <v>25</v>
      </c>
      <c r="T173" s="204">
        <v>25</v>
      </c>
      <c r="U173" s="171">
        <v>25</v>
      </c>
      <c r="V173" s="184">
        <v>25</v>
      </c>
      <c r="W173" s="204">
        <v>25</v>
      </c>
      <c r="X173" s="171">
        <v>25</v>
      </c>
      <c r="Y173" s="184">
        <v>25</v>
      </c>
      <c r="Z173" s="204">
        <v>25</v>
      </c>
      <c r="AA173" s="171">
        <v>25</v>
      </c>
      <c r="AB173" s="184">
        <v>25</v>
      </c>
      <c r="AC173" s="204">
        <v>25</v>
      </c>
      <c r="AD173" s="171">
        <v>25</v>
      </c>
      <c r="AE173" s="184">
        <v>25</v>
      </c>
      <c r="AF173" s="204">
        <v>25</v>
      </c>
      <c r="AG173" s="171">
        <v>25</v>
      </c>
      <c r="AH173" s="184">
        <v>25</v>
      </c>
      <c r="AI173" s="182" t="s">
        <v>2590</v>
      </c>
      <c r="AJ173" s="163" t="s">
        <v>1391</v>
      </c>
      <c r="AK173" s="65" t="s">
        <v>21</v>
      </c>
      <c r="AL173" s="176">
        <v>1</v>
      </c>
      <c r="AM173" s="159"/>
      <c r="AN173" s="172">
        <v>25</v>
      </c>
      <c r="AO173" s="159">
        <v>52</v>
      </c>
      <c r="AP173" s="163" t="s">
        <v>55</v>
      </c>
      <c r="AQ173" s="109" t="s">
        <v>1403</v>
      </c>
      <c r="AR173" s="173"/>
      <c r="AS173" s="174" t="s">
        <v>1554</v>
      </c>
      <c r="AT173" s="175"/>
      <c r="AU173" s="65" t="s">
        <v>25</v>
      </c>
      <c r="AV173" s="163" t="s">
        <v>20</v>
      </c>
      <c r="AW173" s="65">
        <v>1568</v>
      </c>
      <c r="AX173" s="196">
        <v>44671.476643518516</v>
      </c>
    </row>
    <row r="174" spans="1:50">
      <c r="A174" s="124" t="s">
        <v>95</v>
      </c>
      <c r="B174" s="109" t="s">
        <v>1320</v>
      </c>
      <c r="C174" s="214" t="s">
        <v>2591</v>
      </c>
      <c r="D174" s="163" t="s">
        <v>2592</v>
      </c>
      <c r="E174" s="170">
        <v>30</v>
      </c>
      <c r="F174" s="171">
        <v>30</v>
      </c>
      <c r="G174" s="184">
        <v>30</v>
      </c>
      <c r="H174" s="204">
        <v>30</v>
      </c>
      <c r="I174" s="171">
        <v>30</v>
      </c>
      <c r="J174" s="184">
        <v>30</v>
      </c>
      <c r="K174" s="204">
        <v>0</v>
      </c>
      <c r="L174" s="171">
        <v>30</v>
      </c>
      <c r="M174" s="184">
        <v>30</v>
      </c>
      <c r="N174" s="204">
        <v>30</v>
      </c>
      <c r="O174" s="171">
        <v>30</v>
      </c>
      <c r="P174" s="184">
        <v>30</v>
      </c>
      <c r="Q174" s="204">
        <v>30</v>
      </c>
      <c r="R174" s="171">
        <v>30</v>
      </c>
      <c r="S174" s="184">
        <v>30</v>
      </c>
      <c r="T174" s="204">
        <v>30</v>
      </c>
      <c r="U174" s="171">
        <v>30</v>
      </c>
      <c r="V174" s="184">
        <v>30</v>
      </c>
      <c r="W174" s="204">
        <v>30</v>
      </c>
      <c r="X174" s="171">
        <v>30</v>
      </c>
      <c r="Y174" s="184">
        <v>30</v>
      </c>
      <c r="Z174" s="204">
        <v>30</v>
      </c>
      <c r="AA174" s="171">
        <v>30</v>
      </c>
      <c r="AB174" s="184">
        <v>30</v>
      </c>
      <c r="AC174" s="204">
        <v>30</v>
      </c>
      <c r="AD174" s="171">
        <v>30</v>
      </c>
      <c r="AE174" s="184">
        <v>30</v>
      </c>
      <c r="AF174" s="204">
        <v>30</v>
      </c>
      <c r="AG174" s="171">
        <v>30</v>
      </c>
      <c r="AH174" s="184">
        <v>30</v>
      </c>
      <c r="AI174" s="182" t="s">
        <v>1585</v>
      </c>
      <c r="AJ174" s="163" t="s">
        <v>1539</v>
      </c>
      <c r="AK174" s="65" t="s">
        <v>18</v>
      </c>
      <c r="AL174" s="176">
        <v>1</v>
      </c>
      <c r="AM174" s="159"/>
      <c r="AN174" s="172">
        <v>32.4</v>
      </c>
      <c r="AO174" s="159"/>
      <c r="AP174" s="163" t="s">
        <v>55</v>
      </c>
      <c r="AQ174" s="109" t="s">
        <v>1403</v>
      </c>
      <c r="AR174" s="173"/>
      <c r="AS174" s="174" t="s">
        <v>1588</v>
      </c>
      <c r="AT174" s="175"/>
      <c r="AU174" s="65" t="s">
        <v>25</v>
      </c>
      <c r="AV174" s="163" t="s">
        <v>18</v>
      </c>
      <c r="AW174" s="65">
        <v>1111</v>
      </c>
      <c r="AX174" s="196">
        <v>44670.60460648148</v>
      </c>
    </row>
    <row r="175" spans="1:50">
      <c r="A175" s="124" t="s">
        <v>100</v>
      </c>
      <c r="B175" s="109" t="s">
        <v>1320</v>
      </c>
      <c r="C175" s="214" t="s">
        <v>2611</v>
      </c>
      <c r="D175" s="163" t="s">
        <v>2612</v>
      </c>
      <c r="E175" s="170">
        <v>172</v>
      </c>
      <c r="F175" s="171">
        <v>158</v>
      </c>
      <c r="G175" s="184">
        <v>151</v>
      </c>
      <c r="H175" s="181">
        <v>172</v>
      </c>
      <c r="I175" s="171">
        <v>158</v>
      </c>
      <c r="J175" s="184">
        <v>151</v>
      </c>
      <c r="K175" s="181">
        <v>172</v>
      </c>
      <c r="L175" s="171">
        <v>172</v>
      </c>
      <c r="M175" s="184">
        <v>168</v>
      </c>
      <c r="N175" s="181">
        <v>172</v>
      </c>
      <c r="O175" s="171">
        <v>172</v>
      </c>
      <c r="P175" s="184">
        <v>168</v>
      </c>
      <c r="Q175" s="181">
        <v>172</v>
      </c>
      <c r="R175" s="171">
        <v>172</v>
      </c>
      <c r="S175" s="184">
        <v>168</v>
      </c>
      <c r="T175" s="181">
        <v>172</v>
      </c>
      <c r="U175" s="171">
        <v>172</v>
      </c>
      <c r="V175" s="184">
        <v>168</v>
      </c>
      <c r="W175" s="181">
        <v>172</v>
      </c>
      <c r="X175" s="171">
        <v>172</v>
      </c>
      <c r="Y175" s="184">
        <v>168</v>
      </c>
      <c r="Z175" s="181">
        <v>172</v>
      </c>
      <c r="AA175" s="171">
        <v>172</v>
      </c>
      <c r="AB175" s="184">
        <v>168</v>
      </c>
      <c r="AC175" s="181">
        <v>172</v>
      </c>
      <c r="AD175" s="171">
        <v>172</v>
      </c>
      <c r="AE175" s="184">
        <v>168</v>
      </c>
      <c r="AF175" s="204">
        <v>172</v>
      </c>
      <c r="AG175" s="171">
        <v>172</v>
      </c>
      <c r="AH175" s="184">
        <v>168</v>
      </c>
      <c r="AI175" s="182" t="s">
        <v>558</v>
      </c>
      <c r="AJ175" s="163" t="s">
        <v>1493</v>
      </c>
      <c r="AK175" s="65" t="s">
        <v>1360</v>
      </c>
      <c r="AL175" s="176">
        <v>1</v>
      </c>
      <c r="AM175" s="159"/>
      <c r="AN175" s="172">
        <v>156</v>
      </c>
      <c r="AO175" s="159"/>
      <c r="AP175" s="163" t="s">
        <v>55</v>
      </c>
      <c r="AQ175" s="109" t="s">
        <v>1403</v>
      </c>
      <c r="AR175" s="173"/>
      <c r="AS175" s="174" t="s">
        <v>1434</v>
      </c>
      <c r="AT175" s="175"/>
      <c r="AU175" s="65" t="s">
        <v>25</v>
      </c>
      <c r="AV175" s="163" t="s">
        <v>14</v>
      </c>
      <c r="AW175" s="65">
        <v>1115</v>
      </c>
      <c r="AX175" s="196">
        <v>44670.391435185185</v>
      </c>
    </row>
    <row r="176" spans="1:50">
      <c r="A176" s="124" t="s">
        <v>100</v>
      </c>
      <c r="B176" s="109" t="s">
        <v>1320</v>
      </c>
      <c r="C176" s="214" t="s">
        <v>2611</v>
      </c>
      <c r="D176" s="163" t="s">
        <v>2614</v>
      </c>
      <c r="E176" s="170">
        <v>172</v>
      </c>
      <c r="F176" s="171">
        <v>158</v>
      </c>
      <c r="G176" s="184">
        <v>151</v>
      </c>
      <c r="H176" s="181">
        <v>172</v>
      </c>
      <c r="I176" s="171">
        <v>172</v>
      </c>
      <c r="J176" s="184">
        <v>168</v>
      </c>
      <c r="K176" s="181">
        <v>172</v>
      </c>
      <c r="L176" s="171">
        <v>172</v>
      </c>
      <c r="M176" s="184">
        <v>168</v>
      </c>
      <c r="N176" s="181">
        <v>172</v>
      </c>
      <c r="O176" s="171">
        <v>172</v>
      </c>
      <c r="P176" s="184">
        <v>168</v>
      </c>
      <c r="Q176" s="181">
        <v>172</v>
      </c>
      <c r="R176" s="171">
        <v>172</v>
      </c>
      <c r="S176" s="184">
        <v>168</v>
      </c>
      <c r="T176" s="181">
        <v>172</v>
      </c>
      <c r="U176" s="171">
        <v>172</v>
      </c>
      <c r="V176" s="184">
        <v>168</v>
      </c>
      <c r="W176" s="181">
        <v>172</v>
      </c>
      <c r="X176" s="171">
        <v>172</v>
      </c>
      <c r="Y176" s="184">
        <v>168</v>
      </c>
      <c r="Z176" s="181">
        <v>172</v>
      </c>
      <c r="AA176" s="171">
        <v>172</v>
      </c>
      <c r="AB176" s="184">
        <v>168</v>
      </c>
      <c r="AC176" s="181">
        <v>172</v>
      </c>
      <c r="AD176" s="171">
        <v>172</v>
      </c>
      <c r="AE176" s="184">
        <v>168</v>
      </c>
      <c r="AF176" s="204">
        <v>172</v>
      </c>
      <c r="AG176" s="171">
        <v>172</v>
      </c>
      <c r="AH176" s="184">
        <v>168</v>
      </c>
      <c r="AI176" s="182" t="s">
        <v>558</v>
      </c>
      <c r="AJ176" s="163" t="s">
        <v>1493</v>
      </c>
      <c r="AK176" s="65" t="s">
        <v>1360</v>
      </c>
      <c r="AL176" s="176">
        <v>1</v>
      </c>
      <c r="AM176" s="159"/>
      <c r="AN176" s="172">
        <v>156</v>
      </c>
      <c r="AO176" s="159"/>
      <c r="AP176" s="163" t="s">
        <v>55</v>
      </c>
      <c r="AQ176" s="109" t="s">
        <v>1403</v>
      </c>
      <c r="AR176" s="173"/>
      <c r="AS176" s="174" t="s">
        <v>1434</v>
      </c>
      <c r="AT176" s="175"/>
      <c r="AU176" s="65" t="s">
        <v>25</v>
      </c>
      <c r="AV176" s="163" t="s">
        <v>14</v>
      </c>
      <c r="AW176" s="65">
        <v>1115</v>
      </c>
      <c r="AX176" s="196">
        <v>44670.391435185185</v>
      </c>
    </row>
    <row r="177" spans="1:50">
      <c r="A177" s="124" t="s">
        <v>95</v>
      </c>
      <c r="B177" s="109" t="s">
        <v>1320</v>
      </c>
      <c r="C177" s="214" t="s">
        <v>2618</v>
      </c>
      <c r="D177" s="163" t="s">
        <v>2619</v>
      </c>
      <c r="E177" s="170">
        <v>87</v>
      </c>
      <c r="F177" s="171">
        <v>33</v>
      </c>
      <c r="G177" s="184">
        <v>33</v>
      </c>
      <c r="H177" s="181">
        <v>33</v>
      </c>
      <c r="I177" s="171">
        <v>88</v>
      </c>
      <c r="J177" s="184">
        <v>88</v>
      </c>
      <c r="K177" s="181">
        <v>88</v>
      </c>
      <c r="L177" s="171">
        <v>88</v>
      </c>
      <c r="M177" s="184">
        <v>88</v>
      </c>
      <c r="N177" s="181">
        <v>88</v>
      </c>
      <c r="O177" s="171">
        <v>88</v>
      </c>
      <c r="P177" s="207">
        <v>88</v>
      </c>
      <c r="Q177" s="204">
        <v>88</v>
      </c>
      <c r="R177" s="206">
        <v>88</v>
      </c>
      <c r="S177" s="207">
        <v>88</v>
      </c>
      <c r="T177" s="204">
        <v>88</v>
      </c>
      <c r="U177" s="206">
        <v>55</v>
      </c>
      <c r="V177" s="207">
        <v>55</v>
      </c>
      <c r="W177" s="204">
        <v>88</v>
      </c>
      <c r="X177" s="206">
        <v>33</v>
      </c>
      <c r="Y177" s="207">
        <v>33</v>
      </c>
      <c r="Z177" s="204">
        <v>88</v>
      </c>
      <c r="AA177" s="206">
        <v>88</v>
      </c>
      <c r="AB177" s="207">
        <v>88</v>
      </c>
      <c r="AC177" s="204">
        <v>88</v>
      </c>
      <c r="AD177" s="206">
        <v>88</v>
      </c>
      <c r="AE177" s="207">
        <v>88</v>
      </c>
      <c r="AF177" s="204">
        <v>88</v>
      </c>
      <c r="AG177" s="206">
        <v>88</v>
      </c>
      <c r="AH177" s="207">
        <v>88</v>
      </c>
      <c r="AI177" s="208" t="s">
        <v>1585</v>
      </c>
      <c r="AJ177" s="194" t="s">
        <v>1539</v>
      </c>
      <c r="AK177" s="132" t="s">
        <v>18</v>
      </c>
      <c r="AL177" s="213">
        <v>2</v>
      </c>
      <c r="AM177" s="212"/>
      <c r="AN177" s="211">
        <v>81.599999999999994</v>
      </c>
      <c r="AO177" s="212"/>
      <c r="AP177" s="194" t="s">
        <v>55</v>
      </c>
      <c r="AQ177" s="193" t="s">
        <v>1403</v>
      </c>
      <c r="AR177" s="210"/>
      <c r="AS177" s="209" t="s">
        <v>1588</v>
      </c>
      <c r="AT177" s="175"/>
      <c r="AU177" s="65" t="s">
        <v>25</v>
      </c>
      <c r="AV177" s="163" t="s">
        <v>18</v>
      </c>
      <c r="AW177" s="65">
        <v>1116</v>
      </c>
      <c r="AX177" s="196">
        <v>44670.606793981482</v>
      </c>
    </row>
    <row r="178" spans="1:50">
      <c r="A178" s="124" t="s">
        <v>46</v>
      </c>
      <c r="B178" s="109" t="s">
        <v>1320</v>
      </c>
      <c r="C178" s="214" t="s">
        <v>216</v>
      </c>
      <c r="D178" s="163" t="s">
        <v>2626</v>
      </c>
      <c r="E178" s="170">
        <v>420</v>
      </c>
      <c r="F178" s="171">
        <v>420</v>
      </c>
      <c r="G178" s="184">
        <v>420</v>
      </c>
      <c r="H178" s="181">
        <v>0</v>
      </c>
      <c r="I178" s="171">
        <v>0</v>
      </c>
      <c r="J178" s="184">
        <v>0</v>
      </c>
      <c r="K178" s="181">
        <v>0</v>
      </c>
      <c r="L178" s="171">
        <v>0</v>
      </c>
      <c r="M178" s="184">
        <v>0</v>
      </c>
      <c r="N178" s="181">
        <v>0</v>
      </c>
      <c r="O178" s="171">
        <v>0</v>
      </c>
      <c r="P178" s="207">
        <v>0</v>
      </c>
      <c r="Q178" s="204">
        <v>0</v>
      </c>
      <c r="R178" s="206">
        <v>0</v>
      </c>
      <c r="S178" s="207">
        <v>0</v>
      </c>
      <c r="T178" s="204">
        <v>0</v>
      </c>
      <c r="U178" s="206">
        <v>0</v>
      </c>
      <c r="V178" s="207">
        <v>0</v>
      </c>
      <c r="W178" s="204">
        <v>0</v>
      </c>
      <c r="X178" s="206">
        <v>0</v>
      </c>
      <c r="Y178" s="207">
        <v>0</v>
      </c>
      <c r="Z178" s="204">
        <v>0</v>
      </c>
      <c r="AA178" s="206">
        <v>0</v>
      </c>
      <c r="AB178" s="207">
        <v>0</v>
      </c>
      <c r="AC178" s="204">
        <v>0</v>
      </c>
      <c r="AD178" s="206">
        <v>0</v>
      </c>
      <c r="AE178" s="207">
        <v>0</v>
      </c>
      <c r="AF178" s="204">
        <v>0</v>
      </c>
      <c r="AG178" s="206">
        <v>0</v>
      </c>
      <c r="AH178" s="207">
        <v>0</v>
      </c>
      <c r="AI178" s="208" t="s">
        <v>217</v>
      </c>
      <c r="AJ178" s="194" t="s">
        <v>1596</v>
      </c>
      <c r="AK178" s="132" t="s">
        <v>1597</v>
      </c>
      <c r="AL178" s="213">
        <v>1</v>
      </c>
      <c r="AM178" s="212"/>
      <c r="AN178" s="211">
        <v>500</v>
      </c>
      <c r="AO178" s="212"/>
      <c r="AP178" s="65" t="s">
        <v>2166</v>
      </c>
      <c r="AQ178" s="193" t="s">
        <v>1403</v>
      </c>
      <c r="AR178" s="210"/>
      <c r="AS178" s="209" t="s">
        <v>1377</v>
      </c>
      <c r="AT178" s="175">
        <v>45017</v>
      </c>
      <c r="AU178" s="65" t="s">
        <v>24</v>
      </c>
      <c r="AV178" s="163" t="s">
        <v>12</v>
      </c>
      <c r="AW178" s="65">
        <v>1118</v>
      </c>
      <c r="AX178" s="199">
        <v>44670.607581018521</v>
      </c>
    </row>
    <row r="179" spans="1:50">
      <c r="A179" s="124" t="s">
        <v>46</v>
      </c>
      <c r="B179" s="109" t="s">
        <v>1320</v>
      </c>
      <c r="C179" s="214" t="s">
        <v>216</v>
      </c>
      <c r="D179" s="163" t="s">
        <v>2627</v>
      </c>
      <c r="E179" s="170">
        <v>420</v>
      </c>
      <c r="F179" s="171">
        <v>420</v>
      </c>
      <c r="G179" s="184">
        <v>420</v>
      </c>
      <c r="H179" s="181">
        <v>0</v>
      </c>
      <c r="I179" s="171">
        <v>0</v>
      </c>
      <c r="J179" s="184">
        <v>0</v>
      </c>
      <c r="K179" s="181">
        <v>0</v>
      </c>
      <c r="L179" s="171">
        <v>0</v>
      </c>
      <c r="M179" s="184">
        <v>0</v>
      </c>
      <c r="N179" s="181">
        <v>0</v>
      </c>
      <c r="O179" s="171">
        <v>0</v>
      </c>
      <c r="P179" s="207">
        <v>0</v>
      </c>
      <c r="Q179" s="204">
        <v>0</v>
      </c>
      <c r="R179" s="206">
        <v>0</v>
      </c>
      <c r="S179" s="207">
        <v>0</v>
      </c>
      <c r="T179" s="204">
        <v>0</v>
      </c>
      <c r="U179" s="206">
        <v>0</v>
      </c>
      <c r="V179" s="207">
        <v>0</v>
      </c>
      <c r="W179" s="204">
        <v>0</v>
      </c>
      <c r="X179" s="206">
        <v>0</v>
      </c>
      <c r="Y179" s="207">
        <v>0</v>
      </c>
      <c r="Z179" s="204">
        <v>0</v>
      </c>
      <c r="AA179" s="206">
        <v>0</v>
      </c>
      <c r="AB179" s="207">
        <v>0</v>
      </c>
      <c r="AC179" s="204">
        <v>0</v>
      </c>
      <c r="AD179" s="206">
        <v>0</v>
      </c>
      <c r="AE179" s="207">
        <v>0</v>
      </c>
      <c r="AF179" s="204">
        <v>0</v>
      </c>
      <c r="AG179" s="206">
        <v>0</v>
      </c>
      <c r="AH179" s="207">
        <v>0</v>
      </c>
      <c r="AI179" s="208" t="s">
        <v>217</v>
      </c>
      <c r="AJ179" s="194" t="s">
        <v>1596</v>
      </c>
      <c r="AK179" s="132" t="s">
        <v>1597</v>
      </c>
      <c r="AL179" s="213">
        <v>1</v>
      </c>
      <c r="AM179" s="212"/>
      <c r="AN179" s="211">
        <v>500</v>
      </c>
      <c r="AO179" s="212"/>
      <c r="AP179" s="65" t="s">
        <v>2166</v>
      </c>
      <c r="AQ179" s="193" t="s">
        <v>1403</v>
      </c>
      <c r="AR179" s="210"/>
      <c r="AS179" s="209" t="s">
        <v>1377</v>
      </c>
      <c r="AT179" s="175">
        <v>45017</v>
      </c>
      <c r="AU179" s="65" t="s">
        <v>24</v>
      </c>
      <c r="AV179" s="163" t="s">
        <v>12</v>
      </c>
      <c r="AW179" s="65">
        <v>1118</v>
      </c>
      <c r="AX179" s="199">
        <v>44670.607581018521</v>
      </c>
    </row>
    <row r="180" spans="1:50">
      <c r="A180" s="124" t="s">
        <v>46</v>
      </c>
      <c r="B180" s="109" t="s">
        <v>1320</v>
      </c>
      <c r="C180" s="214" t="s">
        <v>216</v>
      </c>
      <c r="D180" s="163" t="s">
        <v>2629</v>
      </c>
      <c r="E180" s="170">
        <v>420</v>
      </c>
      <c r="F180" s="171">
        <v>420</v>
      </c>
      <c r="G180" s="184">
        <v>420</v>
      </c>
      <c r="H180" s="181">
        <v>0</v>
      </c>
      <c r="I180" s="171">
        <v>0</v>
      </c>
      <c r="J180" s="184">
        <v>0</v>
      </c>
      <c r="K180" s="181">
        <v>0</v>
      </c>
      <c r="L180" s="171">
        <v>0</v>
      </c>
      <c r="M180" s="184">
        <v>0</v>
      </c>
      <c r="N180" s="181">
        <v>0</v>
      </c>
      <c r="O180" s="171">
        <v>0</v>
      </c>
      <c r="P180" s="207">
        <v>0</v>
      </c>
      <c r="Q180" s="204">
        <v>0</v>
      </c>
      <c r="R180" s="206">
        <v>0</v>
      </c>
      <c r="S180" s="207">
        <v>0</v>
      </c>
      <c r="T180" s="204">
        <v>0</v>
      </c>
      <c r="U180" s="206">
        <v>0</v>
      </c>
      <c r="V180" s="207">
        <v>0</v>
      </c>
      <c r="W180" s="204">
        <v>0</v>
      </c>
      <c r="X180" s="206">
        <v>0</v>
      </c>
      <c r="Y180" s="207">
        <v>0</v>
      </c>
      <c r="Z180" s="204">
        <v>0</v>
      </c>
      <c r="AA180" s="206">
        <v>0</v>
      </c>
      <c r="AB180" s="207">
        <v>0</v>
      </c>
      <c r="AC180" s="204">
        <v>0</v>
      </c>
      <c r="AD180" s="206">
        <v>0</v>
      </c>
      <c r="AE180" s="207">
        <v>0</v>
      </c>
      <c r="AF180" s="204">
        <v>0</v>
      </c>
      <c r="AG180" s="206">
        <v>0</v>
      </c>
      <c r="AH180" s="207">
        <v>0</v>
      </c>
      <c r="AI180" s="208" t="s">
        <v>217</v>
      </c>
      <c r="AJ180" s="194" t="s">
        <v>1596</v>
      </c>
      <c r="AK180" s="132" t="s">
        <v>1597</v>
      </c>
      <c r="AL180" s="213">
        <v>1</v>
      </c>
      <c r="AM180" s="212"/>
      <c r="AN180" s="211">
        <v>500</v>
      </c>
      <c r="AO180" s="212"/>
      <c r="AP180" s="194" t="s">
        <v>2166</v>
      </c>
      <c r="AQ180" s="193" t="s">
        <v>1403</v>
      </c>
      <c r="AR180" s="210"/>
      <c r="AS180" s="209" t="s">
        <v>1377</v>
      </c>
      <c r="AT180" s="175">
        <v>45017</v>
      </c>
      <c r="AU180" s="65" t="s">
        <v>24</v>
      </c>
      <c r="AV180" s="163" t="s">
        <v>12</v>
      </c>
      <c r="AW180" s="65">
        <v>1118</v>
      </c>
      <c r="AX180" s="199">
        <v>44670.607581018521</v>
      </c>
    </row>
    <row r="181" spans="1:50">
      <c r="A181" s="124" t="s">
        <v>62</v>
      </c>
      <c r="B181" s="109" t="s">
        <v>1320</v>
      </c>
      <c r="C181" s="214" t="s">
        <v>816</v>
      </c>
      <c r="D181" s="163" t="s">
        <v>2631</v>
      </c>
      <c r="E181" s="170">
        <v>99.974000000000004</v>
      </c>
      <c r="F181" s="171">
        <v>98.789999999999992</v>
      </c>
      <c r="G181" s="184">
        <v>97.532000000000011</v>
      </c>
      <c r="H181" s="181">
        <v>99.974000000000004</v>
      </c>
      <c r="I181" s="171">
        <v>98.789999999999992</v>
      </c>
      <c r="J181" s="184">
        <v>97.532000000000011</v>
      </c>
      <c r="K181" s="181">
        <v>99.974000000000004</v>
      </c>
      <c r="L181" s="171">
        <v>98.789999999999992</v>
      </c>
      <c r="M181" s="184">
        <v>97.532000000000011</v>
      </c>
      <c r="N181" s="181">
        <v>99.974000000000004</v>
      </c>
      <c r="O181" s="171">
        <v>98.789999999999992</v>
      </c>
      <c r="P181" s="207">
        <v>97.532000000000011</v>
      </c>
      <c r="Q181" s="204">
        <v>99.974000000000004</v>
      </c>
      <c r="R181" s="206">
        <v>98.789999999999992</v>
      </c>
      <c r="S181" s="207">
        <v>97.532000000000011</v>
      </c>
      <c r="T181" s="204">
        <v>99.974000000000004</v>
      </c>
      <c r="U181" s="206">
        <v>98.789999999999992</v>
      </c>
      <c r="V181" s="207">
        <v>97.532000000000011</v>
      </c>
      <c r="W181" s="204">
        <v>99.974000000000004</v>
      </c>
      <c r="X181" s="206">
        <v>98.789999999999992</v>
      </c>
      <c r="Y181" s="207">
        <v>97.532000000000011</v>
      </c>
      <c r="Z181" s="204">
        <v>99.974000000000004</v>
      </c>
      <c r="AA181" s="206">
        <v>98.789999999999992</v>
      </c>
      <c r="AB181" s="207">
        <v>97.532000000000011</v>
      </c>
      <c r="AC181" s="204">
        <v>99.974000000000004</v>
      </c>
      <c r="AD181" s="206">
        <v>98.789999999999992</v>
      </c>
      <c r="AE181" s="207">
        <v>97.532000000000011</v>
      </c>
      <c r="AF181" s="204">
        <v>99.974000000000004</v>
      </c>
      <c r="AG181" s="206">
        <v>98.789999999999992</v>
      </c>
      <c r="AH181" s="207">
        <v>97.532000000000011</v>
      </c>
      <c r="AI181" s="208" t="s">
        <v>2630</v>
      </c>
      <c r="AJ181" s="194" t="s">
        <v>1429</v>
      </c>
      <c r="AK181" s="132" t="s">
        <v>1388</v>
      </c>
      <c r="AL181" s="213">
        <v>74</v>
      </c>
      <c r="AM181" s="212"/>
      <c r="AN181" s="211">
        <v>118.4</v>
      </c>
      <c r="AO181" s="212"/>
      <c r="AP181" s="194" t="s">
        <v>131</v>
      </c>
      <c r="AQ181" s="193" t="s">
        <v>1407</v>
      </c>
      <c r="AR181" s="210" t="s">
        <v>2633</v>
      </c>
      <c r="AS181" s="209" t="s">
        <v>1452</v>
      </c>
      <c r="AT181" s="175"/>
      <c r="AU181" s="65" t="s">
        <v>25</v>
      </c>
      <c r="AV181" s="163" t="s">
        <v>1388</v>
      </c>
      <c r="AW181" s="65">
        <v>1384</v>
      </c>
      <c r="AX181" s="199">
        <v>44671.43173611111</v>
      </c>
    </row>
    <row r="182" spans="1:50">
      <c r="A182" s="124" t="s">
        <v>46</v>
      </c>
      <c r="B182" s="109" t="s">
        <v>1320</v>
      </c>
      <c r="C182" s="214" t="s">
        <v>331</v>
      </c>
      <c r="D182" s="163" t="s">
        <v>2634</v>
      </c>
      <c r="E182" s="170">
        <v>220.00000000000003</v>
      </c>
      <c r="F182" s="171">
        <v>214.7</v>
      </c>
      <c r="G182" s="184">
        <v>207.10000000000002</v>
      </c>
      <c r="H182" s="181">
        <v>220.00000000000003</v>
      </c>
      <c r="I182" s="171">
        <v>214.7</v>
      </c>
      <c r="J182" s="184">
        <v>207.10000000000002</v>
      </c>
      <c r="K182" s="181">
        <v>220.00000000000003</v>
      </c>
      <c r="L182" s="171">
        <v>214.7</v>
      </c>
      <c r="M182" s="184">
        <v>207.10000000000002</v>
      </c>
      <c r="N182" s="181">
        <v>220.00000000000003</v>
      </c>
      <c r="O182" s="171">
        <v>214.7</v>
      </c>
      <c r="P182" s="207">
        <v>207.10000000000002</v>
      </c>
      <c r="Q182" s="204">
        <v>220.00000000000003</v>
      </c>
      <c r="R182" s="206">
        <v>214.7</v>
      </c>
      <c r="S182" s="207">
        <v>207.10000000000002</v>
      </c>
      <c r="T182" s="204">
        <v>220.00000000000003</v>
      </c>
      <c r="U182" s="206">
        <v>214.7</v>
      </c>
      <c r="V182" s="207">
        <v>207.10000000000002</v>
      </c>
      <c r="W182" s="204">
        <v>220.00000000000003</v>
      </c>
      <c r="X182" s="206">
        <v>214.7</v>
      </c>
      <c r="Y182" s="207">
        <v>207.10000000000002</v>
      </c>
      <c r="Z182" s="204">
        <v>220.00000000000003</v>
      </c>
      <c r="AA182" s="206">
        <v>214.7</v>
      </c>
      <c r="AB182" s="207">
        <v>207.10000000000002</v>
      </c>
      <c r="AC182" s="204">
        <v>220.00000000000003</v>
      </c>
      <c r="AD182" s="206">
        <v>214.7</v>
      </c>
      <c r="AE182" s="207">
        <v>207.10000000000002</v>
      </c>
      <c r="AF182" s="204">
        <v>220.00000000000003</v>
      </c>
      <c r="AG182" s="206">
        <v>214.7</v>
      </c>
      <c r="AH182" s="207">
        <v>207.10000000000002</v>
      </c>
      <c r="AI182" s="208" t="s">
        <v>332</v>
      </c>
      <c r="AJ182" s="194" t="s">
        <v>1429</v>
      </c>
      <c r="AK182" s="132" t="s">
        <v>1388</v>
      </c>
      <c r="AL182" s="213">
        <v>100</v>
      </c>
      <c r="AM182" s="212"/>
      <c r="AN182" s="211">
        <v>220.00000000000003</v>
      </c>
      <c r="AO182" s="212">
        <v>0</v>
      </c>
      <c r="AP182" s="65" t="s">
        <v>131</v>
      </c>
      <c r="AQ182" s="193" t="s">
        <v>1407</v>
      </c>
      <c r="AR182" s="210" t="s">
        <v>1537</v>
      </c>
      <c r="AS182" s="209" t="s">
        <v>1532</v>
      </c>
      <c r="AT182" s="175"/>
      <c r="AU182" s="65" t="s">
        <v>25</v>
      </c>
      <c r="AV182" s="163" t="s">
        <v>1388</v>
      </c>
      <c r="AW182" s="65">
        <v>1453</v>
      </c>
      <c r="AX182" s="196">
        <v>44693.609525462962</v>
      </c>
    </row>
    <row r="183" spans="1:50">
      <c r="A183" s="124" t="s">
        <v>46</v>
      </c>
      <c r="B183" s="109" t="s">
        <v>1320</v>
      </c>
      <c r="C183" s="214" t="s">
        <v>474</v>
      </c>
      <c r="D183" s="163" t="s">
        <v>475</v>
      </c>
      <c r="E183" s="170">
        <v>28.994000000000003</v>
      </c>
      <c r="F183" s="171">
        <v>28.994000000000003</v>
      </c>
      <c r="G183" s="184">
        <v>28.994000000000003</v>
      </c>
      <c r="H183" s="181">
        <v>28.994000000000003</v>
      </c>
      <c r="I183" s="171">
        <v>28.994000000000003</v>
      </c>
      <c r="J183" s="184">
        <v>28.994000000000003</v>
      </c>
      <c r="K183" s="181">
        <v>28.994000000000003</v>
      </c>
      <c r="L183" s="171">
        <v>28.994000000000003</v>
      </c>
      <c r="M183" s="184">
        <v>28.994000000000003</v>
      </c>
      <c r="N183" s="181">
        <v>28.994000000000003</v>
      </c>
      <c r="O183" s="171">
        <v>28.994000000000003</v>
      </c>
      <c r="P183" s="207">
        <v>28.994000000000003</v>
      </c>
      <c r="Q183" s="204">
        <v>28.994000000000003</v>
      </c>
      <c r="R183" s="206">
        <v>28.994000000000003</v>
      </c>
      <c r="S183" s="207">
        <v>28.994000000000003</v>
      </c>
      <c r="T183" s="204">
        <v>28.994000000000003</v>
      </c>
      <c r="U183" s="206">
        <v>28.994000000000003</v>
      </c>
      <c r="V183" s="207">
        <v>28.994000000000003</v>
      </c>
      <c r="W183" s="204">
        <v>28.994000000000003</v>
      </c>
      <c r="X183" s="206">
        <v>28.994000000000003</v>
      </c>
      <c r="Y183" s="207">
        <v>28.994000000000003</v>
      </c>
      <c r="Z183" s="204">
        <v>28.994000000000003</v>
      </c>
      <c r="AA183" s="206">
        <v>28.994000000000003</v>
      </c>
      <c r="AB183" s="207">
        <v>28.994000000000003</v>
      </c>
      <c r="AC183" s="204">
        <v>28.994000000000003</v>
      </c>
      <c r="AD183" s="206">
        <v>28.994000000000003</v>
      </c>
      <c r="AE183" s="207">
        <v>28.994000000000003</v>
      </c>
      <c r="AF183" s="204">
        <v>28.994000000000003</v>
      </c>
      <c r="AG183" s="206">
        <v>28.994000000000003</v>
      </c>
      <c r="AH183" s="207">
        <v>28.994000000000003</v>
      </c>
      <c r="AI183" s="208" t="s">
        <v>332</v>
      </c>
      <c r="AJ183" s="194" t="s">
        <v>1429</v>
      </c>
      <c r="AK183" s="132" t="s">
        <v>1388</v>
      </c>
      <c r="AL183" s="213">
        <v>14</v>
      </c>
      <c r="AM183" s="212"/>
      <c r="AN183" s="211">
        <v>28.979999999999997</v>
      </c>
      <c r="AO183" s="212">
        <v>0</v>
      </c>
      <c r="AP183" s="194" t="s">
        <v>55</v>
      </c>
      <c r="AQ183" s="193" t="s">
        <v>1407</v>
      </c>
      <c r="AR183" s="210"/>
      <c r="AS183" s="209" t="s">
        <v>1532</v>
      </c>
      <c r="AT183" s="175"/>
      <c r="AU183" s="65" t="s">
        <v>25</v>
      </c>
      <c r="AV183" s="163" t="s">
        <v>1388</v>
      </c>
      <c r="AW183" s="65">
        <v>1675</v>
      </c>
      <c r="AX183" s="196">
        <v>44696.343611111108</v>
      </c>
    </row>
    <row r="184" spans="1:50">
      <c r="A184" s="124" t="s">
        <v>80</v>
      </c>
      <c r="B184" s="109" t="s">
        <v>1320</v>
      </c>
      <c r="C184" s="214" t="s">
        <v>409</v>
      </c>
      <c r="D184" s="163" t="s">
        <v>410</v>
      </c>
      <c r="E184" s="170">
        <v>126</v>
      </c>
      <c r="F184" s="171">
        <v>126</v>
      </c>
      <c r="G184" s="184">
        <v>126</v>
      </c>
      <c r="H184" s="181">
        <v>126</v>
      </c>
      <c r="I184" s="171">
        <v>126</v>
      </c>
      <c r="J184" s="184">
        <v>126</v>
      </c>
      <c r="K184" s="181">
        <v>126</v>
      </c>
      <c r="L184" s="171">
        <v>126</v>
      </c>
      <c r="M184" s="184">
        <v>126</v>
      </c>
      <c r="N184" s="181">
        <v>126</v>
      </c>
      <c r="O184" s="171">
        <v>126</v>
      </c>
      <c r="P184" s="207">
        <v>126</v>
      </c>
      <c r="Q184" s="204">
        <v>126</v>
      </c>
      <c r="R184" s="206">
        <v>126</v>
      </c>
      <c r="S184" s="207">
        <v>126</v>
      </c>
      <c r="T184" s="204">
        <v>126</v>
      </c>
      <c r="U184" s="206">
        <v>126</v>
      </c>
      <c r="V184" s="207">
        <v>126</v>
      </c>
      <c r="W184" s="204">
        <v>126</v>
      </c>
      <c r="X184" s="206">
        <v>126</v>
      </c>
      <c r="Y184" s="207">
        <v>126</v>
      </c>
      <c r="Z184" s="204">
        <v>126</v>
      </c>
      <c r="AA184" s="206">
        <v>126</v>
      </c>
      <c r="AB184" s="207">
        <v>126</v>
      </c>
      <c r="AC184" s="204">
        <v>126</v>
      </c>
      <c r="AD184" s="206">
        <v>126</v>
      </c>
      <c r="AE184" s="207">
        <v>126</v>
      </c>
      <c r="AF184" s="204">
        <v>126</v>
      </c>
      <c r="AG184" s="206">
        <v>126</v>
      </c>
      <c r="AH184" s="207">
        <v>126</v>
      </c>
      <c r="AI184" s="208" t="s">
        <v>129</v>
      </c>
      <c r="AJ184" s="194" t="s">
        <v>1419</v>
      </c>
      <c r="AK184" s="132" t="s">
        <v>17</v>
      </c>
      <c r="AL184" s="213">
        <v>35</v>
      </c>
      <c r="AM184" s="212"/>
      <c r="AN184" s="211">
        <v>126</v>
      </c>
      <c r="AO184" s="212">
        <v>0</v>
      </c>
      <c r="AP184" s="194" t="s">
        <v>55</v>
      </c>
      <c r="AQ184" s="193" t="s">
        <v>1407</v>
      </c>
      <c r="AR184" s="210"/>
      <c r="AS184" s="209" t="s">
        <v>1534</v>
      </c>
      <c r="AT184" s="175"/>
      <c r="AU184" s="65" t="s">
        <v>25</v>
      </c>
      <c r="AV184" s="163" t="s">
        <v>17</v>
      </c>
      <c r="AW184" s="65">
        <v>1119</v>
      </c>
      <c r="AX184" s="196">
        <v>44698.451631944445</v>
      </c>
    </row>
    <row r="185" spans="1:50">
      <c r="A185" s="124" t="s">
        <v>80</v>
      </c>
      <c r="B185" s="109" t="s">
        <v>1320</v>
      </c>
      <c r="C185" s="214" t="s">
        <v>128</v>
      </c>
      <c r="D185" s="163" t="s">
        <v>130</v>
      </c>
      <c r="E185" s="170">
        <v>86.4</v>
      </c>
      <c r="F185" s="171">
        <v>86.4</v>
      </c>
      <c r="G185" s="184">
        <v>86.4</v>
      </c>
      <c r="H185" s="181">
        <v>86.4</v>
      </c>
      <c r="I185" s="171">
        <v>86.4</v>
      </c>
      <c r="J185" s="184">
        <v>86.4</v>
      </c>
      <c r="K185" s="181">
        <v>86.4</v>
      </c>
      <c r="L185" s="171">
        <v>86.4</v>
      </c>
      <c r="M185" s="184">
        <v>86.4</v>
      </c>
      <c r="N185" s="181">
        <v>86.4</v>
      </c>
      <c r="O185" s="171">
        <v>86.4</v>
      </c>
      <c r="P185" s="207">
        <v>86.4</v>
      </c>
      <c r="Q185" s="204">
        <v>86.4</v>
      </c>
      <c r="R185" s="206">
        <v>86.4</v>
      </c>
      <c r="S185" s="207">
        <v>86.4</v>
      </c>
      <c r="T185" s="204">
        <v>86.4</v>
      </c>
      <c r="U185" s="206">
        <v>86.4</v>
      </c>
      <c r="V185" s="207">
        <v>86.4</v>
      </c>
      <c r="W185" s="204">
        <v>86.4</v>
      </c>
      <c r="X185" s="206">
        <v>86.4</v>
      </c>
      <c r="Y185" s="207">
        <v>86.4</v>
      </c>
      <c r="Z185" s="204">
        <v>86.4</v>
      </c>
      <c r="AA185" s="206">
        <v>86.4</v>
      </c>
      <c r="AB185" s="207">
        <v>86.4</v>
      </c>
      <c r="AC185" s="204">
        <v>86.4</v>
      </c>
      <c r="AD185" s="206">
        <v>86.4</v>
      </c>
      <c r="AE185" s="207">
        <v>86.4</v>
      </c>
      <c r="AF185" s="204">
        <v>86.4</v>
      </c>
      <c r="AG185" s="206">
        <v>86.4</v>
      </c>
      <c r="AH185" s="207">
        <v>86.4</v>
      </c>
      <c r="AI185" s="208" t="s">
        <v>129</v>
      </c>
      <c r="AJ185" s="194" t="s">
        <v>1419</v>
      </c>
      <c r="AK185" s="132" t="s">
        <v>17</v>
      </c>
      <c r="AL185" s="213">
        <v>24</v>
      </c>
      <c r="AM185" s="212"/>
      <c r="AN185" s="211">
        <v>86.4</v>
      </c>
      <c r="AO185" s="212"/>
      <c r="AP185" s="194" t="s">
        <v>131</v>
      </c>
      <c r="AQ185" s="193" t="s">
        <v>1407</v>
      </c>
      <c r="AR185" s="210" t="s">
        <v>2637</v>
      </c>
      <c r="AS185" s="209" t="s">
        <v>1534</v>
      </c>
      <c r="AT185" s="175"/>
      <c r="AU185" s="65" t="s">
        <v>25</v>
      </c>
      <c r="AV185" s="163" t="s">
        <v>17</v>
      </c>
      <c r="AW185" s="65">
        <v>1574</v>
      </c>
      <c r="AX185" s="196">
        <v>44698.405243055553</v>
      </c>
    </row>
    <row r="186" spans="1:50">
      <c r="A186" s="124" t="s">
        <v>80</v>
      </c>
      <c r="B186" s="109" t="s">
        <v>1320</v>
      </c>
      <c r="C186" s="214" t="s">
        <v>2668</v>
      </c>
      <c r="D186" s="163" t="s">
        <v>2670</v>
      </c>
      <c r="E186" s="170">
        <v>21.06</v>
      </c>
      <c r="F186" s="171">
        <v>21.06</v>
      </c>
      <c r="G186" s="184">
        <v>21.06</v>
      </c>
      <c r="H186" s="181">
        <v>21.06</v>
      </c>
      <c r="I186" s="171">
        <v>21.06</v>
      </c>
      <c r="J186" s="184">
        <v>21.06</v>
      </c>
      <c r="K186" s="181">
        <v>21.06</v>
      </c>
      <c r="L186" s="171">
        <v>21.06</v>
      </c>
      <c r="M186" s="184">
        <v>21.06</v>
      </c>
      <c r="N186" s="181">
        <v>21.06</v>
      </c>
      <c r="O186" s="171">
        <v>21.06</v>
      </c>
      <c r="P186" s="207">
        <v>21.06</v>
      </c>
      <c r="Q186" s="204">
        <v>21.06</v>
      </c>
      <c r="R186" s="206">
        <v>21.06</v>
      </c>
      <c r="S186" s="207">
        <v>21.06</v>
      </c>
      <c r="T186" s="204">
        <v>21.06</v>
      </c>
      <c r="U186" s="206">
        <v>21.06</v>
      </c>
      <c r="V186" s="207">
        <v>21.06</v>
      </c>
      <c r="W186" s="204">
        <v>21.06</v>
      </c>
      <c r="X186" s="206">
        <v>21.06</v>
      </c>
      <c r="Y186" s="207">
        <v>21.06</v>
      </c>
      <c r="Z186" s="204">
        <v>21.06</v>
      </c>
      <c r="AA186" s="206">
        <v>21.06</v>
      </c>
      <c r="AB186" s="207">
        <v>21.06</v>
      </c>
      <c r="AC186" s="204">
        <v>21.06</v>
      </c>
      <c r="AD186" s="206">
        <v>21.06</v>
      </c>
      <c r="AE186" s="207">
        <v>21.06</v>
      </c>
      <c r="AF186" s="204">
        <v>21.06</v>
      </c>
      <c r="AG186" s="206">
        <v>21.06</v>
      </c>
      <c r="AH186" s="207">
        <v>21.06</v>
      </c>
      <c r="AI186" s="208" t="s">
        <v>2669</v>
      </c>
      <c r="AJ186" s="194" t="s">
        <v>1365</v>
      </c>
      <c r="AK186" s="132" t="s">
        <v>1431</v>
      </c>
      <c r="AL186" s="213">
        <v>18</v>
      </c>
      <c r="AM186" s="212"/>
      <c r="AN186" s="211">
        <v>20.7</v>
      </c>
      <c r="AO186" s="212"/>
      <c r="AP186" s="194" t="s">
        <v>55</v>
      </c>
      <c r="AQ186" s="193" t="s">
        <v>1403</v>
      </c>
      <c r="AR186" s="210"/>
      <c r="AS186" s="209" t="s">
        <v>1434</v>
      </c>
      <c r="AT186" s="175"/>
      <c r="AU186" s="65" t="s">
        <v>25</v>
      </c>
      <c r="AV186" s="163" t="s">
        <v>21</v>
      </c>
      <c r="AW186" s="65">
        <v>1122</v>
      </c>
      <c r="AX186" s="196">
        <v>44670.396840277775</v>
      </c>
    </row>
    <row r="187" spans="1:50">
      <c r="A187" s="124" t="s">
        <v>100</v>
      </c>
      <c r="B187" s="109" t="s">
        <v>1320</v>
      </c>
      <c r="C187" s="214" t="s">
        <v>155</v>
      </c>
      <c r="D187" s="163" t="s">
        <v>2684</v>
      </c>
      <c r="E187" s="170">
        <v>560</v>
      </c>
      <c r="F187" s="171">
        <v>560</v>
      </c>
      <c r="G187" s="184">
        <v>540</v>
      </c>
      <c r="H187" s="181">
        <v>560</v>
      </c>
      <c r="I187" s="171">
        <v>560</v>
      </c>
      <c r="J187" s="184">
        <v>540</v>
      </c>
      <c r="K187" s="181">
        <v>560</v>
      </c>
      <c r="L187" s="171">
        <v>560</v>
      </c>
      <c r="M187" s="184">
        <v>540</v>
      </c>
      <c r="N187" s="181">
        <v>560</v>
      </c>
      <c r="O187" s="171">
        <v>560</v>
      </c>
      <c r="P187" s="207">
        <v>540</v>
      </c>
      <c r="Q187" s="204">
        <v>560</v>
      </c>
      <c r="R187" s="206">
        <v>560</v>
      </c>
      <c r="S187" s="207">
        <v>540</v>
      </c>
      <c r="T187" s="204">
        <v>560</v>
      </c>
      <c r="U187" s="206">
        <v>560</v>
      </c>
      <c r="V187" s="207">
        <v>540</v>
      </c>
      <c r="W187" s="204">
        <v>560</v>
      </c>
      <c r="X187" s="206">
        <v>560</v>
      </c>
      <c r="Y187" s="207">
        <v>540</v>
      </c>
      <c r="Z187" s="204">
        <v>560</v>
      </c>
      <c r="AA187" s="206">
        <v>560</v>
      </c>
      <c r="AB187" s="207">
        <v>540</v>
      </c>
      <c r="AC187" s="204">
        <v>560</v>
      </c>
      <c r="AD187" s="206">
        <v>560</v>
      </c>
      <c r="AE187" s="207">
        <v>540</v>
      </c>
      <c r="AF187" s="204">
        <v>560</v>
      </c>
      <c r="AG187" s="206">
        <v>560</v>
      </c>
      <c r="AH187" s="207">
        <v>540</v>
      </c>
      <c r="AI187" s="208" t="s">
        <v>2682</v>
      </c>
      <c r="AJ187" s="194" t="s">
        <v>1596</v>
      </c>
      <c r="AK187" s="132" t="s">
        <v>2683</v>
      </c>
      <c r="AL187" s="213">
        <v>1</v>
      </c>
      <c r="AM187" s="212"/>
      <c r="AN187" s="211">
        <v>560</v>
      </c>
      <c r="AO187" s="212"/>
      <c r="AP187" s="194" t="s">
        <v>55</v>
      </c>
      <c r="AQ187" s="193" t="s">
        <v>1403</v>
      </c>
      <c r="AR187" s="210"/>
      <c r="AS187" s="209" t="s">
        <v>1534</v>
      </c>
      <c r="AT187" s="175"/>
      <c r="AU187" s="65" t="s">
        <v>25</v>
      </c>
      <c r="AV187" s="163" t="s">
        <v>12</v>
      </c>
      <c r="AW187" s="65">
        <v>1124</v>
      </c>
      <c r="AX187" s="196">
        <v>44743.438680555555</v>
      </c>
    </row>
    <row r="188" spans="1:50">
      <c r="A188" s="124" t="s">
        <v>100</v>
      </c>
      <c r="B188" s="109" t="s">
        <v>1320</v>
      </c>
      <c r="C188" s="214" t="s">
        <v>155</v>
      </c>
      <c r="D188" s="163" t="s">
        <v>2686</v>
      </c>
      <c r="E188" s="170">
        <v>530</v>
      </c>
      <c r="F188" s="171">
        <v>530</v>
      </c>
      <c r="G188" s="184">
        <v>500</v>
      </c>
      <c r="H188" s="181">
        <v>530</v>
      </c>
      <c r="I188" s="171">
        <v>530</v>
      </c>
      <c r="J188" s="184">
        <v>500</v>
      </c>
      <c r="K188" s="181">
        <v>530</v>
      </c>
      <c r="L188" s="171">
        <v>530</v>
      </c>
      <c r="M188" s="184">
        <v>500</v>
      </c>
      <c r="N188" s="181">
        <v>530</v>
      </c>
      <c r="O188" s="171">
        <v>530</v>
      </c>
      <c r="P188" s="207">
        <v>500</v>
      </c>
      <c r="Q188" s="204">
        <v>530</v>
      </c>
      <c r="R188" s="206">
        <v>530</v>
      </c>
      <c r="S188" s="207">
        <v>500</v>
      </c>
      <c r="T188" s="204">
        <v>530</v>
      </c>
      <c r="U188" s="206">
        <v>530</v>
      </c>
      <c r="V188" s="207">
        <v>500</v>
      </c>
      <c r="W188" s="204">
        <v>530</v>
      </c>
      <c r="X188" s="206">
        <v>530</v>
      </c>
      <c r="Y188" s="207">
        <v>500</v>
      </c>
      <c r="Z188" s="204">
        <v>530</v>
      </c>
      <c r="AA188" s="206">
        <v>530</v>
      </c>
      <c r="AB188" s="207">
        <v>500</v>
      </c>
      <c r="AC188" s="204">
        <v>530</v>
      </c>
      <c r="AD188" s="206">
        <v>530</v>
      </c>
      <c r="AE188" s="207">
        <v>500</v>
      </c>
      <c r="AF188" s="204">
        <v>530</v>
      </c>
      <c r="AG188" s="206">
        <v>530</v>
      </c>
      <c r="AH188" s="207">
        <v>500</v>
      </c>
      <c r="AI188" s="208" t="s">
        <v>2682</v>
      </c>
      <c r="AJ188" s="194" t="s">
        <v>1596</v>
      </c>
      <c r="AK188" s="132" t="s">
        <v>2683</v>
      </c>
      <c r="AL188" s="213">
        <v>1</v>
      </c>
      <c r="AM188" s="212"/>
      <c r="AN188" s="211">
        <v>530</v>
      </c>
      <c r="AO188" s="212"/>
      <c r="AP188" s="194" t="s">
        <v>55</v>
      </c>
      <c r="AQ188" s="193" t="s">
        <v>1403</v>
      </c>
      <c r="AR188" s="210"/>
      <c r="AS188" s="209" t="s">
        <v>1534</v>
      </c>
      <c r="AT188" s="175"/>
      <c r="AU188" s="65" t="s">
        <v>25</v>
      </c>
      <c r="AV188" s="163" t="s">
        <v>12</v>
      </c>
      <c r="AW188" s="65">
        <v>1124</v>
      </c>
      <c r="AX188" s="196">
        <v>44743.438680555555</v>
      </c>
    </row>
    <row r="189" spans="1:50">
      <c r="A189" s="124" t="s">
        <v>100</v>
      </c>
      <c r="B189" s="109" t="s">
        <v>1320</v>
      </c>
      <c r="C189" s="214" t="s">
        <v>155</v>
      </c>
      <c r="D189" s="163" t="s">
        <v>2690</v>
      </c>
      <c r="E189" s="170">
        <v>560</v>
      </c>
      <c r="F189" s="171">
        <v>560</v>
      </c>
      <c r="G189" s="184">
        <v>510</v>
      </c>
      <c r="H189" s="181">
        <v>560</v>
      </c>
      <c r="I189" s="171">
        <v>560</v>
      </c>
      <c r="J189" s="184">
        <v>510</v>
      </c>
      <c r="K189" s="181">
        <v>560</v>
      </c>
      <c r="L189" s="171">
        <v>560</v>
      </c>
      <c r="M189" s="184">
        <v>510</v>
      </c>
      <c r="N189" s="181">
        <v>560</v>
      </c>
      <c r="O189" s="171">
        <v>560</v>
      </c>
      <c r="P189" s="207">
        <v>510</v>
      </c>
      <c r="Q189" s="204">
        <v>560</v>
      </c>
      <c r="R189" s="206">
        <v>560</v>
      </c>
      <c r="S189" s="207">
        <v>510</v>
      </c>
      <c r="T189" s="204">
        <v>560</v>
      </c>
      <c r="U189" s="206">
        <v>560</v>
      </c>
      <c r="V189" s="207">
        <v>510</v>
      </c>
      <c r="W189" s="204">
        <v>560</v>
      </c>
      <c r="X189" s="206">
        <v>560</v>
      </c>
      <c r="Y189" s="207">
        <v>510</v>
      </c>
      <c r="Z189" s="204">
        <v>560</v>
      </c>
      <c r="AA189" s="206">
        <v>560</v>
      </c>
      <c r="AB189" s="207">
        <v>510</v>
      </c>
      <c r="AC189" s="204">
        <v>560</v>
      </c>
      <c r="AD189" s="206">
        <v>560</v>
      </c>
      <c r="AE189" s="207">
        <v>510</v>
      </c>
      <c r="AF189" s="204">
        <v>560</v>
      </c>
      <c r="AG189" s="206">
        <v>560</v>
      </c>
      <c r="AH189" s="207">
        <v>510</v>
      </c>
      <c r="AI189" s="208" t="s">
        <v>2682</v>
      </c>
      <c r="AJ189" s="194" t="s">
        <v>1596</v>
      </c>
      <c r="AK189" s="132" t="s">
        <v>2683</v>
      </c>
      <c r="AL189" s="213">
        <v>1</v>
      </c>
      <c r="AM189" s="212"/>
      <c r="AN189" s="211">
        <v>560</v>
      </c>
      <c r="AO189" s="212"/>
      <c r="AP189" s="194" t="s">
        <v>55</v>
      </c>
      <c r="AQ189" s="193" t="s">
        <v>1403</v>
      </c>
      <c r="AR189" s="210"/>
      <c r="AS189" s="209" t="s">
        <v>1534</v>
      </c>
      <c r="AT189" s="175"/>
      <c r="AU189" s="65" t="s">
        <v>25</v>
      </c>
      <c r="AV189" s="163" t="s">
        <v>12</v>
      </c>
      <c r="AW189" s="65">
        <v>1124</v>
      </c>
      <c r="AX189" s="196">
        <v>44743.438680555555</v>
      </c>
    </row>
    <row r="190" spans="1:50">
      <c r="A190" s="124" t="s">
        <v>100</v>
      </c>
      <c r="B190" s="109" t="s">
        <v>1320</v>
      </c>
      <c r="C190" s="214" t="s">
        <v>155</v>
      </c>
      <c r="D190" s="163" t="s">
        <v>2691</v>
      </c>
      <c r="E190" s="170">
        <v>560</v>
      </c>
      <c r="F190" s="171">
        <v>540</v>
      </c>
      <c r="G190" s="184">
        <v>530</v>
      </c>
      <c r="H190" s="181">
        <v>560</v>
      </c>
      <c r="I190" s="171">
        <v>540</v>
      </c>
      <c r="J190" s="184">
        <v>530</v>
      </c>
      <c r="K190" s="181">
        <v>560</v>
      </c>
      <c r="L190" s="171">
        <v>540</v>
      </c>
      <c r="M190" s="184">
        <v>530</v>
      </c>
      <c r="N190" s="181">
        <v>560</v>
      </c>
      <c r="O190" s="171">
        <v>540</v>
      </c>
      <c r="P190" s="207">
        <v>530</v>
      </c>
      <c r="Q190" s="204">
        <v>560</v>
      </c>
      <c r="R190" s="206">
        <v>540</v>
      </c>
      <c r="S190" s="207">
        <v>530</v>
      </c>
      <c r="T190" s="204">
        <v>560</v>
      </c>
      <c r="U190" s="206">
        <v>540</v>
      </c>
      <c r="V190" s="207">
        <v>530</v>
      </c>
      <c r="W190" s="204">
        <v>560</v>
      </c>
      <c r="X190" s="206">
        <v>540</v>
      </c>
      <c r="Y190" s="207">
        <v>530</v>
      </c>
      <c r="Z190" s="204">
        <v>560</v>
      </c>
      <c r="AA190" s="206">
        <v>540</v>
      </c>
      <c r="AB190" s="207">
        <v>530</v>
      </c>
      <c r="AC190" s="204">
        <v>560</v>
      </c>
      <c r="AD190" s="206">
        <v>540</v>
      </c>
      <c r="AE190" s="207">
        <v>530</v>
      </c>
      <c r="AF190" s="204">
        <v>560</v>
      </c>
      <c r="AG190" s="206">
        <v>540</v>
      </c>
      <c r="AH190" s="207">
        <v>530</v>
      </c>
      <c r="AI190" s="208" t="s">
        <v>2682</v>
      </c>
      <c r="AJ190" s="194" t="s">
        <v>1596</v>
      </c>
      <c r="AK190" s="132" t="s">
        <v>2683</v>
      </c>
      <c r="AL190" s="213">
        <v>1</v>
      </c>
      <c r="AM190" s="212"/>
      <c r="AN190" s="211">
        <v>560</v>
      </c>
      <c r="AO190" s="212"/>
      <c r="AP190" s="194" t="s">
        <v>55</v>
      </c>
      <c r="AQ190" s="193" t="s">
        <v>1403</v>
      </c>
      <c r="AR190" s="210"/>
      <c r="AS190" s="209" t="s">
        <v>1534</v>
      </c>
      <c r="AT190" s="175"/>
      <c r="AU190" s="65" t="s">
        <v>25</v>
      </c>
      <c r="AV190" s="163" t="s">
        <v>12</v>
      </c>
      <c r="AW190" s="65">
        <v>1124</v>
      </c>
      <c r="AX190" s="196">
        <v>44743.438680555555</v>
      </c>
    </row>
    <row r="191" spans="1:50">
      <c r="A191" s="124" t="s">
        <v>100</v>
      </c>
      <c r="B191" s="109" t="s">
        <v>1320</v>
      </c>
      <c r="C191" s="214" t="s">
        <v>381</v>
      </c>
      <c r="D191" s="163" t="s">
        <v>383</v>
      </c>
      <c r="E191" s="170">
        <v>580</v>
      </c>
      <c r="F191" s="171">
        <v>555</v>
      </c>
      <c r="G191" s="184">
        <v>540</v>
      </c>
      <c r="H191" s="181">
        <v>580</v>
      </c>
      <c r="I191" s="171">
        <v>555</v>
      </c>
      <c r="J191" s="184">
        <v>540</v>
      </c>
      <c r="K191" s="181">
        <v>580</v>
      </c>
      <c r="L191" s="171">
        <v>555</v>
      </c>
      <c r="M191" s="184">
        <v>540</v>
      </c>
      <c r="N191" s="181">
        <v>580</v>
      </c>
      <c r="O191" s="171">
        <v>555</v>
      </c>
      <c r="P191" s="207">
        <v>540</v>
      </c>
      <c r="Q191" s="204">
        <v>580</v>
      </c>
      <c r="R191" s="206">
        <v>555</v>
      </c>
      <c r="S191" s="207">
        <v>540</v>
      </c>
      <c r="T191" s="204">
        <v>580</v>
      </c>
      <c r="U191" s="206">
        <v>555</v>
      </c>
      <c r="V191" s="207">
        <v>540</v>
      </c>
      <c r="W191" s="204">
        <v>580</v>
      </c>
      <c r="X191" s="206">
        <v>555</v>
      </c>
      <c r="Y191" s="207">
        <v>540</v>
      </c>
      <c r="Z191" s="204">
        <v>580</v>
      </c>
      <c r="AA191" s="206">
        <v>555</v>
      </c>
      <c r="AB191" s="207">
        <v>540</v>
      </c>
      <c r="AC191" s="204">
        <v>580</v>
      </c>
      <c r="AD191" s="206">
        <v>555</v>
      </c>
      <c r="AE191" s="207">
        <v>540</v>
      </c>
      <c r="AF191" s="204">
        <v>580</v>
      </c>
      <c r="AG191" s="206">
        <v>555</v>
      </c>
      <c r="AH191" s="207">
        <v>540</v>
      </c>
      <c r="AI191" s="208" t="s">
        <v>501</v>
      </c>
      <c r="AJ191" s="194" t="s">
        <v>1596</v>
      </c>
      <c r="AK191" s="132" t="s">
        <v>2683</v>
      </c>
      <c r="AL191" s="213">
        <v>1</v>
      </c>
      <c r="AM191" s="212"/>
      <c r="AN191" s="211">
        <v>580</v>
      </c>
      <c r="AO191" s="212"/>
      <c r="AP191" s="194" t="s">
        <v>55</v>
      </c>
      <c r="AQ191" s="193" t="s">
        <v>1403</v>
      </c>
      <c r="AR191" s="210"/>
      <c r="AS191" s="209" t="s">
        <v>1457</v>
      </c>
      <c r="AT191" s="175"/>
      <c r="AU191" s="65" t="s">
        <v>25</v>
      </c>
      <c r="AV191" s="163" t="s">
        <v>12</v>
      </c>
      <c r="AW191" s="65">
        <v>1125</v>
      </c>
      <c r="AX191" s="196">
        <v>44658.634247685186</v>
      </c>
    </row>
    <row r="192" spans="1:50">
      <c r="A192" s="124" t="s">
        <v>100</v>
      </c>
      <c r="B192" s="109" t="s">
        <v>1320</v>
      </c>
      <c r="C192" s="214" t="s">
        <v>381</v>
      </c>
      <c r="D192" s="163" t="s">
        <v>2693</v>
      </c>
      <c r="E192" s="170">
        <v>580</v>
      </c>
      <c r="F192" s="171">
        <v>560</v>
      </c>
      <c r="G192" s="184">
        <v>550</v>
      </c>
      <c r="H192" s="181">
        <v>580</v>
      </c>
      <c r="I192" s="171">
        <v>560</v>
      </c>
      <c r="J192" s="184">
        <v>550</v>
      </c>
      <c r="K192" s="181">
        <v>580</v>
      </c>
      <c r="L192" s="171">
        <v>560</v>
      </c>
      <c r="M192" s="184">
        <v>550</v>
      </c>
      <c r="N192" s="181">
        <v>580</v>
      </c>
      <c r="O192" s="171">
        <v>560</v>
      </c>
      <c r="P192" s="207">
        <v>550</v>
      </c>
      <c r="Q192" s="204">
        <v>580</v>
      </c>
      <c r="R192" s="206">
        <v>560</v>
      </c>
      <c r="S192" s="207">
        <v>550</v>
      </c>
      <c r="T192" s="204">
        <v>580</v>
      </c>
      <c r="U192" s="206">
        <v>560</v>
      </c>
      <c r="V192" s="207">
        <v>550</v>
      </c>
      <c r="W192" s="204">
        <v>580</v>
      </c>
      <c r="X192" s="206">
        <v>560</v>
      </c>
      <c r="Y192" s="207">
        <v>550</v>
      </c>
      <c r="Z192" s="204">
        <v>580</v>
      </c>
      <c r="AA192" s="206">
        <v>560</v>
      </c>
      <c r="AB192" s="207">
        <v>550</v>
      </c>
      <c r="AC192" s="204">
        <v>580</v>
      </c>
      <c r="AD192" s="206">
        <v>560</v>
      </c>
      <c r="AE192" s="207">
        <v>550</v>
      </c>
      <c r="AF192" s="204">
        <v>580</v>
      </c>
      <c r="AG192" s="206">
        <v>560</v>
      </c>
      <c r="AH192" s="207">
        <v>550</v>
      </c>
      <c r="AI192" s="208" t="s">
        <v>501</v>
      </c>
      <c r="AJ192" s="194" t="s">
        <v>1596</v>
      </c>
      <c r="AK192" s="132" t="s">
        <v>2683</v>
      </c>
      <c r="AL192" s="213">
        <v>1</v>
      </c>
      <c r="AM192" s="212"/>
      <c r="AN192" s="211">
        <v>580</v>
      </c>
      <c r="AO192" s="212"/>
      <c r="AP192" s="194" t="s">
        <v>55</v>
      </c>
      <c r="AQ192" s="193" t="s">
        <v>1403</v>
      </c>
      <c r="AR192" s="210"/>
      <c r="AS192" s="209" t="s">
        <v>1457</v>
      </c>
      <c r="AT192" s="175"/>
      <c r="AU192" s="65" t="s">
        <v>25</v>
      </c>
      <c r="AV192" s="163" t="s">
        <v>12</v>
      </c>
      <c r="AW192" s="65">
        <v>1125</v>
      </c>
      <c r="AX192" s="196">
        <v>44658.634247685186</v>
      </c>
    </row>
    <row r="193" spans="1:50">
      <c r="A193" s="124" t="s">
        <v>100</v>
      </c>
      <c r="B193" s="109" t="s">
        <v>1320</v>
      </c>
      <c r="C193" s="214" t="s">
        <v>1162</v>
      </c>
      <c r="D193" s="163" t="s">
        <v>2708</v>
      </c>
      <c r="E193" s="170">
        <v>420</v>
      </c>
      <c r="F193" s="171">
        <v>420</v>
      </c>
      <c r="G193" s="184">
        <v>420</v>
      </c>
      <c r="H193" s="181">
        <v>420</v>
      </c>
      <c r="I193" s="171">
        <v>420</v>
      </c>
      <c r="J193" s="184">
        <v>420</v>
      </c>
      <c r="K193" s="181">
        <v>420</v>
      </c>
      <c r="L193" s="171">
        <v>420</v>
      </c>
      <c r="M193" s="184">
        <v>420</v>
      </c>
      <c r="N193" s="181">
        <v>420</v>
      </c>
      <c r="O193" s="171">
        <v>420</v>
      </c>
      <c r="P193" s="207">
        <v>420</v>
      </c>
      <c r="Q193" s="204">
        <v>420</v>
      </c>
      <c r="R193" s="206">
        <v>420</v>
      </c>
      <c r="S193" s="207">
        <v>420</v>
      </c>
      <c r="T193" s="204">
        <v>420</v>
      </c>
      <c r="U193" s="206">
        <v>420</v>
      </c>
      <c r="V193" s="207">
        <v>420</v>
      </c>
      <c r="W193" s="204">
        <v>420</v>
      </c>
      <c r="X193" s="206">
        <v>420</v>
      </c>
      <c r="Y193" s="207">
        <v>420</v>
      </c>
      <c r="Z193" s="204">
        <v>420</v>
      </c>
      <c r="AA193" s="206">
        <v>420</v>
      </c>
      <c r="AB193" s="207">
        <v>420</v>
      </c>
      <c r="AC193" s="204">
        <v>420</v>
      </c>
      <c r="AD193" s="206">
        <v>420</v>
      </c>
      <c r="AE193" s="207">
        <v>420</v>
      </c>
      <c r="AF193" s="204">
        <v>420</v>
      </c>
      <c r="AG193" s="206">
        <v>420</v>
      </c>
      <c r="AH193" s="207">
        <v>420</v>
      </c>
      <c r="AI193" s="208" t="s">
        <v>2707</v>
      </c>
      <c r="AJ193" s="194" t="s">
        <v>1419</v>
      </c>
      <c r="AK193" s="132" t="s">
        <v>17</v>
      </c>
      <c r="AL193" s="213">
        <v>140</v>
      </c>
      <c r="AM193" s="212"/>
      <c r="AN193" s="211">
        <v>420</v>
      </c>
      <c r="AO193" s="212"/>
      <c r="AP193" s="65" t="s">
        <v>55</v>
      </c>
      <c r="AQ193" s="193" t="s">
        <v>1407</v>
      </c>
      <c r="AR193" s="210"/>
      <c r="AS193" s="209" t="s">
        <v>1959</v>
      </c>
      <c r="AT193" s="175"/>
      <c r="AU193" s="65" t="s">
        <v>25</v>
      </c>
      <c r="AV193" s="163" t="s">
        <v>17</v>
      </c>
      <c r="AW193" s="65">
        <v>1128</v>
      </c>
      <c r="AX193" s="196">
        <v>44670.405509259261</v>
      </c>
    </row>
    <row r="194" spans="1:50">
      <c r="A194" s="124" t="s">
        <v>95</v>
      </c>
      <c r="B194" s="109" t="s">
        <v>1320</v>
      </c>
      <c r="C194" s="214" t="s">
        <v>2711</v>
      </c>
      <c r="D194" s="163" t="s">
        <v>2712</v>
      </c>
      <c r="E194" s="170">
        <v>81</v>
      </c>
      <c r="F194" s="171">
        <v>81</v>
      </c>
      <c r="G194" s="184">
        <v>81</v>
      </c>
      <c r="H194" s="181">
        <v>81</v>
      </c>
      <c r="I194" s="171">
        <v>81</v>
      </c>
      <c r="J194" s="184">
        <v>81</v>
      </c>
      <c r="K194" s="181">
        <v>81</v>
      </c>
      <c r="L194" s="171">
        <v>0</v>
      </c>
      <c r="M194" s="184">
        <v>0</v>
      </c>
      <c r="N194" s="181">
        <v>84</v>
      </c>
      <c r="O194" s="171">
        <v>84</v>
      </c>
      <c r="P194" s="207">
        <v>84</v>
      </c>
      <c r="Q194" s="204">
        <v>84</v>
      </c>
      <c r="R194" s="206">
        <v>84</v>
      </c>
      <c r="S194" s="207">
        <v>84</v>
      </c>
      <c r="T194" s="204">
        <v>84</v>
      </c>
      <c r="U194" s="206">
        <v>84</v>
      </c>
      <c r="V194" s="207">
        <v>84</v>
      </c>
      <c r="W194" s="204">
        <v>84</v>
      </c>
      <c r="X194" s="206">
        <v>84</v>
      </c>
      <c r="Y194" s="207">
        <v>84</v>
      </c>
      <c r="Z194" s="204">
        <v>84</v>
      </c>
      <c r="AA194" s="206">
        <v>84</v>
      </c>
      <c r="AB194" s="207">
        <v>84</v>
      </c>
      <c r="AC194" s="204">
        <v>84</v>
      </c>
      <c r="AD194" s="206">
        <v>84</v>
      </c>
      <c r="AE194" s="207">
        <v>84</v>
      </c>
      <c r="AF194" s="204">
        <v>84</v>
      </c>
      <c r="AG194" s="206">
        <v>84</v>
      </c>
      <c r="AH194" s="207">
        <v>84</v>
      </c>
      <c r="AI194" s="208" t="s">
        <v>1585</v>
      </c>
      <c r="AJ194" s="194" t="s">
        <v>1539</v>
      </c>
      <c r="AK194" s="132" t="s">
        <v>18</v>
      </c>
      <c r="AL194" s="213">
        <v>1</v>
      </c>
      <c r="AM194" s="212"/>
      <c r="AN194" s="211">
        <v>79.900000000000006</v>
      </c>
      <c r="AO194" s="212"/>
      <c r="AP194" s="194" t="s">
        <v>55</v>
      </c>
      <c r="AQ194" s="193" t="s">
        <v>1403</v>
      </c>
      <c r="AR194" s="210"/>
      <c r="AS194" s="209" t="s">
        <v>1588</v>
      </c>
      <c r="AT194" s="175"/>
      <c r="AU194" s="65" t="s">
        <v>25</v>
      </c>
      <c r="AV194" s="163" t="s">
        <v>18</v>
      </c>
      <c r="AW194" s="65">
        <v>1130</v>
      </c>
      <c r="AX194" s="196">
        <v>44672.421631944446</v>
      </c>
    </row>
    <row r="195" spans="1:50">
      <c r="A195" s="124" t="s">
        <v>46</v>
      </c>
      <c r="B195" s="109" t="s">
        <v>1320</v>
      </c>
      <c r="C195" s="214" t="s">
        <v>2715</v>
      </c>
      <c r="D195" s="163" t="s">
        <v>2717</v>
      </c>
      <c r="E195" s="170">
        <v>46.7</v>
      </c>
      <c r="F195" s="171">
        <v>46.7</v>
      </c>
      <c r="G195" s="184">
        <v>46.7</v>
      </c>
      <c r="H195" s="181">
        <v>46.7</v>
      </c>
      <c r="I195" s="171">
        <v>46.7</v>
      </c>
      <c r="J195" s="184">
        <v>46.7</v>
      </c>
      <c r="K195" s="181">
        <v>46.7</v>
      </c>
      <c r="L195" s="171">
        <v>46.7</v>
      </c>
      <c r="M195" s="184">
        <v>46.7</v>
      </c>
      <c r="N195" s="181">
        <v>46.7</v>
      </c>
      <c r="O195" s="171">
        <v>46.7</v>
      </c>
      <c r="P195" s="207">
        <v>46.7</v>
      </c>
      <c r="Q195" s="204">
        <v>46.7</v>
      </c>
      <c r="R195" s="206">
        <v>46.7</v>
      </c>
      <c r="S195" s="207">
        <v>46.7</v>
      </c>
      <c r="T195" s="204">
        <v>46.7</v>
      </c>
      <c r="U195" s="206">
        <v>46.7</v>
      </c>
      <c r="V195" s="207">
        <v>46.7</v>
      </c>
      <c r="W195" s="204">
        <v>46.7</v>
      </c>
      <c r="X195" s="206">
        <v>46.7</v>
      </c>
      <c r="Y195" s="207">
        <v>46.7</v>
      </c>
      <c r="Z195" s="204">
        <v>46.7</v>
      </c>
      <c r="AA195" s="206">
        <v>46.7</v>
      </c>
      <c r="AB195" s="207">
        <v>46.7</v>
      </c>
      <c r="AC195" s="204">
        <v>46.7</v>
      </c>
      <c r="AD195" s="206">
        <v>46.7</v>
      </c>
      <c r="AE195" s="207">
        <v>46.7</v>
      </c>
      <c r="AF195" s="204">
        <v>46.7</v>
      </c>
      <c r="AG195" s="206">
        <v>46.7</v>
      </c>
      <c r="AH195" s="207">
        <v>46.7</v>
      </c>
      <c r="AI195" s="208" t="s">
        <v>2716</v>
      </c>
      <c r="AJ195" s="194" t="s">
        <v>1429</v>
      </c>
      <c r="AK195" s="132" t="s">
        <v>1388</v>
      </c>
      <c r="AL195" s="213">
        <v>20</v>
      </c>
      <c r="AM195" s="212"/>
      <c r="AN195" s="211">
        <v>50</v>
      </c>
      <c r="AO195" s="212"/>
      <c r="AP195" s="194" t="s">
        <v>55</v>
      </c>
      <c r="AQ195" s="193" t="s">
        <v>1407</v>
      </c>
      <c r="AR195" s="210"/>
      <c r="AS195" s="209" t="s">
        <v>1452</v>
      </c>
      <c r="AT195" s="175"/>
      <c r="AU195" s="65" t="s">
        <v>25</v>
      </c>
      <c r="AV195" s="163" t="s">
        <v>1388</v>
      </c>
      <c r="AW195" s="65">
        <v>1280</v>
      </c>
      <c r="AX195" s="196">
        <v>44693.431585648148</v>
      </c>
    </row>
    <row r="196" spans="1:50">
      <c r="A196" s="124" t="s">
        <v>80</v>
      </c>
      <c r="B196" s="109" t="s">
        <v>1320</v>
      </c>
      <c r="C196" s="214" t="s">
        <v>90</v>
      </c>
      <c r="D196" s="163" t="s">
        <v>91</v>
      </c>
      <c r="E196" s="170">
        <v>16.799999999999997</v>
      </c>
      <c r="F196" s="171">
        <v>16.128</v>
      </c>
      <c r="G196" s="184">
        <v>15.792000000000002</v>
      </c>
      <c r="H196" s="181">
        <v>16.799999999999997</v>
      </c>
      <c r="I196" s="171">
        <v>16.128</v>
      </c>
      <c r="J196" s="184">
        <v>15.792000000000002</v>
      </c>
      <c r="K196" s="181">
        <v>16.799999999999997</v>
      </c>
      <c r="L196" s="171">
        <v>16.128</v>
      </c>
      <c r="M196" s="184">
        <v>15.792000000000002</v>
      </c>
      <c r="N196" s="181">
        <v>16.799999999999997</v>
      </c>
      <c r="O196" s="171">
        <v>16.128</v>
      </c>
      <c r="P196" s="207">
        <v>15.792000000000002</v>
      </c>
      <c r="Q196" s="204">
        <v>16.799999999999997</v>
      </c>
      <c r="R196" s="206">
        <v>16.128</v>
      </c>
      <c r="S196" s="207">
        <v>15.792000000000002</v>
      </c>
      <c r="T196" s="204">
        <v>16.799999999999997</v>
      </c>
      <c r="U196" s="206">
        <v>16.128</v>
      </c>
      <c r="V196" s="207">
        <v>15.792000000000002</v>
      </c>
      <c r="W196" s="204">
        <v>16.799999999999997</v>
      </c>
      <c r="X196" s="206">
        <v>16.128</v>
      </c>
      <c r="Y196" s="207">
        <v>15.792000000000002</v>
      </c>
      <c r="Z196" s="204">
        <v>16.799999999999997</v>
      </c>
      <c r="AA196" s="206">
        <v>16.128</v>
      </c>
      <c r="AB196" s="207">
        <v>15.792000000000002</v>
      </c>
      <c r="AC196" s="204">
        <v>16.799999999999997</v>
      </c>
      <c r="AD196" s="206">
        <v>16.128</v>
      </c>
      <c r="AE196" s="207">
        <v>15.792000000000002</v>
      </c>
      <c r="AF196" s="204">
        <v>16.799999999999997</v>
      </c>
      <c r="AG196" s="206">
        <v>16.128</v>
      </c>
      <c r="AH196" s="207">
        <v>15.792000000000002</v>
      </c>
      <c r="AI196" s="208" t="s">
        <v>82</v>
      </c>
      <c r="AJ196" s="194" t="s">
        <v>1429</v>
      </c>
      <c r="AK196" s="132" t="s">
        <v>1388</v>
      </c>
      <c r="AL196" s="213">
        <v>6</v>
      </c>
      <c r="AM196" s="212"/>
      <c r="AN196" s="211">
        <v>16.799999999999997</v>
      </c>
      <c r="AO196" s="212"/>
      <c r="AP196" s="194" t="s">
        <v>27</v>
      </c>
      <c r="AQ196" s="193" t="s">
        <v>1407</v>
      </c>
      <c r="AR196" s="210" t="s">
        <v>1404</v>
      </c>
      <c r="AS196" s="209" t="s">
        <v>1405</v>
      </c>
      <c r="AT196" s="175"/>
      <c r="AU196" s="65" t="s">
        <v>25</v>
      </c>
      <c r="AV196" s="163" t="s">
        <v>1388</v>
      </c>
      <c r="AW196" s="65">
        <v>1847</v>
      </c>
      <c r="AX196" s="196">
        <v>44671.360821759263</v>
      </c>
    </row>
    <row r="197" spans="1:50">
      <c r="A197" s="124" t="s">
        <v>80</v>
      </c>
      <c r="B197" s="109" t="s">
        <v>1385</v>
      </c>
      <c r="C197" s="214" t="s">
        <v>92</v>
      </c>
      <c r="D197" s="163" t="s">
        <v>93</v>
      </c>
      <c r="E197" s="170">
        <v>12.36</v>
      </c>
      <c r="F197" s="171">
        <v>11.879999999999999</v>
      </c>
      <c r="G197" s="184">
        <v>11.64</v>
      </c>
      <c r="H197" s="181">
        <v>12.36</v>
      </c>
      <c r="I197" s="171">
        <v>11.879999999999999</v>
      </c>
      <c r="J197" s="184">
        <v>11.64</v>
      </c>
      <c r="K197" s="181">
        <v>12.36</v>
      </c>
      <c r="L197" s="171">
        <v>11.879999999999999</v>
      </c>
      <c r="M197" s="184">
        <v>11.64</v>
      </c>
      <c r="N197" s="181">
        <v>12.36</v>
      </c>
      <c r="O197" s="171">
        <v>11.879999999999999</v>
      </c>
      <c r="P197" s="207">
        <v>11.64</v>
      </c>
      <c r="Q197" s="204">
        <v>12.36</v>
      </c>
      <c r="R197" s="206">
        <v>11.879999999999999</v>
      </c>
      <c r="S197" s="207">
        <v>11.64</v>
      </c>
      <c r="T197" s="204">
        <v>12.36</v>
      </c>
      <c r="U197" s="206">
        <v>11.879999999999999</v>
      </c>
      <c r="V197" s="207">
        <v>11.64</v>
      </c>
      <c r="W197" s="204">
        <v>12.36</v>
      </c>
      <c r="X197" s="206">
        <v>11.879999999999999</v>
      </c>
      <c r="Y197" s="207">
        <v>11.64</v>
      </c>
      <c r="Z197" s="204">
        <v>12.36</v>
      </c>
      <c r="AA197" s="206">
        <v>11.879999999999999</v>
      </c>
      <c r="AB197" s="207">
        <v>11.64</v>
      </c>
      <c r="AC197" s="204">
        <v>12.36</v>
      </c>
      <c r="AD197" s="206">
        <v>11.879999999999999</v>
      </c>
      <c r="AE197" s="207">
        <v>11.64</v>
      </c>
      <c r="AF197" s="204">
        <v>12.36</v>
      </c>
      <c r="AG197" s="206">
        <v>11.879999999999999</v>
      </c>
      <c r="AH197" s="207">
        <v>11.64</v>
      </c>
      <c r="AI197" s="208" t="s">
        <v>82</v>
      </c>
      <c r="AJ197" s="194" t="s">
        <v>1429</v>
      </c>
      <c r="AK197" s="132" t="s">
        <v>1388</v>
      </c>
      <c r="AL197" s="213">
        <v>6</v>
      </c>
      <c r="AM197" s="212"/>
      <c r="AN197" s="211">
        <v>12.36</v>
      </c>
      <c r="AO197" s="212"/>
      <c r="AP197" s="194" t="s">
        <v>94</v>
      </c>
      <c r="AQ197" s="193" t="s">
        <v>1407</v>
      </c>
      <c r="AR197" s="210" t="s">
        <v>1975</v>
      </c>
      <c r="AS197" s="209" t="s">
        <v>1405</v>
      </c>
      <c r="AT197" s="175"/>
      <c r="AU197" s="65" t="s">
        <v>27</v>
      </c>
      <c r="AV197" s="163" t="s">
        <v>1388</v>
      </c>
      <c r="AW197" s="65">
        <v>2010</v>
      </c>
      <c r="AX197" s="196">
        <v>44747.50849537037</v>
      </c>
    </row>
    <row r="198" spans="1:50">
      <c r="A198" s="124" t="s">
        <v>62</v>
      </c>
      <c r="B198" s="109" t="s">
        <v>1320</v>
      </c>
      <c r="C198" s="214" t="s">
        <v>242</v>
      </c>
      <c r="D198" s="163" t="s">
        <v>244</v>
      </c>
      <c r="E198" s="170">
        <v>27.3</v>
      </c>
      <c r="F198" s="171">
        <v>27.3</v>
      </c>
      <c r="G198" s="184">
        <v>27.3</v>
      </c>
      <c r="H198" s="181">
        <v>27.3</v>
      </c>
      <c r="I198" s="171">
        <v>27.3</v>
      </c>
      <c r="J198" s="184">
        <v>27.3</v>
      </c>
      <c r="K198" s="181">
        <v>27.3</v>
      </c>
      <c r="L198" s="171">
        <v>27.3</v>
      </c>
      <c r="M198" s="184">
        <v>27.3</v>
      </c>
      <c r="N198" s="181">
        <v>27.3</v>
      </c>
      <c r="O198" s="171">
        <v>27.3</v>
      </c>
      <c r="P198" s="207">
        <v>27.3</v>
      </c>
      <c r="Q198" s="204">
        <v>27.3</v>
      </c>
      <c r="R198" s="206">
        <v>27.3</v>
      </c>
      <c r="S198" s="207">
        <v>27.3</v>
      </c>
      <c r="T198" s="204">
        <v>27.3</v>
      </c>
      <c r="U198" s="206">
        <v>27.3</v>
      </c>
      <c r="V198" s="207">
        <v>27.3</v>
      </c>
      <c r="W198" s="204">
        <v>27.3</v>
      </c>
      <c r="X198" s="206">
        <v>27.3</v>
      </c>
      <c r="Y198" s="207">
        <v>27.3</v>
      </c>
      <c r="Z198" s="204">
        <v>27.3</v>
      </c>
      <c r="AA198" s="206">
        <v>27.3</v>
      </c>
      <c r="AB198" s="207">
        <v>27.3</v>
      </c>
      <c r="AC198" s="204">
        <v>27.3</v>
      </c>
      <c r="AD198" s="206">
        <v>27.3</v>
      </c>
      <c r="AE198" s="207">
        <v>27.3</v>
      </c>
      <c r="AF198" s="204">
        <v>27.3</v>
      </c>
      <c r="AG198" s="206">
        <v>27.3</v>
      </c>
      <c r="AH198" s="207">
        <v>27.3</v>
      </c>
      <c r="AI198" s="208" t="s">
        <v>243</v>
      </c>
      <c r="AJ198" s="194" t="s">
        <v>1429</v>
      </c>
      <c r="AK198" s="132" t="s">
        <v>1388</v>
      </c>
      <c r="AL198" s="213">
        <v>1</v>
      </c>
      <c r="AM198" s="212"/>
      <c r="AN198" s="211">
        <v>34.5</v>
      </c>
      <c r="AO198" s="212">
        <v>0</v>
      </c>
      <c r="AP198" s="194" t="s">
        <v>55</v>
      </c>
      <c r="AQ198" s="193" t="s">
        <v>1407</v>
      </c>
      <c r="AR198" s="210"/>
      <c r="AS198" s="209" t="s">
        <v>1452</v>
      </c>
      <c r="AT198" s="175"/>
      <c r="AU198" s="65" t="s">
        <v>25</v>
      </c>
      <c r="AV198" s="163" t="s">
        <v>1388</v>
      </c>
      <c r="AW198" s="65">
        <v>1689</v>
      </c>
      <c r="AX198" s="196">
        <v>44696.337905092594</v>
      </c>
    </row>
    <row r="199" spans="1:50">
      <c r="A199" s="124" t="s">
        <v>95</v>
      </c>
      <c r="B199" s="109" t="s">
        <v>1320</v>
      </c>
      <c r="C199" s="214" t="s">
        <v>2752</v>
      </c>
      <c r="D199" s="163" t="s">
        <v>2753</v>
      </c>
      <c r="E199" s="170">
        <v>44</v>
      </c>
      <c r="F199" s="171">
        <v>20</v>
      </c>
      <c r="G199" s="184">
        <v>20</v>
      </c>
      <c r="H199" s="181">
        <v>44</v>
      </c>
      <c r="I199" s="171">
        <v>20</v>
      </c>
      <c r="J199" s="184">
        <v>20</v>
      </c>
      <c r="K199" s="181">
        <v>44</v>
      </c>
      <c r="L199" s="171">
        <v>44</v>
      </c>
      <c r="M199" s="184">
        <v>44</v>
      </c>
      <c r="N199" s="181">
        <v>44</v>
      </c>
      <c r="O199" s="171">
        <v>0</v>
      </c>
      <c r="P199" s="207">
        <v>0</v>
      </c>
      <c r="Q199" s="204">
        <v>44</v>
      </c>
      <c r="R199" s="206">
        <v>44</v>
      </c>
      <c r="S199" s="207">
        <v>44</v>
      </c>
      <c r="T199" s="204">
        <v>44</v>
      </c>
      <c r="U199" s="206">
        <v>44</v>
      </c>
      <c r="V199" s="207">
        <v>44</v>
      </c>
      <c r="W199" s="204">
        <v>44</v>
      </c>
      <c r="X199" s="206">
        <v>44</v>
      </c>
      <c r="Y199" s="207">
        <v>44</v>
      </c>
      <c r="Z199" s="204">
        <v>44</v>
      </c>
      <c r="AA199" s="206">
        <v>44</v>
      </c>
      <c r="AB199" s="207">
        <v>44</v>
      </c>
      <c r="AC199" s="204">
        <v>44</v>
      </c>
      <c r="AD199" s="206">
        <v>44</v>
      </c>
      <c r="AE199" s="207">
        <v>44</v>
      </c>
      <c r="AF199" s="204">
        <v>44</v>
      </c>
      <c r="AG199" s="206">
        <v>44</v>
      </c>
      <c r="AH199" s="207">
        <v>44</v>
      </c>
      <c r="AI199" s="208" t="s">
        <v>1585</v>
      </c>
      <c r="AJ199" s="194" t="s">
        <v>1539</v>
      </c>
      <c r="AK199" s="132" t="s">
        <v>18</v>
      </c>
      <c r="AL199" s="213">
        <v>1</v>
      </c>
      <c r="AM199" s="212"/>
      <c r="AN199" s="211">
        <v>40</v>
      </c>
      <c r="AO199" s="212"/>
      <c r="AP199" s="194" t="s">
        <v>55</v>
      </c>
      <c r="AQ199" s="193" t="s">
        <v>1403</v>
      </c>
      <c r="AR199" s="210"/>
      <c r="AS199" s="209" t="s">
        <v>1588</v>
      </c>
      <c r="AT199" s="175"/>
      <c r="AU199" s="65" t="s">
        <v>25</v>
      </c>
      <c r="AV199" s="163" t="s">
        <v>18</v>
      </c>
      <c r="AW199" s="65">
        <v>1133</v>
      </c>
      <c r="AX199" s="196">
        <v>44672.422314814816</v>
      </c>
    </row>
    <row r="200" spans="1:50">
      <c r="A200" s="124" t="s">
        <v>46</v>
      </c>
      <c r="B200" s="109" t="s">
        <v>1385</v>
      </c>
      <c r="C200" s="214" t="s">
        <v>333</v>
      </c>
      <c r="D200" s="163" t="s">
        <v>2769</v>
      </c>
      <c r="E200" s="170">
        <v>115.02</v>
      </c>
      <c r="F200" s="171">
        <v>111.726</v>
      </c>
      <c r="G200" s="184">
        <v>107.08200000000001</v>
      </c>
      <c r="H200" s="181">
        <v>115.02</v>
      </c>
      <c r="I200" s="171">
        <v>111.726</v>
      </c>
      <c r="J200" s="184">
        <v>107.08200000000001</v>
      </c>
      <c r="K200" s="181">
        <v>115.02</v>
      </c>
      <c r="L200" s="171">
        <v>111.726</v>
      </c>
      <c r="M200" s="184">
        <v>107.08200000000001</v>
      </c>
      <c r="N200" s="181">
        <v>115.02</v>
      </c>
      <c r="O200" s="171">
        <v>111.726</v>
      </c>
      <c r="P200" s="207">
        <v>107.08200000000001</v>
      </c>
      <c r="Q200" s="204">
        <v>115.02</v>
      </c>
      <c r="R200" s="206">
        <v>111.726</v>
      </c>
      <c r="S200" s="207">
        <v>107.08200000000001</v>
      </c>
      <c r="T200" s="204">
        <v>115.02</v>
      </c>
      <c r="U200" s="206">
        <v>111.726</v>
      </c>
      <c r="V200" s="207">
        <v>107.08200000000001</v>
      </c>
      <c r="W200" s="204">
        <v>115.02</v>
      </c>
      <c r="X200" s="206">
        <v>111.726</v>
      </c>
      <c r="Y200" s="207">
        <v>107.08200000000001</v>
      </c>
      <c r="Z200" s="204">
        <v>115.02</v>
      </c>
      <c r="AA200" s="206">
        <v>111.726</v>
      </c>
      <c r="AB200" s="207">
        <v>107.08200000000001</v>
      </c>
      <c r="AC200" s="204">
        <v>115.02</v>
      </c>
      <c r="AD200" s="206">
        <v>111.726</v>
      </c>
      <c r="AE200" s="207">
        <v>107.08200000000001</v>
      </c>
      <c r="AF200" s="204">
        <v>115.02</v>
      </c>
      <c r="AG200" s="206">
        <v>111.726</v>
      </c>
      <c r="AH200" s="207">
        <v>107.08200000000001</v>
      </c>
      <c r="AI200" s="208" t="s">
        <v>334</v>
      </c>
      <c r="AJ200" s="194" t="s">
        <v>1429</v>
      </c>
      <c r="AK200" s="132" t="s">
        <v>1388</v>
      </c>
      <c r="AL200" s="213">
        <v>54</v>
      </c>
      <c r="AM200" s="212"/>
      <c r="AN200" s="211">
        <v>135</v>
      </c>
      <c r="AO200" s="212"/>
      <c r="AP200" s="194" t="s">
        <v>27</v>
      </c>
      <c r="AQ200" s="193" t="s">
        <v>1407</v>
      </c>
      <c r="AR200" s="210" t="s">
        <v>1537</v>
      </c>
      <c r="AS200" s="209" t="s">
        <v>1474</v>
      </c>
      <c r="AT200" s="175"/>
      <c r="AU200" s="65" t="s">
        <v>27</v>
      </c>
      <c r="AV200" s="163" t="s">
        <v>1388</v>
      </c>
      <c r="AW200" s="65">
        <v>1628</v>
      </c>
      <c r="AX200" s="196">
        <v>44746.530034722222</v>
      </c>
    </row>
    <row r="201" spans="1:50">
      <c r="A201" s="124" t="s">
        <v>62</v>
      </c>
      <c r="B201" s="109" t="s">
        <v>1320</v>
      </c>
      <c r="C201" s="214" t="s">
        <v>2775</v>
      </c>
      <c r="D201" s="163" t="s">
        <v>2776</v>
      </c>
      <c r="E201" s="170">
        <v>26</v>
      </c>
      <c r="F201" s="171">
        <v>26</v>
      </c>
      <c r="G201" s="184">
        <v>26</v>
      </c>
      <c r="H201" s="204">
        <v>26</v>
      </c>
      <c r="I201" s="171">
        <v>26</v>
      </c>
      <c r="J201" s="184">
        <v>26</v>
      </c>
      <c r="K201" s="204">
        <v>26</v>
      </c>
      <c r="L201" s="171">
        <v>26</v>
      </c>
      <c r="M201" s="184">
        <v>26</v>
      </c>
      <c r="N201" s="204">
        <v>26</v>
      </c>
      <c r="O201" s="171">
        <v>26</v>
      </c>
      <c r="P201" s="207">
        <v>26</v>
      </c>
      <c r="Q201" s="204">
        <v>26</v>
      </c>
      <c r="R201" s="206">
        <v>26</v>
      </c>
      <c r="S201" s="207">
        <v>26</v>
      </c>
      <c r="T201" s="204">
        <v>26</v>
      </c>
      <c r="U201" s="206">
        <v>26</v>
      </c>
      <c r="V201" s="207">
        <v>26</v>
      </c>
      <c r="W201" s="204">
        <v>26</v>
      </c>
      <c r="X201" s="206">
        <v>26</v>
      </c>
      <c r="Y201" s="207">
        <v>26</v>
      </c>
      <c r="Z201" s="204">
        <v>26</v>
      </c>
      <c r="AA201" s="206">
        <v>26</v>
      </c>
      <c r="AB201" s="207">
        <v>26</v>
      </c>
      <c r="AC201" s="204">
        <v>26</v>
      </c>
      <c r="AD201" s="206">
        <v>26</v>
      </c>
      <c r="AE201" s="207">
        <v>26</v>
      </c>
      <c r="AF201" s="204">
        <v>26</v>
      </c>
      <c r="AG201" s="206">
        <v>26</v>
      </c>
      <c r="AH201" s="207">
        <v>26</v>
      </c>
      <c r="AI201" s="208" t="s">
        <v>349</v>
      </c>
      <c r="AJ201" s="194" t="s">
        <v>1429</v>
      </c>
      <c r="AK201" s="132" t="s">
        <v>1388</v>
      </c>
      <c r="AL201" s="213">
        <v>1</v>
      </c>
      <c r="AM201" s="212"/>
      <c r="AN201" s="211">
        <v>26</v>
      </c>
      <c r="AO201" s="212"/>
      <c r="AP201" s="194" t="s">
        <v>55</v>
      </c>
      <c r="AQ201" s="193" t="s">
        <v>1407</v>
      </c>
      <c r="AR201" s="210"/>
      <c r="AS201" s="209" t="s">
        <v>1532</v>
      </c>
      <c r="AT201" s="175"/>
      <c r="AU201" s="65" t="s">
        <v>25</v>
      </c>
      <c r="AV201" s="163" t="s">
        <v>1388</v>
      </c>
      <c r="AW201" s="65">
        <v>1537</v>
      </c>
      <c r="AX201" s="196">
        <v>44699.439375000002</v>
      </c>
    </row>
    <row r="202" spans="1:50">
      <c r="A202" s="124" t="s">
        <v>62</v>
      </c>
      <c r="B202" s="109" t="s">
        <v>1320</v>
      </c>
      <c r="C202" s="214" t="s">
        <v>2784</v>
      </c>
      <c r="D202" s="163" t="s">
        <v>2786</v>
      </c>
      <c r="E202" s="170">
        <v>426</v>
      </c>
      <c r="F202" s="171">
        <v>411</v>
      </c>
      <c r="G202" s="184">
        <v>336</v>
      </c>
      <c r="H202" s="204">
        <v>426</v>
      </c>
      <c r="I202" s="171">
        <v>411</v>
      </c>
      <c r="J202" s="184">
        <v>336</v>
      </c>
      <c r="K202" s="204">
        <v>426</v>
      </c>
      <c r="L202" s="171">
        <v>411</v>
      </c>
      <c r="M202" s="184">
        <v>336</v>
      </c>
      <c r="N202" s="204">
        <v>426</v>
      </c>
      <c r="O202" s="171">
        <v>411</v>
      </c>
      <c r="P202" s="207">
        <v>336</v>
      </c>
      <c r="Q202" s="204">
        <v>426</v>
      </c>
      <c r="R202" s="206">
        <v>411</v>
      </c>
      <c r="S202" s="207">
        <v>336</v>
      </c>
      <c r="T202" s="204">
        <v>426</v>
      </c>
      <c r="U202" s="206">
        <v>411</v>
      </c>
      <c r="V202" s="207">
        <v>336</v>
      </c>
      <c r="W202" s="204">
        <v>426</v>
      </c>
      <c r="X202" s="206">
        <v>411</v>
      </c>
      <c r="Y202" s="207">
        <v>336</v>
      </c>
      <c r="Z202" s="204">
        <v>426</v>
      </c>
      <c r="AA202" s="206">
        <v>411</v>
      </c>
      <c r="AB202" s="207">
        <v>336</v>
      </c>
      <c r="AC202" s="204">
        <v>426</v>
      </c>
      <c r="AD202" s="206">
        <v>411</v>
      </c>
      <c r="AE202" s="207">
        <v>336</v>
      </c>
      <c r="AF202" s="204">
        <v>426</v>
      </c>
      <c r="AG202" s="206">
        <v>411</v>
      </c>
      <c r="AH202" s="207">
        <v>336</v>
      </c>
      <c r="AI202" s="208" t="s">
        <v>2785</v>
      </c>
      <c r="AJ202" s="194" t="s">
        <v>1822</v>
      </c>
      <c r="AK202" s="132" t="s">
        <v>1597</v>
      </c>
      <c r="AL202" s="213">
        <v>1</v>
      </c>
      <c r="AM202" s="212"/>
      <c r="AN202" s="211">
        <v>426</v>
      </c>
      <c r="AO202" s="212"/>
      <c r="AP202" s="194" t="s">
        <v>55</v>
      </c>
      <c r="AQ202" s="193" t="s">
        <v>1403</v>
      </c>
      <c r="AR202" s="210"/>
      <c r="AS202" s="209" t="s">
        <v>1744</v>
      </c>
      <c r="AT202" s="175"/>
      <c r="AU202" s="65" t="s">
        <v>25</v>
      </c>
      <c r="AV202" s="163" t="s">
        <v>12</v>
      </c>
      <c r="AW202" s="65">
        <v>1134</v>
      </c>
      <c r="AX202" s="196">
        <v>44658.63559027778</v>
      </c>
    </row>
    <row r="203" spans="1:50">
      <c r="A203" s="124" t="s">
        <v>62</v>
      </c>
      <c r="B203" s="109" t="s">
        <v>1320</v>
      </c>
      <c r="C203" s="214" t="s">
        <v>2784</v>
      </c>
      <c r="D203" s="163" t="s">
        <v>2788</v>
      </c>
      <c r="E203" s="170">
        <v>426</v>
      </c>
      <c r="F203" s="171">
        <v>411</v>
      </c>
      <c r="G203" s="184">
        <v>336</v>
      </c>
      <c r="H203" s="204">
        <v>426</v>
      </c>
      <c r="I203" s="171">
        <v>411</v>
      </c>
      <c r="J203" s="184">
        <v>336</v>
      </c>
      <c r="K203" s="204">
        <v>426</v>
      </c>
      <c r="L203" s="171">
        <v>411</v>
      </c>
      <c r="M203" s="184">
        <v>336</v>
      </c>
      <c r="N203" s="204">
        <v>426</v>
      </c>
      <c r="O203" s="171">
        <v>411</v>
      </c>
      <c r="P203" s="207">
        <v>336</v>
      </c>
      <c r="Q203" s="204">
        <v>426</v>
      </c>
      <c r="R203" s="206">
        <v>411</v>
      </c>
      <c r="S203" s="207">
        <v>336</v>
      </c>
      <c r="T203" s="204">
        <v>426</v>
      </c>
      <c r="U203" s="206">
        <v>411</v>
      </c>
      <c r="V203" s="207">
        <v>336</v>
      </c>
      <c r="W203" s="204">
        <v>426</v>
      </c>
      <c r="X203" s="206">
        <v>411</v>
      </c>
      <c r="Y203" s="207">
        <v>336</v>
      </c>
      <c r="Z203" s="204">
        <v>426</v>
      </c>
      <c r="AA203" s="206">
        <v>411</v>
      </c>
      <c r="AB203" s="207">
        <v>336</v>
      </c>
      <c r="AC203" s="204">
        <v>426</v>
      </c>
      <c r="AD203" s="206">
        <v>411</v>
      </c>
      <c r="AE203" s="207">
        <v>336</v>
      </c>
      <c r="AF203" s="204">
        <v>426</v>
      </c>
      <c r="AG203" s="206">
        <v>411</v>
      </c>
      <c r="AH203" s="207">
        <v>336</v>
      </c>
      <c r="AI203" s="208" t="s">
        <v>2785</v>
      </c>
      <c r="AJ203" s="194" t="s">
        <v>1822</v>
      </c>
      <c r="AK203" s="132" t="s">
        <v>1597</v>
      </c>
      <c r="AL203" s="213">
        <v>1</v>
      </c>
      <c r="AM203" s="212"/>
      <c r="AN203" s="211">
        <v>426</v>
      </c>
      <c r="AO203" s="212"/>
      <c r="AP203" s="194" t="s">
        <v>55</v>
      </c>
      <c r="AQ203" s="193" t="s">
        <v>1403</v>
      </c>
      <c r="AR203" s="210"/>
      <c r="AS203" s="209" t="s">
        <v>1744</v>
      </c>
      <c r="AT203" s="175"/>
      <c r="AU203" s="65" t="s">
        <v>25</v>
      </c>
      <c r="AV203" s="163" t="s">
        <v>12</v>
      </c>
      <c r="AW203" s="65">
        <v>1134</v>
      </c>
      <c r="AX203" s="196">
        <v>44658.63559027778</v>
      </c>
    </row>
    <row r="204" spans="1:50">
      <c r="A204" s="124" t="s">
        <v>80</v>
      </c>
      <c r="B204" s="109" t="s">
        <v>1320</v>
      </c>
      <c r="C204" s="214" t="s">
        <v>2789</v>
      </c>
      <c r="D204" s="163" t="s">
        <v>2790</v>
      </c>
      <c r="E204" s="170">
        <v>90</v>
      </c>
      <c r="F204" s="171">
        <v>73</v>
      </c>
      <c r="G204" s="184">
        <v>68</v>
      </c>
      <c r="H204" s="204">
        <v>90</v>
      </c>
      <c r="I204" s="171">
        <v>73</v>
      </c>
      <c r="J204" s="184">
        <v>68</v>
      </c>
      <c r="K204" s="204">
        <v>90</v>
      </c>
      <c r="L204" s="171">
        <v>73</v>
      </c>
      <c r="M204" s="184">
        <v>68</v>
      </c>
      <c r="N204" s="204">
        <v>90</v>
      </c>
      <c r="O204" s="171">
        <v>73</v>
      </c>
      <c r="P204" s="207">
        <v>68</v>
      </c>
      <c r="Q204" s="204">
        <v>90</v>
      </c>
      <c r="R204" s="206">
        <v>73</v>
      </c>
      <c r="S204" s="207">
        <v>68</v>
      </c>
      <c r="T204" s="204">
        <v>90</v>
      </c>
      <c r="U204" s="206">
        <v>73</v>
      </c>
      <c r="V204" s="207">
        <v>68</v>
      </c>
      <c r="W204" s="204">
        <v>90</v>
      </c>
      <c r="X204" s="206">
        <v>73</v>
      </c>
      <c r="Y204" s="207">
        <v>68</v>
      </c>
      <c r="Z204" s="204">
        <v>90</v>
      </c>
      <c r="AA204" s="206">
        <v>73</v>
      </c>
      <c r="AB204" s="207">
        <v>68</v>
      </c>
      <c r="AC204" s="204">
        <v>90</v>
      </c>
      <c r="AD204" s="206">
        <v>73</v>
      </c>
      <c r="AE204" s="207">
        <v>68</v>
      </c>
      <c r="AF204" s="204">
        <v>0</v>
      </c>
      <c r="AG204" s="206">
        <v>0</v>
      </c>
      <c r="AH204" s="207">
        <v>0</v>
      </c>
      <c r="AI204" s="208" t="s">
        <v>2103</v>
      </c>
      <c r="AJ204" s="194" t="s">
        <v>1493</v>
      </c>
      <c r="AK204" s="132" t="s">
        <v>1360</v>
      </c>
      <c r="AL204" s="213">
        <v>1</v>
      </c>
      <c r="AM204" s="212"/>
      <c r="AN204" s="211">
        <v>90</v>
      </c>
      <c r="AO204" s="212"/>
      <c r="AP204" s="194" t="s">
        <v>55</v>
      </c>
      <c r="AQ204" s="193" t="s">
        <v>1403</v>
      </c>
      <c r="AR204" s="210"/>
      <c r="AS204" s="209" t="s">
        <v>1655</v>
      </c>
      <c r="AT204" s="175"/>
      <c r="AU204" s="65" t="s">
        <v>25</v>
      </c>
      <c r="AV204" s="163" t="s">
        <v>14</v>
      </c>
      <c r="AW204" s="65">
        <v>1135</v>
      </c>
      <c r="AX204" s="196">
        <v>44670.459432870368</v>
      </c>
    </row>
    <row r="205" spans="1:50">
      <c r="A205" s="124" t="s">
        <v>46</v>
      </c>
      <c r="B205" s="109" t="s">
        <v>1320</v>
      </c>
      <c r="C205" s="214" t="s">
        <v>335</v>
      </c>
      <c r="D205" s="163" t="s">
        <v>337</v>
      </c>
      <c r="E205" s="170">
        <v>32.405999999999999</v>
      </c>
      <c r="F205" s="171">
        <v>32.405999999999999</v>
      </c>
      <c r="G205" s="184">
        <v>32.405999999999999</v>
      </c>
      <c r="H205" s="181">
        <v>32.405999999999999</v>
      </c>
      <c r="I205" s="171">
        <v>32.405999999999999</v>
      </c>
      <c r="J205" s="184">
        <v>32.405999999999999</v>
      </c>
      <c r="K205" s="181">
        <v>32.405999999999999</v>
      </c>
      <c r="L205" s="171">
        <v>32.405999999999999</v>
      </c>
      <c r="M205" s="184">
        <v>32.405999999999999</v>
      </c>
      <c r="N205" s="181">
        <v>32.405999999999999</v>
      </c>
      <c r="O205" s="171">
        <v>32.405999999999999</v>
      </c>
      <c r="P205" s="207">
        <v>32.405999999999999</v>
      </c>
      <c r="Q205" s="204">
        <v>32.405999999999999</v>
      </c>
      <c r="R205" s="206">
        <v>32.405999999999999</v>
      </c>
      <c r="S205" s="207">
        <v>32.405999999999999</v>
      </c>
      <c r="T205" s="204">
        <v>32.405999999999999</v>
      </c>
      <c r="U205" s="206">
        <v>32.405999999999999</v>
      </c>
      <c r="V205" s="207">
        <v>32.405999999999999</v>
      </c>
      <c r="W205" s="204">
        <v>32.405999999999999</v>
      </c>
      <c r="X205" s="206">
        <v>32.405999999999999</v>
      </c>
      <c r="Y205" s="207">
        <v>32.405999999999999</v>
      </c>
      <c r="Z205" s="204">
        <v>32.405999999999999</v>
      </c>
      <c r="AA205" s="206">
        <v>32.405999999999999</v>
      </c>
      <c r="AB205" s="207">
        <v>32.405999999999999</v>
      </c>
      <c r="AC205" s="204">
        <v>32.405999999999999</v>
      </c>
      <c r="AD205" s="206">
        <v>32.405999999999999</v>
      </c>
      <c r="AE205" s="207">
        <v>32.405999999999999</v>
      </c>
      <c r="AF205" s="204">
        <v>32.405999999999999</v>
      </c>
      <c r="AG205" s="206">
        <v>32.405999999999999</v>
      </c>
      <c r="AH205" s="207">
        <v>32.405999999999999</v>
      </c>
      <c r="AI205" s="208" t="s">
        <v>336</v>
      </c>
      <c r="AJ205" s="194" t="s">
        <v>1429</v>
      </c>
      <c r="AK205" s="132" t="s">
        <v>1388</v>
      </c>
      <c r="AL205" s="213">
        <v>22</v>
      </c>
      <c r="AM205" s="212"/>
      <c r="AN205" s="211">
        <v>36.08</v>
      </c>
      <c r="AO205" s="212"/>
      <c r="AP205" s="194" t="s">
        <v>55</v>
      </c>
      <c r="AQ205" s="193" t="s">
        <v>1407</v>
      </c>
      <c r="AR205" s="210"/>
      <c r="AS205" s="209" t="s">
        <v>1744</v>
      </c>
      <c r="AT205" s="175"/>
      <c r="AU205" s="65" t="s">
        <v>25</v>
      </c>
      <c r="AV205" s="163" t="s">
        <v>1388</v>
      </c>
      <c r="AW205" s="65">
        <v>1641</v>
      </c>
      <c r="AX205" s="196">
        <v>44705.622511574074</v>
      </c>
    </row>
    <row r="206" spans="1:50">
      <c r="A206" s="124" t="s">
        <v>100</v>
      </c>
      <c r="B206" s="109" t="s">
        <v>1320</v>
      </c>
      <c r="C206" s="214" t="s">
        <v>365</v>
      </c>
      <c r="D206" s="163" t="s">
        <v>367</v>
      </c>
      <c r="E206" s="170">
        <v>312</v>
      </c>
      <c r="F206" s="171">
        <v>312</v>
      </c>
      <c r="G206" s="184">
        <v>312</v>
      </c>
      <c r="H206" s="181">
        <v>312</v>
      </c>
      <c r="I206" s="171">
        <v>312</v>
      </c>
      <c r="J206" s="184">
        <v>312</v>
      </c>
      <c r="K206" s="181">
        <v>312</v>
      </c>
      <c r="L206" s="171">
        <v>312</v>
      </c>
      <c r="M206" s="184">
        <v>312</v>
      </c>
      <c r="N206" s="181">
        <v>312</v>
      </c>
      <c r="O206" s="171">
        <v>312</v>
      </c>
      <c r="P206" s="207">
        <v>312</v>
      </c>
      <c r="Q206" s="204">
        <v>312</v>
      </c>
      <c r="R206" s="206">
        <v>312</v>
      </c>
      <c r="S206" s="207">
        <v>312</v>
      </c>
      <c r="T206" s="204">
        <v>312</v>
      </c>
      <c r="U206" s="206">
        <v>312</v>
      </c>
      <c r="V206" s="207">
        <v>312</v>
      </c>
      <c r="W206" s="204">
        <v>312</v>
      </c>
      <c r="X206" s="206">
        <v>312</v>
      </c>
      <c r="Y206" s="207">
        <v>312</v>
      </c>
      <c r="Z206" s="204">
        <v>312</v>
      </c>
      <c r="AA206" s="206">
        <v>312</v>
      </c>
      <c r="AB206" s="207">
        <v>312</v>
      </c>
      <c r="AC206" s="204">
        <v>312</v>
      </c>
      <c r="AD206" s="206">
        <v>312</v>
      </c>
      <c r="AE206" s="207">
        <v>312</v>
      </c>
      <c r="AF206" s="204">
        <v>312</v>
      </c>
      <c r="AG206" s="206">
        <v>312</v>
      </c>
      <c r="AH206" s="207">
        <v>312</v>
      </c>
      <c r="AI206" s="208" t="s">
        <v>366</v>
      </c>
      <c r="AJ206" s="194" t="s">
        <v>1419</v>
      </c>
      <c r="AK206" s="132" t="s">
        <v>17</v>
      </c>
      <c r="AL206" s="213">
        <v>104</v>
      </c>
      <c r="AM206" s="212"/>
      <c r="AN206" s="211">
        <v>312</v>
      </c>
      <c r="AO206" s="212"/>
      <c r="AP206" s="194" t="s">
        <v>55</v>
      </c>
      <c r="AQ206" s="193" t="s">
        <v>1407</v>
      </c>
      <c r="AR206" s="210"/>
      <c r="AS206" s="209" t="s">
        <v>1558</v>
      </c>
      <c r="AT206" s="175"/>
      <c r="AU206" s="177" t="s">
        <v>25</v>
      </c>
      <c r="AV206" s="163" t="s">
        <v>17</v>
      </c>
      <c r="AW206" s="65">
        <v>1425</v>
      </c>
      <c r="AX206" s="196">
        <v>44746.420891203707</v>
      </c>
    </row>
    <row r="207" spans="1:50">
      <c r="A207" s="124" t="s">
        <v>46</v>
      </c>
      <c r="B207" s="109" t="s">
        <v>1320</v>
      </c>
      <c r="C207" s="214" t="s">
        <v>922</v>
      </c>
      <c r="D207" s="163" t="s">
        <v>2821</v>
      </c>
      <c r="E207" s="170">
        <v>56</v>
      </c>
      <c r="F207" s="171">
        <v>56</v>
      </c>
      <c r="G207" s="184">
        <v>56</v>
      </c>
      <c r="H207" s="181">
        <v>56</v>
      </c>
      <c r="I207" s="171">
        <v>56</v>
      </c>
      <c r="J207" s="184">
        <v>56</v>
      </c>
      <c r="K207" s="181">
        <v>56</v>
      </c>
      <c r="L207" s="171">
        <v>56</v>
      </c>
      <c r="M207" s="184">
        <v>56</v>
      </c>
      <c r="N207" s="181">
        <v>56</v>
      </c>
      <c r="O207" s="171">
        <v>56</v>
      </c>
      <c r="P207" s="207">
        <v>56</v>
      </c>
      <c r="Q207" s="204">
        <v>56</v>
      </c>
      <c r="R207" s="206">
        <v>56</v>
      </c>
      <c r="S207" s="207">
        <v>56</v>
      </c>
      <c r="T207" s="204">
        <v>56</v>
      </c>
      <c r="U207" s="206">
        <v>56</v>
      </c>
      <c r="V207" s="207">
        <v>56</v>
      </c>
      <c r="W207" s="204">
        <v>56</v>
      </c>
      <c r="X207" s="206">
        <v>56</v>
      </c>
      <c r="Y207" s="207">
        <v>56</v>
      </c>
      <c r="Z207" s="204">
        <v>56</v>
      </c>
      <c r="AA207" s="206">
        <v>56</v>
      </c>
      <c r="AB207" s="207">
        <v>56</v>
      </c>
      <c r="AC207" s="204">
        <v>56</v>
      </c>
      <c r="AD207" s="206">
        <v>56</v>
      </c>
      <c r="AE207" s="207">
        <v>56</v>
      </c>
      <c r="AF207" s="204">
        <v>56</v>
      </c>
      <c r="AG207" s="206">
        <v>56</v>
      </c>
      <c r="AH207" s="207">
        <v>56</v>
      </c>
      <c r="AI207" s="208" t="s">
        <v>2820</v>
      </c>
      <c r="AJ207" s="194" t="s">
        <v>1429</v>
      </c>
      <c r="AK207" s="132" t="s">
        <v>1388</v>
      </c>
      <c r="AL207" s="213">
        <v>56</v>
      </c>
      <c r="AM207" s="212"/>
      <c r="AN207" s="211">
        <v>56</v>
      </c>
      <c r="AO207" s="212"/>
      <c r="AP207" s="194" t="s">
        <v>55</v>
      </c>
      <c r="AQ207" s="193" t="s">
        <v>1407</v>
      </c>
      <c r="AR207" s="210"/>
      <c r="AS207" s="209" t="s">
        <v>1681</v>
      </c>
      <c r="AT207" s="175"/>
      <c r="AU207" s="65" t="s">
        <v>25</v>
      </c>
      <c r="AV207" s="163" t="s">
        <v>1388</v>
      </c>
      <c r="AW207" s="65">
        <v>1318</v>
      </c>
      <c r="AX207" s="196">
        <v>44678.430856481478</v>
      </c>
    </row>
    <row r="208" spans="1:50">
      <c r="A208" s="124" t="s">
        <v>80</v>
      </c>
      <c r="B208" s="109" t="s">
        <v>1320</v>
      </c>
      <c r="C208" s="214" t="s">
        <v>352</v>
      </c>
      <c r="D208" s="163" t="s">
        <v>353</v>
      </c>
      <c r="E208" s="170">
        <v>6.1280000000000001</v>
      </c>
      <c r="F208" s="171">
        <v>5.8819999999999997</v>
      </c>
      <c r="G208" s="184">
        <v>5.76</v>
      </c>
      <c r="H208" s="181">
        <v>6.1280000000000001</v>
      </c>
      <c r="I208" s="171">
        <v>5.8819999999999997</v>
      </c>
      <c r="J208" s="184">
        <v>5.76</v>
      </c>
      <c r="K208" s="181">
        <v>6.1280000000000001</v>
      </c>
      <c r="L208" s="171">
        <v>5.8819999999999997</v>
      </c>
      <c r="M208" s="184">
        <v>5.76</v>
      </c>
      <c r="N208" s="181">
        <v>6.1280000000000001</v>
      </c>
      <c r="O208" s="171">
        <v>5.8819999999999997</v>
      </c>
      <c r="P208" s="207">
        <v>5.76</v>
      </c>
      <c r="Q208" s="204">
        <v>6.1280000000000001</v>
      </c>
      <c r="R208" s="206">
        <v>5.8819999999999997</v>
      </c>
      <c r="S208" s="207">
        <v>5.76</v>
      </c>
      <c r="T208" s="204">
        <v>6.1280000000000001</v>
      </c>
      <c r="U208" s="206">
        <v>5.8819999999999997</v>
      </c>
      <c r="V208" s="207">
        <v>5.76</v>
      </c>
      <c r="W208" s="204">
        <v>6.1280000000000001</v>
      </c>
      <c r="X208" s="206">
        <v>5.8819999999999997</v>
      </c>
      <c r="Y208" s="207">
        <v>5.76</v>
      </c>
      <c r="Z208" s="204">
        <v>6.1280000000000001</v>
      </c>
      <c r="AA208" s="206">
        <v>5.8819999999999997</v>
      </c>
      <c r="AB208" s="207">
        <v>5.76</v>
      </c>
      <c r="AC208" s="204">
        <v>6.1280000000000001</v>
      </c>
      <c r="AD208" s="206">
        <v>5.8819999999999997</v>
      </c>
      <c r="AE208" s="207">
        <v>5.76</v>
      </c>
      <c r="AF208" s="204">
        <v>6.1280000000000001</v>
      </c>
      <c r="AG208" s="206">
        <v>5.8819999999999997</v>
      </c>
      <c r="AH208" s="207">
        <v>5.76</v>
      </c>
      <c r="AI208" s="208" t="s">
        <v>82</v>
      </c>
      <c r="AJ208" s="194" t="s">
        <v>1429</v>
      </c>
      <c r="AK208" s="132" t="s">
        <v>1388</v>
      </c>
      <c r="AL208" s="213">
        <v>2</v>
      </c>
      <c r="AM208" s="212"/>
      <c r="AN208" s="211">
        <v>6.12</v>
      </c>
      <c r="AO208" s="212"/>
      <c r="AP208" s="194" t="s">
        <v>27</v>
      </c>
      <c r="AQ208" s="193" t="s">
        <v>1407</v>
      </c>
      <c r="AR208" s="210" t="s">
        <v>1628</v>
      </c>
      <c r="AS208" s="209" t="s">
        <v>2465</v>
      </c>
      <c r="AT208" s="175"/>
      <c r="AU208" s="65" t="s">
        <v>25</v>
      </c>
      <c r="AV208" s="163" t="s">
        <v>1388</v>
      </c>
      <c r="AW208" s="65">
        <v>1849</v>
      </c>
      <c r="AX208" s="196">
        <v>44671.338425925926</v>
      </c>
    </row>
    <row r="209" spans="1:50">
      <c r="A209" s="124" t="s">
        <v>80</v>
      </c>
      <c r="B209" s="109" t="s">
        <v>1320</v>
      </c>
      <c r="C209" s="214" t="s">
        <v>354</v>
      </c>
      <c r="D209" s="163" t="s">
        <v>355</v>
      </c>
      <c r="E209" s="170">
        <v>5.86</v>
      </c>
      <c r="F209" s="171">
        <v>5.6260000000000003</v>
      </c>
      <c r="G209" s="184">
        <v>5.508</v>
      </c>
      <c r="H209" s="181">
        <v>5.86</v>
      </c>
      <c r="I209" s="171">
        <v>5.6260000000000003</v>
      </c>
      <c r="J209" s="184">
        <v>5.508</v>
      </c>
      <c r="K209" s="181">
        <v>5.86</v>
      </c>
      <c r="L209" s="171">
        <v>5.6260000000000003</v>
      </c>
      <c r="M209" s="184">
        <v>5.508</v>
      </c>
      <c r="N209" s="181">
        <v>5.86</v>
      </c>
      <c r="O209" s="171">
        <v>5.6260000000000003</v>
      </c>
      <c r="P209" s="207">
        <v>5.508</v>
      </c>
      <c r="Q209" s="204">
        <v>5.86</v>
      </c>
      <c r="R209" s="206">
        <v>5.6260000000000003</v>
      </c>
      <c r="S209" s="207">
        <v>5.508</v>
      </c>
      <c r="T209" s="204">
        <v>5.86</v>
      </c>
      <c r="U209" s="206">
        <v>5.6260000000000003</v>
      </c>
      <c r="V209" s="207">
        <v>5.508</v>
      </c>
      <c r="W209" s="204">
        <v>5.86</v>
      </c>
      <c r="X209" s="206">
        <v>5.6260000000000003</v>
      </c>
      <c r="Y209" s="207">
        <v>5.508</v>
      </c>
      <c r="Z209" s="204">
        <v>5.86</v>
      </c>
      <c r="AA209" s="206">
        <v>5.6260000000000003</v>
      </c>
      <c r="AB209" s="207">
        <v>5.508</v>
      </c>
      <c r="AC209" s="204">
        <v>5.86</v>
      </c>
      <c r="AD209" s="206">
        <v>5.6260000000000003</v>
      </c>
      <c r="AE209" s="207">
        <v>5.508</v>
      </c>
      <c r="AF209" s="204">
        <v>5.86</v>
      </c>
      <c r="AG209" s="206">
        <v>5.6260000000000003</v>
      </c>
      <c r="AH209" s="207">
        <v>5.508</v>
      </c>
      <c r="AI209" s="208" t="s">
        <v>82</v>
      </c>
      <c r="AJ209" s="194" t="s">
        <v>1429</v>
      </c>
      <c r="AK209" s="132" t="s">
        <v>1388</v>
      </c>
      <c r="AL209" s="213">
        <v>2</v>
      </c>
      <c r="AM209" s="212"/>
      <c r="AN209" s="211">
        <v>5.88</v>
      </c>
      <c r="AO209" s="212"/>
      <c r="AP209" s="194" t="s">
        <v>27</v>
      </c>
      <c r="AQ209" s="193" t="s">
        <v>1407</v>
      </c>
      <c r="AR209" s="210" t="s">
        <v>1453</v>
      </c>
      <c r="AS209" s="209" t="s">
        <v>1405</v>
      </c>
      <c r="AT209" s="175"/>
      <c r="AU209" s="65" t="s">
        <v>25</v>
      </c>
      <c r="AV209" s="163" t="s">
        <v>1388</v>
      </c>
      <c r="AW209" s="65">
        <v>1850</v>
      </c>
      <c r="AX209" s="196">
        <v>44671.335069444445</v>
      </c>
    </row>
    <row r="210" spans="1:50">
      <c r="A210" s="124" t="s">
        <v>80</v>
      </c>
      <c r="B210" s="109" t="s">
        <v>1320</v>
      </c>
      <c r="C210" s="214" t="s">
        <v>379</v>
      </c>
      <c r="D210" s="163" t="s">
        <v>380</v>
      </c>
      <c r="E210" s="170">
        <v>7.3709999999999996</v>
      </c>
      <c r="F210" s="171">
        <v>7.077</v>
      </c>
      <c r="G210" s="184">
        <v>6.93</v>
      </c>
      <c r="H210" s="181">
        <v>7.3709999999999996</v>
      </c>
      <c r="I210" s="171">
        <v>7.077</v>
      </c>
      <c r="J210" s="184">
        <v>6.93</v>
      </c>
      <c r="K210" s="181">
        <v>7.3709999999999996</v>
      </c>
      <c r="L210" s="171">
        <v>7.077</v>
      </c>
      <c r="M210" s="184">
        <v>6.93</v>
      </c>
      <c r="N210" s="181">
        <v>7.3709999999999996</v>
      </c>
      <c r="O210" s="171">
        <v>7.077</v>
      </c>
      <c r="P210" s="207">
        <v>6.93</v>
      </c>
      <c r="Q210" s="204">
        <v>7.3709999999999996</v>
      </c>
      <c r="R210" s="206">
        <v>7.077</v>
      </c>
      <c r="S210" s="207">
        <v>6.93</v>
      </c>
      <c r="T210" s="204">
        <v>7.3709999999999996</v>
      </c>
      <c r="U210" s="206">
        <v>7.077</v>
      </c>
      <c r="V210" s="207">
        <v>6.93</v>
      </c>
      <c r="W210" s="204">
        <v>7.3709999999999996</v>
      </c>
      <c r="X210" s="206">
        <v>7.077</v>
      </c>
      <c r="Y210" s="207">
        <v>6.93</v>
      </c>
      <c r="Z210" s="204">
        <v>7.3709999999999996</v>
      </c>
      <c r="AA210" s="206">
        <v>7.077</v>
      </c>
      <c r="AB210" s="207">
        <v>6.93</v>
      </c>
      <c r="AC210" s="204">
        <v>7.3709999999999996</v>
      </c>
      <c r="AD210" s="206">
        <v>7.077</v>
      </c>
      <c r="AE210" s="207">
        <v>6.93</v>
      </c>
      <c r="AF210" s="204">
        <v>7.3709999999999996</v>
      </c>
      <c r="AG210" s="206">
        <v>7.077</v>
      </c>
      <c r="AH210" s="207">
        <v>6.93</v>
      </c>
      <c r="AI210" s="208" t="s">
        <v>82</v>
      </c>
      <c r="AJ210" s="194" t="s">
        <v>1429</v>
      </c>
      <c r="AK210" s="132" t="s">
        <v>1388</v>
      </c>
      <c r="AL210" s="213">
        <v>3</v>
      </c>
      <c r="AM210" s="212"/>
      <c r="AN210" s="211">
        <v>7.38</v>
      </c>
      <c r="AO210" s="212"/>
      <c r="AP210" s="194" t="s">
        <v>27</v>
      </c>
      <c r="AQ210" s="193" t="s">
        <v>1407</v>
      </c>
      <c r="AR210" s="210" t="s">
        <v>1453</v>
      </c>
      <c r="AS210" s="209" t="s">
        <v>1534</v>
      </c>
      <c r="AT210" s="175"/>
      <c r="AU210" s="65" t="s">
        <v>25</v>
      </c>
      <c r="AV210" s="163" t="s">
        <v>1388</v>
      </c>
      <c r="AW210" s="65">
        <v>1851</v>
      </c>
      <c r="AX210" s="196">
        <v>44671.332372685189</v>
      </c>
    </row>
    <row r="211" spans="1:50">
      <c r="A211" s="124" t="s">
        <v>80</v>
      </c>
      <c r="B211" s="109" t="s">
        <v>1320</v>
      </c>
      <c r="C211" s="214" t="s">
        <v>356</v>
      </c>
      <c r="D211" s="163" t="s">
        <v>357</v>
      </c>
      <c r="E211" s="170">
        <v>5.86</v>
      </c>
      <c r="F211" s="171">
        <v>5.6260000000000003</v>
      </c>
      <c r="G211" s="184">
        <v>5.508</v>
      </c>
      <c r="H211" s="181">
        <v>5.86</v>
      </c>
      <c r="I211" s="171">
        <v>5.6260000000000003</v>
      </c>
      <c r="J211" s="184">
        <v>5.508</v>
      </c>
      <c r="K211" s="181">
        <v>5.86</v>
      </c>
      <c r="L211" s="171">
        <v>5.6260000000000003</v>
      </c>
      <c r="M211" s="184">
        <v>5.508</v>
      </c>
      <c r="N211" s="181">
        <v>5.86</v>
      </c>
      <c r="O211" s="171">
        <v>5.6260000000000003</v>
      </c>
      <c r="P211" s="207">
        <v>5.508</v>
      </c>
      <c r="Q211" s="204">
        <v>5.86</v>
      </c>
      <c r="R211" s="206">
        <v>5.6260000000000003</v>
      </c>
      <c r="S211" s="207">
        <v>5.508</v>
      </c>
      <c r="T211" s="204">
        <v>5.86</v>
      </c>
      <c r="U211" s="206">
        <v>5.6260000000000003</v>
      </c>
      <c r="V211" s="207">
        <v>5.508</v>
      </c>
      <c r="W211" s="204">
        <v>5.86</v>
      </c>
      <c r="X211" s="206">
        <v>5.6260000000000003</v>
      </c>
      <c r="Y211" s="207">
        <v>5.508</v>
      </c>
      <c r="Z211" s="204">
        <v>5.86</v>
      </c>
      <c r="AA211" s="206">
        <v>5.6260000000000003</v>
      </c>
      <c r="AB211" s="207">
        <v>5.508</v>
      </c>
      <c r="AC211" s="204">
        <v>5.86</v>
      </c>
      <c r="AD211" s="206">
        <v>5.6260000000000003</v>
      </c>
      <c r="AE211" s="207">
        <v>5.508</v>
      </c>
      <c r="AF211" s="204">
        <v>5.86</v>
      </c>
      <c r="AG211" s="206">
        <v>5.6260000000000003</v>
      </c>
      <c r="AH211" s="207">
        <v>5.508</v>
      </c>
      <c r="AI211" s="208" t="s">
        <v>82</v>
      </c>
      <c r="AJ211" s="194" t="s">
        <v>1429</v>
      </c>
      <c r="AK211" s="132" t="s">
        <v>1388</v>
      </c>
      <c r="AL211" s="213">
        <v>2</v>
      </c>
      <c r="AM211" s="212"/>
      <c r="AN211" s="211">
        <v>5.88</v>
      </c>
      <c r="AO211" s="212"/>
      <c r="AP211" s="194" t="s">
        <v>27</v>
      </c>
      <c r="AQ211" s="193" t="s">
        <v>1407</v>
      </c>
      <c r="AR211" s="210" t="s">
        <v>1628</v>
      </c>
      <c r="AS211" s="209" t="s">
        <v>1405</v>
      </c>
      <c r="AT211" s="175"/>
      <c r="AU211" s="65" t="s">
        <v>25</v>
      </c>
      <c r="AV211" s="163" t="s">
        <v>1388</v>
      </c>
      <c r="AW211" s="65">
        <v>1852</v>
      </c>
      <c r="AX211" s="196">
        <v>44671.330578703702</v>
      </c>
    </row>
    <row r="212" spans="1:50">
      <c r="A212" s="124" t="s">
        <v>100</v>
      </c>
      <c r="B212" s="109" t="s">
        <v>1320</v>
      </c>
      <c r="C212" s="214" t="s">
        <v>464</v>
      </c>
      <c r="D212" s="163" t="s">
        <v>2829</v>
      </c>
      <c r="E212" s="170">
        <v>292</v>
      </c>
      <c r="F212" s="171">
        <v>266</v>
      </c>
      <c r="G212" s="184">
        <v>257</v>
      </c>
      <c r="H212" s="181">
        <v>292</v>
      </c>
      <c r="I212" s="171">
        <v>266</v>
      </c>
      <c r="J212" s="184">
        <v>257</v>
      </c>
      <c r="K212" s="181">
        <v>292</v>
      </c>
      <c r="L212" s="171">
        <v>266</v>
      </c>
      <c r="M212" s="184">
        <v>257</v>
      </c>
      <c r="N212" s="181">
        <v>292</v>
      </c>
      <c r="O212" s="171">
        <v>266</v>
      </c>
      <c r="P212" s="207">
        <v>257</v>
      </c>
      <c r="Q212" s="204">
        <v>292</v>
      </c>
      <c r="R212" s="206">
        <v>266</v>
      </c>
      <c r="S212" s="207">
        <v>257</v>
      </c>
      <c r="T212" s="204">
        <v>292</v>
      </c>
      <c r="U212" s="206">
        <v>266</v>
      </c>
      <c r="V212" s="207">
        <v>257</v>
      </c>
      <c r="W212" s="204">
        <v>292</v>
      </c>
      <c r="X212" s="206">
        <v>266</v>
      </c>
      <c r="Y212" s="207">
        <v>257</v>
      </c>
      <c r="Z212" s="204">
        <v>292</v>
      </c>
      <c r="AA212" s="206">
        <v>266</v>
      </c>
      <c r="AB212" s="207">
        <v>257</v>
      </c>
      <c r="AC212" s="204">
        <v>292</v>
      </c>
      <c r="AD212" s="206">
        <v>266</v>
      </c>
      <c r="AE212" s="207">
        <v>257</v>
      </c>
      <c r="AF212" s="204">
        <v>292</v>
      </c>
      <c r="AG212" s="206">
        <v>266</v>
      </c>
      <c r="AH212" s="207">
        <v>257</v>
      </c>
      <c r="AI212" s="208" t="s">
        <v>465</v>
      </c>
      <c r="AJ212" s="194" t="s">
        <v>1493</v>
      </c>
      <c r="AK212" s="132" t="s">
        <v>1360</v>
      </c>
      <c r="AL212" s="213">
        <v>1</v>
      </c>
      <c r="AM212" s="212"/>
      <c r="AN212" s="211">
        <v>292</v>
      </c>
      <c r="AO212" s="212"/>
      <c r="AP212" s="194" t="s">
        <v>55</v>
      </c>
      <c r="AQ212" s="193" t="s">
        <v>1403</v>
      </c>
      <c r="AR212" s="210"/>
      <c r="AS212" s="209" t="s">
        <v>1457</v>
      </c>
      <c r="AT212" s="175"/>
      <c r="AU212" s="65" t="s">
        <v>25</v>
      </c>
      <c r="AV212" s="163" t="s">
        <v>14</v>
      </c>
      <c r="AW212" s="65">
        <v>1139</v>
      </c>
      <c r="AX212" s="196">
        <v>44670.462962962964</v>
      </c>
    </row>
    <row r="213" spans="1:50">
      <c r="A213" s="124" t="s">
        <v>100</v>
      </c>
      <c r="B213" s="109" t="s">
        <v>1320</v>
      </c>
      <c r="C213" s="214" t="s">
        <v>464</v>
      </c>
      <c r="D213" s="163" t="s">
        <v>505</v>
      </c>
      <c r="E213" s="170">
        <v>292</v>
      </c>
      <c r="F213" s="171">
        <v>266</v>
      </c>
      <c r="G213" s="184">
        <v>257</v>
      </c>
      <c r="H213" s="181">
        <v>292</v>
      </c>
      <c r="I213" s="171">
        <v>266</v>
      </c>
      <c r="J213" s="184">
        <v>257</v>
      </c>
      <c r="K213" s="181">
        <v>292</v>
      </c>
      <c r="L213" s="171">
        <v>266</v>
      </c>
      <c r="M213" s="184">
        <v>257</v>
      </c>
      <c r="N213" s="181">
        <v>292</v>
      </c>
      <c r="O213" s="171">
        <v>266</v>
      </c>
      <c r="P213" s="207">
        <v>257</v>
      </c>
      <c r="Q213" s="204">
        <v>292</v>
      </c>
      <c r="R213" s="206">
        <v>266</v>
      </c>
      <c r="S213" s="207">
        <v>257</v>
      </c>
      <c r="T213" s="204">
        <v>292</v>
      </c>
      <c r="U213" s="206">
        <v>266</v>
      </c>
      <c r="V213" s="207">
        <v>257</v>
      </c>
      <c r="W213" s="204">
        <v>292</v>
      </c>
      <c r="X213" s="206">
        <v>266</v>
      </c>
      <c r="Y213" s="207">
        <v>257</v>
      </c>
      <c r="Z213" s="204">
        <v>292</v>
      </c>
      <c r="AA213" s="206">
        <v>266</v>
      </c>
      <c r="AB213" s="207">
        <v>257</v>
      </c>
      <c r="AC213" s="204">
        <v>292</v>
      </c>
      <c r="AD213" s="206">
        <v>266</v>
      </c>
      <c r="AE213" s="207">
        <v>257</v>
      </c>
      <c r="AF213" s="204">
        <v>292</v>
      </c>
      <c r="AG213" s="206">
        <v>266</v>
      </c>
      <c r="AH213" s="207">
        <v>257</v>
      </c>
      <c r="AI213" s="208" t="s">
        <v>465</v>
      </c>
      <c r="AJ213" s="194" t="s">
        <v>1493</v>
      </c>
      <c r="AK213" s="132" t="s">
        <v>1360</v>
      </c>
      <c r="AL213" s="213">
        <v>1</v>
      </c>
      <c r="AM213" s="212"/>
      <c r="AN213" s="211">
        <v>292</v>
      </c>
      <c r="AO213" s="212"/>
      <c r="AP213" s="194" t="s">
        <v>55</v>
      </c>
      <c r="AQ213" s="193" t="s">
        <v>1403</v>
      </c>
      <c r="AR213" s="210"/>
      <c r="AS213" s="209" t="s">
        <v>1457</v>
      </c>
      <c r="AT213" s="175"/>
      <c r="AU213" s="65" t="s">
        <v>25</v>
      </c>
      <c r="AV213" s="163" t="s">
        <v>14</v>
      </c>
      <c r="AW213" s="65">
        <v>1139</v>
      </c>
      <c r="AX213" s="196">
        <v>44670.462962962964</v>
      </c>
    </row>
    <row r="214" spans="1:50">
      <c r="A214" s="124" t="s">
        <v>62</v>
      </c>
      <c r="B214" s="109" t="s">
        <v>1320</v>
      </c>
      <c r="C214" s="214" t="s">
        <v>596</v>
      </c>
      <c r="D214" s="163" t="s">
        <v>2848</v>
      </c>
      <c r="E214" s="170">
        <v>180.465</v>
      </c>
      <c r="F214" s="171">
        <v>180.465</v>
      </c>
      <c r="G214" s="184">
        <v>166.95</v>
      </c>
      <c r="H214" s="181">
        <v>180.465</v>
      </c>
      <c r="I214" s="171">
        <v>180.465</v>
      </c>
      <c r="J214" s="184">
        <v>166.95</v>
      </c>
      <c r="K214" s="181">
        <v>180.465</v>
      </c>
      <c r="L214" s="171">
        <v>180.465</v>
      </c>
      <c r="M214" s="184">
        <v>166.95</v>
      </c>
      <c r="N214" s="181">
        <v>180.465</v>
      </c>
      <c r="O214" s="171">
        <v>180.465</v>
      </c>
      <c r="P214" s="207">
        <v>166.95</v>
      </c>
      <c r="Q214" s="204">
        <v>180.465</v>
      </c>
      <c r="R214" s="206">
        <v>180.465</v>
      </c>
      <c r="S214" s="207">
        <v>166.95</v>
      </c>
      <c r="T214" s="204">
        <v>180.465</v>
      </c>
      <c r="U214" s="206">
        <v>180.465</v>
      </c>
      <c r="V214" s="207">
        <v>166.95</v>
      </c>
      <c r="W214" s="204">
        <v>180.465</v>
      </c>
      <c r="X214" s="206">
        <v>180.465</v>
      </c>
      <c r="Y214" s="207">
        <v>166.95</v>
      </c>
      <c r="Z214" s="204">
        <v>180.465</v>
      </c>
      <c r="AA214" s="206">
        <v>180.465</v>
      </c>
      <c r="AB214" s="207">
        <v>166.95</v>
      </c>
      <c r="AC214" s="204">
        <v>180.465</v>
      </c>
      <c r="AD214" s="206">
        <v>180.465</v>
      </c>
      <c r="AE214" s="207">
        <v>166.95</v>
      </c>
      <c r="AF214" s="204">
        <v>180.465</v>
      </c>
      <c r="AG214" s="206">
        <v>180.465</v>
      </c>
      <c r="AH214" s="207">
        <v>166.95</v>
      </c>
      <c r="AI214" s="208" t="s">
        <v>102</v>
      </c>
      <c r="AJ214" s="194" t="s">
        <v>1419</v>
      </c>
      <c r="AK214" s="132" t="s">
        <v>17</v>
      </c>
      <c r="AL214" s="213">
        <v>53</v>
      </c>
      <c r="AM214" s="212"/>
      <c r="AN214" s="211">
        <v>180.518</v>
      </c>
      <c r="AO214" s="212"/>
      <c r="AP214" s="194" t="s">
        <v>55</v>
      </c>
      <c r="AQ214" s="193" t="s">
        <v>1407</v>
      </c>
      <c r="AR214" s="210"/>
      <c r="AS214" s="209" t="s">
        <v>1769</v>
      </c>
      <c r="AT214" s="175"/>
      <c r="AU214" s="65" t="s">
        <v>25</v>
      </c>
      <c r="AV214" s="163" t="s">
        <v>17</v>
      </c>
      <c r="AW214" s="65">
        <v>1258</v>
      </c>
      <c r="AX214" s="196">
        <v>44671.351909722223</v>
      </c>
    </row>
    <row r="215" spans="1:50">
      <c r="A215" s="124" t="s">
        <v>62</v>
      </c>
      <c r="B215" s="109" t="s">
        <v>1385</v>
      </c>
      <c r="C215" s="214" t="s">
        <v>245</v>
      </c>
      <c r="D215" s="163" t="s">
        <v>208</v>
      </c>
      <c r="E215" s="170">
        <v>0</v>
      </c>
      <c r="F215" s="171">
        <v>36</v>
      </c>
      <c r="G215" s="184">
        <v>36</v>
      </c>
      <c r="H215" s="181">
        <v>81.72</v>
      </c>
      <c r="I215" s="171">
        <v>81.72</v>
      </c>
      <c r="J215" s="184">
        <v>81.72</v>
      </c>
      <c r="K215" s="181">
        <v>81.72</v>
      </c>
      <c r="L215" s="171">
        <v>81.72</v>
      </c>
      <c r="M215" s="184">
        <v>81.72</v>
      </c>
      <c r="N215" s="181">
        <v>81.72</v>
      </c>
      <c r="O215" s="171">
        <v>81.72</v>
      </c>
      <c r="P215" s="207">
        <v>81.72</v>
      </c>
      <c r="Q215" s="204">
        <v>81.72</v>
      </c>
      <c r="R215" s="206">
        <v>81.72</v>
      </c>
      <c r="S215" s="207">
        <v>81.72</v>
      </c>
      <c r="T215" s="204">
        <v>81.72</v>
      </c>
      <c r="U215" s="206">
        <v>81.72</v>
      </c>
      <c r="V215" s="207">
        <v>81.72</v>
      </c>
      <c r="W215" s="204">
        <v>81.72</v>
      </c>
      <c r="X215" s="206">
        <v>81.72</v>
      </c>
      <c r="Y215" s="207">
        <v>81.72</v>
      </c>
      <c r="Z215" s="204">
        <v>81.72</v>
      </c>
      <c r="AA215" s="206">
        <v>81.72</v>
      </c>
      <c r="AB215" s="207">
        <v>81.72</v>
      </c>
      <c r="AC215" s="204">
        <v>81.72</v>
      </c>
      <c r="AD215" s="206">
        <v>81.72</v>
      </c>
      <c r="AE215" s="207">
        <v>81.72</v>
      </c>
      <c r="AF215" s="204">
        <v>81.72</v>
      </c>
      <c r="AG215" s="206">
        <v>81.72</v>
      </c>
      <c r="AH215" s="207">
        <v>81.72</v>
      </c>
      <c r="AI215" s="208" t="s">
        <v>246</v>
      </c>
      <c r="AJ215" s="194" t="s">
        <v>1429</v>
      </c>
      <c r="AK215" s="132" t="s">
        <v>1388</v>
      </c>
      <c r="AL215" s="213">
        <v>36</v>
      </c>
      <c r="AM215" s="212"/>
      <c r="AN215" s="211">
        <v>99</v>
      </c>
      <c r="AO215" s="212"/>
      <c r="AP215" s="194" t="s">
        <v>27</v>
      </c>
      <c r="AQ215" s="193" t="s">
        <v>1407</v>
      </c>
      <c r="AR215" s="210" t="s">
        <v>1975</v>
      </c>
      <c r="AS215" s="209" t="s">
        <v>1542</v>
      </c>
      <c r="AT215" s="175"/>
      <c r="AU215" s="65" t="s">
        <v>27</v>
      </c>
      <c r="AV215" s="163" t="s">
        <v>1388</v>
      </c>
      <c r="AW215" s="65">
        <v>1880</v>
      </c>
      <c r="AX215" s="196">
        <v>44700.343275462961</v>
      </c>
    </row>
    <row r="216" spans="1:50">
      <c r="A216" s="124" t="s">
        <v>100</v>
      </c>
      <c r="B216" s="109" t="s">
        <v>1320</v>
      </c>
      <c r="C216" s="214" t="s">
        <v>507</v>
      </c>
      <c r="D216" s="163" t="s">
        <v>509</v>
      </c>
      <c r="E216" s="170">
        <v>99.88</v>
      </c>
      <c r="F216" s="171">
        <v>99.88</v>
      </c>
      <c r="G216" s="184">
        <v>0</v>
      </c>
      <c r="H216" s="181">
        <v>99.88</v>
      </c>
      <c r="I216" s="171">
        <v>99.88</v>
      </c>
      <c r="J216" s="184">
        <v>0</v>
      </c>
      <c r="K216" s="181">
        <v>99.88</v>
      </c>
      <c r="L216" s="171">
        <v>99.88</v>
      </c>
      <c r="M216" s="184">
        <v>0</v>
      </c>
      <c r="N216" s="181">
        <v>132</v>
      </c>
      <c r="O216" s="171">
        <v>132</v>
      </c>
      <c r="P216" s="207">
        <v>0</v>
      </c>
      <c r="Q216" s="204">
        <v>132</v>
      </c>
      <c r="R216" s="206">
        <v>132</v>
      </c>
      <c r="S216" s="207">
        <v>0</v>
      </c>
      <c r="T216" s="204">
        <v>132</v>
      </c>
      <c r="U216" s="206">
        <v>132</v>
      </c>
      <c r="V216" s="207">
        <v>0</v>
      </c>
      <c r="W216" s="204">
        <v>132</v>
      </c>
      <c r="X216" s="206">
        <v>132</v>
      </c>
      <c r="Y216" s="207">
        <v>0</v>
      </c>
      <c r="Z216" s="204">
        <v>132</v>
      </c>
      <c r="AA216" s="206">
        <v>132</v>
      </c>
      <c r="AB216" s="207">
        <v>0</v>
      </c>
      <c r="AC216" s="204">
        <v>132</v>
      </c>
      <c r="AD216" s="206">
        <v>132</v>
      </c>
      <c r="AE216" s="207">
        <v>0</v>
      </c>
      <c r="AF216" s="204">
        <v>132</v>
      </c>
      <c r="AG216" s="206">
        <v>132</v>
      </c>
      <c r="AH216" s="207">
        <v>0</v>
      </c>
      <c r="AI216" s="208" t="s">
        <v>508</v>
      </c>
      <c r="AJ216" s="194" t="s">
        <v>1419</v>
      </c>
      <c r="AK216" s="132" t="s">
        <v>17</v>
      </c>
      <c r="AL216" s="213">
        <v>44</v>
      </c>
      <c r="AM216" s="212"/>
      <c r="AN216" s="211">
        <v>138.6</v>
      </c>
      <c r="AO216" s="212"/>
      <c r="AP216" s="194" t="s">
        <v>55</v>
      </c>
      <c r="AQ216" s="193" t="s">
        <v>1407</v>
      </c>
      <c r="AR216" s="210"/>
      <c r="AS216" s="209" t="s">
        <v>1769</v>
      </c>
      <c r="AT216" s="175"/>
      <c r="AU216" s="65" t="s">
        <v>25</v>
      </c>
      <c r="AV216" s="163" t="s">
        <v>17</v>
      </c>
      <c r="AW216" s="65">
        <v>1141</v>
      </c>
      <c r="AX216" s="196">
        <v>44658.636319444442</v>
      </c>
    </row>
    <row r="217" spans="1:50">
      <c r="A217" s="124" t="s">
        <v>100</v>
      </c>
      <c r="B217" s="109" t="s">
        <v>1320</v>
      </c>
      <c r="C217" s="214" t="s">
        <v>1069</v>
      </c>
      <c r="D217" s="163" t="s">
        <v>2869</v>
      </c>
      <c r="E217" s="170">
        <v>131.19999999999999</v>
      </c>
      <c r="F217" s="171">
        <v>131.19999999999999</v>
      </c>
      <c r="G217" s="184">
        <v>0</v>
      </c>
      <c r="H217" s="181">
        <v>131.19999999999999</v>
      </c>
      <c r="I217" s="171">
        <v>131.19999999999999</v>
      </c>
      <c r="J217" s="184">
        <v>0</v>
      </c>
      <c r="K217" s="181">
        <v>131.19999999999999</v>
      </c>
      <c r="L217" s="171">
        <v>131.19999999999999</v>
      </c>
      <c r="M217" s="184">
        <v>0</v>
      </c>
      <c r="N217" s="181">
        <v>131.19999999999999</v>
      </c>
      <c r="O217" s="171">
        <v>131.19999999999999</v>
      </c>
      <c r="P217" s="207">
        <v>0</v>
      </c>
      <c r="Q217" s="204">
        <v>131.19999999999999</v>
      </c>
      <c r="R217" s="206">
        <v>131.19999999999999</v>
      </c>
      <c r="S217" s="207">
        <v>0</v>
      </c>
      <c r="T217" s="204">
        <v>131.19999999999999</v>
      </c>
      <c r="U217" s="206">
        <v>131.19999999999999</v>
      </c>
      <c r="V217" s="207">
        <v>0</v>
      </c>
      <c r="W217" s="204">
        <v>131.19999999999999</v>
      </c>
      <c r="X217" s="206">
        <v>131.19999999999999</v>
      </c>
      <c r="Y217" s="207">
        <v>0</v>
      </c>
      <c r="Z217" s="204">
        <v>131.19999999999999</v>
      </c>
      <c r="AA217" s="206">
        <v>131.19999999999999</v>
      </c>
      <c r="AB217" s="207">
        <v>0</v>
      </c>
      <c r="AC217" s="204">
        <v>131.19999999999999</v>
      </c>
      <c r="AD217" s="206">
        <v>131.19999999999999</v>
      </c>
      <c r="AE217" s="207">
        <v>0</v>
      </c>
      <c r="AF217" s="204">
        <v>131.19999999999999</v>
      </c>
      <c r="AG217" s="206">
        <v>131.19999999999999</v>
      </c>
      <c r="AH217" s="207">
        <v>0</v>
      </c>
      <c r="AI217" s="208" t="s">
        <v>2868</v>
      </c>
      <c r="AJ217" s="194" t="s">
        <v>1419</v>
      </c>
      <c r="AK217" s="132" t="s">
        <v>17</v>
      </c>
      <c r="AL217" s="213">
        <v>64</v>
      </c>
      <c r="AM217" s="212"/>
      <c r="AN217" s="211">
        <v>131.19999999999999</v>
      </c>
      <c r="AO217" s="212"/>
      <c r="AP217" s="194" t="s">
        <v>55</v>
      </c>
      <c r="AQ217" s="193" t="s">
        <v>1407</v>
      </c>
      <c r="AR217" s="210"/>
      <c r="AS217" s="209" t="s">
        <v>1769</v>
      </c>
      <c r="AT217" s="175"/>
      <c r="AU217" s="65" t="s">
        <v>25</v>
      </c>
      <c r="AV217" s="163" t="s">
        <v>17</v>
      </c>
      <c r="AW217" s="65">
        <v>1142</v>
      </c>
      <c r="AX217" s="196">
        <v>44670.464722222219</v>
      </c>
    </row>
    <row r="218" spans="1:50">
      <c r="A218" s="124" t="s">
        <v>46</v>
      </c>
      <c r="B218" s="109" t="s">
        <v>1320</v>
      </c>
      <c r="C218" s="214" t="s">
        <v>371</v>
      </c>
      <c r="D218" s="163" t="s">
        <v>373</v>
      </c>
      <c r="E218" s="170">
        <v>730</v>
      </c>
      <c r="F218" s="171">
        <v>710</v>
      </c>
      <c r="G218" s="184">
        <v>705</v>
      </c>
      <c r="H218" s="181">
        <v>730</v>
      </c>
      <c r="I218" s="171">
        <v>710</v>
      </c>
      <c r="J218" s="184">
        <v>705</v>
      </c>
      <c r="K218" s="181">
        <v>730</v>
      </c>
      <c r="L218" s="171">
        <v>710</v>
      </c>
      <c r="M218" s="184">
        <v>705</v>
      </c>
      <c r="N218" s="181">
        <v>730</v>
      </c>
      <c r="O218" s="171">
        <v>710</v>
      </c>
      <c r="P218" s="207">
        <v>705</v>
      </c>
      <c r="Q218" s="204">
        <v>730</v>
      </c>
      <c r="R218" s="206">
        <v>710</v>
      </c>
      <c r="S218" s="207">
        <v>705</v>
      </c>
      <c r="T218" s="204">
        <v>730</v>
      </c>
      <c r="U218" s="206">
        <v>710</v>
      </c>
      <c r="V218" s="207">
        <v>705</v>
      </c>
      <c r="W218" s="204">
        <v>730</v>
      </c>
      <c r="X218" s="206">
        <v>710</v>
      </c>
      <c r="Y218" s="207">
        <v>705</v>
      </c>
      <c r="Z218" s="204">
        <v>730</v>
      </c>
      <c r="AA218" s="206">
        <v>710</v>
      </c>
      <c r="AB218" s="207">
        <v>705</v>
      </c>
      <c r="AC218" s="204">
        <v>730</v>
      </c>
      <c r="AD218" s="206">
        <v>710</v>
      </c>
      <c r="AE218" s="207">
        <v>705</v>
      </c>
      <c r="AF218" s="204">
        <v>730</v>
      </c>
      <c r="AG218" s="206">
        <v>710</v>
      </c>
      <c r="AH218" s="207">
        <v>705</v>
      </c>
      <c r="AI218" s="208" t="s">
        <v>372</v>
      </c>
      <c r="AJ218" s="194" t="s">
        <v>1596</v>
      </c>
      <c r="AK218" s="132" t="s">
        <v>1597</v>
      </c>
      <c r="AL218" s="213">
        <v>1</v>
      </c>
      <c r="AM218" s="212"/>
      <c r="AN218" s="211">
        <v>730</v>
      </c>
      <c r="AO218" s="212"/>
      <c r="AP218" s="194" t="s">
        <v>55</v>
      </c>
      <c r="AQ218" s="193" t="s">
        <v>1403</v>
      </c>
      <c r="AR218" s="210"/>
      <c r="AS218" s="209" t="s">
        <v>1511</v>
      </c>
      <c r="AT218" s="175"/>
      <c r="AU218" s="65" t="s">
        <v>25</v>
      </c>
      <c r="AV218" s="163" t="s">
        <v>12</v>
      </c>
      <c r="AW218" s="65">
        <v>1144</v>
      </c>
      <c r="AX218" s="196">
        <v>44746.490891203706</v>
      </c>
    </row>
    <row r="219" spans="1:50">
      <c r="A219" s="124" t="s">
        <v>46</v>
      </c>
      <c r="B219" s="109" t="s">
        <v>1320</v>
      </c>
      <c r="C219" s="214" t="s">
        <v>371</v>
      </c>
      <c r="D219" s="163" t="s">
        <v>2876</v>
      </c>
      <c r="E219" s="170">
        <v>700</v>
      </c>
      <c r="F219" s="171">
        <v>680</v>
      </c>
      <c r="G219" s="184">
        <v>675</v>
      </c>
      <c r="H219" s="181">
        <v>700</v>
      </c>
      <c r="I219" s="171">
        <v>680</v>
      </c>
      <c r="J219" s="184">
        <v>675</v>
      </c>
      <c r="K219" s="181">
        <v>700</v>
      </c>
      <c r="L219" s="171">
        <v>680</v>
      </c>
      <c r="M219" s="184">
        <v>675</v>
      </c>
      <c r="N219" s="181">
        <v>700</v>
      </c>
      <c r="O219" s="171">
        <v>680</v>
      </c>
      <c r="P219" s="207">
        <v>675</v>
      </c>
      <c r="Q219" s="204">
        <v>700</v>
      </c>
      <c r="R219" s="206">
        <v>680</v>
      </c>
      <c r="S219" s="207">
        <v>675</v>
      </c>
      <c r="T219" s="204">
        <v>700</v>
      </c>
      <c r="U219" s="206">
        <v>680</v>
      </c>
      <c r="V219" s="207">
        <v>675</v>
      </c>
      <c r="W219" s="204">
        <v>700</v>
      </c>
      <c r="X219" s="206">
        <v>680</v>
      </c>
      <c r="Y219" s="207">
        <v>675</v>
      </c>
      <c r="Z219" s="204">
        <v>700</v>
      </c>
      <c r="AA219" s="206">
        <v>680</v>
      </c>
      <c r="AB219" s="207">
        <v>675</v>
      </c>
      <c r="AC219" s="204">
        <v>700</v>
      </c>
      <c r="AD219" s="206">
        <v>680</v>
      </c>
      <c r="AE219" s="207">
        <v>675</v>
      </c>
      <c r="AF219" s="204">
        <v>700</v>
      </c>
      <c r="AG219" s="206">
        <v>680</v>
      </c>
      <c r="AH219" s="207">
        <v>675</v>
      </c>
      <c r="AI219" s="208" t="s">
        <v>372</v>
      </c>
      <c r="AJ219" s="194" t="s">
        <v>1596</v>
      </c>
      <c r="AK219" s="132" t="s">
        <v>1597</v>
      </c>
      <c r="AL219" s="213">
        <v>1</v>
      </c>
      <c r="AM219" s="212"/>
      <c r="AN219" s="211">
        <v>660</v>
      </c>
      <c r="AO219" s="212"/>
      <c r="AP219" s="194" t="s">
        <v>55</v>
      </c>
      <c r="AQ219" s="193" t="s">
        <v>1403</v>
      </c>
      <c r="AR219" s="210"/>
      <c r="AS219" s="209" t="s">
        <v>1511</v>
      </c>
      <c r="AT219" s="175"/>
      <c r="AU219" s="65" t="s">
        <v>25</v>
      </c>
      <c r="AV219" s="163" t="s">
        <v>12</v>
      </c>
      <c r="AW219" s="65">
        <v>1144</v>
      </c>
      <c r="AX219" s="196">
        <v>44746.490891203706</v>
      </c>
    </row>
    <row r="220" spans="1:50">
      <c r="A220" s="124" t="s">
        <v>62</v>
      </c>
      <c r="B220" s="109" t="s">
        <v>1320</v>
      </c>
      <c r="C220" s="214" t="s">
        <v>2880</v>
      </c>
      <c r="D220" s="163" t="s">
        <v>2882</v>
      </c>
      <c r="E220" s="170">
        <v>140</v>
      </c>
      <c r="F220" s="171">
        <v>139</v>
      </c>
      <c r="G220" s="184">
        <v>135</v>
      </c>
      <c r="H220" s="181">
        <v>140</v>
      </c>
      <c r="I220" s="171">
        <v>139</v>
      </c>
      <c r="J220" s="184">
        <v>135</v>
      </c>
      <c r="K220" s="181">
        <v>140</v>
      </c>
      <c r="L220" s="171">
        <v>139</v>
      </c>
      <c r="M220" s="184">
        <v>135</v>
      </c>
      <c r="N220" s="181">
        <v>140</v>
      </c>
      <c r="O220" s="171">
        <v>139</v>
      </c>
      <c r="P220" s="207">
        <v>135</v>
      </c>
      <c r="Q220" s="204">
        <v>140</v>
      </c>
      <c r="R220" s="206">
        <v>139</v>
      </c>
      <c r="S220" s="207">
        <v>135</v>
      </c>
      <c r="T220" s="204">
        <v>140</v>
      </c>
      <c r="U220" s="206">
        <v>139</v>
      </c>
      <c r="V220" s="207">
        <v>135</v>
      </c>
      <c r="W220" s="204">
        <v>140</v>
      </c>
      <c r="X220" s="206">
        <v>139</v>
      </c>
      <c r="Y220" s="207">
        <v>135</v>
      </c>
      <c r="Z220" s="204">
        <v>140</v>
      </c>
      <c r="AA220" s="206">
        <v>139</v>
      </c>
      <c r="AB220" s="207">
        <v>135</v>
      </c>
      <c r="AC220" s="204">
        <v>140</v>
      </c>
      <c r="AD220" s="206">
        <v>139</v>
      </c>
      <c r="AE220" s="207">
        <v>135</v>
      </c>
      <c r="AF220" s="204">
        <v>140</v>
      </c>
      <c r="AG220" s="206">
        <v>139</v>
      </c>
      <c r="AH220" s="207">
        <v>135</v>
      </c>
      <c r="AI220" s="208" t="s">
        <v>2881</v>
      </c>
      <c r="AJ220" s="194" t="s">
        <v>1493</v>
      </c>
      <c r="AK220" s="132" t="s">
        <v>1431</v>
      </c>
      <c r="AL220" s="213">
        <v>1</v>
      </c>
      <c r="AM220" s="212"/>
      <c r="AN220" s="211">
        <v>146</v>
      </c>
      <c r="AO220" s="212"/>
      <c r="AP220" s="194" t="s">
        <v>55</v>
      </c>
      <c r="AQ220" s="193" t="s">
        <v>1403</v>
      </c>
      <c r="AR220" s="210"/>
      <c r="AS220" s="209" t="s">
        <v>1521</v>
      </c>
      <c r="AT220" s="175"/>
      <c r="AU220" s="65" t="s">
        <v>25</v>
      </c>
      <c r="AV220" s="163" t="s">
        <v>14</v>
      </c>
      <c r="AW220" s="65">
        <v>1145</v>
      </c>
      <c r="AX220" s="196">
        <v>44670.468958333331</v>
      </c>
    </row>
    <row r="221" spans="1:50">
      <c r="A221" s="124" t="s">
        <v>62</v>
      </c>
      <c r="B221" s="109" t="s">
        <v>1320</v>
      </c>
      <c r="C221" s="214" t="s">
        <v>2880</v>
      </c>
      <c r="D221" s="163" t="s">
        <v>2884</v>
      </c>
      <c r="E221" s="170">
        <v>140</v>
      </c>
      <c r="F221" s="171">
        <v>139</v>
      </c>
      <c r="G221" s="184">
        <v>135</v>
      </c>
      <c r="H221" s="181">
        <v>140</v>
      </c>
      <c r="I221" s="171">
        <v>139</v>
      </c>
      <c r="J221" s="184">
        <v>135</v>
      </c>
      <c r="K221" s="181">
        <v>140</v>
      </c>
      <c r="L221" s="171">
        <v>139</v>
      </c>
      <c r="M221" s="184">
        <v>135</v>
      </c>
      <c r="N221" s="181">
        <v>140</v>
      </c>
      <c r="O221" s="171">
        <v>139</v>
      </c>
      <c r="P221" s="207">
        <v>135</v>
      </c>
      <c r="Q221" s="204">
        <v>140</v>
      </c>
      <c r="R221" s="206">
        <v>139</v>
      </c>
      <c r="S221" s="207">
        <v>135</v>
      </c>
      <c r="T221" s="204">
        <v>140</v>
      </c>
      <c r="U221" s="206">
        <v>139</v>
      </c>
      <c r="V221" s="207">
        <v>135</v>
      </c>
      <c r="W221" s="204">
        <v>140</v>
      </c>
      <c r="X221" s="206">
        <v>139</v>
      </c>
      <c r="Y221" s="207">
        <v>135</v>
      </c>
      <c r="Z221" s="204">
        <v>140</v>
      </c>
      <c r="AA221" s="206">
        <v>139</v>
      </c>
      <c r="AB221" s="207">
        <v>135</v>
      </c>
      <c r="AC221" s="204">
        <v>140</v>
      </c>
      <c r="AD221" s="206">
        <v>139</v>
      </c>
      <c r="AE221" s="207">
        <v>135</v>
      </c>
      <c r="AF221" s="204">
        <v>140</v>
      </c>
      <c r="AG221" s="206">
        <v>139</v>
      </c>
      <c r="AH221" s="207">
        <v>135</v>
      </c>
      <c r="AI221" s="208" t="s">
        <v>2881</v>
      </c>
      <c r="AJ221" s="194" t="s">
        <v>1493</v>
      </c>
      <c r="AK221" s="132" t="s">
        <v>1431</v>
      </c>
      <c r="AL221" s="213">
        <v>1</v>
      </c>
      <c r="AM221" s="212"/>
      <c r="AN221" s="211">
        <v>146</v>
      </c>
      <c r="AO221" s="212"/>
      <c r="AP221" s="194" t="s">
        <v>55</v>
      </c>
      <c r="AQ221" s="193" t="s">
        <v>1403</v>
      </c>
      <c r="AR221" s="210"/>
      <c r="AS221" s="209" t="s">
        <v>1521</v>
      </c>
      <c r="AT221" s="175"/>
      <c r="AU221" s="65" t="s">
        <v>25</v>
      </c>
      <c r="AV221" s="163" t="s">
        <v>14</v>
      </c>
      <c r="AW221" s="65">
        <v>1145</v>
      </c>
      <c r="AX221" s="196">
        <v>44670.468958333331</v>
      </c>
    </row>
    <row r="222" spans="1:50">
      <c r="A222" s="124" t="s">
        <v>62</v>
      </c>
      <c r="B222" s="109" t="s">
        <v>1320</v>
      </c>
      <c r="C222" s="214" t="s">
        <v>2880</v>
      </c>
      <c r="D222" s="163" t="s">
        <v>2885</v>
      </c>
      <c r="E222" s="170">
        <v>120</v>
      </c>
      <c r="F222" s="171">
        <v>118</v>
      </c>
      <c r="G222" s="184">
        <v>117</v>
      </c>
      <c r="H222" s="181">
        <v>120</v>
      </c>
      <c r="I222" s="171">
        <v>118</v>
      </c>
      <c r="J222" s="184">
        <v>117</v>
      </c>
      <c r="K222" s="181">
        <v>120</v>
      </c>
      <c r="L222" s="171">
        <v>118</v>
      </c>
      <c r="M222" s="184">
        <v>117</v>
      </c>
      <c r="N222" s="181">
        <v>120</v>
      </c>
      <c r="O222" s="171">
        <v>118</v>
      </c>
      <c r="P222" s="207">
        <v>117</v>
      </c>
      <c r="Q222" s="204">
        <v>120</v>
      </c>
      <c r="R222" s="206">
        <v>118</v>
      </c>
      <c r="S222" s="207">
        <v>117</v>
      </c>
      <c r="T222" s="204">
        <v>120</v>
      </c>
      <c r="U222" s="206">
        <v>118</v>
      </c>
      <c r="V222" s="207">
        <v>117</v>
      </c>
      <c r="W222" s="204">
        <v>120</v>
      </c>
      <c r="X222" s="206">
        <v>118</v>
      </c>
      <c r="Y222" s="207">
        <v>117</v>
      </c>
      <c r="Z222" s="204">
        <v>120</v>
      </c>
      <c r="AA222" s="206">
        <v>118</v>
      </c>
      <c r="AB222" s="207">
        <v>117</v>
      </c>
      <c r="AC222" s="204">
        <v>120</v>
      </c>
      <c r="AD222" s="206">
        <v>118</v>
      </c>
      <c r="AE222" s="207">
        <v>117</v>
      </c>
      <c r="AF222" s="204">
        <v>120</v>
      </c>
      <c r="AG222" s="206">
        <v>118</v>
      </c>
      <c r="AH222" s="207">
        <v>117</v>
      </c>
      <c r="AI222" s="208" t="s">
        <v>2881</v>
      </c>
      <c r="AJ222" s="194" t="s">
        <v>1493</v>
      </c>
      <c r="AK222" s="132" t="s">
        <v>1431</v>
      </c>
      <c r="AL222" s="213">
        <v>1</v>
      </c>
      <c r="AM222" s="212"/>
      <c r="AN222" s="211">
        <v>131.5</v>
      </c>
      <c r="AO222" s="212"/>
      <c r="AP222" s="65" t="s">
        <v>55</v>
      </c>
      <c r="AQ222" s="193" t="s">
        <v>1403</v>
      </c>
      <c r="AR222" s="210"/>
      <c r="AS222" s="209" t="s">
        <v>1558</v>
      </c>
      <c r="AT222" s="175"/>
      <c r="AU222" s="65" t="s">
        <v>25</v>
      </c>
      <c r="AV222" s="163" t="s">
        <v>14</v>
      </c>
      <c r="AW222" s="65">
        <v>1145</v>
      </c>
      <c r="AX222" s="196">
        <v>44670.468958333331</v>
      </c>
    </row>
    <row r="223" spans="1:50">
      <c r="A223" s="124" t="s">
        <v>100</v>
      </c>
      <c r="B223" s="109" t="s">
        <v>1320</v>
      </c>
      <c r="C223" s="214" t="s">
        <v>773</v>
      </c>
      <c r="D223" s="163" t="s">
        <v>2897</v>
      </c>
      <c r="E223" s="170">
        <v>225.70000000000002</v>
      </c>
      <c r="F223" s="171">
        <v>225.70000000000002</v>
      </c>
      <c r="G223" s="184">
        <v>225.70000000000002</v>
      </c>
      <c r="H223" s="181">
        <v>225.70000000000002</v>
      </c>
      <c r="I223" s="171">
        <v>225.70000000000002</v>
      </c>
      <c r="J223" s="184">
        <v>225.70000000000002</v>
      </c>
      <c r="K223" s="181">
        <v>225.70000000000002</v>
      </c>
      <c r="L223" s="171">
        <v>225.70000000000002</v>
      </c>
      <c r="M223" s="184">
        <v>225.70000000000002</v>
      </c>
      <c r="N223" s="181">
        <v>225.70000000000002</v>
      </c>
      <c r="O223" s="171">
        <v>225.70000000000002</v>
      </c>
      <c r="P223" s="207">
        <v>225.70000000000002</v>
      </c>
      <c r="Q223" s="204">
        <v>225.70000000000002</v>
      </c>
      <c r="R223" s="206">
        <v>225.70000000000002</v>
      </c>
      <c r="S223" s="207">
        <v>225.70000000000002</v>
      </c>
      <c r="T223" s="204">
        <v>225.70000000000002</v>
      </c>
      <c r="U223" s="206">
        <v>225.70000000000002</v>
      </c>
      <c r="V223" s="207">
        <v>225.70000000000002</v>
      </c>
      <c r="W223" s="204">
        <v>225.70000000000002</v>
      </c>
      <c r="X223" s="206">
        <v>225.70000000000002</v>
      </c>
      <c r="Y223" s="207">
        <v>225.70000000000002</v>
      </c>
      <c r="Z223" s="204">
        <v>225.70000000000002</v>
      </c>
      <c r="AA223" s="206">
        <v>225.70000000000002</v>
      </c>
      <c r="AB223" s="207">
        <v>225.70000000000002</v>
      </c>
      <c r="AC223" s="204">
        <v>225.70000000000002</v>
      </c>
      <c r="AD223" s="206">
        <v>225.70000000000002</v>
      </c>
      <c r="AE223" s="207">
        <v>225.70000000000002</v>
      </c>
      <c r="AF223" s="204">
        <v>225.70000000000002</v>
      </c>
      <c r="AG223" s="206">
        <v>225.70000000000002</v>
      </c>
      <c r="AH223" s="207">
        <v>225.70000000000002</v>
      </c>
      <c r="AI223" s="208" t="s">
        <v>429</v>
      </c>
      <c r="AJ223" s="194" t="s">
        <v>1419</v>
      </c>
      <c r="AK223" s="132" t="s">
        <v>17</v>
      </c>
      <c r="AL223" s="213">
        <v>61</v>
      </c>
      <c r="AM223" s="212"/>
      <c r="AN223" s="211">
        <v>225.70000000000002</v>
      </c>
      <c r="AO223" s="212">
        <v>0</v>
      </c>
      <c r="AP223" s="194" t="s">
        <v>55</v>
      </c>
      <c r="AQ223" s="193" t="s">
        <v>1407</v>
      </c>
      <c r="AR223" s="210"/>
      <c r="AS223" s="209" t="s">
        <v>1547</v>
      </c>
      <c r="AT223" s="175"/>
      <c r="AU223" s="65" t="s">
        <v>25</v>
      </c>
      <c r="AV223" s="163" t="s">
        <v>17</v>
      </c>
      <c r="AW223" s="65">
        <v>1262</v>
      </c>
      <c r="AX223" s="196">
        <v>44693.443055555559</v>
      </c>
    </row>
    <row r="224" spans="1:50">
      <c r="A224" s="124" t="s">
        <v>100</v>
      </c>
      <c r="B224" s="109" t="s">
        <v>1320</v>
      </c>
      <c r="C224" s="214" t="s">
        <v>428</v>
      </c>
      <c r="D224" s="163" t="s">
        <v>2900</v>
      </c>
      <c r="E224" s="170">
        <v>133</v>
      </c>
      <c r="F224" s="171">
        <v>197.6</v>
      </c>
      <c r="G224" s="184">
        <v>179.35999999999999</v>
      </c>
      <c r="H224" s="181">
        <v>197.6</v>
      </c>
      <c r="I224" s="171">
        <v>197.6</v>
      </c>
      <c r="J224" s="184">
        <v>179.35999999999999</v>
      </c>
      <c r="K224" s="181">
        <v>197.6</v>
      </c>
      <c r="L224" s="171">
        <v>197.6</v>
      </c>
      <c r="M224" s="184">
        <v>179.35999999999999</v>
      </c>
      <c r="N224" s="181">
        <v>197.6</v>
      </c>
      <c r="O224" s="171">
        <v>197.6</v>
      </c>
      <c r="P224" s="207">
        <v>179.35999999999999</v>
      </c>
      <c r="Q224" s="204">
        <v>197.6</v>
      </c>
      <c r="R224" s="206">
        <v>197.6</v>
      </c>
      <c r="S224" s="207">
        <v>179.35999999999999</v>
      </c>
      <c r="T224" s="204">
        <v>197.6</v>
      </c>
      <c r="U224" s="206">
        <v>197.6</v>
      </c>
      <c r="V224" s="207">
        <v>179.35999999999999</v>
      </c>
      <c r="W224" s="204">
        <v>197.6</v>
      </c>
      <c r="X224" s="206">
        <v>197.6</v>
      </c>
      <c r="Y224" s="207">
        <v>179.35999999999999</v>
      </c>
      <c r="Z224" s="204">
        <v>197.6</v>
      </c>
      <c r="AA224" s="206">
        <v>197.6</v>
      </c>
      <c r="AB224" s="207">
        <v>179.35999999999999</v>
      </c>
      <c r="AC224" s="204">
        <v>197.6</v>
      </c>
      <c r="AD224" s="206">
        <v>197.6</v>
      </c>
      <c r="AE224" s="207">
        <v>179.35999999999999</v>
      </c>
      <c r="AF224" s="204">
        <v>197.6</v>
      </c>
      <c r="AG224" s="206">
        <v>197.6</v>
      </c>
      <c r="AH224" s="207">
        <v>179.35999999999999</v>
      </c>
      <c r="AI224" s="208" t="s">
        <v>2899</v>
      </c>
      <c r="AJ224" s="194" t="s">
        <v>1419</v>
      </c>
      <c r="AK224" s="132" t="s">
        <v>17</v>
      </c>
      <c r="AL224" s="213">
        <v>38</v>
      </c>
      <c r="AM224" s="212"/>
      <c r="AN224" s="211">
        <v>209</v>
      </c>
      <c r="AO224" s="212"/>
      <c r="AP224" s="194" t="s">
        <v>27</v>
      </c>
      <c r="AQ224" s="193" t="s">
        <v>1407</v>
      </c>
      <c r="AR224" s="210" t="s">
        <v>1409</v>
      </c>
      <c r="AS224" s="209" t="s">
        <v>1474</v>
      </c>
      <c r="AT224" s="175"/>
      <c r="AU224" s="65" t="s">
        <v>25</v>
      </c>
      <c r="AV224" s="163" t="s">
        <v>17</v>
      </c>
      <c r="AW224" s="65">
        <v>1506</v>
      </c>
      <c r="AX224" s="196">
        <v>44693.449166666665</v>
      </c>
    </row>
    <row r="225" spans="1:50">
      <c r="A225" s="124" t="s">
        <v>100</v>
      </c>
      <c r="B225" s="109" t="s">
        <v>1320</v>
      </c>
      <c r="C225" s="214" t="s">
        <v>2902</v>
      </c>
      <c r="D225" s="163" t="s">
        <v>2903</v>
      </c>
      <c r="E225" s="170">
        <v>855</v>
      </c>
      <c r="F225" s="171">
        <v>950</v>
      </c>
      <c r="G225" s="184">
        <v>950</v>
      </c>
      <c r="H225" s="181">
        <v>855</v>
      </c>
      <c r="I225" s="171">
        <v>950</v>
      </c>
      <c r="J225" s="184">
        <v>950</v>
      </c>
      <c r="K225" s="181">
        <v>855</v>
      </c>
      <c r="L225" s="171">
        <v>950</v>
      </c>
      <c r="M225" s="184">
        <v>950</v>
      </c>
      <c r="N225" s="181">
        <v>855</v>
      </c>
      <c r="O225" s="171">
        <v>950</v>
      </c>
      <c r="P225" s="207">
        <v>950</v>
      </c>
      <c r="Q225" s="204">
        <v>950</v>
      </c>
      <c r="R225" s="206">
        <v>950</v>
      </c>
      <c r="S225" s="207">
        <v>950</v>
      </c>
      <c r="T225" s="204">
        <v>950</v>
      </c>
      <c r="U225" s="206">
        <v>950</v>
      </c>
      <c r="V225" s="207">
        <v>950</v>
      </c>
      <c r="W225" s="204">
        <v>855</v>
      </c>
      <c r="X225" s="206">
        <v>950</v>
      </c>
      <c r="Y225" s="207">
        <v>950</v>
      </c>
      <c r="Z225" s="204">
        <v>950</v>
      </c>
      <c r="AA225" s="206">
        <v>950</v>
      </c>
      <c r="AB225" s="207">
        <v>950</v>
      </c>
      <c r="AC225" s="204">
        <v>950</v>
      </c>
      <c r="AD225" s="206">
        <v>950</v>
      </c>
      <c r="AE225" s="207">
        <v>950</v>
      </c>
      <c r="AF225" s="204">
        <v>950</v>
      </c>
      <c r="AG225" s="206">
        <v>950</v>
      </c>
      <c r="AH225" s="207">
        <v>950</v>
      </c>
      <c r="AI225" s="208" t="s">
        <v>558</v>
      </c>
      <c r="AJ225" s="194" t="s">
        <v>1539</v>
      </c>
      <c r="AK225" s="132" t="s">
        <v>18</v>
      </c>
      <c r="AL225" s="213">
        <v>10</v>
      </c>
      <c r="AM225" s="212"/>
      <c r="AN225" s="211">
        <v>950</v>
      </c>
      <c r="AO225" s="212"/>
      <c r="AP225" s="65" t="s">
        <v>55</v>
      </c>
      <c r="AQ225" s="193" t="s">
        <v>1403</v>
      </c>
      <c r="AR225" s="210"/>
      <c r="AS225" s="209" t="s">
        <v>1434</v>
      </c>
      <c r="AT225" s="175"/>
      <c r="AU225" s="65" t="s">
        <v>25</v>
      </c>
      <c r="AV225" s="163" t="s">
        <v>18</v>
      </c>
      <c r="AW225" s="65">
        <v>1147</v>
      </c>
      <c r="AX225" s="196">
        <v>44670.470069444447</v>
      </c>
    </row>
    <row r="226" spans="1:50">
      <c r="A226" s="124" t="s">
        <v>100</v>
      </c>
      <c r="B226" s="109" t="s">
        <v>1320</v>
      </c>
      <c r="C226" s="214" t="s">
        <v>2905</v>
      </c>
      <c r="D226" s="163" t="s">
        <v>2903</v>
      </c>
      <c r="E226" s="170">
        <v>575</v>
      </c>
      <c r="F226" s="171">
        <v>575</v>
      </c>
      <c r="G226" s="184">
        <v>575</v>
      </c>
      <c r="H226" s="181">
        <v>437.5</v>
      </c>
      <c r="I226" s="171">
        <v>587.5</v>
      </c>
      <c r="J226" s="184">
        <v>587.5</v>
      </c>
      <c r="K226" s="181">
        <v>450</v>
      </c>
      <c r="L226" s="171">
        <v>600</v>
      </c>
      <c r="M226" s="184">
        <v>600</v>
      </c>
      <c r="N226" s="181">
        <v>600</v>
      </c>
      <c r="O226" s="171">
        <v>600</v>
      </c>
      <c r="P226" s="207">
        <v>600</v>
      </c>
      <c r="Q226" s="204">
        <v>600</v>
      </c>
      <c r="R226" s="206">
        <v>600</v>
      </c>
      <c r="S226" s="207">
        <v>600</v>
      </c>
      <c r="T226" s="204">
        <v>600</v>
      </c>
      <c r="U226" s="206">
        <v>600</v>
      </c>
      <c r="V226" s="207">
        <v>600</v>
      </c>
      <c r="W226" s="204">
        <v>600</v>
      </c>
      <c r="X226" s="206">
        <v>600</v>
      </c>
      <c r="Y226" s="207">
        <v>600</v>
      </c>
      <c r="Z226" s="204">
        <v>600</v>
      </c>
      <c r="AA226" s="206">
        <v>600</v>
      </c>
      <c r="AB226" s="207">
        <v>600</v>
      </c>
      <c r="AC226" s="204">
        <v>600</v>
      </c>
      <c r="AD226" s="206">
        <v>600</v>
      </c>
      <c r="AE226" s="207">
        <v>600</v>
      </c>
      <c r="AF226" s="204">
        <v>600</v>
      </c>
      <c r="AG226" s="206">
        <v>600</v>
      </c>
      <c r="AH226" s="207">
        <v>600</v>
      </c>
      <c r="AI226" s="208" t="s">
        <v>558</v>
      </c>
      <c r="AJ226" s="194" t="s">
        <v>1539</v>
      </c>
      <c r="AK226" s="132" t="s">
        <v>18</v>
      </c>
      <c r="AL226" s="213">
        <v>4</v>
      </c>
      <c r="AM226" s="212"/>
      <c r="AN226" s="211">
        <v>552</v>
      </c>
      <c r="AO226" s="212"/>
      <c r="AP226" s="194" t="s">
        <v>55</v>
      </c>
      <c r="AQ226" s="193" t="s">
        <v>1403</v>
      </c>
      <c r="AR226" s="210"/>
      <c r="AS226" s="209" t="s">
        <v>1434</v>
      </c>
      <c r="AT226" s="175"/>
      <c r="AU226" s="65" t="s">
        <v>25</v>
      </c>
      <c r="AV226" s="163" t="s">
        <v>18</v>
      </c>
      <c r="AW226" s="65">
        <v>1148</v>
      </c>
      <c r="AX226" s="196">
        <v>44670.470983796295</v>
      </c>
    </row>
    <row r="227" spans="1:50">
      <c r="A227" s="124" t="s">
        <v>80</v>
      </c>
      <c r="B227" s="109" t="s">
        <v>1320</v>
      </c>
      <c r="C227" s="214" t="s">
        <v>196</v>
      </c>
      <c r="D227" s="163" t="s">
        <v>197</v>
      </c>
      <c r="E227" s="170">
        <v>13.745999999999999</v>
      </c>
      <c r="F227" s="171">
        <v>13.193999999999999</v>
      </c>
      <c r="G227" s="184">
        <v>12.917999999999999</v>
      </c>
      <c r="H227" s="181">
        <v>13.745999999999999</v>
      </c>
      <c r="I227" s="171">
        <v>13.193999999999999</v>
      </c>
      <c r="J227" s="184">
        <v>12.917999999999999</v>
      </c>
      <c r="K227" s="181">
        <v>13.745999999999999</v>
      </c>
      <c r="L227" s="171">
        <v>13.193999999999999</v>
      </c>
      <c r="M227" s="184">
        <v>12.917999999999999</v>
      </c>
      <c r="N227" s="181">
        <v>13.745999999999999</v>
      </c>
      <c r="O227" s="171">
        <v>13.193999999999999</v>
      </c>
      <c r="P227" s="207">
        <v>12.917999999999999</v>
      </c>
      <c r="Q227" s="204">
        <v>13.745999999999999</v>
      </c>
      <c r="R227" s="206">
        <v>13.193999999999999</v>
      </c>
      <c r="S227" s="207">
        <v>12.917999999999999</v>
      </c>
      <c r="T227" s="204">
        <v>13.745999999999999</v>
      </c>
      <c r="U227" s="206">
        <v>13.193999999999999</v>
      </c>
      <c r="V227" s="207">
        <v>12.917999999999999</v>
      </c>
      <c r="W227" s="204">
        <v>13.745999999999999</v>
      </c>
      <c r="X227" s="206">
        <v>13.193999999999999</v>
      </c>
      <c r="Y227" s="207">
        <v>12.917999999999999</v>
      </c>
      <c r="Z227" s="204">
        <v>13.745999999999999</v>
      </c>
      <c r="AA227" s="206">
        <v>13.193999999999999</v>
      </c>
      <c r="AB227" s="207">
        <v>12.917999999999999</v>
      </c>
      <c r="AC227" s="204">
        <v>13.745999999999999</v>
      </c>
      <c r="AD227" s="206">
        <v>13.193999999999999</v>
      </c>
      <c r="AE227" s="207">
        <v>12.917999999999999</v>
      </c>
      <c r="AF227" s="204">
        <v>13.745999999999999</v>
      </c>
      <c r="AG227" s="206">
        <v>13.193999999999999</v>
      </c>
      <c r="AH227" s="207">
        <v>12.917999999999999</v>
      </c>
      <c r="AI227" s="208" t="s">
        <v>82</v>
      </c>
      <c r="AJ227" s="194" t="s">
        <v>1429</v>
      </c>
      <c r="AK227" s="132" t="s">
        <v>1388</v>
      </c>
      <c r="AL227" s="213">
        <v>6</v>
      </c>
      <c r="AM227" s="212"/>
      <c r="AN227" s="211">
        <v>13.74</v>
      </c>
      <c r="AO227" s="212"/>
      <c r="AP227" s="194" t="s">
        <v>27</v>
      </c>
      <c r="AQ227" s="193" t="s">
        <v>1407</v>
      </c>
      <c r="AR227" s="210" t="s">
        <v>1628</v>
      </c>
      <c r="AS227" s="209" t="s">
        <v>1405</v>
      </c>
      <c r="AT227" s="175"/>
      <c r="AU227" s="65" t="s">
        <v>25</v>
      </c>
      <c r="AV227" s="163" t="s">
        <v>1388</v>
      </c>
      <c r="AW227" s="65">
        <v>1853</v>
      </c>
      <c r="AX227" s="196">
        <v>44671.329525462963</v>
      </c>
    </row>
    <row r="228" spans="1:50">
      <c r="A228" s="124" t="s">
        <v>95</v>
      </c>
      <c r="B228" s="109" t="s">
        <v>1320</v>
      </c>
      <c r="C228" s="214" t="s">
        <v>1130</v>
      </c>
      <c r="D228" s="163" t="s">
        <v>2912</v>
      </c>
      <c r="E228" s="170">
        <v>168</v>
      </c>
      <c r="F228" s="171">
        <v>168</v>
      </c>
      <c r="G228" s="184">
        <v>168</v>
      </c>
      <c r="H228" s="181">
        <v>168</v>
      </c>
      <c r="I228" s="171">
        <v>168</v>
      </c>
      <c r="J228" s="184">
        <v>168</v>
      </c>
      <c r="K228" s="181">
        <v>168</v>
      </c>
      <c r="L228" s="171">
        <v>168</v>
      </c>
      <c r="M228" s="184">
        <v>168</v>
      </c>
      <c r="N228" s="181">
        <v>168</v>
      </c>
      <c r="O228" s="171">
        <v>168</v>
      </c>
      <c r="P228" s="184">
        <v>168</v>
      </c>
      <c r="Q228" s="181">
        <v>168</v>
      </c>
      <c r="R228" s="171">
        <v>168</v>
      </c>
      <c r="S228" s="184">
        <v>168</v>
      </c>
      <c r="T228" s="181">
        <v>168</v>
      </c>
      <c r="U228" s="171">
        <v>168</v>
      </c>
      <c r="V228" s="184">
        <v>168</v>
      </c>
      <c r="W228" s="181">
        <v>168</v>
      </c>
      <c r="X228" s="171">
        <v>168</v>
      </c>
      <c r="Y228" s="184">
        <v>168</v>
      </c>
      <c r="Z228" s="181">
        <v>168</v>
      </c>
      <c r="AA228" s="171">
        <v>168</v>
      </c>
      <c r="AB228" s="184">
        <v>168</v>
      </c>
      <c r="AC228" s="181">
        <v>168</v>
      </c>
      <c r="AD228" s="171">
        <v>168</v>
      </c>
      <c r="AE228" s="184">
        <v>168</v>
      </c>
      <c r="AF228" s="181">
        <v>168</v>
      </c>
      <c r="AG228" s="171">
        <v>168</v>
      </c>
      <c r="AH228" s="184">
        <v>168</v>
      </c>
      <c r="AI228" s="182" t="s">
        <v>2911</v>
      </c>
      <c r="AJ228" s="163" t="s">
        <v>1419</v>
      </c>
      <c r="AK228" s="65" t="s">
        <v>17</v>
      </c>
      <c r="AL228" s="176">
        <v>56</v>
      </c>
      <c r="AM228" s="159"/>
      <c r="AN228" s="172">
        <v>168</v>
      </c>
      <c r="AO228" s="159"/>
      <c r="AP228" s="163" t="s">
        <v>55</v>
      </c>
      <c r="AQ228" s="109" t="s">
        <v>1407</v>
      </c>
      <c r="AR228" s="173"/>
      <c r="AS228" s="174" t="s">
        <v>1532</v>
      </c>
      <c r="AT228" s="175"/>
      <c r="AU228" s="65" t="s">
        <v>25</v>
      </c>
      <c r="AV228" s="163" t="s">
        <v>17</v>
      </c>
      <c r="AW228" s="65">
        <v>1149</v>
      </c>
      <c r="AX228" s="196">
        <v>44670.471759259257</v>
      </c>
    </row>
    <row r="229" spans="1:50">
      <c r="A229" s="124" t="s">
        <v>46</v>
      </c>
      <c r="B229" s="109" t="s">
        <v>1320</v>
      </c>
      <c r="C229" s="214" t="s">
        <v>390</v>
      </c>
      <c r="D229" s="163" t="s">
        <v>392</v>
      </c>
      <c r="E229" s="170">
        <v>104.64000000000001</v>
      </c>
      <c r="F229" s="171">
        <v>104.64000000000001</v>
      </c>
      <c r="G229" s="184">
        <v>104.64000000000001</v>
      </c>
      <c r="H229" s="181">
        <v>104.64000000000001</v>
      </c>
      <c r="I229" s="171">
        <v>104.64000000000001</v>
      </c>
      <c r="J229" s="184">
        <v>104.64000000000001</v>
      </c>
      <c r="K229" s="181">
        <v>104.64000000000001</v>
      </c>
      <c r="L229" s="171">
        <v>104.64000000000001</v>
      </c>
      <c r="M229" s="184">
        <v>104.64000000000001</v>
      </c>
      <c r="N229" s="181">
        <v>104.64000000000001</v>
      </c>
      <c r="O229" s="171">
        <v>104.64000000000001</v>
      </c>
      <c r="P229" s="207">
        <v>104.64000000000001</v>
      </c>
      <c r="Q229" s="204">
        <v>104.64000000000001</v>
      </c>
      <c r="R229" s="206">
        <v>104.64000000000001</v>
      </c>
      <c r="S229" s="207">
        <v>104.64000000000001</v>
      </c>
      <c r="T229" s="204">
        <v>104.64000000000001</v>
      </c>
      <c r="U229" s="206">
        <v>104.64000000000001</v>
      </c>
      <c r="V229" s="207">
        <v>104.64000000000001</v>
      </c>
      <c r="W229" s="204">
        <v>104.64000000000001</v>
      </c>
      <c r="X229" s="206">
        <v>104.64000000000001</v>
      </c>
      <c r="Y229" s="207">
        <v>104.64000000000001</v>
      </c>
      <c r="Z229" s="204">
        <v>104.64000000000001</v>
      </c>
      <c r="AA229" s="206">
        <v>104.64000000000001</v>
      </c>
      <c r="AB229" s="207">
        <v>104.64000000000001</v>
      </c>
      <c r="AC229" s="204">
        <v>104.64000000000001</v>
      </c>
      <c r="AD229" s="206">
        <v>104.64000000000001</v>
      </c>
      <c r="AE229" s="207">
        <v>104.64000000000001</v>
      </c>
      <c r="AF229" s="204">
        <v>104.64000000000001</v>
      </c>
      <c r="AG229" s="206">
        <v>104.64000000000001</v>
      </c>
      <c r="AH229" s="207">
        <v>104.64000000000001</v>
      </c>
      <c r="AI229" s="208" t="s">
        <v>391</v>
      </c>
      <c r="AJ229" s="194" t="s">
        <v>1429</v>
      </c>
      <c r="AK229" s="132" t="s">
        <v>1388</v>
      </c>
      <c r="AL229" s="213">
        <v>48</v>
      </c>
      <c r="AM229" s="212"/>
      <c r="AN229" s="211">
        <v>104.64000000000001</v>
      </c>
      <c r="AO229" s="212"/>
      <c r="AP229" s="194" t="s">
        <v>55</v>
      </c>
      <c r="AQ229" s="193" t="s">
        <v>1407</v>
      </c>
      <c r="AR229" s="210"/>
      <c r="AS229" s="209" t="s">
        <v>1547</v>
      </c>
      <c r="AT229" s="175"/>
      <c r="AU229" s="65" t="s">
        <v>25</v>
      </c>
      <c r="AV229" s="163" t="s">
        <v>1388</v>
      </c>
      <c r="AW229" s="65">
        <v>1414</v>
      </c>
      <c r="AX229" s="196">
        <v>44698.368101851855</v>
      </c>
    </row>
    <row r="230" spans="1:50">
      <c r="A230" s="124" t="s">
        <v>46</v>
      </c>
      <c r="B230" s="109" t="s">
        <v>1385</v>
      </c>
      <c r="C230" s="214" t="s">
        <v>284</v>
      </c>
      <c r="D230" s="163" t="s">
        <v>208</v>
      </c>
      <c r="E230" s="170">
        <v>0</v>
      </c>
      <c r="F230" s="171">
        <v>0</v>
      </c>
      <c r="G230" s="184">
        <v>0</v>
      </c>
      <c r="H230" s="181">
        <v>400.03199999999998</v>
      </c>
      <c r="I230" s="171">
        <v>400.03199999999998</v>
      </c>
      <c r="J230" s="184">
        <v>400.03199999999998</v>
      </c>
      <c r="K230" s="181">
        <v>400.03199999999998</v>
      </c>
      <c r="L230" s="171">
        <v>400.03199999999998</v>
      </c>
      <c r="M230" s="184">
        <v>400.03199999999998</v>
      </c>
      <c r="N230" s="181">
        <v>400.03199999999998</v>
      </c>
      <c r="O230" s="171">
        <v>400.03199999999998</v>
      </c>
      <c r="P230" s="207">
        <v>400.03199999999998</v>
      </c>
      <c r="Q230" s="204">
        <v>400.03199999999998</v>
      </c>
      <c r="R230" s="206">
        <v>400.03199999999998</v>
      </c>
      <c r="S230" s="207">
        <v>400.03199999999998</v>
      </c>
      <c r="T230" s="204">
        <v>400.03199999999998</v>
      </c>
      <c r="U230" s="206">
        <v>400.03199999999998</v>
      </c>
      <c r="V230" s="207">
        <v>400.03199999999998</v>
      </c>
      <c r="W230" s="204">
        <v>400.03199999999998</v>
      </c>
      <c r="X230" s="206">
        <v>400.03199999999998</v>
      </c>
      <c r="Y230" s="207">
        <v>400.03199999999998</v>
      </c>
      <c r="Z230" s="204">
        <v>400.03199999999998</v>
      </c>
      <c r="AA230" s="206">
        <v>400.03199999999998</v>
      </c>
      <c r="AB230" s="207">
        <v>400.03199999999998</v>
      </c>
      <c r="AC230" s="204">
        <v>400.03199999999998</v>
      </c>
      <c r="AD230" s="206">
        <v>400.03199999999998</v>
      </c>
      <c r="AE230" s="207">
        <v>400.03199999999998</v>
      </c>
      <c r="AF230" s="204">
        <v>400.03199999999998</v>
      </c>
      <c r="AG230" s="206">
        <v>400.03199999999998</v>
      </c>
      <c r="AH230" s="207">
        <v>400.03199999999998</v>
      </c>
      <c r="AI230" s="208" t="s">
        <v>2934</v>
      </c>
      <c r="AJ230" s="194" t="s">
        <v>1429</v>
      </c>
      <c r="AK230" s="132" t="s">
        <v>1388</v>
      </c>
      <c r="AL230" s="213">
        <v>288</v>
      </c>
      <c r="AM230" s="212"/>
      <c r="AN230" s="211">
        <v>471.45600000000002</v>
      </c>
      <c r="AO230" s="212"/>
      <c r="AP230" s="194" t="s">
        <v>27</v>
      </c>
      <c r="AQ230" s="193" t="s">
        <v>1407</v>
      </c>
      <c r="AR230" s="210" t="s">
        <v>2937</v>
      </c>
      <c r="AS230" s="209" t="s">
        <v>1474</v>
      </c>
      <c r="AT230" s="175"/>
      <c r="AU230" s="65" t="s">
        <v>27</v>
      </c>
      <c r="AV230" s="163" t="s">
        <v>1388</v>
      </c>
      <c r="AW230" s="65">
        <v>1854</v>
      </c>
      <c r="AX230" s="196">
        <v>44743.648506944446</v>
      </c>
    </row>
    <row r="231" spans="1:50">
      <c r="A231" s="124" t="s">
        <v>100</v>
      </c>
      <c r="B231" s="109" t="s">
        <v>1320</v>
      </c>
      <c r="C231" s="214" t="s">
        <v>640</v>
      </c>
      <c r="D231" s="163" t="s">
        <v>2945</v>
      </c>
      <c r="E231" s="170">
        <v>510</v>
      </c>
      <c r="F231" s="171">
        <v>510</v>
      </c>
      <c r="G231" s="184">
        <v>475</v>
      </c>
      <c r="H231" s="181">
        <v>510</v>
      </c>
      <c r="I231" s="171">
        <v>510</v>
      </c>
      <c r="J231" s="184">
        <v>475</v>
      </c>
      <c r="K231" s="181">
        <v>510</v>
      </c>
      <c r="L231" s="171">
        <v>510</v>
      </c>
      <c r="M231" s="184">
        <v>475</v>
      </c>
      <c r="N231" s="181">
        <v>510</v>
      </c>
      <c r="O231" s="171">
        <v>510</v>
      </c>
      <c r="P231" s="207">
        <v>475</v>
      </c>
      <c r="Q231" s="204">
        <v>510</v>
      </c>
      <c r="R231" s="206">
        <v>510</v>
      </c>
      <c r="S231" s="207">
        <v>475</v>
      </c>
      <c r="T231" s="204">
        <v>510</v>
      </c>
      <c r="U231" s="206">
        <v>510</v>
      </c>
      <c r="V231" s="207">
        <v>475</v>
      </c>
      <c r="W231" s="204">
        <v>510</v>
      </c>
      <c r="X231" s="206">
        <v>510</v>
      </c>
      <c r="Y231" s="207">
        <v>475</v>
      </c>
      <c r="Z231" s="204">
        <v>510</v>
      </c>
      <c r="AA231" s="206">
        <v>510</v>
      </c>
      <c r="AB231" s="207">
        <v>475</v>
      </c>
      <c r="AC231" s="204">
        <v>510</v>
      </c>
      <c r="AD231" s="206">
        <v>510</v>
      </c>
      <c r="AE231" s="207">
        <v>475</v>
      </c>
      <c r="AF231" s="204">
        <v>510</v>
      </c>
      <c r="AG231" s="206">
        <v>510</v>
      </c>
      <c r="AH231" s="207">
        <v>475</v>
      </c>
      <c r="AI231" s="208" t="s">
        <v>641</v>
      </c>
      <c r="AJ231" s="194" t="s">
        <v>1596</v>
      </c>
      <c r="AK231" s="132" t="s">
        <v>1360</v>
      </c>
      <c r="AL231" s="213">
        <v>1</v>
      </c>
      <c r="AM231" s="212"/>
      <c r="AN231" s="211">
        <v>500</v>
      </c>
      <c r="AO231" s="212"/>
      <c r="AP231" s="194" t="s">
        <v>55</v>
      </c>
      <c r="AQ231" s="193" t="s">
        <v>1403</v>
      </c>
      <c r="AR231" s="210"/>
      <c r="AS231" s="209" t="s">
        <v>1943</v>
      </c>
      <c r="AT231" s="175"/>
      <c r="AU231" s="65" t="s">
        <v>25</v>
      </c>
      <c r="AV231" s="163" t="s">
        <v>15</v>
      </c>
      <c r="AW231" s="65">
        <v>1150</v>
      </c>
      <c r="AX231" s="196">
        <v>44746.639513888891</v>
      </c>
    </row>
    <row r="232" spans="1:50">
      <c r="A232" s="124" t="s">
        <v>100</v>
      </c>
      <c r="B232" s="109" t="s">
        <v>1320</v>
      </c>
      <c r="C232" s="214" t="s">
        <v>644</v>
      </c>
      <c r="D232" s="163" t="s">
        <v>2969</v>
      </c>
      <c r="E232" s="170">
        <v>107.51999999999998</v>
      </c>
      <c r="F232" s="171">
        <v>107.51999999999998</v>
      </c>
      <c r="G232" s="184">
        <v>107.51999999999998</v>
      </c>
      <c r="H232" s="204">
        <v>107.51999999999998</v>
      </c>
      <c r="I232" s="171">
        <v>107.51999999999998</v>
      </c>
      <c r="J232" s="184">
        <v>107.51999999999998</v>
      </c>
      <c r="K232" s="204">
        <v>107.51999999999998</v>
      </c>
      <c r="L232" s="171">
        <v>107.51999999999998</v>
      </c>
      <c r="M232" s="184">
        <v>107.51999999999998</v>
      </c>
      <c r="N232" s="204">
        <v>107.51999999999998</v>
      </c>
      <c r="O232" s="171">
        <v>107.51999999999998</v>
      </c>
      <c r="P232" s="207">
        <v>107.51999999999998</v>
      </c>
      <c r="Q232" s="204">
        <v>107.51999999999998</v>
      </c>
      <c r="R232" s="206">
        <v>107.51999999999998</v>
      </c>
      <c r="S232" s="207">
        <v>107.51999999999998</v>
      </c>
      <c r="T232" s="204">
        <v>107.51999999999998</v>
      </c>
      <c r="U232" s="206">
        <v>107.51999999999998</v>
      </c>
      <c r="V232" s="207">
        <v>107.51999999999998</v>
      </c>
      <c r="W232" s="204">
        <v>107.51999999999998</v>
      </c>
      <c r="X232" s="206">
        <v>107.51999999999998</v>
      </c>
      <c r="Y232" s="207">
        <v>107.51999999999998</v>
      </c>
      <c r="Z232" s="204">
        <v>107.51999999999998</v>
      </c>
      <c r="AA232" s="206">
        <v>107.51999999999998</v>
      </c>
      <c r="AB232" s="207">
        <v>107.51999999999998</v>
      </c>
      <c r="AC232" s="204">
        <v>107.51999999999998</v>
      </c>
      <c r="AD232" s="206">
        <v>107.51999999999998</v>
      </c>
      <c r="AE232" s="207">
        <v>107.51999999999998</v>
      </c>
      <c r="AF232" s="204">
        <v>107.51999999999998</v>
      </c>
      <c r="AG232" s="206">
        <v>107.51999999999998</v>
      </c>
      <c r="AH232" s="207">
        <v>107.51999999999998</v>
      </c>
      <c r="AI232" s="208" t="s">
        <v>645</v>
      </c>
      <c r="AJ232" s="194" t="s">
        <v>1429</v>
      </c>
      <c r="AK232" s="132" t="s">
        <v>1388</v>
      </c>
      <c r="AL232" s="213">
        <v>56</v>
      </c>
      <c r="AM232" s="212"/>
      <c r="AN232" s="211">
        <v>110.47999999999999</v>
      </c>
      <c r="AO232" s="212"/>
      <c r="AP232" s="194" t="s">
        <v>55</v>
      </c>
      <c r="AQ232" s="193" t="s">
        <v>1407</v>
      </c>
      <c r="AR232" s="210"/>
      <c r="AS232" s="209" t="s">
        <v>1558</v>
      </c>
      <c r="AT232" s="175"/>
      <c r="AU232" s="65" t="s">
        <v>25</v>
      </c>
      <c r="AV232" s="163" t="s">
        <v>1388</v>
      </c>
      <c r="AW232" s="65">
        <v>1461</v>
      </c>
      <c r="AX232" s="196">
        <v>44672.391747685186</v>
      </c>
    </row>
    <row r="233" spans="1:50">
      <c r="A233" s="124" t="s">
        <v>46</v>
      </c>
      <c r="B233" s="109" t="s">
        <v>1320</v>
      </c>
      <c r="C233" s="214" t="s">
        <v>998</v>
      </c>
      <c r="D233" s="163" t="s">
        <v>2971</v>
      </c>
      <c r="E233" s="170">
        <v>102.02499999999999</v>
      </c>
      <c r="F233" s="171">
        <v>102.02499999999999</v>
      </c>
      <c r="G233" s="184">
        <v>102.02499999999999</v>
      </c>
      <c r="H233" s="204">
        <v>102.02499999999999</v>
      </c>
      <c r="I233" s="171">
        <v>102.02499999999999</v>
      </c>
      <c r="J233" s="184">
        <v>102.02499999999999</v>
      </c>
      <c r="K233" s="204">
        <v>102.02499999999999</v>
      </c>
      <c r="L233" s="171">
        <v>102.02499999999999</v>
      </c>
      <c r="M233" s="184">
        <v>102.02499999999999</v>
      </c>
      <c r="N233" s="204">
        <v>102.02499999999999</v>
      </c>
      <c r="O233" s="171">
        <v>102.02499999999999</v>
      </c>
      <c r="P233" s="207">
        <v>102.02499999999999</v>
      </c>
      <c r="Q233" s="204">
        <v>102.02499999999999</v>
      </c>
      <c r="R233" s="206">
        <v>102.02499999999999</v>
      </c>
      <c r="S233" s="207">
        <v>102.02499999999999</v>
      </c>
      <c r="T233" s="204">
        <v>102.02499999999999</v>
      </c>
      <c r="U233" s="206">
        <v>102.02499999999999</v>
      </c>
      <c r="V233" s="207">
        <v>102.02499999999999</v>
      </c>
      <c r="W233" s="204">
        <v>102.02499999999999</v>
      </c>
      <c r="X233" s="206">
        <v>102.02499999999999</v>
      </c>
      <c r="Y233" s="207">
        <v>102.02499999999999</v>
      </c>
      <c r="Z233" s="204">
        <v>102.02499999999999</v>
      </c>
      <c r="AA233" s="206">
        <v>102.02499999999999</v>
      </c>
      <c r="AB233" s="207">
        <v>102.02499999999999</v>
      </c>
      <c r="AC233" s="204">
        <v>102.02499999999999</v>
      </c>
      <c r="AD233" s="206">
        <v>102.02499999999999</v>
      </c>
      <c r="AE233" s="207">
        <v>102.02499999999999</v>
      </c>
      <c r="AF233" s="204">
        <v>102.02499999999999</v>
      </c>
      <c r="AG233" s="206">
        <v>102.02499999999999</v>
      </c>
      <c r="AH233" s="207">
        <v>102.02499999999999</v>
      </c>
      <c r="AI233" s="208" t="s">
        <v>477</v>
      </c>
      <c r="AJ233" s="194" t="s">
        <v>1398</v>
      </c>
      <c r="AK233" s="132" t="s">
        <v>1388</v>
      </c>
      <c r="AL233" s="213">
        <v>77</v>
      </c>
      <c r="AM233" s="212"/>
      <c r="AN233" s="211">
        <v>102.02499999999999</v>
      </c>
      <c r="AO233" s="212"/>
      <c r="AP233" s="194" t="s">
        <v>55</v>
      </c>
      <c r="AQ233" s="193" t="s">
        <v>1407</v>
      </c>
      <c r="AR233" s="210"/>
      <c r="AS233" s="209" t="s">
        <v>1496</v>
      </c>
      <c r="AT233" s="175"/>
      <c r="AU233" s="65" t="s">
        <v>25</v>
      </c>
      <c r="AV233" s="163" t="s">
        <v>1388</v>
      </c>
      <c r="AW233" s="65">
        <v>1323</v>
      </c>
      <c r="AX233" s="196">
        <v>44671.384375000001</v>
      </c>
    </row>
    <row r="234" spans="1:50">
      <c r="A234" s="124" t="s">
        <v>62</v>
      </c>
      <c r="B234" s="109" t="s">
        <v>1320</v>
      </c>
      <c r="C234" s="214" t="s">
        <v>822</v>
      </c>
      <c r="D234" s="163" t="s">
        <v>2974</v>
      </c>
      <c r="E234" s="170">
        <v>25</v>
      </c>
      <c r="F234" s="171">
        <v>24.22</v>
      </c>
      <c r="G234" s="184">
        <v>23.1</v>
      </c>
      <c r="H234" s="204">
        <v>25</v>
      </c>
      <c r="I234" s="171">
        <v>24.22</v>
      </c>
      <c r="J234" s="184">
        <v>23.1</v>
      </c>
      <c r="K234" s="204">
        <v>25</v>
      </c>
      <c r="L234" s="171">
        <v>24.22</v>
      </c>
      <c r="M234" s="184">
        <v>23.1</v>
      </c>
      <c r="N234" s="204">
        <v>25</v>
      </c>
      <c r="O234" s="171">
        <v>24.22</v>
      </c>
      <c r="P234" s="207">
        <v>23.1</v>
      </c>
      <c r="Q234" s="204">
        <v>25</v>
      </c>
      <c r="R234" s="206">
        <v>24.22</v>
      </c>
      <c r="S234" s="207">
        <v>23.1</v>
      </c>
      <c r="T234" s="204">
        <v>25</v>
      </c>
      <c r="U234" s="206">
        <v>24.22</v>
      </c>
      <c r="V234" s="207">
        <v>23.1</v>
      </c>
      <c r="W234" s="204">
        <v>25</v>
      </c>
      <c r="X234" s="206">
        <v>24.22</v>
      </c>
      <c r="Y234" s="207">
        <v>23.1</v>
      </c>
      <c r="Z234" s="204">
        <v>25</v>
      </c>
      <c r="AA234" s="206">
        <v>24.22</v>
      </c>
      <c r="AB234" s="207">
        <v>23.1</v>
      </c>
      <c r="AC234" s="204">
        <v>25</v>
      </c>
      <c r="AD234" s="206">
        <v>24.22</v>
      </c>
      <c r="AE234" s="207">
        <v>23.1</v>
      </c>
      <c r="AF234" s="204">
        <v>25</v>
      </c>
      <c r="AG234" s="206">
        <v>24.22</v>
      </c>
      <c r="AH234" s="207">
        <v>23.1</v>
      </c>
      <c r="AI234" s="208" t="s">
        <v>2973</v>
      </c>
      <c r="AJ234" s="194" t="s">
        <v>1398</v>
      </c>
      <c r="AK234" s="132" t="s">
        <v>1388</v>
      </c>
      <c r="AL234" s="213">
        <v>1</v>
      </c>
      <c r="AM234" s="212"/>
      <c r="AN234" s="211">
        <v>25</v>
      </c>
      <c r="AO234" s="212"/>
      <c r="AP234" s="65" t="s">
        <v>55</v>
      </c>
      <c r="AQ234" s="193" t="s">
        <v>1407</v>
      </c>
      <c r="AR234" s="210"/>
      <c r="AS234" s="209" t="s">
        <v>1769</v>
      </c>
      <c r="AT234" s="175"/>
      <c r="AU234" s="65" t="s">
        <v>25</v>
      </c>
      <c r="AV234" s="163" t="s">
        <v>1388</v>
      </c>
      <c r="AW234" s="65">
        <v>1386</v>
      </c>
      <c r="AX234" s="196">
        <v>44671.432662037034</v>
      </c>
    </row>
    <row r="235" spans="1:50">
      <c r="A235" s="124" t="s">
        <v>62</v>
      </c>
      <c r="B235" s="109" t="s">
        <v>1320</v>
      </c>
      <c r="C235" s="214" t="s">
        <v>397</v>
      </c>
      <c r="D235" s="163" t="s">
        <v>399</v>
      </c>
      <c r="E235" s="170">
        <v>54.990000000000009</v>
      </c>
      <c r="F235" s="171">
        <v>53.430000000000007</v>
      </c>
      <c r="G235" s="184">
        <v>52.311999999999998</v>
      </c>
      <c r="H235" s="204">
        <v>54.990000000000009</v>
      </c>
      <c r="I235" s="171">
        <v>53.430000000000007</v>
      </c>
      <c r="J235" s="184">
        <v>52.311999999999998</v>
      </c>
      <c r="K235" s="204">
        <v>54.990000000000009</v>
      </c>
      <c r="L235" s="171">
        <v>53.430000000000007</v>
      </c>
      <c r="M235" s="184">
        <v>52.311999999999998</v>
      </c>
      <c r="N235" s="204">
        <v>54.990000000000009</v>
      </c>
      <c r="O235" s="171">
        <v>53.430000000000007</v>
      </c>
      <c r="P235" s="207">
        <v>52.311999999999998</v>
      </c>
      <c r="Q235" s="204">
        <v>54.990000000000009</v>
      </c>
      <c r="R235" s="206">
        <v>53.430000000000007</v>
      </c>
      <c r="S235" s="207">
        <v>52.311999999999998</v>
      </c>
      <c r="T235" s="204">
        <v>54.990000000000009</v>
      </c>
      <c r="U235" s="206">
        <v>53.430000000000007</v>
      </c>
      <c r="V235" s="207">
        <v>52.311999999999998</v>
      </c>
      <c r="W235" s="204">
        <v>54.990000000000009</v>
      </c>
      <c r="X235" s="206">
        <v>53.430000000000007</v>
      </c>
      <c r="Y235" s="207">
        <v>52.311999999999998</v>
      </c>
      <c r="Z235" s="204">
        <v>54.990000000000009</v>
      </c>
      <c r="AA235" s="206">
        <v>53.430000000000007</v>
      </c>
      <c r="AB235" s="207">
        <v>52.311999999999998</v>
      </c>
      <c r="AC235" s="204">
        <v>54.990000000000009</v>
      </c>
      <c r="AD235" s="206">
        <v>53.430000000000007</v>
      </c>
      <c r="AE235" s="207">
        <v>52.311999999999998</v>
      </c>
      <c r="AF235" s="204">
        <v>54.990000000000009</v>
      </c>
      <c r="AG235" s="206">
        <v>53.430000000000007</v>
      </c>
      <c r="AH235" s="207">
        <v>52.311999999999998</v>
      </c>
      <c r="AI235" s="208" t="s">
        <v>398</v>
      </c>
      <c r="AJ235" s="194" t="s">
        <v>1429</v>
      </c>
      <c r="AK235" s="132" t="s">
        <v>1388</v>
      </c>
      <c r="AL235" s="213">
        <v>26</v>
      </c>
      <c r="AM235" s="212"/>
      <c r="AN235" s="211">
        <v>55.64</v>
      </c>
      <c r="AO235" s="212"/>
      <c r="AP235" s="194" t="s">
        <v>131</v>
      </c>
      <c r="AQ235" s="193" t="s">
        <v>1407</v>
      </c>
      <c r="AR235" s="210" t="s">
        <v>2003</v>
      </c>
      <c r="AS235" s="209" t="s">
        <v>1547</v>
      </c>
      <c r="AT235" s="175"/>
      <c r="AU235" s="65" t="s">
        <v>25</v>
      </c>
      <c r="AV235" s="163" t="s">
        <v>1388</v>
      </c>
      <c r="AW235" s="65">
        <v>1591</v>
      </c>
      <c r="AX235" s="196">
        <v>44696.333865740744</v>
      </c>
    </row>
    <row r="236" spans="1:50">
      <c r="A236" s="124" t="s">
        <v>62</v>
      </c>
      <c r="B236" s="109" t="s">
        <v>1320</v>
      </c>
      <c r="C236" s="214" t="s">
        <v>460</v>
      </c>
      <c r="D236" s="163" t="s">
        <v>2976</v>
      </c>
      <c r="E236" s="170">
        <v>173</v>
      </c>
      <c r="F236" s="171">
        <v>150</v>
      </c>
      <c r="G236" s="184">
        <v>144</v>
      </c>
      <c r="H236" s="181">
        <v>173</v>
      </c>
      <c r="I236" s="171">
        <v>150</v>
      </c>
      <c r="J236" s="184">
        <v>144</v>
      </c>
      <c r="K236" s="181">
        <v>173</v>
      </c>
      <c r="L236" s="171">
        <v>150</v>
      </c>
      <c r="M236" s="184">
        <v>144</v>
      </c>
      <c r="N236" s="181">
        <v>173</v>
      </c>
      <c r="O236" s="171">
        <v>150</v>
      </c>
      <c r="P236" s="207">
        <v>144</v>
      </c>
      <c r="Q236" s="204">
        <v>173</v>
      </c>
      <c r="R236" s="206">
        <v>150</v>
      </c>
      <c r="S236" s="207">
        <v>144</v>
      </c>
      <c r="T236" s="204">
        <v>173</v>
      </c>
      <c r="U236" s="206">
        <v>150</v>
      </c>
      <c r="V236" s="207">
        <v>144</v>
      </c>
      <c r="W236" s="204">
        <v>173</v>
      </c>
      <c r="X236" s="206">
        <v>150</v>
      </c>
      <c r="Y236" s="207">
        <v>144</v>
      </c>
      <c r="Z236" s="204">
        <v>173</v>
      </c>
      <c r="AA236" s="206">
        <v>150</v>
      </c>
      <c r="AB236" s="207">
        <v>144</v>
      </c>
      <c r="AC236" s="204">
        <v>173</v>
      </c>
      <c r="AD236" s="206">
        <v>150</v>
      </c>
      <c r="AE236" s="207">
        <v>144</v>
      </c>
      <c r="AF236" s="204">
        <v>173</v>
      </c>
      <c r="AG236" s="206">
        <v>150</v>
      </c>
      <c r="AH236" s="207">
        <v>144</v>
      </c>
      <c r="AI236" s="208" t="s">
        <v>461</v>
      </c>
      <c r="AJ236" s="194" t="s">
        <v>1493</v>
      </c>
      <c r="AK236" s="132" t="s">
        <v>1360</v>
      </c>
      <c r="AL236" s="213">
        <v>1</v>
      </c>
      <c r="AM236" s="212"/>
      <c r="AN236" s="211">
        <v>173</v>
      </c>
      <c r="AO236" s="212"/>
      <c r="AP236" s="194" t="s">
        <v>55</v>
      </c>
      <c r="AQ236" s="193" t="s">
        <v>1403</v>
      </c>
      <c r="AR236" s="210"/>
      <c r="AS236" s="209" t="s">
        <v>1532</v>
      </c>
      <c r="AT236" s="175"/>
      <c r="AU236" s="65" t="s">
        <v>25</v>
      </c>
      <c r="AV236" s="163" t="s">
        <v>14</v>
      </c>
      <c r="AW236" s="65">
        <v>1433</v>
      </c>
      <c r="AX236" s="196">
        <v>44658.64675925926</v>
      </c>
    </row>
    <row r="237" spans="1:50">
      <c r="A237" s="124" t="s">
        <v>62</v>
      </c>
      <c r="B237" s="109" t="s">
        <v>1320</v>
      </c>
      <c r="C237" s="214" t="s">
        <v>460</v>
      </c>
      <c r="D237" s="163" t="s">
        <v>2977</v>
      </c>
      <c r="E237" s="170">
        <v>173</v>
      </c>
      <c r="F237" s="171">
        <v>150</v>
      </c>
      <c r="G237" s="184">
        <v>144</v>
      </c>
      <c r="H237" s="181">
        <v>173</v>
      </c>
      <c r="I237" s="171">
        <v>150</v>
      </c>
      <c r="J237" s="184">
        <v>144</v>
      </c>
      <c r="K237" s="181">
        <v>173</v>
      </c>
      <c r="L237" s="171">
        <v>150</v>
      </c>
      <c r="M237" s="184">
        <v>144</v>
      </c>
      <c r="N237" s="181">
        <v>173</v>
      </c>
      <c r="O237" s="171">
        <v>150</v>
      </c>
      <c r="P237" s="207">
        <v>144</v>
      </c>
      <c r="Q237" s="204">
        <v>173</v>
      </c>
      <c r="R237" s="206">
        <v>150</v>
      </c>
      <c r="S237" s="207">
        <v>144</v>
      </c>
      <c r="T237" s="204">
        <v>173</v>
      </c>
      <c r="U237" s="206">
        <v>150</v>
      </c>
      <c r="V237" s="207">
        <v>144</v>
      </c>
      <c r="W237" s="204">
        <v>173</v>
      </c>
      <c r="X237" s="206">
        <v>150</v>
      </c>
      <c r="Y237" s="207">
        <v>144</v>
      </c>
      <c r="Z237" s="204">
        <v>173</v>
      </c>
      <c r="AA237" s="206">
        <v>150</v>
      </c>
      <c r="AB237" s="207">
        <v>144</v>
      </c>
      <c r="AC237" s="204">
        <v>173</v>
      </c>
      <c r="AD237" s="206">
        <v>150</v>
      </c>
      <c r="AE237" s="207">
        <v>144</v>
      </c>
      <c r="AF237" s="204">
        <v>173</v>
      </c>
      <c r="AG237" s="206">
        <v>150</v>
      </c>
      <c r="AH237" s="207">
        <v>144</v>
      </c>
      <c r="AI237" s="208" t="s">
        <v>461</v>
      </c>
      <c r="AJ237" s="194" t="s">
        <v>1493</v>
      </c>
      <c r="AK237" s="132" t="s">
        <v>1360</v>
      </c>
      <c r="AL237" s="213">
        <v>1</v>
      </c>
      <c r="AM237" s="212"/>
      <c r="AN237" s="211">
        <v>173</v>
      </c>
      <c r="AO237" s="212"/>
      <c r="AP237" s="194" t="s">
        <v>55</v>
      </c>
      <c r="AQ237" s="193" t="s">
        <v>1403</v>
      </c>
      <c r="AR237" s="210"/>
      <c r="AS237" s="209" t="s">
        <v>1532</v>
      </c>
      <c r="AT237" s="175"/>
      <c r="AU237" s="65" t="s">
        <v>25</v>
      </c>
      <c r="AV237" s="163" t="s">
        <v>14</v>
      </c>
      <c r="AW237" s="65">
        <v>1433</v>
      </c>
      <c r="AX237" s="196">
        <v>44658.64675925926</v>
      </c>
    </row>
    <row r="238" spans="1:50">
      <c r="A238" s="124" t="s">
        <v>100</v>
      </c>
      <c r="B238" s="109" t="s">
        <v>1320</v>
      </c>
      <c r="C238" s="214" t="s">
        <v>2978</v>
      </c>
      <c r="D238" s="163" t="s">
        <v>2980</v>
      </c>
      <c r="E238" s="170">
        <v>63.008000000000003</v>
      </c>
      <c r="F238" s="171">
        <v>63.008000000000003</v>
      </c>
      <c r="G238" s="184">
        <v>40.991999999999997</v>
      </c>
      <c r="H238" s="181">
        <v>63.008000000000003</v>
      </c>
      <c r="I238" s="171">
        <v>63.008000000000003</v>
      </c>
      <c r="J238" s="184">
        <v>40.991999999999997</v>
      </c>
      <c r="K238" s="181">
        <v>63.008000000000003</v>
      </c>
      <c r="L238" s="171">
        <v>63.008000000000003</v>
      </c>
      <c r="M238" s="184">
        <v>40.991999999999997</v>
      </c>
      <c r="N238" s="181">
        <v>63.008000000000003</v>
      </c>
      <c r="O238" s="171">
        <v>63.008000000000003</v>
      </c>
      <c r="P238" s="207">
        <v>40.991999999999997</v>
      </c>
      <c r="Q238" s="204">
        <v>63.008000000000003</v>
      </c>
      <c r="R238" s="206">
        <v>63.008000000000003</v>
      </c>
      <c r="S238" s="207">
        <v>40.991999999999997</v>
      </c>
      <c r="T238" s="204">
        <v>63.008000000000003</v>
      </c>
      <c r="U238" s="206">
        <v>63.008000000000003</v>
      </c>
      <c r="V238" s="207">
        <v>40.991999999999997</v>
      </c>
      <c r="W238" s="204">
        <v>63.008000000000003</v>
      </c>
      <c r="X238" s="206">
        <v>63.008000000000003</v>
      </c>
      <c r="Y238" s="207">
        <v>40.991999999999997</v>
      </c>
      <c r="Z238" s="204">
        <v>63.008000000000003</v>
      </c>
      <c r="AA238" s="206">
        <v>63.008000000000003</v>
      </c>
      <c r="AB238" s="207">
        <v>40.991999999999997</v>
      </c>
      <c r="AC238" s="204">
        <v>63.008000000000003</v>
      </c>
      <c r="AD238" s="206">
        <v>63.008000000000003</v>
      </c>
      <c r="AE238" s="207">
        <v>40.991999999999997</v>
      </c>
      <c r="AF238" s="204">
        <v>63.008000000000003</v>
      </c>
      <c r="AG238" s="206">
        <v>63.008000000000003</v>
      </c>
      <c r="AH238" s="207">
        <v>40.991999999999997</v>
      </c>
      <c r="AI238" s="208" t="s">
        <v>2979</v>
      </c>
      <c r="AJ238" s="194" t="s">
        <v>1419</v>
      </c>
      <c r="AK238" s="132" t="s">
        <v>17</v>
      </c>
      <c r="AL238" s="213">
        <v>32</v>
      </c>
      <c r="AM238" s="212"/>
      <c r="AN238" s="211">
        <v>67.2</v>
      </c>
      <c r="AO238" s="212"/>
      <c r="AP238" s="194" t="s">
        <v>55</v>
      </c>
      <c r="AQ238" s="193" t="s">
        <v>1407</v>
      </c>
      <c r="AR238" s="210"/>
      <c r="AS238" s="209" t="s">
        <v>1424</v>
      </c>
      <c r="AT238" s="175"/>
      <c r="AU238" s="65" t="s">
        <v>25</v>
      </c>
      <c r="AV238" s="163" t="s">
        <v>17</v>
      </c>
      <c r="AW238" s="65">
        <v>1152</v>
      </c>
      <c r="AX238" s="196">
        <v>44670.474363425928</v>
      </c>
    </row>
    <row r="239" spans="1:50">
      <c r="A239" s="124" t="s">
        <v>80</v>
      </c>
      <c r="B239" s="109" t="s">
        <v>1320</v>
      </c>
      <c r="C239" s="214" t="s">
        <v>440</v>
      </c>
      <c r="D239" s="163" t="s">
        <v>442</v>
      </c>
      <c r="E239" s="170">
        <v>186</v>
      </c>
      <c r="F239" s="171">
        <v>175</v>
      </c>
      <c r="G239" s="184">
        <v>172</v>
      </c>
      <c r="H239" s="181">
        <v>186</v>
      </c>
      <c r="I239" s="171">
        <v>175</v>
      </c>
      <c r="J239" s="184">
        <v>172</v>
      </c>
      <c r="K239" s="181">
        <v>0</v>
      </c>
      <c r="L239" s="171">
        <v>0</v>
      </c>
      <c r="M239" s="184">
        <v>0</v>
      </c>
      <c r="N239" s="181">
        <v>0</v>
      </c>
      <c r="O239" s="171">
        <v>0</v>
      </c>
      <c r="P239" s="207">
        <v>0</v>
      </c>
      <c r="Q239" s="204">
        <v>0</v>
      </c>
      <c r="R239" s="206">
        <v>0</v>
      </c>
      <c r="S239" s="207">
        <v>0</v>
      </c>
      <c r="T239" s="204">
        <v>0</v>
      </c>
      <c r="U239" s="206">
        <v>0</v>
      </c>
      <c r="V239" s="207">
        <v>0</v>
      </c>
      <c r="W239" s="204">
        <v>0</v>
      </c>
      <c r="X239" s="206">
        <v>0</v>
      </c>
      <c r="Y239" s="207">
        <v>0</v>
      </c>
      <c r="Z239" s="204">
        <v>0</v>
      </c>
      <c r="AA239" s="206">
        <v>0</v>
      </c>
      <c r="AB239" s="207">
        <v>0</v>
      </c>
      <c r="AC239" s="204"/>
      <c r="AD239" s="206"/>
      <c r="AE239" s="207"/>
      <c r="AF239" s="204"/>
      <c r="AG239" s="206"/>
      <c r="AH239" s="207"/>
      <c r="AI239" s="208" t="s">
        <v>441</v>
      </c>
      <c r="AJ239" s="194" t="s">
        <v>1980</v>
      </c>
      <c r="AK239" s="132" t="s">
        <v>1360</v>
      </c>
      <c r="AL239" s="213">
        <v>2</v>
      </c>
      <c r="AM239" s="212"/>
      <c r="AN239" s="211">
        <v>180</v>
      </c>
      <c r="AO239" s="212"/>
      <c r="AP239" s="194" t="s">
        <v>2166</v>
      </c>
      <c r="AQ239" s="193" t="s">
        <v>1403</v>
      </c>
      <c r="AR239" s="210"/>
      <c r="AS239" s="209" t="s">
        <v>1377</v>
      </c>
      <c r="AT239" s="175">
        <v>45291</v>
      </c>
      <c r="AU239" s="65" t="s">
        <v>24</v>
      </c>
      <c r="AV239" s="163" t="s">
        <v>13</v>
      </c>
      <c r="AW239" s="65">
        <v>1154</v>
      </c>
      <c r="AX239" s="196">
        <v>44670.474976851852</v>
      </c>
    </row>
    <row r="240" spans="1:50">
      <c r="A240" s="124" t="s">
        <v>46</v>
      </c>
      <c r="B240" s="109" t="s">
        <v>1320</v>
      </c>
      <c r="C240" s="214" t="s">
        <v>901</v>
      </c>
      <c r="D240" s="163" t="s">
        <v>3014</v>
      </c>
      <c r="E240" s="170">
        <v>50.5</v>
      </c>
      <c r="F240" s="171">
        <v>50.5</v>
      </c>
      <c r="G240" s="184">
        <v>50.5</v>
      </c>
      <c r="H240" s="181">
        <v>50.5</v>
      </c>
      <c r="I240" s="171">
        <v>50.5</v>
      </c>
      <c r="J240" s="184">
        <v>50.5</v>
      </c>
      <c r="K240" s="181">
        <v>50.5</v>
      </c>
      <c r="L240" s="171">
        <v>50.5</v>
      </c>
      <c r="M240" s="184">
        <v>50.5</v>
      </c>
      <c r="N240" s="181">
        <v>50.5</v>
      </c>
      <c r="O240" s="171">
        <v>50.5</v>
      </c>
      <c r="P240" s="207">
        <v>50.5</v>
      </c>
      <c r="Q240" s="204">
        <v>50.5</v>
      </c>
      <c r="R240" s="206">
        <v>50.5</v>
      </c>
      <c r="S240" s="207">
        <v>50.5</v>
      </c>
      <c r="T240" s="204">
        <v>50.5</v>
      </c>
      <c r="U240" s="206">
        <v>50.5</v>
      </c>
      <c r="V240" s="207">
        <v>50.5</v>
      </c>
      <c r="W240" s="204">
        <v>50.5</v>
      </c>
      <c r="X240" s="206">
        <v>50.5</v>
      </c>
      <c r="Y240" s="207">
        <v>50.5</v>
      </c>
      <c r="Z240" s="204">
        <v>50.5</v>
      </c>
      <c r="AA240" s="206">
        <v>50.5</v>
      </c>
      <c r="AB240" s="207">
        <v>50.5</v>
      </c>
      <c r="AC240" s="204">
        <v>50.5</v>
      </c>
      <c r="AD240" s="206">
        <v>50.5</v>
      </c>
      <c r="AE240" s="207">
        <v>50.5</v>
      </c>
      <c r="AF240" s="204">
        <v>50.5</v>
      </c>
      <c r="AG240" s="206">
        <v>50.5</v>
      </c>
      <c r="AH240" s="207">
        <v>50.5</v>
      </c>
      <c r="AI240" s="208" t="s">
        <v>3013</v>
      </c>
      <c r="AJ240" s="194" t="s">
        <v>1429</v>
      </c>
      <c r="AK240" s="132" t="s">
        <v>1388</v>
      </c>
      <c r="AL240" s="213">
        <v>1</v>
      </c>
      <c r="AM240" s="212"/>
      <c r="AN240" s="211">
        <v>55</v>
      </c>
      <c r="AO240" s="212"/>
      <c r="AP240" s="194" t="s">
        <v>55</v>
      </c>
      <c r="AQ240" s="193" t="s">
        <v>1407</v>
      </c>
      <c r="AR240" s="210"/>
      <c r="AS240" s="209" t="s">
        <v>1484</v>
      </c>
      <c r="AT240" s="175"/>
      <c r="AU240" s="65" t="s">
        <v>25</v>
      </c>
      <c r="AV240" s="163" t="s">
        <v>1388</v>
      </c>
      <c r="AW240" s="65">
        <v>1402</v>
      </c>
      <c r="AX240" s="196">
        <v>44671.438090277778</v>
      </c>
    </row>
    <row r="241" spans="1:50">
      <c r="A241" s="124" t="s">
        <v>80</v>
      </c>
      <c r="B241" s="109" t="s">
        <v>1320</v>
      </c>
      <c r="C241" s="214" t="s">
        <v>697</v>
      </c>
      <c r="D241" s="163" t="s">
        <v>3018</v>
      </c>
      <c r="E241" s="170">
        <v>498</v>
      </c>
      <c r="F241" s="171">
        <v>468</v>
      </c>
      <c r="G241" s="184">
        <v>416</v>
      </c>
      <c r="H241" s="170">
        <v>498</v>
      </c>
      <c r="I241" s="171">
        <v>468</v>
      </c>
      <c r="J241" s="184">
        <v>416</v>
      </c>
      <c r="K241" s="170">
        <v>498</v>
      </c>
      <c r="L241" s="171">
        <v>468</v>
      </c>
      <c r="M241" s="184">
        <v>416</v>
      </c>
      <c r="N241" s="170">
        <v>498</v>
      </c>
      <c r="O241" s="171">
        <v>468</v>
      </c>
      <c r="P241" s="184">
        <v>416</v>
      </c>
      <c r="Q241" s="170">
        <v>498</v>
      </c>
      <c r="R241" s="171">
        <v>468</v>
      </c>
      <c r="S241" s="184">
        <v>416</v>
      </c>
      <c r="T241" s="170">
        <v>498</v>
      </c>
      <c r="U241" s="171">
        <v>468</v>
      </c>
      <c r="V241" s="184">
        <v>416</v>
      </c>
      <c r="W241" s="170">
        <v>498</v>
      </c>
      <c r="X241" s="171">
        <v>468</v>
      </c>
      <c r="Y241" s="184">
        <v>416</v>
      </c>
      <c r="Z241" s="170">
        <v>498</v>
      </c>
      <c r="AA241" s="171">
        <v>468</v>
      </c>
      <c r="AB241" s="184">
        <v>416</v>
      </c>
      <c r="AC241" s="170">
        <v>498</v>
      </c>
      <c r="AD241" s="171">
        <v>468</v>
      </c>
      <c r="AE241" s="184">
        <v>416</v>
      </c>
      <c r="AF241" s="170">
        <v>498</v>
      </c>
      <c r="AG241" s="171">
        <v>468</v>
      </c>
      <c r="AH241" s="184">
        <v>416</v>
      </c>
      <c r="AI241" s="208" t="s">
        <v>3017</v>
      </c>
      <c r="AJ241" s="194" t="s">
        <v>1980</v>
      </c>
      <c r="AK241" s="132" t="s">
        <v>1360</v>
      </c>
      <c r="AL241" s="213">
        <v>3</v>
      </c>
      <c r="AM241" s="212"/>
      <c r="AN241" s="211">
        <v>529</v>
      </c>
      <c r="AO241" s="212"/>
      <c r="AP241" s="194" t="s">
        <v>55</v>
      </c>
      <c r="AQ241" s="193" t="s">
        <v>1403</v>
      </c>
      <c r="AR241" s="210"/>
      <c r="AS241" s="209" t="s">
        <v>1424</v>
      </c>
      <c r="AT241" s="175"/>
      <c r="AU241" s="65" t="s">
        <v>25</v>
      </c>
      <c r="AV241" s="163" t="s">
        <v>13</v>
      </c>
      <c r="AW241" s="65">
        <v>1158</v>
      </c>
      <c r="AX241" s="196">
        <v>44749</v>
      </c>
    </row>
    <row r="242" spans="1:50">
      <c r="A242" s="124" t="s">
        <v>95</v>
      </c>
      <c r="B242" s="109" t="s">
        <v>1320</v>
      </c>
      <c r="C242" s="214" t="s">
        <v>3047</v>
      </c>
      <c r="D242" s="163" t="s">
        <v>3048</v>
      </c>
      <c r="E242" s="170">
        <v>114</v>
      </c>
      <c r="F242" s="171">
        <v>114</v>
      </c>
      <c r="G242" s="184">
        <v>114</v>
      </c>
      <c r="H242" s="181">
        <v>114</v>
      </c>
      <c r="I242" s="171">
        <v>57</v>
      </c>
      <c r="J242" s="184">
        <v>57</v>
      </c>
      <c r="K242" s="181">
        <v>0</v>
      </c>
      <c r="L242" s="171">
        <v>57</v>
      </c>
      <c r="M242" s="184">
        <v>57</v>
      </c>
      <c r="N242" s="181">
        <v>114</v>
      </c>
      <c r="O242" s="171">
        <v>114</v>
      </c>
      <c r="P242" s="207">
        <v>114</v>
      </c>
      <c r="Q242" s="204">
        <v>114</v>
      </c>
      <c r="R242" s="206">
        <v>114</v>
      </c>
      <c r="S242" s="207">
        <v>114</v>
      </c>
      <c r="T242" s="204">
        <v>114</v>
      </c>
      <c r="U242" s="206">
        <v>114</v>
      </c>
      <c r="V242" s="207">
        <v>114</v>
      </c>
      <c r="W242" s="204">
        <v>57</v>
      </c>
      <c r="X242" s="206">
        <v>114</v>
      </c>
      <c r="Y242" s="207">
        <v>114</v>
      </c>
      <c r="Z242" s="204">
        <v>114</v>
      </c>
      <c r="AA242" s="206">
        <v>114</v>
      </c>
      <c r="AB242" s="207">
        <v>114</v>
      </c>
      <c r="AC242" s="204">
        <v>57</v>
      </c>
      <c r="AD242" s="206">
        <v>114</v>
      </c>
      <c r="AE242" s="207">
        <v>114</v>
      </c>
      <c r="AF242" s="204">
        <v>114</v>
      </c>
      <c r="AG242" s="206">
        <v>114</v>
      </c>
      <c r="AH242" s="207">
        <v>114</v>
      </c>
      <c r="AI242" s="208" t="s">
        <v>1585</v>
      </c>
      <c r="AJ242" s="194" t="s">
        <v>1539</v>
      </c>
      <c r="AK242" s="132" t="s">
        <v>18</v>
      </c>
      <c r="AL242" s="213">
        <v>2</v>
      </c>
      <c r="AM242" s="212"/>
      <c r="AN242" s="211">
        <v>100</v>
      </c>
      <c r="AO242" s="212"/>
      <c r="AP242" s="194" t="s">
        <v>55</v>
      </c>
      <c r="AQ242" s="193" t="s">
        <v>1403</v>
      </c>
      <c r="AR242" s="210"/>
      <c r="AS242" s="209" t="s">
        <v>1588</v>
      </c>
      <c r="AT242" s="175"/>
      <c r="AU242" s="65" t="s">
        <v>25</v>
      </c>
      <c r="AV242" s="163" t="s">
        <v>18</v>
      </c>
      <c r="AW242" s="65">
        <v>1162</v>
      </c>
      <c r="AX242" s="196">
        <v>44672.652638888889</v>
      </c>
    </row>
    <row r="243" spans="1:50">
      <c r="A243" s="124" t="s">
        <v>95</v>
      </c>
      <c r="B243" s="109" t="s">
        <v>1320</v>
      </c>
      <c r="C243" s="214" t="s">
        <v>3047</v>
      </c>
      <c r="D243" s="163" t="s">
        <v>3049</v>
      </c>
      <c r="E243" s="170">
        <v>228</v>
      </c>
      <c r="F243" s="171">
        <v>228</v>
      </c>
      <c r="G243" s="184">
        <v>228</v>
      </c>
      <c r="H243" s="181">
        <v>171</v>
      </c>
      <c r="I243" s="171">
        <v>228</v>
      </c>
      <c r="J243" s="184">
        <v>228</v>
      </c>
      <c r="K243" s="181">
        <v>0</v>
      </c>
      <c r="L243" s="171">
        <v>228</v>
      </c>
      <c r="M243" s="184">
        <v>228</v>
      </c>
      <c r="N243" s="181">
        <v>171</v>
      </c>
      <c r="O243" s="171">
        <v>171</v>
      </c>
      <c r="P243" s="207">
        <v>171</v>
      </c>
      <c r="Q243" s="204">
        <v>228</v>
      </c>
      <c r="R243" s="206">
        <v>171</v>
      </c>
      <c r="S243" s="207">
        <v>171</v>
      </c>
      <c r="T243" s="204">
        <v>171</v>
      </c>
      <c r="U243" s="206">
        <v>228</v>
      </c>
      <c r="V243" s="207">
        <v>228</v>
      </c>
      <c r="W243" s="204">
        <v>228</v>
      </c>
      <c r="X243" s="206">
        <v>228</v>
      </c>
      <c r="Y243" s="207">
        <v>228</v>
      </c>
      <c r="Z243" s="204">
        <v>171</v>
      </c>
      <c r="AA243" s="206">
        <v>171</v>
      </c>
      <c r="AB243" s="207">
        <v>171</v>
      </c>
      <c r="AC243" s="204">
        <v>171</v>
      </c>
      <c r="AD243" s="206">
        <v>228</v>
      </c>
      <c r="AE243" s="207">
        <v>228</v>
      </c>
      <c r="AF243" s="204">
        <v>228</v>
      </c>
      <c r="AG243" s="206">
        <v>228</v>
      </c>
      <c r="AH243" s="207">
        <v>228</v>
      </c>
      <c r="AI243" s="208" t="s">
        <v>1585</v>
      </c>
      <c r="AJ243" s="194" t="s">
        <v>1539</v>
      </c>
      <c r="AK243" s="132" t="s">
        <v>18</v>
      </c>
      <c r="AL243" s="213">
        <v>4</v>
      </c>
      <c r="AM243" s="212"/>
      <c r="AN243" s="211">
        <v>200</v>
      </c>
      <c r="AO243" s="212"/>
      <c r="AP243" s="194" t="s">
        <v>55</v>
      </c>
      <c r="AQ243" s="193" t="s">
        <v>1403</v>
      </c>
      <c r="AR243" s="210"/>
      <c r="AS243" s="209" t="s">
        <v>1588</v>
      </c>
      <c r="AT243" s="175"/>
      <c r="AU243" s="65" t="s">
        <v>25</v>
      </c>
      <c r="AV243" s="163" t="s">
        <v>18</v>
      </c>
      <c r="AW243" s="65">
        <v>1162</v>
      </c>
      <c r="AX243" s="196">
        <v>44672.652638888889</v>
      </c>
    </row>
    <row r="244" spans="1:50">
      <c r="A244" s="124" t="s">
        <v>80</v>
      </c>
      <c r="B244" s="109" t="s">
        <v>1385</v>
      </c>
      <c r="C244" s="214" t="s">
        <v>198</v>
      </c>
      <c r="D244" s="163" t="s">
        <v>208</v>
      </c>
      <c r="E244" s="170">
        <v>79.2</v>
      </c>
      <c r="F244" s="171">
        <v>79.2</v>
      </c>
      <c r="G244" s="184">
        <v>79.2</v>
      </c>
      <c r="H244" s="181">
        <v>79.2</v>
      </c>
      <c r="I244" s="171">
        <v>79.2</v>
      </c>
      <c r="J244" s="184">
        <v>79.2</v>
      </c>
      <c r="K244" s="181">
        <v>79.2</v>
      </c>
      <c r="L244" s="171">
        <v>79.2</v>
      </c>
      <c r="M244" s="184">
        <v>79.2</v>
      </c>
      <c r="N244" s="181">
        <v>79.2</v>
      </c>
      <c r="O244" s="171">
        <v>79.2</v>
      </c>
      <c r="P244" s="207">
        <v>79.2</v>
      </c>
      <c r="Q244" s="204">
        <v>79.2</v>
      </c>
      <c r="R244" s="206">
        <v>79.2</v>
      </c>
      <c r="S244" s="207">
        <v>79.2</v>
      </c>
      <c r="T244" s="204">
        <v>79.2</v>
      </c>
      <c r="U244" s="206">
        <v>79.2</v>
      </c>
      <c r="V244" s="207">
        <v>79.2</v>
      </c>
      <c r="W244" s="204">
        <v>79.2</v>
      </c>
      <c r="X244" s="206">
        <v>79.2</v>
      </c>
      <c r="Y244" s="207">
        <v>79.2</v>
      </c>
      <c r="Z244" s="204">
        <v>79.2</v>
      </c>
      <c r="AA244" s="206">
        <v>79.2</v>
      </c>
      <c r="AB244" s="207">
        <v>79.2</v>
      </c>
      <c r="AC244" s="204">
        <v>79.2</v>
      </c>
      <c r="AD244" s="206">
        <v>79.2</v>
      </c>
      <c r="AE244" s="207">
        <v>79.2</v>
      </c>
      <c r="AF244" s="204">
        <v>79.2</v>
      </c>
      <c r="AG244" s="206">
        <v>79.2</v>
      </c>
      <c r="AH244" s="207">
        <v>79.2</v>
      </c>
      <c r="AI244" s="208" t="s">
        <v>199</v>
      </c>
      <c r="AJ244" s="194" t="s">
        <v>1398</v>
      </c>
      <c r="AK244" s="132" t="s">
        <v>1388</v>
      </c>
      <c r="AL244" s="213">
        <v>36</v>
      </c>
      <c r="AM244" s="212"/>
      <c r="AN244" s="211">
        <v>79.2</v>
      </c>
      <c r="AO244" s="212"/>
      <c r="AP244" s="194" t="s">
        <v>27</v>
      </c>
      <c r="AQ244" s="193" t="s">
        <v>1407</v>
      </c>
      <c r="AR244" s="210" t="s">
        <v>1537</v>
      </c>
      <c r="AS244" s="209" t="s">
        <v>1457</v>
      </c>
      <c r="AT244" s="175"/>
      <c r="AU244" s="65" t="s">
        <v>27</v>
      </c>
      <c r="AV244" s="163" t="s">
        <v>1388</v>
      </c>
      <c r="AW244" s="65">
        <v>1392</v>
      </c>
      <c r="AX244" s="196">
        <v>44743.458368055559</v>
      </c>
    </row>
    <row r="245" spans="1:50">
      <c r="A245" s="124" t="s">
        <v>80</v>
      </c>
      <c r="B245" s="109" t="s">
        <v>1385</v>
      </c>
      <c r="C245" s="214" t="s">
        <v>200</v>
      </c>
      <c r="D245" s="163" t="s">
        <v>208</v>
      </c>
      <c r="E245" s="170">
        <v>210</v>
      </c>
      <c r="F245" s="171">
        <v>210</v>
      </c>
      <c r="G245" s="184">
        <v>210</v>
      </c>
      <c r="H245" s="181">
        <v>210</v>
      </c>
      <c r="I245" s="171">
        <v>210</v>
      </c>
      <c r="J245" s="184">
        <v>210</v>
      </c>
      <c r="K245" s="181">
        <v>210</v>
      </c>
      <c r="L245" s="171">
        <v>210</v>
      </c>
      <c r="M245" s="184">
        <v>210</v>
      </c>
      <c r="N245" s="181">
        <v>210</v>
      </c>
      <c r="O245" s="171">
        <v>210</v>
      </c>
      <c r="P245" s="207">
        <v>210</v>
      </c>
      <c r="Q245" s="204">
        <v>210</v>
      </c>
      <c r="R245" s="206">
        <v>210</v>
      </c>
      <c r="S245" s="207">
        <v>210</v>
      </c>
      <c r="T245" s="204">
        <v>210</v>
      </c>
      <c r="U245" s="206">
        <v>210</v>
      </c>
      <c r="V245" s="207">
        <v>210</v>
      </c>
      <c r="W245" s="204">
        <v>210</v>
      </c>
      <c r="X245" s="206">
        <v>210</v>
      </c>
      <c r="Y245" s="207">
        <v>210</v>
      </c>
      <c r="Z245" s="204">
        <v>210</v>
      </c>
      <c r="AA245" s="206">
        <v>210</v>
      </c>
      <c r="AB245" s="207">
        <v>210</v>
      </c>
      <c r="AC245" s="204">
        <v>210</v>
      </c>
      <c r="AD245" s="206">
        <v>210</v>
      </c>
      <c r="AE245" s="207">
        <v>210</v>
      </c>
      <c r="AF245" s="204">
        <v>210</v>
      </c>
      <c r="AG245" s="206">
        <v>210</v>
      </c>
      <c r="AH245" s="207">
        <v>210</v>
      </c>
      <c r="AI245" s="208" t="s">
        <v>199</v>
      </c>
      <c r="AJ245" s="194" t="s">
        <v>1419</v>
      </c>
      <c r="AK245" s="132" t="s">
        <v>17</v>
      </c>
      <c r="AL245" s="213">
        <v>50</v>
      </c>
      <c r="AM245" s="212"/>
      <c r="AN245" s="211">
        <v>210</v>
      </c>
      <c r="AO245" s="212">
        <v>0</v>
      </c>
      <c r="AP245" s="194" t="s">
        <v>27</v>
      </c>
      <c r="AQ245" s="193" t="s">
        <v>1407</v>
      </c>
      <c r="AR245" s="210" t="s">
        <v>1409</v>
      </c>
      <c r="AS245" s="209" t="s">
        <v>1474</v>
      </c>
      <c r="AT245" s="175"/>
      <c r="AU245" s="65" t="s">
        <v>27</v>
      </c>
      <c r="AV245" s="163" t="s">
        <v>17</v>
      </c>
      <c r="AW245" s="65">
        <v>1375</v>
      </c>
      <c r="AX245" s="196">
        <v>44743.456388888888</v>
      </c>
    </row>
    <row r="246" spans="1:50">
      <c r="A246" s="124" t="s">
        <v>80</v>
      </c>
      <c r="B246" s="109" t="s">
        <v>1320</v>
      </c>
      <c r="C246" s="214" t="s">
        <v>3056</v>
      </c>
      <c r="D246" s="163" t="s">
        <v>3057</v>
      </c>
      <c r="E246" s="170">
        <v>50</v>
      </c>
      <c r="F246" s="171">
        <v>42</v>
      </c>
      <c r="G246" s="184">
        <v>38</v>
      </c>
      <c r="H246" s="181">
        <v>50</v>
      </c>
      <c r="I246" s="171">
        <v>42</v>
      </c>
      <c r="J246" s="184">
        <v>38</v>
      </c>
      <c r="K246" s="181">
        <v>50</v>
      </c>
      <c r="L246" s="171">
        <v>42</v>
      </c>
      <c r="M246" s="184">
        <v>38</v>
      </c>
      <c r="N246" s="181">
        <v>50</v>
      </c>
      <c r="O246" s="171">
        <v>42</v>
      </c>
      <c r="P246" s="207">
        <v>38</v>
      </c>
      <c r="Q246" s="204">
        <v>50</v>
      </c>
      <c r="R246" s="206">
        <v>42</v>
      </c>
      <c r="S246" s="207">
        <v>38</v>
      </c>
      <c r="T246" s="204">
        <v>50</v>
      </c>
      <c r="U246" s="206">
        <v>42</v>
      </c>
      <c r="V246" s="207">
        <v>38</v>
      </c>
      <c r="W246" s="204">
        <v>50</v>
      </c>
      <c r="X246" s="206">
        <v>42</v>
      </c>
      <c r="Y246" s="207">
        <v>38</v>
      </c>
      <c r="Z246" s="204">
        <v>50</v>
      </c>
      <c r="AA246" s="206">
        <v>42</v>
      </c>
      <c r="AB246" s="207">
        <v>38</v>
      </c>
      <c r="AC246" s="204">
        <v>50</v>
      </c>
      <c r="AD246" s="206">
        <v>42</v>
      </c>
      <c r="AE246" s="207">
        <v>38</v>
      </c>
      <c r="AF246" s="204">
        <v>0</v>
      </c>
      <c r="AG246" s="206">
        <v>0</v>
      </c>
      <c r="AH246" s="207">
        <v>0</v>
      </c>
      <c r="AI246" s="208" t="s">
        <v>2103</v>
      </c>
      <c r="AJ246" s="194" t="s">
        <v>1493</v>
      </c>
      <c r="AK246" s="132" t="s">
        <v>1431</v>
      </c>
      <c r="AL246" s="213">
        <v>2</v>
      </c>
      <c r="AM246" s="212"/>
      <c r="AN246" s="211">
        <v>50</v>
      </c>
      <c r="AO246" s="212"/>
      <c r="AP246" s="194" t="s">
        <v>55</v>
      </c>
      <c r="AQ246" s="193" t="s">
        <v>1403</v>
      </c>
      <c r="AR246" s="210"/>
      <c r="AS246" s="209" t="s">
        <v>1655</v>
      </c>
      <c r="AT246" s="175"/>
      <c r="AU246" s="65" t="s">
        <v>25</v>
      </c>
      <c r="AV246" s="163" t="s">
        <v>14</v>
      </c>
      <c r="AW246" s="65">
        <v>1163</v>
      </c>
      <c r="AX246" s="196">
        <v>44670.482361111113</v>
      </c>
    </row>
    <row r="247" spans="1:50">
      <c r="A247" s="124" t="s">
        <v>80</v>
      </c>
      <c r="B247" s="109" t="s">
        <v>1320</v>
      </c>
      <c r="C247" s="214" t="s">
        <v>3056</v>
      </c>
      <c r="D247" s="163" t="s">
        <v>3058</v>
      </c>
      <c r="E247" s="170">
        <v>23.5</v>
      </c>
      <c r="F247" s="171">
        <v>19</v>
      </c>
      <c r="G247" s="184">
        <v>18</v>
      </c>
      <c r="H247" s="181">
        <v>23.5</v>
      </c>
      <c r="I247" s="171">
        <v>19</v>
      </c>
      <c r="J247" s="184">
        <v>18</v>
      </c>
      <c r="K247" s="181">
        <v>23.5</v>
      </c>
      <c r="L247" s="171">
        <v>19</v>
      </c>
      <c r="M247" s="184">
        <v>18</v>
      </c>
      <c r="N247" s="181">
        <v>23.5</v>
      </c>
      <c r="O247" s="171">
        <v>19</v>
      </c>
      <c r="P247" s="207">
        <v>18</v>
      </c>
      <c r="Q247" s="204">
        <v>23.5</v>
      </c>
      <c r="R247" s="206">
        <v>19</v>
      </c>
      <c r="S247" s="207">
        <v>18</v>
      </c>
      <c r="T247" s="204">
        <v>23.5</v>
      </c>
      <c r="U247" s="206">
        <v>19</v>
      </c>
      <c r="V247" s="207">
        <v>18</v>
      </c>
      <c r="W247" s="204">
        <v>23.5</v>
      </c>
      <c r="X247" s="206">
        <v>19</v>
      </c>
      <c r="Y247" s="207">
        <v>18</v>
      </c>
      <c r="Z247" s="204">
        <v>23.5</v>
      </c>
      <c r="AA247" s="206">
        <v>19</v>
      </c>
      <c r="AB247" s="207">
        <v>18</v>
      </c>
      <c r="AC247" s="204">
        <v>23.5</v>
      </c>
      <c r="AD247" s="206">
        <v>19</v>
      </c>
      <c r="AE247" s="207">
        <v>18</v>
      </c>
      <c r="AF247" s="204">
        <v>0</v>
      </c>
      <c r="AG247" s="206">
        <v>0</v>
      </c>
      <c r="AH247" s="207">
        <v>0</v>
      </c>
      <c r="AI247" s="208" t="s">
        <v>2103</v>
      </c>
      <c r="AJ247" s="194" t="s">
        <v>1493</v>
      </c>
      <c r="AK247" s="132" t="s">
        <v>1431</v>
      </c>
      <c r="AL247" s="213">
        <v>1</v>
      </c>
      <c r="AM247" s="212"/>
      <c r="AN247" s="211">
        <v>23.5</v>
      </c>
      <c r="AO247" s="212"/>
      <c r="AP247" s="194" t="s">
        <v>55</v>
      </c>
      <c r="AQ247" s="193" t="s">
        <v>1403</v>
      </c>
      <c r="AR247" s="210"/>
      <c r="AS247" s="209" t="s">
        <v>1655</v>
      </c>
      <c r="AT247" s="175"/>
      <c r="AU247" s="65" t="s">
        <v>25</v>
      </c>
      <c r="AV247" s="163" t="s">
        <v>14</v>
      </c>
      <c r="AW247" s="65">
        <v>1163</v>
      </c>
      <c r="AX247" s="196">
        <v>44670.482361111113</v>
      </c>
    </row>
    <row r="248" spans="1:50">
      <c r="A248" s="124" t="s">
        <v>80</v>
      </c>
      <c r="B248" s="109" t="s">
        <v>1320</v>
      </c>
      <c r="C248" s="214" t="s">
        <v>3060</v>
      </c>
      <c r="D248" s="163" t="s">
        <v>3061</v>
      </c>
      <c r="E248" s="170">
        <v>64.8</v>
      </c>
      <c r="F248" s="171">
        <v>64.8</v>
      </c>
      <c r="G248" s="184">
        <v>64.8</v>
      </c>
      <c r="H248" s="181">
        <v>64.8</v>
      </c>
      <c r="I248" s="171">
        <v>64.8</v>
      </c>
      <c r="J248" s="184">
        <v>64.8</v>
      </c>
      <c r="K248" s="181">
        <v>64.8</v>
      </c>
      <c r="L248" s="171">
        <v>64.8</v>
      </c>
      <c r="M248" s="184">
        <v>64.8</v>
      </c>
      <c r="N248" s="181">
        <v>64.8</v>
      </c>
      <c r="O248" s="171">
        <v>64.8</v>
      </c>
      <c r="P248" s="207">
        <v>64.8</v>
      </c>
      <c r="Q248" s="204">
        <v>64.8</v>
      </c>
      <c r="R248" s="206">
        <v>64.8</v>
      </c>
      <c r="S248" s="207">
        <v>64.8</v>
      </c>
      <c r="T248" s="204">
        <v>64.8</v>
      </c>
      <c r="U248" s="206">
        <v>64.8</v>
      </c>
      <c r="V248" s="207">
        <v>64.8</v>
      </c>
      <c r="W248" s="204">
        <v>64.8</v>
      </c>
      <c r="X248" s="206">
        <v>64.8</v>
      </c>
      <c r="Y248" s="207">
        <v>64.8</v>
      </c>
      <c r="Z248" s="204">
        <v>64.8</v>
      </c>
      <c r="AA248" s="206">
        <v>64.8</v>
      </c>
      <c r="AB248" s="207">
        <v>64.8</v>
      </c>
      <c r="AC248" s="204">
        <v>64.8</v>
      </c>
      <c r="AD248" s="206">
        <v>64.8</v>
      </c>
      <c r="AE248" s="207">
        <v>64.8</v>
      </c>
      <c r="AF248" s="204">
        <v>64.8</v>
      </c>
      <c r="AG248" s="206">
        <v>64.8</v>
      </c>
      <c r="AH248" s="207">
        <v>64.8</v>
      </c>
      <c r="AI248" s="208" t="s">
        <v>558</v>
      </c>
      <c r="AJ248" s="194" t="s">
        <v>1365</v>
      </c>
      <c r="AK248" s="132" t="s">
        <v>1431</v>
      </c>
      <c r="AL248" s="213">
        <v>36</v>
      </c>
      <c r="AM248" s="212"/>
      <c r="AN248" s="211">
        <v>57.6</v>
      </c>
      <c r="AO248" s="212"/>
      <c r="AP248" s="194" t="s">
        <v>55</v>
      </c>
      <c r="AQ248" s="193" t="s">
        <v>1403</v>
      </c>
      <c r="AR248" s="210"/>
      <c r="AS248" s="209" t="s">
        <v>1434</v>
      </c>
      <c r="AT248" s="175"/>
      <c r="AU248" s="65" t="s">
        <v>25</v>
      </c>
      <c r="AV248" s="163" t="s">
        <v>21</v>
      </c>
      <c r="AW248" s="65">
        <v>1391</v>
      </c>
      <c r="AX248" s="196">
        <v>44671.434247685182</v>
      </c>
    </row>
    <row r="249" spans="1:50">
      <c r="A249" s="124" t="s">
        <v>80</v>
      </c>
      <c r="B249" s="109" t="s">
        <v>1320</v>
      </c>
      <c r="C249" s="214" t="s">
        <v>495</v>
      </c>
      <c r="D249" s="163" t="s">
        <v>3085</v>
      </c>
      <c r="E249" s="170">
        <v>29</v>
      </c>
      <c r="F249" s="171">
        <v>23</v>
      </c>
      <c r="G249" s="184">
        <v>21</v>
      </c>
      <c r="H249" s="181">
        <v>29</v>
      </c>
      <c r="I249" s="171">
        <v>23</v>
      </c>
      <c r="J249" s="184">
        <v>21</v>
      </c>
      <c r="K249" s="181">
        <v>29</v>
      </c>
      <c r="L249" s="171">
        <v>23</v>
      </c>
      <c r="M249" s="184">
        <v>21</v>
      </c>
      <c r="N249" s="181">
        <v>29</v>
      </c>
      <c r="O249" s="171">
        <v>23</v>
      </c>
      <c r="P249" s="207">
        <v>21</v>
      </c>
      <c r="Q249" s="204">
        <v>29</v>
      </c>
      <c r="R249" s="206">
        <v>23</v>
      </c>
      <c r="S249" s="207">
        <v>21</v>
      </c>
      <c r="T249" s="204">
        <v>29</v>
      </c>
      <c r="U249" s="206">
        <v>23</v>
      </c>
      <c r="V249" s="207">
        <v>21</v>
      </c>
      <c r="W249" s="204">
        <v>29</v>
      </c>
      <c r="X249" s="206">
        <v>23</v>
      </c>
      <c r="Y249" s="207">
        <v>21</v>
      </c>
      <c r="Z249" s="204">
        <v>29</v>
      </c>
      <c r="AA249" s="206">
        <v>23</v>
      </c>
      <c r="AB249" s="207">
        <v>21</v>
      </c>
      <c r="AC249" s="204">
        <v>29</v>
      </c>
      <c r="AD249" s="206">
        <v>23</v>
      </c>
      <c r="AE249" s="207">
        <v>21</v>
      </c>
      <c r="AF249" s="204">
        <v>29</v>
      </c>
      <c r="AG249" s="206">
        <v>23</v>
      </c>
      <c r="AH249" s="207">
        <v>21</v>
      </c>
      <c r="AI249" s="208" t="s">
        <v>465</v>
      </c>
      <c r="AJ249" s="194" t="s">
        <v>1493</v>
      </c>
      <c r="AK249" s="132" t="s">
        <v>1360</v>
      </c>
      <c r="AL249" s="213">
        <v>1</v>
      </c>
      <c r="AM249" s="212"/>
      <c r="AN249" s="211">
        <v>29</v>
      </c>
      <c r="AO249" s="212"/>
      <c r="AP249" s="194" t="s">
        <v>55</v>
      </c>
      <c r="AQ249" s="193" t="s">
        <v>1403</v>
      </c>
      <c r="AR249" s="210"/>
      <c r="AS249" s="209" t="s">
        <v>1700</v>
      </c>
      <c r="AT249" s="175"/>
      <c r="AU249" s="65" t="s">
        <v>25</v>
      </c>
      <c r="AV249" s="163" t="s">
        <v>14</v>
      </c>
      <c r="AW249" s="65">
        <v>1166</v>
      </c>
      <c r="AX249" s="196">
        <v>44670.483252314814</v>
      </c>
    </row>
    <row r="250" spans="1:50">
      <c r="A250" s="124" t="s">
        <v>80</v>
      </c>
      <c r="B250" s="109" t="s">
        <v>1320</v>
      </c>
      <c r="C250" s="214" t="s">
        <v>495</v>
      </c>
      <c r="D250" s="163" t="s">
        <v>3086</v>
      </c>
      <c r="E250" s="170">
        <v>23</v>
      </c>
      <c r="F250" s="171">
        <v>20</v>
      </c>
      <c r="G250" s="184">
        <v>18</v>
      </c>
      <c r="H250" s="181">
        <v>23</v>
      </c>
      <c r="I250" s="171">
        <v>20</v>
      </c>
      <c r="J250" s="184">
        <v>18</v>
      </c>
      <c r="K250" s="181">
        <v>23</v>
      </c>
      <c r="L250" s="171">
        <v>20</v>
      </c>
      <c r="M250" s="184">
        <v>18</v>
      </c>
      <c r="N250" s="181">
        <v>23</v>
      </c>
      <c r="O250" s="171">
        <v>20</v>
      </c>
      <c r="P250" s="207">
        <v>18</v>
      </c>
      <c r="Q250" s="204">
        <v>23</v>
      </c>
      <c r="R250" s="206">
        <v>20</v>
      </c>
      <c r="S250" s="207">
        <v>18</v>
      </c>
      <c r="T250" s="204">
        <v>23</v>
      </c>
      <c r="U250" s="206">
        <v>20</v>
      </c>
      <c r="V250" s="207">
        <v>18</v>
      </c>
      <c r="W250" s="204">
        <v>23</v>
      </c>
      <c r="X250" s="206">
        <v>20</v>
      </c>
      <c r="Y250" s="207">
        <v>18</v>
      </c>
      <c r="Z250" s="204">
        <v>23</v>
      </c>
      <c r="AA250" s="206">
        <v>20</v>
      </c>
      <c r="AB250" s="207">
        <v>18</v>
      </c>
      <c r="AC250" s="204">
        <v>23</v>
      </c>
      <c r="AD250" s="206">
        <v>20</v>
      </c>
      <c r="AE250" s="207">
        <v>18</v>
      </c>
      <c r="AF250" s="204">
        <v>23</v>
      </c>
      <c r="AG250" s="206">
        <v>20</v>
      </c>
      <c r="AH250" s="207">
        <v>18</v>
      </c>
      <c r="AI250" s="208" t="s">
        <v>465</v>
      </c>
      <c r="AJ250" s="194" t="s">
        <v>1493</v>
      </c>
      <c r="AK250" s="132" t="s">
        <v>1360</v>
      </c>
      <c r="AL250" s="213">
        <v>1</v>
      </c>
      <c r="AM250" s="212"/>
      <c r="AN250" s="211">
        <v>24</v>
      </c>
      <c r="AO250" s="212"/>
      <c r="AP250" s="194" t="s">
        <v>55</v>
      </c>
      <c r="AQ250" s="193" t="s">
        <v>1403</v>
      </c>
      <c r="AR250" s="210"/>
      <c r="AS250" s="209" t="s">
        <v>1832</v>
      </c>
      <c r="AT250" s="175"/>
      <c r="AU250" s="65" t="s">
        <v>25</v>
      </c>
      <c r="AV250" s="163" t="s">
        <v>14</v>
      </c>
      <c r="AW250" s="65">
        <v>1166</v>
      </c>
      <c r="AX250" s="196">
        <v>44670.483252314814</v>
      </c>
    </row>
    <row r="251" spans="1:50">
      <c r="A251" s="124" t="s">
        <v>80</v>
      </c>
      <c r="B251" s="109" t="s">
        <v>1320</v>
      </c>
      <c r="C251" s="214" t="s">
        <v>495</v>
      </c>
      <c r="D251" s="163" t="s">
        <v>3087</v>
      </c>
      <c r="E251" s="170">
        <v>29</v>
      </c>
      <c r="F251" s="171">
        <v>23</v>
      </c>
      <c r="G251" s="184">
        <v>21</v>
      </c>
      <c r="H251" s="181">
        <v>29</v>
      </c>
      <c r="I251" s="171">
        <v>23</v>
      </c>
      <c r="J251" s="184">
        <v>21</v>
      </c>
      <c r="K251" s="181">
        <v>29</v>
      </c>
      <c r="L251" s="171">
        <v>23</v>
      </c>
      <c r="M251" s="184">
        <v>21</v>
      </c>
      <c r="N251" s="181">
        <v>29</v>
      </c>
      <c r="O251" s="171">
        <v>23</v>
      </c>
      <c r="P251" s="207">
        <v>21</v>
      </c>
      <c r="Q251" s="204">
        <v>29</v>
      </c>
      <c r="R251" s="206">
        <v>23</v>
      </c>
      <c r="S251" s="207">
        <v>21</v>
      </c>
      <c r="T251" s="204">
        <v>29</v>
      </c>
      <c r="U251" s="206">
        <v>23</v>
      </c>
      <c r="V251" s="207">
        <v>21</v>
      </c>
      <c r="W251" s="204">
        <v>29</v>
      </c>
      <c r="X251" s="206">
        <v>23</v>
      </c>
      <c r="Y251" s="207">
        <v>21</v>
      </c>
      <c r="Z251" s="204">
        <v>29</v>
      </c>
      <c r="AA251" s="206">
        <v>23</v>
      </c>
      <c r="AB251" s="207">
        <v>21</v>
      </c>
      <c r="AC251" s="204">
        <v>29</v>
      </c>
      <c r="AD251" s="206">
        <v>23</v>
      </c>
      <c r="AE251" s="207">
        <v>21</v>
      </c>
      <c r="AF251" s="204">
        <v>29</v>
      </c>
      <c r="AG251" s="206">
        <v>23</v>
      </c>
      <c r="AH251" s="207">
        <v>21</v>
      </c>
      <c r="AI251" s="208" t="s">
        <v>465</v>
      </c>
      <c r="AJ251" s="194" t="s">
        <v>1493</v>
      </c>
      <c r="AK251" s="132" t="s">
        <v>1360</v>
      </c>
      <c r="AL251" s="213">
        <v>1</v>
      </c>
      <c r="AM251" s="212"/>
      <c r="AN251" s="211">
        <v>29</v>
      </c>
      <c r="AO251" s="212"/>
      <c r="AP251" s="194" t="s">
        <v>55</v>
      </c>
      <c r="AQ251" s="193" t="s">
        <v>1403</v>
      </c>
      <c r="AR251" s="210"/>
      <c r="AS251" s="209" t="s">
        <v>1832</v>
      </c>
      <c r="AT251" s="175"/>
      <c r="AU251" s="65" t="s">
        <v>25</v>
      </c>
      <c r="AV251" s="163" t="s">
        <v>14</v>
      </c>
      <c r="AW251" s="65">
        <v>1166</v>
      </c>
      <c r="AX251" s="196">
        <v>44670.483252314814</v>
      </c>
    </row>
    <row r="252" spans="1:50">
      <c r="A252" s="124" t="s">
        <v>80</v>
      </c>
      <c r="B252" s="109" t="s">
        <v>1320</v>
      </c>
      <c r="C252" s="214" t="s">
        <v>495</v>
      </c>
      <c r="D252" s="163" t="s">
        <v>3088</v>
      </c>
      <c r="E252" s="170">
        <v>23</v>
      </c>
      <c r="F252" s="171">
        <v>20</v>
      </c>
      <c r="G252" s="184">
        <v>18</v>
      </c>
      <c r="H252" s="181">
        <v>23</v>
      </c>
      <c r="I252" s="171">
        <v>20</v>
      </c>
      <c r="J252" s="184">
        <v>18</v>
      </c>
      <c r="K252" s="181">
        <v>23</v>
      </c>
      <c r="L252" s="171">
        <v>20</v>
      </c>
      <c r="M252" s="184">
        <v>18</v>
      </c>
      <c r="N252" s="181">
        <v>23</v>
      </c>
      <c r="O252" s="171">
        <v>20</v>
      </c>
      <c r="P252" s="207">
        <v>18</v>
      </c>
      <c r="Q252" s="204">
        <v>23</v>
      </c>
      <c r="R252" s="206">
        <v>20</v>
      </c>
      <c r="S252" s="207">
        <v>18</v>
      </c>
      <c r="T252" s="204">
        <v>23</v>
      </c>
      <c r="U252" s="206">
        <v>20</v>
      </c>
      <c r="V252" s="207">
        <v>18</v>
      </c>
      <c r="W252" s="204">
        <v>23</v>
      </c>
      <c r="X252" s="206">
        <v>20</v>
      </c>
      <c r="Y252" s="207">
        <v>18</v>
      </c>
      <c r="Z252" s="204">
        <v>23</v>
      </c>
      <c r="AA252" s="206">
        <v>20</v>
      </c>
      <c r="AB252" s="207">
        <v>18</v>
      </c>
      <c r="AC252" s="204">
        <v>23</v>
      </c>
      <c r="AD252" s="206">
        <v>20</v>
      </c>
      <c r="AE252" s="207">
        <v>18</v>
      </c>
      <c r="AF252" s="204">
        <v>23</v>
      </c>
      <c r="AG252" s="206">
        <v>20</v>
      </c>
      <c r="AH252" s="207">
        <v>18</v>
      </c>
      <c r="AI252" s="208" t="s">
        <v>465</v>
      </c>
      <c r="AJ252" s="194" t="s">
        <v>1493</v>
      </c>
      <c r="AK252" s="132" t="s">
        <v>1360</v>
      </c>
      <c r="AL252" s="213">
        <v>1</v>
      </c>
      <c r="AM252" s="212"/>
      <c r="AN252" s="211">
        <v>24</v>
      </c>
      <c r="AO252" s="212"/>
      <c r="AP252" s="194" t="s">
        <v>55</v>
      </c>
      <c r="AQ252" s="193" t="s">
        <v>1403</v>
      </c>
      <c r="AR252" s="210"/>
      <c r="AS252" s="209" t="s">
        <v>2065</v>
      </c>
      <c r="AT252" s="175"/>
      <c r="AU252" s="65" t="s">
        <v>25</v>
      </c>
      <c r="AV252" s="163" t="s">
        <v>14</v>
      </c>
      <c r="AW252" s="65">
        <v>1166</v>
      </c>
      <c r="AX252" s="196">
        <v>44670.483252314814</v>
      </c>
    </row>
    <row r="253" spans="1:50">
      <c r="A253" s="124" t="s">
        <v>80</v>
      </c>
      <c r="B253" s="109" t="s">
        <v>1320</v>
      </c>
      <c r="C253" s="214" t="s">
        <v>495</v>
      </c>
      <c r="D253" s="163" t="s">
        <v>3089</v>
      </c>
      <c r="E253" s="170">
        <v>120</v>
      </c>
      <c r="F253" s="171">
        <v>114</v>
      </c>
      <c r="G253" s="184">
        <v>111</v>
      </c>
      <c r="H253" s="181">
        <v>120</v>
      </c>
      <c r="I253" s="171">
        <v>114</v>
      </c>
      <c r="J253" s="184">
        <v>111</v>
      </c>
      <c r="K253" s="181">
        <v>120</v>
      </c>
      <c r="L253" s="171">
        <v>114</v>
      </c>
      <c r="M253" s="184">
        <v>111</v>
      </c>
      <c r="N253" s="181">
        <v>120</v>
      </c>
      <c r="O253" s="171">
        <v>114</v>
      </c>
      <c r="P253" s="207">
        <v>111</v>
      </c>
      <c r="Q253" s="204">
        <v>120</v>
      </c>
      <c r="R253" s="206">
        <v>114</v>
      </c>
      <c r="S253" s="207">
        <v>111</v>
      </c>
      <c r="T253" s="204">
        <v>120</v>
      </c>
      <c r="U253" s="206">
        <v>114</v>
      </c>
      <c r="V253" s="207">
        <v>111</v>
      </c>
      <c r="W253" s="204">
        <v>120</v>
      </c>
      <c r="X253" s="206">
        <v>114</v>
      </c>
      <c r="Y253" s="207">
        <v>111</v>
      </c>
      <c r="Z253" s="204">
        <v>120</v>
      </c>
      <c r="AA253" s="206">
        <v>114</v>
      </c>
      <c r="AB253" s="207">
        <v>111</v>
      </c>
      <c r="AC253" s="204">
        <v>120</v>
      </c>
      <c r="AD253" s="206">
        <v>114</v>
      </c>
      <c r="AE253" s="207">
        <v>111</v>
      </c>
      <c r="AF253" s="204">
        <v>120</v>
      </c>
      <c r="AG253" s="206">
        <v>114</v>
      </c>
      <c r="AH253" s="207">
        <v>111</v>
      </c>
      <c r="AI253" s="208" t="s">
        <v>465</v>
      </c>
      <c r="AJ253" s="194" t="s">
        <v>1493</v>
      </c>
      <c r="AK253" s="132" t="s">
        <v>1360</v>
      </c>
      <c r="AL253" s="213">
        <v>1</v>
      </c>
      <c r="AM253" s="212"/>
      <c r="AN253" s="211">
        <v>128</v>
      </c>
      <c r="AO253" s="212"/>
      <c r="AP253" s="194" t="s">
        <v>55</v>
      </c>
      <c r="AQ253" s="193" t="s">
        <v>1403</v>
      </c>
      <c r="AR253" s="210"/>
      <c r="AS253" s="209" t="s">
        <v>1558</v>
      </c>
      <c r="AT253" s="175"/>
      <c r="AU253" s="65" t="s">
        <v>25</v>
      </c>
      <c r="AV253" s="163" t="s">
        <v>14</v>
      </c>
      <c r="AW253" s="65">
        <v>1166</v>
      </c>
      <c r="AX253" s="196">
        <v>44670.483252314814</v>
      </c>
    </row>
    <row r="254" spans="1:50">
      <c r="A254" s="124" t="s">
        <v>95</v>
      </c>
      <c r="B254" s="109" t="s">
        <v>1320</v>
      </c>
      <c r="C254" s="214" t="s">
        <v>3121</v>
      </c>
      <c r="D254" s="163" t="s">
        <v>3122</v>
      </c>
      <c r="E254" s="170">
        <v>116</v>
      </c>
      <c r="F254" s="171">
        <v>116</v>
      </c>
      <c r="G254" s="184">
        <v>116</v>
      </c>
      <c r="H254" s="181">
        <v>116</v>
      </c>
      <c r="I254" s="171">
        <v>116</v>
      </c>
      <c r="J254" s="184">
        <v>116</v>
      </c>
      <c r="K254" s="181">
        <v>116</v>
      </c>
      <c r="L254" s="171">
        <v>116</v>
      </c>
      <c r="M254" s="184">
        <v>116</v>
      </c>
      <c r="N254" s="181">
        <v>116</v>
      </c>
      <c r="O254" s="171">
        <v>116</v>
      </c>
      <c r="P254" s="207">
        <v>116</v>
      </c>
      <c r="Q254" s="204">
        <v>116</v>
      </c>
      <c r="R254" s="206">
        <v>0</v>
      </c>
      <c r="S254" s="207">
        <v>0</v>
      </c>
      <c r="T254" s="204">
        <v>120</v>
      </c>
      <c r="U254" s="206">
        <v>120</v>
      </c>
      <c r="V254" s="207">
        <v>120</v>
      </c>
      <c r="W254" s="204">
        <v>120</v>
      </c>
      <c r="X254" s="206">
        <v>120</v>
      </c>
      <c r="Y254" s="207">
        <v>120</v>
      </c>
      <c r="Z254" s="204">
        <v>120</v>
      </c>
      <c r="AA254" s="206">
        <v>120</v>
      </c>
      <c r="AB254" s="207">
        <v>120</v>
      </c>
      <c r="AC254" s="204">
        <v>120</v>
      </c>
      <c r="AD254" s="206">
        <v>120</v>
      </c>
      <c r="AE254" s="207">
        <v>120</v>
      </c>
      <c r="AF254" s="204">
        <v>120</v>
      </c>
      <c r="AG254" s="206">
        <v>120</v>
      </c>
      <c r="AH254" s="207">
        <v>120</v>
      </c>
      <c r="AI254" s="208" t="s">
        <v>1585</v>
      </c>
      <c r="AJ254" s="194" t="s">
        <v>1539</v>
      </c>
      <c r="AK254" s="132" t="s">
        <v>18</v>
      </c>
      <c r="AL254" s="213">
        <v>1</v>
      </c>
      <c r="AM254" s="212"/>
      <c r="AN254" s="211">
        <v>115.6</v>
      </c>
      <c r="AO254" s="212"/>
      <c r="AP254" s="194" t="s">
        <v>55</v>
      </c>
      <c r="AQ254" s="193" t="s">
        <v>1403</v>
      </c>
      <c r="AR254" s="210"/>
      <c r="AS254" s="209" t="s">
        <v>1588</v>
      </c>
      <c r="AT254" s="175"/>
      <c r="AU254" s="65" t="s">
        <v>25</v>
      </c>
      <c r="AV254" s="163" t="s">
        <v>18</v>
      </c>
      <c r="AW254" s="65">
        <v>1168</v>
      </c>
      <c r="AX254" s="196">
        <v>44670.611400462964</v>
      </c>
    </row>
    <row r="255" spans="1:50">
      <c r="A255" s="124" t="s">
        <v>95</v>
      </c>
      <c r="B255" s="109" t="s">
        <v>1320</v>
      </c>
      <c r="C255" s="214" t="s">
        <v>3121</v>
      </c>
      <c r="D255" s="163" t="s">
        <v>3124</v>
      </c>
      <c r="E255" s="170">
        <v>116</v>
      </c>
      <c r="F255" s="171">
        <v>116</v>
      </c>
      <c r="G255" s="184">
        <v>116</v>
      </c>
      <c r="H255" s="181">
        <v>116</v>
      </c>
      <c r="I255" s="171">
        <v>116</v>
      </c>
      <c r="J255" s="184">
        <v>116</v>
      </c>
      <c r="K255" s="181">
        <v>116</v>
      </c>
      <c r="L255" s="171">
        <v>116</v>
      </c>
      <c r="M255" s="184">
        <v>116</v>
      </c>
      <c r="N255" s="181">
        <v>116</v>
      </c>
      <c r="O255" s="171">
        <v>116</v>
      </c>
      <c r="P255" s="207">
        <v>116</v>
      </c>
      <c r="Q255" s="204">
        <v>116</v>
      </c>
      <c r="R255" s="206">
        <v>116</v>
      </c>
      <c r="S255" s="207">
        <v>116</v>
      </c>
      <c r="T255" s="204">
        <v>116</v>
      </c>
      <c r="U255" s="206">
        <v>116</v>
      </c>
      <c r="V255" s="207">
        <v>116</v>
      </c>
      <c r="W255" s="204">
        <v>116</v>
      </c>
      <c r="X255" s="206">
        <v>0</v>
      </c>
      <c r="Y255" s="207">
        <v>0</v>
      </c>
      <c r="Z255" s="204">
        <v>0</v>
      </c>
      <c r="AA255" s="206">
        <v>120</v>
      </c>
      <c r="AB255" s="207">
        <v>120</v>
      </c>
      <c r="AC255" s="204">
        <v>120</v>
      </c>
      <c r="AD255" s="206">
        <v>120</v>
      </c>
      <c r="AE255" s="207">
        <v>120</v>
      </c>
      <c r="AF255" s="204">
        <v>120</v>
      </c>
      <c r="AG255" s="206">
        <v>120</v>
      </c>
      <c r="AH255" s="207">
        <v>120</v>
      </c>
      <c r="AI255" s="208" t="s">
        <v>1585</v>
      </c>
      <c r="AJ255" s="194" t="s">
        <v>1539</v>
      </c>
      <c r="AK255" s="132" t="s">
        <v>18</v>
      </c>
      <c r="AL255" s="213">
        <v>1</v>
      </c>
      <c r="AM255" s="212"/>
      <c r="AN255" s="211">
        <v>115.6</v>
      </c>
      <c r="AO255" s="212"/>
      <c r="AP255" s="194" t="s">
        <v>55</v>
      </c>
      <c r="AQ255" s="193" t="s">
        <v>1403</v>
      </c>
      <c r="AR255" s="210"/>
      <c r="AS255" s="209" t="s">
        <v>1588</v>
      </c>
      <c r="AT255" s="175"/>
      <c r="AU255" s="65" t="s">
        <v>25</v>
      </c>
      <c r="AV255" s="163" t="s">
        <v>18</v>
      </c>
      <c r="AW255" s="65">
        <v>1168</v>
      </c>
      <c r="AX255" s="196">
        <v>44670.611400462964</v>
      </c>
    </row>
    <row r="256" spans="1:50">
      <c r="A256" s="124" t="s">
        <v>46</v>
      </c>
      <c r="B256" s="109" t="s">
        <v>1385</v>
      </c>
      <c r="C256" s="214" t="s">
        <v>286</v>
      </c>
      <c r="D256" s="163" t="s">
        <v>208</v>
      </c>
      <c r="E256" s="170">
        <v>0</v>
      </c>
      <c r="F256" s="171">
        <v>32.4</v>
      </c>
      <c r="G256" s="184">
        <v>32.4</v>
      </c>
      <c r="H256" s="181">
        <v>32.4</v>
      </c>
      <c r="I256" s="171">
        <v>32.4</v>
      </c>
      <c r="J256" s="184">
        <v>32.4</v>
      </c>
      <c r="K256" s="181">
        <v>32.4</v>
      </c>
      <c r="L256" s="171">
        <v>32.4</v>
      </c>
      <c r="M256" s="184">
        <v>32.4</v>
      </c>
      <c r="N256" s="181">
        <v>32.4</v>
      </c>
      <c r="O256" s="171">
        <v>32.4</v>
      </c>
      <c r="P256" s="207">
        <v>32.4</v>
      </c>
      <c r="Q256" s="204">
        <v>32.4</v>
      </c>
      <c r="R256" s="206">
        <v>32.4</v>
      </c>
      <c r="S256" s="207">
        <v>32.4</v>
      </c>
      <c r="T256" s="204">
        <v>32.4</v>
      </c>
      <c r="U256" s="206">
        <v>32.4</v>
      </c>
      <c r="V256" s="207">
        <v>32.4</v>
      </c>
      <c r="W256" s="204">
        <v>32.4</v>
      </c>
      <c r="X256" s="206">
        <v>32.4</v>
      </c>
      <c r="Y256" s="207">
        <v>32.4</v>
      </c>
      <c r="Z256" s="204">
        <v>32.4</v>
      </c>
      <c r="AA256" s="206">
        <v>32.4</v>
      </c>
      <c r="AB256" s="207">
        <v>32.4</v>
      </c>
      <c r="AC256" s="204">
        <v>32.4</v>
      </c>
      <c r="AD256" s="206">
        <v>32.4</v>
      </c>
      <c r="AE256" s="207">
        <v>32.4</v>
      </c>
      <c r="AF256" s="204">
        <v>32.4</v>
      </c>
      <c r="AG256" s="206">
        <v>32.4</v>
      </c>
      <c r="AH256" s="207">
        <v>32.4</v>
      </c>
      <c r="AI256" s="208" t="s">
        <v>287</v>
      </c>
      <c r="AJ256" s="194" t="s">
        <v>1429</v>
      </c>
      <c r="AK256" s="132" t="s">
        <v>1388</v>
      </c>
      <c r="AL256" s="213">
        <v>360</v>
      </c>
      <c r="AM256" s="212"/>
      <c r="AN256" s="211">
        <v>32.4</v>
      </c>
      <c r="AO256" s="212"/>
      <c r="AP256" s="194" t="s">
        <v>27</v>
      </c>
      <c r="AQ256" s="193" t="s">
        <v>1407</v>
      </c>
      <c r="AR256" s="210" t="s">
        <v>3144</v>
      </c>
      <c r="AS256" s="209" t="s">
        <v>1681</v>
      </c>
      <c r="AT256" s="175"/>
      <c r="AU256" s="65" t="s">
        <v>27</v>
      </c>
      <c r="AV256" s="163" t="s">
        <v>1388</v>
      </c>
      <c r="AW256" s="65">
        <v>1415</v>
      </c>
      <c r="AX256" s="196">
        <v>44742.449699074074</v>
      </c>
    </row>
    <row r="257" spans="1:50">
      <c r="A257" s="124" t="s">
        <v>62</v>
      </c>
      <c r="B257" s="109" t="s">
        <v>1320</v>
      </c>
      <c r="C257" s="214" t="s">
        <v>3155</v>
      </c>
      <c r="D257" s="163" t="s">
        <v>3156</v>
      </c>
      <c r="E257" s="170">
        <v>34</v>
      </c>
      <c r="F257" s="171">
        <v>30</v>
      </c>
      <c r="G257" s="184">
        <v>27</v>
      </c>
      <c r="H257" s="181">
        <v>34</v>
      </c>
      <c r="I257" s="171">
        <v>30</v>
      </c>
      <c r="J257" s="184">
        <v>27</v>
      </c>
      <c r="K257" s="181">
        <v>34</v>
      </c>
      <c r="L257" s="171">
        <v>30</v>
      </c>
      <c r="M257" s="184">
        <v>27</v>
      </c>
      <c r="N257" s="181">
        <v>34</v>
      </c>
      <c r="O257" s="171">
        <v>30</v>
      </c>
      <c r="P257" s="207">
        <v>27</v>
      </c>
      <c r="Q257" s="204">
        <v>34</v>
      </c>
      <c r="R257" s="206">
        <v>30</v>
      </c>
      <c r="S257" s="207">
        <v>27</v>
      </c>
      <c r="T257" s="204">
        <v>34</v>
      </c>
      <c r="U257" s="206">
        <v>30</v>
      </c>
      <c r="V257" s="207">
        <v>27</v>
      </c>
      <c r="W257" s="204">
        <v>34</v>
      </c>
      <c r="X257" s="206">
        <v>30</v>
      </c>
      <c r="Y257" s="207">
        <v>27</v>
      </c>
      <c r="Z257" s="204">
        <v>34</v>
      </c>
      <c r="AA257" s="206">
        <v>30</v>
      </c>
      <c r="AB257" s="207">
        <v>27</v>
      </c>
      <c r="AC257" s="204">
        <v>34</v>
      </c>
      <c r="AD257" s="206">
        <v>30</v>
      </c>
      <c r="AE257" s="207">
        <v>27</v>
      </c>
      <c r="AF257" s="204">
        <v>34</v>
      </c>
      <c r="AG257" s="206">
        <v>30</v>
      </c>
      <c r="AH257" s="207">
        <v>27</v>
      </c>
      <c r="AI257" s="208" t="s">
        <v>465</v>
      </c>
      <c r="AJ257" s="194" t="s">
        <v>1493</v>
      </c>
      <c r="AK257" s="132" t="s">
        <v>1360</v>
      </c>
      <c r="AL257" s="213">
        <v>1</v>
      </c>
      <c r="AM257" s="212"/>
      <c r="AN257" s="211">
        <v>40</v>
      </c>
      <c r="AO257" s="212"/>
      <c r="AP257" s="194" t="s">
        <v>55</v>
      </c>
      <c r="AQ257" s="193" t="s">
        <v>1403</v>
      </c>
      <c r="AR257" s="210"/>
      <c r="AS257" s="209" t="s">
        <v>1554</v>
      </c>
      <c r="AT257" s="175"/>
      <c r="AU257" s="65" t="s">
        <v>25</v>
      </c>
      <c r="AV257" s="163" t="s">
        <v>14</v>
      </c>
      <c r="AW257" s="65">
        <v>1173</v>
      </c>
      <c r="AX257" s="196">
        <v>44670.484074074076</v>
      </c>
    </row>
    <row r="258" spans="1:50">
      <c r="A258" s="124" t="s">
        <v>62</v>
      </c>
      <c r="B258" s="109" t="s">
        <v>1320</v>
      </c>
      <c r="C258" s="214" t="s">
        <v>3155</v>
      </c>
      <c r="D258" s="163" t="s">
        <v>3157</v>
      </c>
      <c r="E258" s="170">
        <v>34</v>
      </c>
      <c r="F258" s="171">
        <v>30</v>
      </c>
      <c r="G258" s="184">
        <v>27</v>
      </c>
      <c r="H258" s="181">
        <v>34</v>
      </c>
      <c r="I258" s="171">
        <v>30</v>
      </c>
      <c r="J258" s="184">
        <v>27</v>
      </c>
      <c r="K258" s="181">
        <v>34</v>
      </c>
      <c r="L258" s="171">
        <v>30</v>
      </c>
      <c r="M258" s="184">
        <v>27</v>
      </c>
      <c r="N258" s="181">
        <v>34</v>
      </c>
      <c r="O258" s="171">
        <v>30</v>
      </c>
      <c r="P258" s="207">
        <v>27</v>
      </c>
      <c r="Q258" s="204">
        <v>34</v>
      </c>
      <c r="R258" s="206">
        <v>30</v>
      </c>
      <c r="S258" s="207">
        <v>27</v>
      </c>
      <c r="T258" s="204">
        <v>34</v>
      </c>
      <c r="U258" s="206">
        <v>30</v>
      </c>
      <c r="V258" s="207">
        <v>27</v>
      </c>
      <c r="W258" s="204">
        <v>34</v>
      </c>
      <c r="X258" s="206">
        <v>30</v>
      </c>
      <c r="Y258" s="207">
        <v>27</v>
      </c>
      <c r="Z258" s="204">
        <v>34</v>
      </c>
      <c r="AA258" s="206">
        <v>30</v>
      </c>
      <c r="AB258" s="207">
        <v>27</v>
      </c>
      <c r="AC258" s="204">
        <v>34</v>
      </c>
      <c r="AD258" s="206">
        <v>30</v>
      </c>
      <c r="AE258" s="207">
        <v>27</v>
      </c>
      <c r="AF258" s="204">
        <v>34</v>
      </c>
      <c r="AG258" s="206">
        <v>30</v>
      </c>
      <c r="AH258" s="207">
        <v>27</v>
      </c>
      <c r="AI258" s="208" t="s">
        <v>465</v>
      </c>
      <c r="AJ258" s="194" t="s">
        <v>1493</v>
      </c>
      <c r="AK258" s="132" t="s">
        <v>1360</v>
      </c>
      <c r="AL258" s="213">
        <v>1</v>
      </c>
      <c r="AM258" s="212"/>
      <c r="AN258" s="211">
        <v>40</v>
      </c>
      <c r="AO258" s="212"/>
      <c r="AP258" s="194" t="s">
        <v>55</v>
      </c>
      <c r="AQ258" s="193" t="s">
        <v>1403</v>
      </c>
      <c r="AR258" s="210"/>
      <c r="AS258" s="209" t="s">
        <v>1554</v>
      </c>
      <c r="AT258" s="175"/>
      <c r="AU258" s="65" t="s">
        <v>25</v>
      </c>
      <c r="AV258" s="163" t="s">
        <v>14</v>
      </c>
      <c r="AW258" s="65">
        <v>1173</v>
      </c>
      <c r="AX258" s="196">
        <v>44670.484074074076</v>
      </c>
    </row>
    <row r="259" spans="1:50">
      <c r="A259" s="124" t="s">
        <v>62</v>
      </c>
      <c r="B259" s="109" t="s">
        <v>1320</v>
      </c>
      <c r="C259" s="214" t="s">
        <v>735</v>
      </c>
      <c r="D259" s="163" t="s">
        <v>3162</v>
      </c>
      <c r="E259" s="170">
        <v>115.968</v>
      </c>
      <c r="F259" s="171">
        <v>115.968</v>
      </c>
      <c r="G259" s="184">
        <v>115.968</v>
      </c>
      <c r="H259" s="181">
        <v>115.968</v>
      </c>
      <c r="I259" s="171">
        <v>115.968</v>
      </c>
      <c r="J259" s="184">
        <v>115.968</v>
      </c>
      <c r="K259" s="181">
        <v>115.968</v>
      </c>
      <c r="L259" s="171">
        <v>115.968</v>
      </c>
      <c r="M259" s="184">
        <v>115.968</v>
      </c>
      <c r="N259" s="181">
        <v>115.968</v>
      </c>
      <c r="O259" s="171">
        <v>115.968</v>
      </c>
      <c r="P259" s="207">
        <v>115.968</v>
      </c>
      <c r="Q259" s="204">
        <v>115.968</v>
      </c>
      <c r="R259" s="206">
        <v>115.968</v>
      </c>
      <c r="S259" s="207">
        <v>115.968</v>
      </c>
      <c r="T259" s="204">
        <v>115.968</v>
      </c>
      <c r="U259" s="206">
        <v>115.968</v>
      </c>
      <c r="V259" s="207">
        <v>115.968</v>
      </c>
      <c r="W259" s="204">
        <v>115.968</v>
      </c>
      <c r="X259" s="206">
        <v>115.968</v>
      </c>
      <c r="Y259" s="207">
        <v>115.968</v>
      </c>
      <c r="Z259" s="204">
        <v>115.968</v>
      </c>
      <c r="AA259" s="206">
        <v>115.968</v>
      </c>
      <c r="AB259" s="207">
        <v>115.968</v>
      </c>
      <c r="AC259" s="204">
        <v>115.968</v>
      </c>
      <c r="AD259" s="206">
        <v>115.968</v>
      </c>
      <c r="AE259" s="207">
        <v>115.968</v>
      </c>
      <c r="AF259" s="204">
        <v>115.968</v>
      </c>
      <c r="AG259" s="206">
        <v>115.968</v>
      </c>
      <c r="AH259" s="207">
        <v>115.968</v>
      </c>
      <c r="AI259" s="208" t="s">
        <v>3161</v>
      </c>
      <c r="AJ259" s="194" t="s">
        <v>1429</v>
      </c>
      <c r="AK259" s="132" t="s">
        <v>1388</v>
      </c>
      <c r="AL259" s="213">
        <v>64</v>
      </c>
      <c r="AM259" s="212"/>
      <c r="AN259" s="211">
        <v>128</v>
      </c>
      <c r="AO259" s="212"/>
      <c r="AP259" s="194" t="s">
        <v>55</v>
      </c>
      <c r="AQ259" s="193" t="s">
        <v>1407</v>
      </c>
      <c r="AR259" s="210"/>
      <c r="AS259" s="209" t="s">
        <v>1769</v>
      </c>
      <c r="AT259" s="175"/>
      <c r="AU259" s="65" t="s">
        <v>25</v>
      </c>
      <c r="AV259" s="163" t="s">
        <v>1388</v>
      </c>
      <c r="AW259" s="65">
        <v>1401</v>
      </c>
      <c r="AX259" s="196">
        <v>44658.643136574072</v>
      </c>
    </row>
    <row r="260" spans="1:50">
      <c r="A260" s="124" t="s">
        <v>62</v>
      </c>
      <c r="B260" s="109" t="s">
        <v>1320</v>
      </c>
      <c r="C260" s="214" t="s">
        <v>737</v>
      </c>
      <c r="D260" s="163" t="s">
        <v>3176</v>
      </c>
      <c r="E260" s="170">
        <v>65</v>
      </c>
      <c r="F260" s="171">
        <v>65</v>
      </c>
      <c r="G260" s="184">
        <v>65</v>
      </c>
      <c r="H260" s="181">
        <v>65</v>
      </c>
      <c r="I260" s="171">
        <v>65</v>
      </c>
      <c r="J260" s="184">
        <v>65</v>
      </c>
      <c r="K260" s="181">
        <v>65</v>
      </c>
      <c r="L260" s="171">
        <v>65</v>
      </c>
      <c r="M260" s="184">
        <v>65</v>
      </c>
      <c r="N260" s="181">
        <v>65</v>
      </c>
      <c r="O260" s="171">
        <v>65</v>
      </c>
      <c r="P260" s="207">
        <v>65</v>
      </c>
      <c r="Q260" s="204">
        <v>65</v>
      </c>
      <c r="R260" s="206">
        <v>65</v>
      </c>
      <c r="S260" s="207">
        <v>65</v>
      </c>
      <c r="T260" s="204">
        <v>65</v>
      </c>
      <c r="U260" s="206">
        <v>65</v>
      </c>
      <c r="V260" s="207">
        <v>65</v>
      </c>
      <c r="W260" s="204">
        <v>65</v>
      </c>
      <c r="X260" s="206">
        <v>65</v>
      </c>
      <c r="Y260" s="207">
        <v>65</v>
      </c>
      <c r="Z260" s="204">
        <v>65</v>
      </c>
      <c r="AA260" s="206">
        <v>65</v>
      </c>
      <c r="AB260" s="207">
        <v>65</v>
      </c>
      <c r="AC260" s="204">
        <v>65</v>
      </c>
      <c r="AD260" s="206">
        <v>65</v>
      </c>
      <c r="AE260" s="207">
        <v>65</v>
      </c>
      <c r="AF260" s="204">
        <v>65</v>
      </c>
      <c r="AG260" s="206">
        <v>65</v>
      </c>
      <c r="AH260" s="207">
        <v>65</v>
      </c>
      <c r="AI260" s="208" t="s">
        <v>3175</v>
      </c>
      <c r="AJ260" s="194" t="s">
        <v>1429</v>
      </c>
      <c r="AK260" s="132" t="s">
        <v>1388</v>
      </c>
      <c r="AL260" s="213">
        <v>1</v>
      </c>
      <c r="AM260" s="212"/>
      <c r="AN260" s="211">
        <v>65</v>
      </c>
      <c r="AO260" s="212"/>
      <c r="AP260" s="194" t="s">
        <v>55</v>
      </c>
      <c r="AQ260" s="193" t="s">
        <v>1407</v>
      </c>
      <c r="AR260" s="210"/>
      <c r="AS260" s="209" t="s">
        <v>1547</v>
      </c>
      <c r="AT260" s="175"/>
      <c r="AU260" s="65" t="s">
        <v>25</v>
      </c>
      <c r="AV260" s="163" t="s">
        <v>1388</v>
      </c>
      <c r="AW260" s="65">
        <v>1493</v>
      </c>
      <c r="AX260" s="196">
        <v>44671.466249999998</v>
      </c>
    </row>
    <row r="261" spans="1:50">
      <c r="A261" s="124" t="s">
        <v>46</v>
      </c>
      <c r="B261" s="109" t="s">
        <v>1385</v>
      </c>
      <c r="C261" s="214" t="s">
        <v>220</v>
      </c>
      <c r="D261" s="163" t="s">
        <v>208</v>
      </c>
      <c r="E261" s="170">
        <v>0</v>
      </c>
      <c r="F261" s="171">
        <v>0</v>
      </c>
      <c r="G261" s="184">
        <v>0</v>
      </c>
      <c r="H261" s="204">
        <v>0</v>
      </c>
      <c r="I261" s="171">
        <v>335.28000000000003</v>
      </c>
      <c r="J261" s="184">
        <v>225.06</v>
      </c>
      <c r="K261" s="204">
        <v>386.09999999999997</v>
      </c>
      <c r="L261" s="171">
        <v>335.28000000000003</v>
      </c>
      <c r="M261" s="184">
        <v>225.06</v>
      </c>
      <c r="N261" s="204">
        <v>386.09999999999997</v>
      </c>
      <c r="O261" s="171">
        <v>335.28000000000003</v>
      </c>
      <c r="P261" s="207">
        <v>225.06</v>
      </c>
      <c r="Q261" s="204">
        <v>386.09999999999997</v>
      </c>
      <c r="R261" s="206">
        <v>335.28000000000003</v>
      </c>
      <c r="S261" s="207">
        <v>225.06</v>
      </c>
      <c r="T261" s="204">
        <v>386.09999999999997</v>
      </c>
      <c r="U261" s="206">
        <v>335.28000000000003</v>
      </c>
      <c r="V261" s="207">
        <v>225.06</v>
      </c>
      <c r="W261" s="204">
        <v>386.09999999999997</v>
      </c>
      <c r="X261" s="206">
        <v>335.28000000000003</v>
      </c>
      <c r="Y261" s="207">
        <v>225.06</v>
      </c>
      <c r="Z261" s="204">
        <v>386.09999999999997</v>
      </c>
      <c r="AA261" s="206">
        <v>335.28000000000003</v>
      </c>
      <c r="AB261" s="207">
        <v>225.06</v>
      </c>
      <c r="AC261" s="204">
        <v>386.09999999999997</v>
      </c>
      <c r="AD261" s="206">
        <v>335.28000000000003</v>
      </c>
      <c r="AE261" s="207">
        <v>225.06</v>
      </c>
      <c r="AF261" s="204">
        <v>386.09999999999997</v>
      </c>
      <c r="AG261" s="206">
        <v>335.28000000000003</v>
      </c>
      <c r="AH261" s="207">
        <v>225.06</v>
      </c>
      <c r="AI261" s="208" t="s">
        <v>221</v>
      </c>
      <c r="AJ261" s="194" t="s">
        <v>1419</v>
      </c>
      <c r="AK261" s="132" t="s">
        <v>17</v>
      </c>
      <c r="AL261" s="213">
        <v>66</v>
      </c>
      <c r="AM261" s="212"/>
      <c r="AN261" s="211">
        <v>396</v>
      </c>
      <c r="AO261" s="212"/>
      <c r="AP261" s="194" t="s">
        <v>27</v>
      </c>
      <c r="AQ261" s="193" t="s">
        <v>1407</v>
      </c>
      <c r="AR261" s="210" t="s">
        <v>3180</v>
      </c>
      <c r="AS261" s="209" t="s">
        <v>1452</v>
      </c>
      <c r="AT261" s="175"/>
      <c r="AU261" s="65" t="s">
        <v>27</v>
      </c>
      <c r="AV261" s="163" t="s">
        <v>17</v>
      </c>
      <c r="AW261" s="65">
        <v>1353</v>
      </c>
      <c r="AX261" s="196">
        <v>44671.68644675926</v>
      </c>
    </row>
    <row r="262" spans="1:50">
      <c r="A262" s="124" t="s">
        <v>100</v>
      </c>
      <c r="B262" s="109" t="s">
        <v>1320</v>
      </c>
      <c r="C262" s="214" t="s">
        <v>784</v>
      </c>
      <c r="D262" s="163" t="s">
        <v>3192</v>
      </c>
      <c r="E262" s="170">
        <v>54</v>
      </c>
      <c r="F262" s="171">
        <v>51</v>
      </c>
      <c r="G262" s="184">
        <v>37.5</v>
      </c>
      <c r="H262" s="204">
        <v>54</v>
      </c>
      <c r="I262" s="171">
        <v>51</v>
      </c>
      <c r="J262" s="184">
        <v>37.5</v>
      </c>
      <c r="K262" s="204">
        <v>54</v>
      </c>
      <c r="L262" s="171">
        <v>51</v>
      </c>
      <c r="M262" s="184">
        <v>37.5</v>
      </c>
      <c r="N262" s="204">
        <v>54</v>
      </c>
      <c r="O262" s="171">
        <v>51</v>
      </c>
      <c r="P262" s="207">
        <v>37.5</v>
      </c>
      <c r="Q262" s="204">
        <v>54</v>
      </c>
      <c r="R262" s="206">
        <v>51</v>
      </c>
      <c r="S262" s="207">
        <v>37.5</v>
      </c>
      <c r="T262" s="204">
        <v>54</v>
      </c>
      <c r="U262" s="206">
        <v>51</v>
      </c>
      <c r="V262" s="207">
        <v>37.5</v>
      </c>
      <c r="W262" s="204">
        <v>54</v>
      </c>
      <c r="X262" s="206">
        <v>51</v>
      </c>
      <c r="Y262" s="207">
        <v>37.5</v>
      </c>
      <c r="Z262" s="204">
        <v>54</v>
      </c>
      <c r="AA262" s="206">
        <v>51</v>
      </c>
      <c r="AB262" s="207">
        <v>37.5</v>
      </c>
      <c r="AC262" s="204">
        <v>54</v>
      </c>
      <c r="AD262" s="206">
        <v>51</v>
      </c>
      <c r="AE262" s="207">
        <v>37.5</v>
      </c>
      <c r="AF262" s="204">
        <v>54</v>
      </c>
      <c r="AG262" s="206">
        <v>51</v>
      </c>
      <c r="AH262" s="207">
        <v>37.5</v>
      </c>
      <c r="AI262" s="208" t="s">
        <v>3191</v>
      </c>
      <c r="AJ262" s="194" t="s">
        <v>1419</v>
      </c>
      <c r="AK262" s="132" t="s">
        <v>17</v>
      </c>
      <c r="AL262" s="213">
        <v>15</v>
      </c>
      <c r="AM262" s="212"/>
      <c r="AN262" s="211">
        <v>54</v>
      </c>
      <c r="AO262" s="212"/>
      <c r="AP262" s="194" t="s">
        <v>55</v>
      </c>
      <c r="AQ262" s="193" t="s">
        <v>1407</v>
      </c>
      <c r="AR262" s="210"/>
      <c r="AS262" s="209" t="s">
        <v>1769</v>
      </c>
      <c r="AT262" s="175"/>
      <c r="AU262" s="65" t="s">
        <v>25</v>
      </c>
      <c r="AV262" s="163" t="s">
        <v>17</v>
      </c>
      <c r="AW262" s="65">
        <v>1244</v>
      </c>
      <c r="AX262" s="196">
        <v>44673.327326388891</v>
      </c>
    </row>
    <row r="263" spans="1:50">
      <c r="A263" s="124" t="s">
        <v>46</v>
      </c>
      <c r="B263" s="109" t="s">
        <v>1320</v>
      </c>
      <c r="C263" s="214" t="s">
        <v>3199</v>
      </c>
      <c r="D263" s="163" t="s">
        <v>3201</v>
      </c>
      <c r="E263" s="170">
        <v>270</v>
      </c>
      <c r="F263" s="171">
        <v>252</v>
      </c>
      <c r="G263" s="184">
        <v>155.70000000000002</v>
      </c>
      <c r="H263" s="204">
        <v>270</v>
      </c>
      <c r="I263" s="171">
        <v>252</v>
      </c>
      <c r="J263" s="184">
        <v>155.70000000000002</v>
      </c>
      <c r="K263" s="204">
        <v>270</v>
      </c>
      <c r="L263" s="171">
        <v>252</v>
      </c>
      <c r="M263" s="184">
        <v>155.70000000000002</v>
      </c>
      <c r="N263" s="204">
        <v>270</v>
      </c>
      <c r="O263" s="171">
        <v>252</v>
      </c>
      <c r="P263" s="207">
        <v>155.70000000000002</v>
      </c>
      <c r="Q263" s="204">
        <v>270</v>
      </c>
      <c r="R263" s="206">
        <v>252</v>
      </c>
      <c r="S263" s="207">
        <v>155.70000000000002</v>
      </c>
      <c r="T263" s="204">
        <v>270</v>
      </c>
      <c r="U263" s="206">
        <v>252</v>
      </c>
      <c r="V263" s="207">
        <v>155.70000000000002</v>
      </c>
      <c r="W263" s="204">
        <v>270</v>
      </c>
      <c r="X263" s="206">
        <v>252</v>
      </c>
      <c r="Y263" s="207">
        <v>155.70000000000002</v>
      </c>
      <c r="Z263" s="204">
        <v>270</v>
      </c>
      <c r="AA263" s="206">
        <v>252</v>
      </c>
      <c r="AB263" s="207">
        <v>155.70000000000002</v>
      </c>
      <c r="AC263" s="204">
        <v>270</v>
      </c>
      <c r="AD263" s="206">
        <v>252</v>
      </c>
      <c r="AE263" s="207">
        <v>155.70000000000002</v>
      </c>
      <c r="AF263" s="204">
        <v>270</v>
      </c>
      <c r="AG263" s="206">
        <v>252</v>
      </c>
      <c r="AH263" s="207">
        <v>155.70000000000002</v>
      </c>
      <c r="AI263" s="208" t="s">
        <v>3200</v>
      </c>
      <c r="AJ263" s="194" t="s">
        <v>1419</v>
      </c>
      <c r="AK263" s="132" t="s">
        <v>17</v>
      </c>
      <c r="AL263" s="213">
        <v>75</v>
      </c>
      <c r="AM263" s="212"/>
      <c r="AN263" s="211">
        <v>270</v>
      </c>
      <c r="AO263" s="212"/>
      <c r="AP263" s="194" t="s">
        <v>55</v>
      </c>
      <c r="AQ263" s="193" t="s">
        <v>1407</v>
      </c>
      <c r="AR263" s="210"/>
      <c r="AS263" s="209" t="s">
        <v>1769</v>
      </c>
      <c r="AT263" s="175"/>
      <c r="AU263" s="65" t="s">
        <v>25</v>
      </c>
      <c r="AV263" s="163" t="s">
        <v>17</v>
      </c>
      <c r="AW263" s="65">
        <v>1270</v>
      </c>
      <c r="AX263" s="196">
        <v>44747.515706018516</v>
      </c>
    </row>
    <row r="264" spans="1:50">
      <c r="A264" s="124" t="s">
        <v>46</v>
      </c>
      <c r="B264" s="109" t="s">
        <v>1385</v>
      </c>
      <c r="C264" s="214" t="s">
        <v>393</v>
      </c>
      <c r="D264" s="163" t="s">
        <v>3206</v>
      </c>
      <c r="E264" s="170">
        <v>90</v>
      </c>
      <c r="F264" s="171">
        <v>90</v>
      </c>
      <c r="G264" s="184">
        <v>85.8</v>
      </c>
      <c r="H264" s="204">
        <v>90</v>
      </c>
      <c r="I264" s="171">
        <v>90</v>
      </c>
      <c r="J264" s="184">
        <v>85.8</v>
      </c>
      <c r="K264" s="204">
        <v>90</v>
      </c>
      <c r="L264" s="171">
        <v>90</v>
      </c>
      <c r="M264" s="184">
        <v>85.8</v>
      </c>
      <c r="N264" s="204">
        <v>90</v>
      </c>
      <c r="O264" s="171">
        <v>90</v>
      </c>
      <c r="P264" s="207">
        <v>85.8</v>
      </c>
      <c r="Q264" s="204">
        <v>90</v>
      </c>
      <c r="R264" s="206">
        <v>90</v>
      </c>
      <c r="S264" s="207">
        <v>85.8</v>
      </c>
      <c r="T264" s="204">
        <v>90</v>
      </c>
      <c r="U264" s="206">
        <v>90</v>
      </c>
      <c r="V264" s="207">
        <v>85.8</v>
      </c>
      <c r="W264" s="204">
        <v>90</v>
      </c>
      <c r="X264" s="206">
        <v>90</v>
      </c>
      <c r="Y264" s="207">
        <v>85.8</v>
      </c>
      <c r="Z264" s="204">
        <v>90</v>
      </c>
      <c r="AA264" s="206">
        <v>90</v>
      </c>
      <c r="AB264" s="207">
        <v>85.8</v>
      </c>
      <c r="AC264" s="204">
        <v>90</v>
      </c>
      <c r="AD264" s="206">
        <v>90</v>
      </c>
      <c r="AE264" s="207">
        <v>85.8</v>
      </c>
      <c r="AF264" s="204">
        <v>90</v>
      </c>
      <c r="AG264" s="206">
        <v>90</v>
      </c>
      <c r="AH264" s="207">
        <v>85.8</v>
      </c>
      <c r="AI264" s="208" t="s">
        <v>394</v>
      </c>
      <c r="AJ264" s="194" t="s">
        <v>1429</v>
      </c>
      <c r="AK264" s="132" t="s">
        <v>1388</v>
      </c>
      <c r="AL264" s="213">
        <v>40</v>
      </c>
      <c r="AM264" s="212"/>
      <c r="AN264" s="211">
        <v>90</v>
      </c>
      <c r="AO264" s="212">
        <v>0</v>
      </c>
      <c r="AP264" s="194" t="s">
        <v>27</v>
      </c>
      <c r="AQ264" s="193" t="s">
        <v>1407</v>
      </c>
      <c r="AR264" s="210" t="s">
        <v>2003</v>
      </c>
      <c r="AS264" s="209" t="s">
        <v>1474</v>
      </c>
      <c r="AT264" s="175"/>
      <c r="AU264" s="65" t="s">
        <v>27</v>
      </c>
      <c r="AV264" s="163" t="s">
        <v>1388</v>
      </c>
      <c r="AW264" s="65">
        <v>1927</v>
      </c>
      <c r="AX264" s="196">
        <v>44748.36209490741</v>
      </c>
    </row>
    <row r="265" spans="1:50">
      <c r="A265" s="124" t="s">
        <v>46</v>
      </c>
      <c r="B265" s="109" t="s">
        <v>1320</v>
      </c>
      <c r="C265" s="214" t="s">
        <v>3219</v>
      </c>
      <c r="D265" s="163" t="s">
        <v>3220</v>
      </c>
      <c r="E265" s="170">
        <v>240</v>
      </c>
      <c r="F265" s="171">
        <v>240</v>
      </c>
      <c r="G265" s="184">
        <v>240</v>
      </c>
      <c r="H265" s="181">
        <v>240</v>
      </c>
      <c r="I265" s="171">
        <v>240</v>
      </c>
      <c r="J265" s="184">
        <v>240</v>
      </c>
      <c r="K265" s="181">
        <v>240</v>
      </c>
      <c r="L265" s="171">
        <v>240</v>
      </c>
      <c r="M265" s="184">
        <v>240</v>
      </c>
      <c r="N265" s="181">
        <v>240</v>
      </c>
      <c r="O265" s="171">
        <v>240</v>
      </c>
      <c r="P265" s="207">
        <v>240</v>
      </c>
      <c r="Q265" s="204">
        <v>240</v>
      </c>
      <c r="R265" s="206">
        <v>240</v>
      </c>
      <c r="S265" s="207">
        <v>240</v>
      </c>
      <c r="T265" s="204">
        <v>240</v>
      </c>
      <c r="U265" s="206">
        <v>240</v>
      </c>
      <c r="V265" s="207">
        <v>240</v>
      </c>
      <c r="W265" s="204">
        <v>240</v>
      </c>
      <c r="X265" s="206">
        <v>240</v>
      </c>
      <c r="Y265" s="207">
        <v>240</v>
      </c>
      <c r="Z265" s="204">
        <v>240</v>
      </c>
      <c r="AA265" s="206">
        <v>240</v>
      </c>
      <c r="AB265" s="207">
        <v>240</v>
      </c>
      <c r="AC265" s="204">
        <v>240</v>
      </c>
      <c r="AD265" s="206">
        <v>240</v>
      </c>
      <c r="AE265" s="207">
        <v>240</v>
      </c>
      <c r="AF265" s="204">
        <v>240</v>
      </c>
      <c r="AG265" s="206">
        <v>240</v>
      </c>
      <c r="AH265" s="207">
        <v>240</v>
      </c>
      <c r="AI265" s="208" t="s">
        <v>148</v>
      </c>
      <c r="AJ265" s="194" t="s">
        <v>1469</v>
      </c>
      <c r="AK265" s="132" t="s">
        <v>18</v>
      </c>
      <c r="AL265" s="213">
        <v>4</v>
      </c>
      <c r="AM265" s="212"/>
      <c r="AN265" s="211">
        <v>240</v>
      </c>
      <c r="AO265" s="212">
        <v>9680</v>
      </c>
      <c r="AP265" s="194" t="s">
        <v>55</v>
      </c>
      <c r="AQ265" s="193" t="s">
        <v>1403</v>
      </c>
      <c r="AR265" s="210"/>
      <c r="AS265" s="209" t="s">
        <v>1588</v>
      </c>
      <c r="AT265" s="175"/>
      <c r="AU265" s="65" t="s">
        <v>25</v>
      </c>
      <c r="AV265" s="163" t="s">
        <v>18</v>
      </c>
      <c r="AW265" s="65">
        <v>1177</v>
      </c>
      <c r="AX265" s="196">
        <v>44670.494212962964</v>
      </c>
    </row>
    <row r="266" spans="1:50">
      <c r="A266" s="124" t="s">
        <v>46</v>
      </c>
      <c r="B266" s="109" t="s">
        <v>1320</v>
      </c>
      <c r="C266" s="214" t="s">
        <v>793</v>
      </c>
      <c r="D266" s="163" t="s">
        <v>3231</v>
      </c>
      <c r="E266" s="170">
        <v>198.012</v>
      </c>
      <c r="F266" s="171">
        <v>198.012</v>
      </c>
      <c r="G266" s="184">
        <v>119.48</v>
      </c>
      <c r="H266" s="181">
        <v>198.012</v>
      </c>
      <c r="I266" s="171">
        <v>198.012</v>
      </c>
      <c r="J266" s="184">
        <v>119.48</v>
      </c>
      <c r="K266" s="181">
        <v>198.012</v>
      </c>
      <c r="L266" s="171">
        <v>198.012</v>
      </c>
      <c r="M266" s="184">
        <v>119.48</v>
      </c>
      <c r="N266" s="181">
        <v>198.012</v>
      </c>
      <c r="O266" s="171">
        <v>198.012</v>
      </c>
      <c r="P266" s="207">
        <v>119.48</v>
      </c>
      <c r="Q266" s="204">
        <v>198.012</v>
      </c>
      <c r="R266" s="206">
        <v>198.012</v>
      </c>
      <c r="S266" s="207">
        <v>119.48</v>
      </c>
      <c r="T266" s="204">
        <v>198.012</v>
      </c>
      <c r="U266" s="206">
        <v>198.012</v>
      </c>
      <c r="V266" s="207">
        <v>119.48</v>
      </c>
      <c r="W266" s="204">
        <v>198.012</v>
      </c>
      <c r="X266" s="206">
        <v>198.012</v>
      </c>
      <c r="Y266" s="207">
        <v>119.48</v>
      </c>
      <c r="Z266" s="204">
        <v>198.012</v>
      </c>
      <c r="AA266" s="206">
        <v>198.012</v>
      </c>
      <c r="AB266" s="207">
        <v>119.48</v>
      </c>
      <c r="AC266" s="204">
        <v>198.012</v>
      </c>
      <c r="AD266" s="206">
        <v>198.012</v>
      </c>
      <c r="AE266" s="207">
        <v>119.48</v>
      </c>
      <c r="AF266" s="204">
        <v>198.012</v>
      </c>
      <c r="AG266" s="206">
        <v>198.012</v>
      </c>
      <c r="AH266" s="207">
        <v>119.48</v>
      </c>
      <c r="AI266" s="208" t="s">
        <v>3230</v>
      </c>
      <c r="AJ266" s="194" t="s">
        <v>1419</v>
      </c>
      <c r="AK266" s="132" t="s">
        <v>17</v>
      </c>
      <c r="AL266" s="213">
        <v>58</v>
      </c>
      <c r="AM266" s="212"/>
      <c r="AN266" s="211">
        <v>198.94</v>
      </c>
      <c r="AO266" s="212"/>
      <c r="AP266" s="194" t="s">
        <v>55</v>
      </c>
      <c r="AQ266" s="193" t="s">
        <v>1407</v>
      </c>
      <c r="AR266" s="210"/>
      <c r="AS266" s="209" t="s">
        <v>1769</v>
      </c>
      <c r="AT266" s="175"/>
      <c r="AU266" s="65" t="s">
        <v>25</v>
      </c>
      <c r="AV266" s="163" t="s">
        <v>17</v>
      </c>
      <c r="AW266" s="65">
        <v>1178</v>
      </c>
      <c r="AX266" s="196">
        <v>44670.494872685187</v>
      </c>
    </row>
    <row r="267" spans="1:50">
      <c r="A267" s="124" t="s">
        <v>46</v>
      </c>
      <c r="B267" s="109" t="s">
        <v>1320</v>
      </c>
      <c r="C267" s="214" t="s">
        <v>553</v>
      </c>
      <c r="D267" s="163" t="s">
        <v>3234</v>
      </c>
      <c r="E267" s="170">
        <v>125.69999999999999</v>
      </c>
      <c r="F267" s="171">
        <v>108</v>
      </c>
      <c r="G267" s="184">
        <v>108</v>
      </c>
      <c r="H267" s="181">
        <v>125.69999999999999</v>
      </c>
      <c r="I267" s="171">
        <v>108</v>
      </c>
      <c r="J267" s="184">
        <v>108</v>
      </c>
      <c r="K267" s="181">
        <v>125.69999999999999</v>
      </c>
      <c r="L267" s="171">
        <v>108</v>
      </c>
      <c r="M267" s="184">
        <v>108</v>
      </c>
      <c r="N267" s="181">
        <v>125.69999999999999</v>
      </c>
      <c r="O267" s="171">
        <v>108</v>
      </c>
      <c r="P267" s="207">
        <v>108</v>
      </c>
      <c r="Q267" s="204">
        <v>125.69999999999999</v>
      </c>
      <c r="R267" s="206">
        <v>108</v>
      </c>
      <c r="S267" s="207">
        <v>108</v>
      </c>
      <c r="T267" s="204">
        <v>125.69999999999999</v>
      </c>
      <c r="U267" s="206">
        <v>108</v>
      </c>
      <c r="V267" s="207">
        <v>108</v>
      </c>
      <c r="W267" s="204">
        <v>125.69999999999999</v>
      </c>
      <c r="X267" s="206">
        <v>108</v>
      </c>
      <c r="Y267" s="207">
        <v>108</v>
      </c>
      <c r="Z267" s="204">
        <v>125.69999999999999</v>
      </c>
      <c r="AA267" s="206">
        <v>108</v>
      </c>
      <c r="AB267" s="207">
        <v>108</v>
      </c>
      <c r="AC267" s="204">
        <v>125.69999999999999</v>
      </c>
      <c r="AD267" s="206">
        <v>108</v>
      </c>
      <c r="AE267" s="207">
        <v>108</v>
      </c>
      <c r="AF267" s="204">
        <v>125.69999999999999</v>
      </c>
      <c r="AG267" s="206">
        <v>108</v>
      </c>
      <c r="AH267" s="207">
        <v>108</v>
      </c>
      <c r="AI267" s="208" t="s">
        <v>554</v>
      </c>
      <c r="AJ267" s="194" t="s">
        <v>1493</v>
      </c>
      <c r="AK267" s="132" t="s">
        <v>1360</v>
      </c>
      <c r="AL267" s="213">
        <v>3</v>
      </c>
      <c r="AM267" s="212"/>
      <c r="AN267" s="211">
        <v>123.233</v>
      </c>
      <c r="AO267" s="212"/>
      <c r="AP267" s="194" t="s">
        <v>55</v>
      </c>
      <c r="AQ267" s="193" t="s">
        <v>1403</v>
      </c>
      <c r="AR267" s="210"/>
      <c r="AS267" s="209" t="s">
        <v>1558</v>
      </c>
      <c r="AT267" s="175"/>
      <c r="AU267" s="65" t="s">
        <v>25</v>
      </c>
      <c r="AV267" s="163" t="s">
        <v>14</v>
      </c>
      <c r="AW267" s="65">
        <v>1179</v>
      </c>
      <c r="AX267" s="196">
        <v>44670.495428240742</v>
      </c>
    </row>
    <row r="268" spans="1:50">
      <c r="A268" s="124" t="s">
        <v>46</v>
      </c>
      <c r="B268" s="109" t="s">
        <v>1320</v>
      </c>
      <c r="C268" s="214" t="s">
        <v>553</v>
      </c>
      <c r="D268" s="163" t="s">
        <v>3237</v>
      </c>
      <c r="E268" s="170">
        <v>0</v>
      </c>
      <c r="F268" s="171">
        <v>0</v>
      </c>
      <c r="G268" s="184">
        <v>0</v>
      </c>
      <c r="H268" s="181">
        <v>0</v>
      </c>
      <c r="I268" s="171">
        <v>0</v>
      </c>
      <c r="J268" s="184">
        <v>0</v>
      </c>
      <c r="K268" s="181">
        <v>0</v>
      </c>
      <c r="L268" s="171">
        <v>0</v>
      </c>
      <c r="M268" s="184">
        <v>0</v>
      </c>
      <c r="N268" s="181">
        <v>0</v>
      </c>
      <c r="O268" s="171">
        <v>0</v>
      </c>
      <c r="P268" s="207">
        <v>0</v>
      </c>
      <c r="Q268" s="204">
        <v>0</v>
      </c>
      <c r="R268" s="206">
        <v>0</v>
      </c>
      <c r="S268" s="207">
        <v>0</v>
      </c>
      <c r="T268" s="204">
        <v>0</v>
      </c>
      <c r="U268" s="206">
        <v>0</v>
      </c>
      <c r="V268" s="207">
        <v>0</v>
      </c>
      <c r="W268" s="204">
        <v>0</v>
      </c>
      <c r="X268" s="206">
        <v>0</v>
      </c>
      <c r="Y268" s="207">
        <v>0</v>
      </c>
      <c r="Z268" s="204">
        <v>0</v>
      </c>
      <c r="AA268" s="206">
        <v>0</v>
      </c>
      <c r="AB268" s="207">
        <v>0</v>
      </c>
      <c r="AC268" s="204">
        <v>0</v>
      </c>
      <c r="AD268" s="206">
        <v>0</v>
      </c>
      <c r="AE268" s="207">
        <v>0</v>
      </c>
      <c r="AF268" s="204">
        <v>0</v>
      </c>
      <c r="AG268" s="206">
        <v>0</v>
      </c>
      <c r="AH268" s="207">
        <v>0</v>
      </c>
      <c r="AI268" s="208" t="s">
        <v>554</v>
      </c>
      <c r="AJ268" s="194" t="s">
        <v>1980</v>
      </c>
      <c r="AK268" s="132" t="s">
        <v>1360</v>
      </c>
      <c r="AL268" s="213">
        <v>1</v>
      </c>
      <c r="AM268" s="212"/>
      <c r="AN268" s="211">
        <v>61.765999999999998</v>
      </c>
      <c r="AO268" s="212"/>
      <c r="AP268" s="194" t="s">
        <v>55</v>
      </c>
      <c r="AQ268" s="193" t="s">
        <v>1403</v>
      </c>
      <c r="AR268" s="210"/>
      <c r="AS268" s="209" t="s">
        <v>1558</v>
      </c>
      <c r="AT268" s="175"/>
      <c r="AU268" s="65" t="s">
        <v>25</v>
      </c>
      <c r="AV268" s="163" t="s">
        <v>13</v>
      </c>
      <c r="AW268" s="65">
        <v>1179</v>
      </c>
      <c r="AX268" s="196">
        <v>44670.495428240742</v>
      </c>
    </row>
    <row r="269" spans="1:50">
      <c r="A269" s="124" t="s">
        <v>80</v>
      </c>
      <c r="B269" s="109" t="s">
        <v>1320</v>
      </c>
      <c r="C269" s="214" t="s">
        <v>132</v>
      </c>
      <c r="D269" s="163" t="s">
        <v>134</v>
      </c>
      <c r="E269" s="170">
        <v>156.9</v>
      </c>
      <c r="F269" s="171">
        <v>138.1</v>
      </c>
      <c r="G269" s="184">
        <v>123</v>
      </c>
      <c r="H269" s="170">
        <v>156.9</v>
      </c>
      <c r="I269" s="171">
        <v>138.1</v>
      </c>
      <c r="J269" s="184">
        <v>123</v>
      </c>
      <c r="K269" s="170">
        <v>156.9</v>
      </c>
      <c r="L269" s="171">
        <v>138.1</v>
      </c>
      <c r="M269" s="184">
        <v>123</v>
      </c>
      <c r="N269" s="170">
        <v>156.9</v>
      </c>
      <c r="O269" s="171">
        <v>138.1</v>
      </c>
      <c r="P269" s="184">
        <v>123</v>
      </c>
      <c r="Q269" s="170">
        <v>156.9</v>
      </c>
      <c r="R269" s="171">
        <v>138.1</v>
      </c>
      <c r="S269" s="184">
        <v>123</v>
      </c>
      <c r="T269" s="170">
        <v>156.9</v>
      </c>
      <c r="U269" s="171">
        <v>138.1</v>
      </c>
      <c r="V269" s="184">
        <v>123</v>
      </c>
      <c r="W269" s="170">
        <v>156.9</v>
      </c>
      <c r="X269" s="171">
        <v>138.1</v>
      </c>
      <c r="Y269" s="184">
        <v>123</v>
      </c>
      <c r="Z269" s="170">
        <v>156.9</v>
      </c>
      <c r="AA269" s="171">
        <v>138.1</v>
      </c>
      <c r="AB269" s="184">
        <v>123</v>
      </c>
      <c r="AC269" s="170">
        <v>156.9</v>
      </c>
      <c r="AD269" s="171">
        <v>138.1</v>
      </c>
      <c r="AE269" s="184">
        <v>123</v>
      </c>
      <c r="AF269" s="170">
        <v>156.9</v>
      </c>
      <c r="AG269" s="171">
        <v>138.1</v>
      </c>
      <c r="AH269" s="184">
        <v>123</v>
      </c>
      <c r="AI269" s="208" t="s">
        <v>3242</v>
      </c>
      <c r="AJ269" s="194" t="s">
        <v>1493</v>
      </c>
      <c r="AK269" s="132" t="s">
        <v>1431</v>
      </c>
      <c r="AL269" s="213">
        <v>5</v>
      </c>
      <c r="AM269" s="212"/>
      <c r="AN269" s="211">
        <v>154</v>
      </c>
      <c r="AO269" s="212"/>
      <c r="AP269" s="194" t="s">
        <v>131</v>
      </c>
      <c r="AQ269" s="193" t="s">
        <v>1403</v>
      </c>
      <c r="AR269" s="210" t="s">
        <v>1453</v>
      </c>
      <c r="AS269" s="209" t="s">
        <v>1681</v>
      </c>
      <c r="AT269" s="175"/>
      <c r="AU269" s="65" t="s">
        <v>25</v>
      </c>
      <c r="AV269" s="163" t="s">
        <v>14</v>
      </c>
      <c r="AW269" s="65">
        <v>1532</v>
      </c>
      <c r="AX269" s="196">
        <v>44747.501875000002</v>
      </c>
    </row>
    <row r="270" spans="1:50">
      <c r="A270" s="124" t="s">
        <v>80</v>
      </c>
      <c r="B270" s="109" t="s">
        <v>1320</v>
      </c>
      <c r="C270" s="214" t="s">
        <v>3246</v>
      </c>
      <c r="D270" s="163" t="s">
        <v>3248</v>
      </c>
      <c r="E270" s="170">
        <v>144</v>
      </c>
      <c r="F270" s="171">
        <v>144</v>
      </c>
      <c r="G270" s="184">
        <v>133.19999999999999</v>
      </c>
      <c r="H270" s="181">
        <v>144</v>
      </c>
      <c r="I270" s="171">
        <v>144</v>
      </c>
      <c r="J270" s="184">
        <v>133.19999999999999</v>
      </c>
      <c r="K270" s="181">
        <v>144</v>
      </c>
      <c r="L270" s="171">
        <v>144</v>
      </c>
      <c r="M270" s="184">
        <v>133.19999999999999</v>
      </c>
      <c r="N270" s="181">
        <v>144</v>
      </c>
      <c r="O270" s="171">
        <v>144</v>
      </c>
      <c r="P270" s="207">
        <v>133.19999999999999</v>
      </c>
      <c r="Q270" s="204">
        <v>144</v>
      </c>
      <c r="R270" s="206">
        <v>144</v>
      </c>
      <c r="S270" s="207">
        <v>133.19999999999999</v>
      </c>
      <c r="T270" s="204">
        <v>144</v>
      </c>
      <c r="U270" s="206">
        <v>144</v>
      </c>
      <c r="V270" s="207">
        <v>133.19999999999999</v>
      </c>
      <c r="W270" s="204">
        <v>144</v>
      </c>
      <c r="X270" s="206">
        <v>144</v>
      </c>
      <c r="Y270" s="207">
        <v>133.19999999999999</v>
      </c>
      <c r="Z270" s="204">
        <v>144</v>
      </c>
      <c r="AA270" s="206">
        <v>144</v>
      </c>
      <c r="AB270" s="207">
        <v>133.19999999999999</v>
      </c>
      <c r="AC270" s="204">
        <v>144</v>
      </c>
      <c r="AD270" s="206">
        <v>144</v>
      </c>
      <c r="AE270" s="207">
        <v>133.19999999999999</v>
      </c>
      <c r="AF270" s="204">
        <v>144</v>
      </c>
      <c r="AG270" s="206">
        <v>144</v>
      </c>
      <c r="AH270" s="207">
        <v>133.19999999999999</v>
      </c>
      <c r="AI270" s="208" t="s">
        <v>3247</v>
      </c>
      <c r="AJ270" s="194" t="s">
        <v>1419</v>
      </c>
      <c r="AK270" s="132" t="s">
        <v>17</v>
      </c>
      <c r="AL270" s="213">
        <v>48</v>
      </c>
      <c r="AM270" s="212"/>
      <c r="AN270" s="211">
        <v>144</v>
      </c>
      <c r="AO270" s="212"/>
      <c r="AP270" s="194" t="s">
        <v>55</v>
      </c>
      <c r="AQ270" s="193" t="s">
        <v>1407</v>
      </c>
      <c r="AR270" s="210"/>
      <c r="AS270" s="209" t="s">
        <v>1943</v>
      </c>
      <c r="AT270" s="175"/>
      <c r="AU270" s="65" t="s">
        <v>25</v>
      </c>
      <c r="AV270" s="163" t="s">
        <v>17</v>
      </c>
      <c r="AW270" s="65">
        <v>1181</v>
      </c>
      <c r="AX270" s="196">
        <v>44670.496087962965</v>
      </c>
    </row>
    <row r="271" spans="1:50">
      <c r="A271" s="124" t="s">
        <v>80</v>
      </c>
      <c r="B271" s="109" t="s">
        <v>1320</v>
      </c>
      <c r="C271" s="214" t="s">
        <v>3246</v>
      </c>
      <c r="D271" s="163" t="s">
        <v>3249</v>
      </c>
      <c r="E271" s="170">
        <v>126</v>
      </c>
      <c r="F271" s="171">
        <v>126</v>
      </c>
      <c r="G271" s="184">
        <v>116.55</v>
      </c>
      <c r="H271" s="181">
        <v>126</v>
      </c>
      <c r="I271" s="171">
        <v>126</v>
      </c>
      <c r="J271" s="184">
        <v>116.55</v>
      </c>
      <c r="K271" s="181">
        <v>126</v>
      </c>
      <c r="L271" s="171">
        <v>126</v>
      </c>
      <c r="M271" s="184">
        <v>116.55</v>
      </c>
      <c r="N271" s="181">
        <v>126</v>
      </c>
      <c r="O271" s="171">
        <v>126</v>
      </c>
      <c r="P271" s="207">
        <v>116.55</v>
      </c>
      <c r="Q271" s="204">
        <v>126</v>
      </c>
      <c r="R271" s="206">
        <v>126</v>
      </c>
      <c r="S271" s="207">
        <v>116.55</v>
      </c>
      <c r="T271" s="204">
        <v>126</v>
      </c>
      <c r="U271" s="206">
        <v>126</v>
      </c>
      <c r="V271" s="207">
        <v>116.55</v>
      </c>
      <c r="W271" s="204">
        <v>126</v>
      </c>
      <c r="X271" s="206">
        <v>126</v>
      </c>
      <c r="Y271" s="207">
        <v>116.55</v>
      </c>
      <c r="Z271" s="204">
        <v>126</v>
      </c>
      <c r="AA271" s="206">
        <v>126</v>
      </c>
      <c r="AB271" s="207">
        <v>116.55</v>
      </c>
      <c r="AC271" s="204">
        <v>126</v>
      </c>
      <c r="AD271" s="206">
        <v>126</v>
      </c>
      <c r="AE271" s="207">
        <v>116.55</v>
      </c>
      <c r="AF271" s="204">
        <v>126</v>
      </c>
      <c r="AG271" s="206">
        <v>126</v>
      </c>
      <c r="AH271" s="207">
        <v>116.55</v>
      </c>
      <c r="AI271" s="208" t="s">
        <v>3247</v>
      </c>
      <c r="AJ271" s="194" t="s">
        <v>1419</v>
      </c>
      <c r="AK271" s="132" t="s">
        <v>17</v>
      </c>
      <c r="AL271" s="213">
        <v>42</v>
      </c>
      <c r="AM271" s="212"/>
      <c r="AN271" s="211">
        <v>126</v>
      </c>
      <c r="AO271" s="212"/>
      <c r="AP271" s="194" t="s">
        <v>55</v>
      </c>
      <c r="AQ271" s="193" t="s">
        <v>1407</v>
      </c>
      <c r="AR271" s="210"/>
      <c r="AS271" s="209" t="s">
        <v>1943</v>
      </c>
      <c r="AT271" s="175"/>
      <c r="AU271" s="65" t="s">
        <v>25</v>
      </c>
      <c r="AV271" s="163" t="s">
        <v>17</v>
      </c>
      <c r="AW271" s="65">
        <v>1181</v>
      </c>
      <c r="AX271" s="196">
        <v>44670.496087962965</v>
      </c>
    </row>
    <row r="272" spans="1:50">
      <c r="A272" s="124" t="s">
        <v>80</v>
      </c>
      <c r="B272" s="109" t="s">
        <v>1320</v>
      </c>
      <c r="C272" s="214" t="s">
        <v>3250</v>
      </c>
      <c r="D272" s="163" t="s">
        <v>3252</v>
      </c>
      <c r="E272" s="170">
        <v>98.7</v>
      </c>
      <c r="F272" s="171">
        <v>98.7</v>
      </c>
      <c r="G272" s="184">
        <v>65.8</v>
      </c>
      <c r="H272" s="181">
        <v>98.7</v>
      </c>
      <c r="I272" s="171">
        <v>98.7</v>
      </c>
      <c r="J272" s="184">
        <v>65.8</v>
      </c>
      <c r="K272" s="181">
        <v>98.7</v>
      </c>
      <c r="L272" s="171">
        <v>98.7</v>
      </c>
      <c r="M272" s="184">
        <v>65.8</v>
      </c>
      <c r="N272" s="181">
        <v>98.7</v>
      </c>
      <c r="O272" s="171">
        <v>98.7</v>
      </c>
      <c r="P272" s="207">
        <v>65.8</v>
      </c>
      <c r="Q272" s="204">
        <v>98.7</v>
      </c>
      <c r="R272" s="206">
        <v>98.7</v>
      </c>
      <c r="S272" s="207">
        <v>65.8</v>
      </c>
      <c r="T272" s="204">
        <v>98.7</v>
      </c>
      <c r="U272" s="206">
        <v>98.7</v>
      </c>
      <c r="V272" s="207">
        <v>65.8</v>
      </c>
      <c r="W272" s="204">
        <v>98.7</v>
      </c>
      <c r="X272" s="206">
        <v>98.7</v>
      </c>
      <c r="Y272" s="207">
        <v>65.8</v>
      </c>
      <c r="Z272" s="204">
        <v>98.7</v>
      </c>
      <c r="AA272" s="206">
        <v>98.7</v>
      </c>
      <c r="AB272" s="207">
        <v>65.8</v>
      </c>
      <c r="AC272" s="204">
        <v>98.7</v>
      </c>
      <c r="AD272" s="206">
        <v>98.7</v>
      </c>
      <c r="AE272" s="207">
        <v>65.8</v>
      </c>
      <c r="AF272" s="204">
        <v>98.7</v>
      </c>
      <c r="AG272" s="206">
        <v>98.7</v>
      </c>
      <c r="AH272" s="207">
        <v>65.8</v>
      </c>
      <c r="AI272" s="208" t="s">
        <v>3251</v>
      </c>
      <c r="AJ272" s="194" t="s">
        <v>1419</v>
      </c>
      <c r="AK272" s="132" t="s">
        <v>17</v>
      </c>
      <c r="AL272" s="213">
        <v>47</v>
      </c>
      <c r="AM272" s="212"/>
      <c r="AN272" s="211">
        <v>98.7</v>
      </c>
      <c r="AO272" s="212"/>
      <c r="AP272" s="194" t="s">
        <v>55</v>
      </c>
      <c r="AQ272" s="193" t="s">
        <v>1407</v>
      </c>
      <c r="AR272" s="210"/>
      <c r="AS272" s="209" t="s">
        <v>1521</v>
      </c>
      <c r="AT272" s="175"/>
      <c r="AU272" s="65" t="s">
        <v>25</v>
      </c>
      <c r="AV272" s="163" t="s">
        <v>17</v>
      </c>
      <c r="AW272" s="65">
        <v>1180</v>
      </c>
      <c r="AX272" s="196">
        <v>44672.499409722222</v>
      </c>
    </row>
    <row r="273" spans="1:50">
      <c r="A273" s="124" t="s">
        <v>46</v>
      </c>
      <c r="B273" s="109" t="s">
        <v>1385</v>
      </c>
      <c r="C273" s="214" t="s">
        <v>557</v>
      </c>
      <c r="D273" s="163" t="s">
        <v>208</v>
      </c>
      <c r="E273" s="170">
        <v>0</v>
      </c>
      <c r="F273" s="171">
        <v>0</v>
      </c>
      <c r="G273" s="184">
        <v>0</v>
      </c>
      <c r="H273" s="181">
        <v>0</v>
      </c>
      <c r="I273" s="171">
        <v>0</v>
      </c>
      <c r="J273" s="184">
        <v>0</v>
      </c>
      <c r="K273" s="181">
        <v>0</v>
      </c>
      <c r="L273" s="171">
        <v>0</v>
      </c>
      <c r="M273" s="184">
        <v>0</v>
      </c>
      <c r="N273" s="181">
        <v>0</v>
      </c>
      <c r="O273" s="171">
        <v>666</v>
      </c>
      <c r="P273" s="207">
        <v>666</v>
      </c>
      <c r="Q273" s="204">
        <v>1332</v>
      </c>
      <c r="R273" s="206">
        <v>1998</v>
      </c>
      <c r="S273" s="207">
        <v>1998</v>
      </c>
      <c r="T273" s="204">
        <v>1998</v>
      </c>
      <c r="U273" s="206">
        <v>1998</v>
      </c>
      <c r="V273" s="207">
        <v>1998</v>
      </c>
      <c r="W273" s="204">
        <v>1998</v>
      </c>
      <c r="X273" s="206">
        <v>1998</v>
      </c>
      <c r="Y273" s="207">
        <v>1998</v>
      </c>
      <c r="Z273" s="204">
        <v>1998</v>
      </c>
      <c r="AA273" s="206">
        <v>1998</v>
      </c>
      <c r="AB273" s="207">
        <v>1998</v>
      </c>
      <c r="AC273" s="204">
        <v>1998</v>
      </c>
      <c r="AD273" s="206">
        <v>1998</v>
      </c>
      <c r="AE273" s="207">
        <v>1998</v>
      </c>
      <c r="AF273" s="204">
        <v>1998</v>
      </c>
      <c r="AG273" s="206">
        <v>1998</v>
      </c>
      <c r="AH273" s="207">
        <v>1998</v>
      </c>
      <c r="AI273" s="208" t="s">
        <v>558</v>
      </c>
      <c r="AJ273" s="194" t="s">
        <v>1469</v>
      </c>
      <c r="AK273" s="132" t="s">
        <v>18</v>
      </c>
      <c r="AL273" s="213">
        <v>6</v>
      </c>
      <c r="AM273" s="212"/>
      <c r="AN273" s="211">
        <v>2040</v>
      </c>
      <c r="AO273" s="212">
        <v>349999.98000000004</v>
      </c>
      <c r="AP273" s="194" t="s">
        <v>2577</v>
      </c>
      <c r="AQ273" s="193" t="s">
        <v>1403</v>
      </c>
      <c r="AR273" s="210" t="s">
        <v>3254</v>
      </c>
      <c r="AS273" s="209"/>
      <c r="AT273" s="175"/>
      <c r="AU273" s="65" t="s">
        <v>27</v>
      </c>
      <c r="AV273" s="163" t="s">
        <v>18</v>
      </c>
      <c r="AW273" s="65">
        <v>1752</v>
      </c>
      <c r="AX273" s="196">
        <v>44747.475497685184</v>
      </c>
    </row>
    <row r="274" spans="1:50">
      <c r="A274" s="124" t="s">
        <v>80</v>
      </c>
      <c r="B274" s="109" t="s">
        <v>1320</v>
      </c>
      <c r="C274" s="214" t="s">
        <v>3255</v>
      </c>
      <c r="D274" s="163" t="s">
        <v>3256</v>
      </c>
      <c r="E274" s="170">
        <v>63</v>
      </c>
      <c r="F274" s="171">
        <v>57</v>
      </c>
      <c r="G274" s="184">
        <v>54</v>
      </c>
      <c r="H274" s="181">
        <v>63</v>
      </c>
      <c r="I274" s="171">
        <v>57</v>
      </c>
      <c r="J274" s="184">
        <v>54</v>
      </c>
      <c r="K274" s="181">
        <v>63</v>
      </c>
      <c r="L274" s="171">
        <v>57</v>
      </c>
      <c r="M274" s="184">
        <v>54</v>
      </c>
      <c r="N274" s="181">
        <v>63</v>
      </c>
      <c r="O274" s="171">
        <v>57</v>
      </c>
      <c r="P274" s="207">
        <v>54</v>
      </c>
      <c r="Q274" s="204">
        <v>63</v>
      </c>
      <c r="R274" s="206">
        <v>57</v>
      </c>
      <c r="S274" s="207">
        <v>54</v>
      </c>
      <c r="T274" s="204">
        <v>63</v>
      </c>
      <c r="U274" s="206">
        <v>57</v>
      </c>
      <c r="V274" s="207">
        <v>54</v>
      </c>
      <c r="W274" s="204">
        <v>63</v>
      </c>
      <c r="X274" s="206">
        <v>57</v>
      </c>
      <c r="Y274" s="207">
        <v>54</v>
      </c>
      <c r="Z274" s="204">
        <v>63</v>
      </c>
      <c r="AA274" s="206">
        <v>57</v>
      </c>
      <c r="AB274" s="207">
        <v>54</v>
      </c>
      <c r="AC274" s="204">
        <v>63</v>
      </c>
      <c r="AD274" s="206">
        <v>57</v>
      </c>
      <c r="AE274" s="207">
        <v>54</v>
      </c>
      <c r="AF274" s="204">
        <v>0</v>
      </c>
      <c r="AG274" s="206">
        <v>0</v>
      </c>
      <c r="AH274" s="207">
        <v>0</v>
      </c>
      <c r="AI274" s="208" t="s">
        <v>2103</v>
      </c>
      <c r="AJ274" s="194" t="s">
        <v>1493</v>
      </c>
      <c r="AK274" s="132" t="s">
        <v>1431</v>
      </c>
      <c r="AL274" s="213">
        <v>3</v>
      </c>
      <c r="AM274" s="212"/>
      <c r="AN274" s="211">
        <v>63</v>
      </c>
      <c r="AO274" s="212"/>
      <c r="AP274" s="194" t="s">
        <v>55</v>
      </c>
      <c r="AQ274" s="193" t="s">
        <v>1403</v>
      </c>
      <c r="AR274" s="210"/>
      <c r="AS274" s="209" t="s">
        <v>1655</v>
      </c>
      <c r="AT274" s="175"/>
      <c r="AU274" s="65" t="s">
        <v>25</v>
      </c>
      <c r="AV274" s="163" t="s">
        <v>14</v>
      </c>
      <c r="AW274" s="65">
        <v>1182</v>
      </c>
      <c r="AX274" s="196">
        <v>44670.496574074074</v>
      </c>
    </row>
    <row r="275" spans="1:50">
      <c r="A275" s="124" t="s">
        <v>100</v>
      </c>
      <c r="B275" s="109" t="s">
        <v>1320</v>
      </c>
      <c r="C275" s="214" t="s">
        <v>648</v>
      </c>
      <c r="D275" s="163" t="s">
        <v>3260</v>
      </c>
      <c r="E275" s="170">
        <v>170</v>
      </c>
      <c r="F275" s="171">
        <v>150</v>
      </c>
      <c r="G275" s="184">
        <v>140</v>
      </c>
      <c r="H275" s="181">
        <v>170</v>
      </c>
      <c r="I275" s="171">
        <v>150</v>
      </c>
      <c r="J275" s="184">
        <v>140</v>
      </c>
      <c r="K275" s="181">
        <v>170</v>
      </c>
      <c r="L275" s="171">
        <v>150</v>
      </c>
      <c r="M275" s="184">
        <v>140</v>
      </c>
      <c r="N275" s="181">
        <v>170</v>
      </c>
      <c r="O275" s="171">
        <v>150</v>
      </c>
      <c r="P275" s="207">
        <v>140</v>
      </c>
      <c r="Q275" s="204">
        <v>170</v>
      </c>
      <c r="R275" s="206">
        <v>150</v>
      </c>
      <c r="S275" s="207">
        <v>140</v>
      </c>
      <c r="T275" s="204">
        <v>170</v>
      </c>
      <c r="U275" s="206">
        <v>150</v>
      </c>
      <c r="V275" s="207">
        <v>140</v>
      </c>
      <c r="W275" s="204">
        <v>170</v>
      </c>
      <c r="X275" s="206">
        <v>150</v>
      </c>
      <c r="Y275" s="207">
        <v>140</v>
      </c>
      <c r="Z275" s="204">
        <v>170</v>
      </c>
      <c r="AA275" s="206">
        <v>150</v>
      </c>
      <c r="AB275" s="207">
        <v>140</v>
      </c>
      <c r="AC275" s="204">
        <v>170</v>
      </c>
      <c r="AD275" s="206">
        <v>170</v>
      </c>
      <c r="AE275" s="207">
        <v>140</v>
      </c>
      <c r="AF275" s="204">
        <v>170</v>
      </c>
      <c r="AG275" s="206">
        <v>170</v>
      </c>
      <c r="AH275" s="207">
        <v>140</v>
      </c>
      <c r="AI275" s="208" t="s">
        <v>649</v>
      </c>
      <c r="AJ275" s="194" t="s">
        <v>1493</v>
      </c>
      <c r="AK275" s="132" t="s">
        <v>1360</v>
      </c>
      <c r="AL275" s="213">
        <v>4</v>
      </c>
      <c r="AM275" s="212"/>
      <c r="AN275" s="211">
        <v>170</v>
      </c>
      <c r="AO275" s="212"/>
      <c r="AP275" s="194" t="s">
        <v>55</v>
      </c>
      <c r="AQ275" s="193" t="s">
        <v>1403</v>
      </c>
      <c r="AR275" s="210"/>
      <c r="AS275" s="209" t="s">
        <v>1521</v>
      </c>
      <c r="AT275" s="175"/>
      <c r="AU275" s="65" t="s">
        <v>25</v>
      </c>
      <c r="AV275" s="163" t="s">
        <v>14</v>
      </c>
      <c r="AW275" s="65">
        <v>1183</v>
      </c>
      <c r="AX275" s="196">
        <v>44670.497187499997</v>
      </c>
    </row>
    <row r="276" spans="1:50">
      <c r="A276" s="124" t="s">
        <v>62</v>
      </c>
      <c r="B276" s="109" t="s">
        <v>1320</v>
      </c>
      <c r="C276" s="214" t="s">
        <v>3299</v>
      </c>
      <c r="D276" s="163" t="s">
        <v>3300</v>
      </c>
      <c r="E276" s="170">
        <v>365</v>
      </c>
      <c r="F276" s="171">
        <v>365</v>
      </c>
      <c r="G276" s="184">
        <v>365</v>
      </c>
      <c r="H276" s="181">
        <v>365</v>
      </c>
      <c r="I276" s="171">
        <v>365</v>
      </c>
      <c r="J276" s="184">
        <v>365</v>
      </c>
      <c r="K276" s="181">
        <v>365</v>
      </c>
      <c r="L276" s="171">
        <v>365</v>
      </c>
      <c r="M276" s="184">
        <v>365</v>
      </c>
      <c r="N276" s="181">
        <v>365</v>
      </c>
      <c r="O276" s="171">
        <v>365</v>
      </c>
      <c r="P276" s="207">
        <v>365</v>
      </c>
      <c r="Q276" s="204">
        <v>365</v>
      </c>
      <c r="R276" s="206">
        <v>365</v>
      </c>
      <c r="S276" s="207">
        <v>365</v>
      </c>
      <c r="T276" s="204">
        <v>365</v>
      </c>
      <c r="U276" s="206">
        <v>365</v>
      </c>
      <c r="V276" s="207">
        <v>365</v>
      </c>
      <c r="W276" s="204">
        <v>365</v>
      </c>
      <c r="X276" s="206">
        <v>365</v>
      </c>
      <c r="Y276" s="207">
        <v>365</v>
      </c>
      <c r="Z276" s="204">
        <v>365</v>
      </c>
      <c r="AA276" s="206">
        <v>365</v>
      </c>
      <c r="AB276" s="207">
        <v>365</v>
      </c>
      <c r="AC276" s="204">
        <v>365</v>
      </c>
      <c r="AD276" s="206">
        <v>365</v>
      </c>
      <c r="AE276" s="207">
        <v>365</v>
      </c>
      <c r="AF276" s="204">
        <v>365</v>
      </c>
      <c r="AG276" s="206">
        <v>365</v>
      </c>
      <c r="AH276" s="207">
        <v>365</v>
      </c>
      <c r="AI276" s="208" t="s">
        <v>301</v>
      </c>
      <c r="AJ276" s="194" t="s">
        <v>1596</v>
      </c>
      <c r="AK276" s="132" t="s">
        <v>1597</v>
      </c>
      <c r="AL276" s="213">
        <v>1</v>
      </c>
      <c r="AM276" s="212"/>
      <c r="AN276" s="211">
        <v>365</v>
      </c>
      <c r="AO276" s="212"/>
      <c r="AP276" s="194" t="s">
        <v>55</v>
      </c>
      <c r="AQ276" s="193" t="s">
        <v>1403</v>
      </c>
      <c r="AR276" s="210"/>
      <c r="AS276" s="209" t="s">
        <v>1769</v>
      </c>
      <c r="AT276" s="175"/>
      <c r="AU276" s="65" t="s">
        <v>25</v>
      </c>
      <c r="AV276" s="163" t="s">
        <v>12</v>
      </c>
      <c r="AW276" s="65">
        <v>1185</v>
      </c>
      <c r="AX276" s="196">
        <v>44670.616030092591</v>
      </c>
    </row>
    <row r="277" spans="1:50">
      <c r="A277" s="124" t="s">
        <v>62</v>
      </c>
      <c r="B277" s="109" t="s">
        <v>1320</v>
      </c>
      <c r="C277" s="214" t="s">
        <v>3299</v>
      </c>
      <c r="D277" s="163" t="s">
        <v>3302</v>
      </c>
      <c r="E277" s="170">
        <v>365</v>
      </c>
      <c r="F277" s="171">
        <v>365</v>
      </c>
      <c r="G277" s="184">
        <v>365</v>
      </c>
      <c r="H277" s="181">
        <v>365</v>
      </c>
      <c r="I277" s="171">
        <v>365</v>
      </c>
      <c r="J277" s="184">
        <v>365</v>
      </c>
      <c r="K277" s="181">
        <v>365</v>
      </c>
      <c r="L277" s="171">
        <v>365</v>
      </c>
      <c r="M277" s="184">
        <v>365</v>
      </c>
      <c r="N277" s="181">
        <v>365</v>
      </c>
      <c r="O277" s="171">
        <v>365</v>
      </c>
      <c r="P277" s="207">
        <v>365</v>
      </c>
      <c r="Q277" s="204">
        <v>365</v>
      </c>
      <c r="R277" s="206">
        <v>365</v>
      </c>
      <c r="S277" s="207">
        <v>365</v>
      </c>
      <c r="T277" s="204">
        <v>365</v>
      </c>
      <c r="U277" s="206">
        <v>365</v>
      </c>
      <c r="V277" s="207">
        <v>365</v>
      </c>
      <c r="W277" s="204">
        <v>365</v>
      </c>
      <c r="X277" s="206">
        <v>365</v>
      </c>
      <c r="Y277" s="207">
        <v>365</v>
      </c>
      <c r="Z277" s="204">
        <v>365</v>
      </c>
      <c r="AA277" s="206">
        <v>365</v>
      </c>
      <c r="AB277" s="207">
        <v>365</v>
      </c>
      <c r="AC277" s="204">
        <v>365</v>
      </c>
      <c r="AD277" s="206">
        <v>365</v>
      </c>
      <c r="AE277" s="207">
        <v>365</v>
      </c>
      <c r="AF277" s="204">
        <v>365</v>
      </c>
      <c r="AG277" s="206">
        <v>365</v>
      </c>
      <c r="AH277" s="207">
        <v>365</v>
      </c>
      <c r="AI277" s="208" t="s">
        <v>301</v>
      </c>
      <c r="AJ277" s="194" t="s">
        <v>1596</v>
      </c>
      <c r="AK277" s="132" t="s">
        <v>1597</v>
      </c>
      <c r="AL277" s="213">
        <v>1</v>
      </c>
      <c r="AM277" s="212"/>
      <c r="AN277" s="211">
        <v>365</v>
      </c>
      <c r="AO277" s="212"/>
      <c r="AP277" s="194" t="s">
        <v>55</v>
      </c>
      <c r="AQ277" s="193" t="s">
        <v>1403</v>
      </c>
      <c r="AR277" s="210"/>
      <c r="AS277" s="209" t="s">
        <v>1558</v>
      </c>
      <c r="AT277" s="175"/>
      <c r="AU277" s="65" t="s">
        <v>25</v>
      </c>
      <c r="AV277" s="163" t="s">
        <v>12</v>
      </c>
      <c r="AW277" s="65">
        <v>1185</v>
      </c>
      <c r="AX277" s="196">
        <v>44670.616030092591</v>
      </c>
    </row>
    <row r="278" spans="1:50">
      <c r="A278" s="124" t="s">
        <v>62</v>
      </c>
      <c r="B278" s="109" t="s">
        <v>1320</v>
      </c>
      <c r="C278" s="214" t="s">
        <v>3299</v>
      </c>
      <c r="D278" s="163" t="s">
        <v>3303</v>
      </c>
      <c r="E278" s="170">
        <v>365</v>
      </c>
      <c r="F278" s="171">
        <v>365</v>
      </c>
      <c r="G278" s="184">
        <v>365</v>
      </c>
      <c r="H278" s="181">
        <v>365</v>
      </c>
      <c r="I278" s="171">
        <v>365</v>
      </c>
      <c r="J278" s="184">
        <v>365</v>
      </c>
      <c r="K278" s="181">
        <v>365</v>
      </c>
      <c r="L278" s="171">
        <v>365</v>
      </c>
      <c r="M278" s="184">
        <v>365</v>
      </c>
      <c r="N278" s="181">
        <v>365</v>
      </c>
      <c r="O278" s="171">
        <v>365</v>
      </c>
      <c r="P278" s="207">
        <v>365</v>
      </c>
      <c r="Q278" s="204">
        <v>365</v>
      </c>
      <c r="R278" s="206">
        <v>365</v>
      </c>
      <c r="S278" s="207">
        <v>365</v>
      </c>
      <c r="T278" s="204">
        <v>365</v>
      </c>
      <c r="U278" s="206">
        <v>365</v>
      </c>
      <c r="V278" s="207">
        <v>365</v>
      </c>
      <c r="W278" s="204">
        <v>365</v>
      </c>
      <c r="X278" s="206">
        <v>365</v>
      </c>
      <c r="Y278" s="207">
        <v>365</v>
      </c>
      <c r="Z278" s="204">
        <v>365</v>
      </c>
      <c r="AA278" s="206">
        <v>365</v>
      </c>
      <c r="AB278" s="207">
        <v>365</v>
      </c>
      <c r="AC278" s="204">
        <v>365</v>
      </c>
      <c r="AD278" s="206">
        <v>365</v>
      </c>
      <c r="AE278" s="207">
        <v>365</v>
      </c>
      <c r="AF278" s="204">
        <v>365</v>
      </c>
      <c r="AG278" s="206">
        <v>365</v>
      </c>
      <c r="AH278" s="207">
        <v>365</v>
      </c>
      <c r="AI278" s="208" t="s">
        <v>301</v>
      </c>
      <c r="AJ278" s="194" t="s">
        <v>1596</v>
      </c>
      <c r="AK278" s="132" t="s">
        <v>1597</v>
      </c>
      <c r="AL278" s="213">
        <v>1</v>
      </c>
      <c r="AM278" s="212"/>
      <c r="AN278" s="211">
        <v>365</v>
      </c>
      <c r="AO278" s="212"/>
      <c r="AP278" s="194" t="s">
        <v>55</v>
      </c>
      <c r="AQ278" s="193" t="s">
        <v>1403</v>
      </c>
      <c r="AR278" s="210"/>
      <c r="AS278" s="209" t="s">
        <v>1534</v>
      </c>
      <c r="AT278" s="175"/>
      <c r="AU278" s="65" t="s">
        <v>25</v>
      </c>
      <c r="AV278" s="163" t="s">
        <v>12</v>
      </c>
      <c r="AW278" s="65">
        <v>1185</v>
      </c>
      <c r="AX278" s="196">
        <v>44670.616030092591</v>
      </c>
    </row>
    <row r="279" spans="1:50">
      <c r="A279" s="124" t="s">
        <v>62</v>
      </c>
      <c r="B279" s="109" t="s">
        <v>1320</v>
      </c>
      <c r="C279" s="214" t="s">
        <v>3299</v>
      </c>
      <c r="D279" s="163" t="s">
        <v>3304</v>
      </c>
      <c r="E279" s="170">
        <v>365</v>
      </c>
      <c r="F279" s="171">
        <v>365</v>
      </c>
      <c r="G279" s="184">
        <v>365</v>
      </c>
      <c r="H279" s="181">
        <v>365</v>
      </c>
      <c r="I279" s="171">
        <v>365</v>
      </c>
      <c r="J279" s="184">
        <v>365</v>
      </c>
      <c r="K279" s="181">
        <v>365</v>
      </c>
      <c r="L279" s="171">
        <v>365</v>
      </c>
      <c r="M279" s="184">
        <v>365</v>
      </c>
      <c r="N279" s="181">
        <v>365</v>
      </c>
      <c r="O279" s="171">
        <v>365</v>
      </c>
      <c r="P279" s="207">
        <v>365</v>
      </c>
      <c r="Q279" s="204">
        <v>365</v>
      </c>
      <c r="R279" s="206">
        <v>365</v>
      </c>
      <c r="S279" s="207">
        <v>365</v>
      </c>
      <c r="T279" s="204">
        <v>365</v>
      </c>
      <c r="U279" s="206">
        <v>365</v>
      </c>
      <c r="V279" s="207">
        <v>365</v>
      </c>
      <c r="W279" s="204">
        <v>365</v>
      </c>
      <c r="X279" s="206">
        <v>365</v>
      </c>
      <c r="Y279" s="207">
        <v>365</v>
      </c>
      <c r="Z279" s="204">
        <v>365</v>
      </c>
      <c r="AA279" s="206">
        <v>365</v>
      </c>
      <c r="AB279" s="207">
        <v>365</v>
      </c>
      <c r="AC279" s="204">
        <v>365</v>
      </c>
      <c r="AD279" s="206">
        <v>365</v>
      </c>
      <c r="AE279" s="207">
        <v>365</v>
      </c>
      <c r="AF279" s="204">
        <v>365</v>
      </c>
      <c r="AG279" s="206">
        <v>365</v>
      </c>
      <c r="AH279" s="207">
        <v>365</v>
      </c>
      <c r="AI279" s="208" t="s">
        <v>301</v>
      </c>
      <c r="AJ279" s="194" t="s">
        <v>1596</v>
      </c>
      <c r="AK279" s="132" t="s">
        <v>1597</v>
      </c>
      <c r="AL279" s="213">
        <v>1</v>
      </c>
      <c r="AM279" s="212"/>
      <c r="AN279" s="211">
        <v>365</v>
      </c>
      <c r="AO279" s="212"/>
      <c r="AP279" s="65" t="s">
        <v>55</v>
      </c>
      <c r="AQ279" s="193" t="s">
        <v>1403</v>
      </c>
      <c r="AR279" s="210"/>
      <c r="AS279" s="209" t="s">
        <v>1681</v>
      </c>
      <c r="AT279" s="175"/>
      <c r="AU279" s="65" t="s">
        <v>25</v>
      </c>
      <c r="AV279" s="163" t="s">
        <v>12</v>
      </c>
      <c r="AW279" s="65">
        <v>1185</v>
      </c>
      <c r="AX279" s="196">
        <v>44670.616030092591</v>
      </c>
    </row>
    <row r="280" spans="1:50">
      <c r="A280" s="124" t="s">
        <v>100</v>
      </c>
      <c r="B280" s="109" t="s">
        <v>1320</v>
      </c>
      <c r="C280" s="214" t="s">
        <v>271</v>
      </c>
      <c r="D280" s="163" t="s">
        <v>273</v>
      </c>
      <c r="E280" s="170">
        <v>527.55999999999995</v>
      </c>
      <c r="F280" s="171">
        <v>527.55999999999995</v>
      </c>
      <c r="G280" s="184">
        <v>527.55999999999995</v>
      </c>
      <c r="H280" s="181">
        <v>527.55999999999995</v>
      </c>
      <c r="I280" s="171">
        <v>527.55999999999995</v>
      </c>
      <c r="J280" s="184">
        <v>527.55999999999995</v>
      </c>
      <c r="K280" s="181">
        <v>527.55999999999995</v>
      </c>
      <c r="L280" s="171">
        <v>527.55999999999995</v>
      </c>
      <c r="M280" s="184">
        <v>527.55999999999995</v>
      </c>
      <c r="N280" s="181">
        <v>527.55999999999995</v>
      </c>
      <c r="O280" s="171">
        <v>527.55999999999995</v>
      </c>
      <c r="P280" s="207">
        <v>527.55999999999995</v>
      </c>
      <c r="Q280" s="204">
        <v>527.55999999999995</v>
      </c>
      <c r="R280" s="206">
        <v>527.55999999999995</v>
      </c>
      <c r="S280" s="207">
        <v>527.55999999999995</v>
      </c>
      <c r="T280" s="204">
        <v>527.55999999999995</v>
      </c>
      <c r="U280" s="206">
        <v>527.55999999999995</v>
      </c>
      <c r="V280" s="207">
        <v>527.55999999999995</v>
      </c>
      <c r="W280" s="204">
        <v>527.55999999999995</v>
      </c>
      <c r="X280" s="206">
        <v>527.55999999999995</v>
      </c>
      <c r="Y280" s="207">
        <v>527.55999999999995</v>
      </c>
      <c r="Z280" s="204">
        <v>527.55999999999995</v>
      </c>
      <c r="AA280" s="206">
        <v>527.55999999999995</v>
      </c>
      <c r="AB280" s="207">
        <v>527.55999999999995</v>
      </c>
      <c r="AC280" s="204">
        <v>527.55999999999995</v>
      </c>
      <c r="AD280" s="206">
        <v>527.55999999999995</v>
      </c>
      <c r="AE280" s="207">
        <v>527.55999999999995</v>
      </c>
      <c r="AF280" s="204">
        <v>527.55999999999995</v>
      </c>
      <c r="AG280" s="206">
        <v>527.55999999999995</v>
      </c>
      <c r="AH280" s="207">
        <v>527.55999999999995</v>
      </c>
      <c r="AI280" s="208" t="s">
        <v>272</v>
      </c>
      <c r="AJ280" s="194" t="s">
        <v>1419</v>
      </c>
      <c r="AK280" s="132" t="s">
        <v>17</v>
      </c>
      <c r="AL280" s="213">
        <v>149</v>
      </c>
      <c r="AM280" s="212"/>
      <c r="AN280" s="211">
        <v>527.55999999999995</v>
      </c>
      <c r="AO280" s="212">
        <v>0</v>
      </c>
      <c r="AP280" s="194" t="s">
        <v>131</v>
      </c>
      <c r="AQ280" s="193" t="s">
        <v>1407</v>
      </c>
      <c r="AR280" s="210" t="s">
        <v>1404</v>
      </c>
      <c r="AS280" s="209" t="s">
        <v>1534</v>
      </c>
      <c r="AT280" s="175"/>
      <c r="AU280" s="65" t="s">
        <v>25</v>
      </c>
      <c r="AV280" s="163" t="s">
        <v>17</v>
      </c>
      <c r="AW280" s="65">
        <v>1187</v>
      </c>
      <c r="AX280" s="196">
        <v>44684.609247685185</v>
      </c>
    </row>
    <row r="281" spans="1:50">
      <c r="A281" s="124" t="s">
        <v>62</v>
      </c>
      <c r="B281" s="109" t="s">
        <v>1320</v>
      </c>
      <c r="C281" s="214" t="s">
        <v>3336</v>
      </c>
      <c r="D281" s="163" t="s">
        <v>3338</v>
      </c>
      <c r="E281" s="170">
        <v>109.2</v>
      </c>
      <c r="F281" s="171">
        <v>119.6</v>
      </c>
      <c r="G281" s="184">
        <v>119.6</v>
      </c>
      <c r="H281" s="181">
        <v>109.2</v>
      </c>
      <c r="I281" s="171">
        <v>119.6</v>
      </c>
      <c r="J281" s="184">
        <v>119.6</v>
      </c>
      <c r="K281" s="181">
        <v>109.2</v>
      </c>
      <c r="L281" s="171">
        <v>119.6</v>
      </c>
      <c r="M281" s="184">
        <v>119.6</v>
      </c>
      <c r="N281" s="181">
        <v>109.2</v>
      </c>
      <c r="O281" s="171">
        <v>119.6</v>
      </c>
      <c r="P281" s="207">
        <v>119.6</v>
      </c>
      <c r="Q281" s="204">
        <v>109.2</v>
      </c>
      <c r="R281" s="206">
        <v>119.6</v>
      </c>
      <c r="S281" s="207">
        <v>119.6</v>
      </c>
      <c r="T281" s="204">
        <v>109.2</v>
      </c>
      <c r="U281" s="206">
        <v>119.6</v>
      </c>
      <c r="V281" s="207">
        <v>119.6</v>
      </c>
      <c r="W281" s="204">
        <v>109.2</v>
      </c>
      <c r="X281" s="206">
        <v>119.6</v>
      </c>
      <c r="Y281" s="207">
        <v>119.6</v>
      </c>
      <c r="Z281" s="204">
        <v>109.2</v>
      </c>
      <c r="AA281" s="206">
        <v>119.6</v>
      </c>
      <c r="AB281" s="207">
        <v>119.6</v>
      </c>
      <c r="AC281" s="204">
        <v>109.2</v>
      </c>
      <c r="AD281" s="206">
        <v>119.6</v>
      </c>
      <c r="AE281" s="207">
        <v>119.6</v>
      </c>
      <c r="AF281" s="204">
        <v>109.2</v>
      </c>
      <c r="AG281" s="206">
        <v>119.6</v>
      </c>
      <c r="AH281" s="207">
        <v>119.6</v>
      </c>
      <c r="AI281" s="208" t="s">
        <v>3337</v>
      </c>
      <c r="AJ281" s="194" t="s">
        <v>1398</v>
      </c>
      <c r="AK281" s="132" t="s">
        <v>1388</v>
      </c>
      <c r="AL281" s="213">
        <v>52</v>
      </c>
      <c r="AM281" s="212"/>
      <c r="AN281" s="211">
        <v>143</v>
      </c>
      <c r="AO281" s="212"/>
      <c r="AP281" s="194" t="s">
        <v>55</v>
      </c>
      <c r="AQ281" s="193" t="s">
        <v>1407</v>
      </c>
      <c r="AR281" s="210"/>
      <c r="AS281" s="209" t="s">
        <v>1496</v>
      </c>
      <c r="AT281" s="175"/>
      <c r="AU281" s="65" t="s">
        <v>25</v>
      </c>
      <c r="AV281" s="163" t="s">
        <v>1388</v>
      </c>
      <c r="AW281" s="65">
        <v>1437</v>
      </c>
      <c r="AX281" s="196">
        <v>44742.563807870371</v>
      </c>
    </row>
    <row r="282" spans="1:50">
      <c r="A282" s="124" t="s">
        <v>46</v>
      </c>
      <c r="B282" s="109" t="s">
        <v>1320</v>
      </c>
      <c r="C282" s="214" t="s">
        <v>108</v>
      </c>
      <c r="D282" s="163" t="s">
        <v>110</v>
      </c>
      <c r="E282" s="170">
        <v>199.68</v>
      </c>
      <c r="F282" s="171">
        <v>199.68</v>
      </c>
      <c r="G282" s="184">
        <v>191.36</v>
      </c>
      <c r="H282" s="181">
        <v>199.68</v>
      </c>
      <c r="I282" s="171">
        <v>199.68</v>
      </c>
      <c r="J282" s="184">
        <v>191.36</v>
      </c>
      <c r="K282" s="181">
        <v>199.68</v>
      </c>
      <c r="L282" s="171">
        <v>199.68</v>
      </c>
      <c r="M282" s="184">
        <v>191.36</v>
      </c>
      <c r="N282" s="181">
        <v>199.68</v>
      </c>
      <c r="O282" s="171">
        <v>199.68</v>
      </c>
      <c r="P282" s="207">
        <v>191.36</v>
      </c>
      <c r="Q282" s="204">
        <v>199.68</v>
      </c>
      <c r="R282" s="206">
        <v>199.68</v>
      </c>
      <c r="S282" s="207">
        <v>191.36</v>
      </c>
      <c r="T282" s="204">
        <v>199.68</v>
      </c>
      <c r="U282" s="206">
        <v>199.68</v>
      </c>
      <c r="V282" s="207">
        <v>191.36</v>
      </c>
      <c r="W282" s="204">
        <v>199.68</v>
      </c>
      <c r="X282" s="206">
        <v>199.68</v>
      </c>
      <c r="Y282" s="207">
        <v>191.36</v>
      </c>
      <c r="Z282" s="204">
        <v>199.68</v>
      </c>
      <c r="AA282" s="206">
        <v>199.68</v>
      </c>
      <c r="AB282" s="207">
        <v>191.36</v>
      </c>
      <c r="AC282" s="204">
        <v>199.68</v>
      </c>
      <c r="AD282" s="206">
        <v>199.68</v>
      </c>
      <c r="AE282" s="207">
        <v>191.36</v>
      </c>
      <c r="AF282" s="204">
        <v>199.68</v>
      </c>
      <c r="AG282" s="206">
        <v>199.68</v>
      </c>
      <c r="AH282" s="207">
        <v>191.36</v>
      </c>
      <c r="AI282" s="208" t="s">
        <v>109</v>
      </c>
      <c r="AJ282" s="194" t="s">
        <v>1429</v>
      </c>
      <c r="AK282" s="132" t="s">
        <v>1388</v>
      </c>
      <c r="AL282" s="213">
        <v>104</v>
      </c>
      <c r="AM282" s="212"/>
      <c r="AN282" s="211">
        <v>228.8</v>
      </c>
      <c r="AO282" s="212"/>
      <c r="AP282" s="194" t="s">
        <v>55</v>
      </c>
      <c r="AQ282" s="193" t="s">
        <v>1407</v>
      </c>
      <c r="AR282" s="210"/>
      <c r="AS282" s="209" t="s">
        <v>1547</v>
      </c>
      <c r="AT282" s="175"/>
      <c r="AU282" s="65" t="s">
        <v>25</v>
      </c>
      <c r="AV282" s="163" t="s">
        <v>1388</v>
      </c>
      <c r="AW282" s="65">
        <v>1447</v>
      </c>
      <c r="AX282" s="196">
        <v>44671.447233796294</v>
      </c>
    </row>
    <row r="283" spans="1:50">
      <c r="A283" s="124" t="s">
        <v>46</v>
      </c>
      <c r="B283" s="109" t="s">
        <v>1385</v>
      </c>
      <c r="C283" s="214" t="s">
        <v>288</v>
      </c>
      <c r="D283" s="163" t="s">
        <v>3348</v>
      </c>
      <c r="E283" s="170">
        <v>150</v>
      </c>
      <c r="F283" s="171">
        <v>150</v>
      </c>
      <c r="G283" s="184">
        <v>150</v>
      </c>
      <c r="H283" s="181">
        <v>150</v>
      </c>
      <c r="I283" s="171">
        <v>150</v>
      </c>
      <c r="J283" s="184">
        <v>150</v>
      </c>
      <c r="K283" s="181">
        <v>150</v>
      </c>
      <c r="L283" s="171">
        <v>150</v>
      </c>
      <c r="M283" s="184">
        <v>150</v>
      </c>
      <c r="N283" s="181">
        <v>150</v>
      </c>
      <c r="O283" s="171">
        <v>150</v>
      </c>
      <c r="P283" s="207">
        <v>150</v>
      </c>
      <c r="Q283" s="204">
        <v>150</v>
      </c>
      <c r="R283" s="206">
        <v>150</v>
      </c>
      <c r="S283" s="207">
        <v>150</v>
      </c>
      <c r="T283" s="204">
        <v>150</v>
      </c>
      <c r="U283" s="206">
        <v>150</v>
      </c>
      <c r="V283" s="207">
        <v>150</v>
      </c>
      <c r="W283" s="204">
        <v>150</v>
      </c>
      <c r="X283" s="206">
        <v>150</v>
      </c>
      <c r="Y283" s="207">
        <v>150</v>
      </c>
      <c r="Z283" s="204">
        <v>150</v>
      </c>
      <c r="AA283" s="206">
        <v>150</v>
      </c>
      <c r="AB283" s="207">
        <v>150</v>
      </c>
      <c r="AC283" s="204">
        <v>150</v>
      </c>
      <c r="AD283" s="206">
        <v>150</v>
      </c>
      <c r="AE283" s="207">
        <v>150</v>
      </c>
      <c r="AF283" s="204"/>
      <c r="AG283" s="206"/>
      <c r="AH283" s="207"/>
      <c r="AI283" s="208" t="s">
        <v>289</v>
      </c>
      <c r="AJ283" s="194" t="s">
        <v>1429</v>
      </c>
      <c r="AK283" s="132" t="s">
        <v>1388</v>
      </c>
      <c r="AL283" s="213">
        <v>1</v>
      </c>
      <c r="AM283" s="212"/>
      <c r="AN283" s="211">
        <v>150</v>
      </c>
      <c r="AO283" s="212">
        <v>0</v>
      </c>
      <c r="AP283" s="194" t="s">
        <v>27</v>
      </c>
      <c r="AQ283" s="193" t="s">
        <v>1407</v>
      </c>
      <c r="AR283" s="210" t="s">
        <v>2503</v>
      </c>
      <c r="AS283" s="209" t="s">
        <v>2342</v>
      </c>
      <c r="AT283" s="175"/>
      <c r="AU283" s="65" t="s">
        <v>27</v>
      </c>
      <c r="AV283" s="163" t="s">
        <v>1388</v>
      </c>
      <c r="AW283" s="65">
        <v>1586</v>
      </c>
      <c r="AX283" s="196">
        <v>44679.577418981484</v>
      </c>
    </row>
    <row r="284" spans="1:50">
      <c r="A284" s="124" t="s">
        <v>62</v>
      </c>
      <c r="B284" s="109" t="s">
        <v>1320</v>
      </c>
      <c r="C284" s="214" t="s">
        <v>598</v>
      </c>
      <c r="D284" s="163" t="s">
        <v>600</v>
      </c>
      <c r="E284" s="170">
        <v>75.018999999999991</v>
      </c>
      <c r="F284" s="171">
        <v>75.018999999999991</v>
      </c>
      <c r="G284" s="184">
        <v>75.018999999999991</v>
      </c>
      <c r="H284" s="181">
        <v>75.018999999999991</v>
      </c>
      <c r="I284" s="171">
        <v>75.018999999999991</v>
      </c>
      <c r="J284" s="184">
        <v>75.018999999999991</v>
      </c>
      <c r="K284" s="181">
        <v>75.018999999999991</v>
      </c>
      <c r="L284" s="171">
        <v>75.018999999999991</v>
      </c>
      <c r="M284" s="184">
        <v>75.018999999999991</v>
      </c>
      <c r="N284" s="181">
        <v>75.018999999999991</v>
      </c>
      <c r="O284" s="171">
        <v>75.018999999999991</v>
      </c>
      <c r="P284" s="207">
        <v>75.018999999999991</v>
      </c>
      <c r="Q284" s="204">
        <v>75.018999999999991</v>
      </c>
      <c r="R284" s="206">
        <v>75.018999999999991</v>
      </c>
      <c r="S284" s="207">
        <v>75.018999999999991</v>
      </c>
      <c r="T284" s="204">
        <v>75.018999999999991</v>
      </c>
      <c r="U284" s="206">
        <v>75.018999999999991</v>
      </c>
      <c r="V284" s="207">
        <v>75.018999999999991</v>
      </c>
      <c r="W284" s="204">
        <v>75.018999999999991</v>
      </c>
      <c r="X284" s="206">
        <v>75.018999999999991</v>
      </c>
      <c r="Y284" s="207">
        <v>75.018999999999991</v>
      </c>
      <c r="Z284" s="204">
        <v>75.018999999999991</v>
      </c>
      <c r="AA284" s="206">
        <v>75.018999999999991</v>
      </c>
      <c r="AB284" s="207">
        <v>75.018999999999991</v>
      </c>
      <c r="AC284" s="204">
        <v>75.018999999999991</v>
      </c>
      <c r="AD284" s="206">
        <v>75.018999999999991</v>
      </c>
      <c r="AE284" s="207">
        <v>75.018999999999991</v>
      </c>
      <c r="AF284" s="204"/>
      <c r="AG284" s="206"/>
      <c r="AH284" s="207"/>
      <c r="AI284" s="208" t="s">
        <v>599</v>
      </c>
      <c r="AJ284" s="194" t="s">
        <v>1429</v>
      </c>
      <c r="AK284" s="132" t="s">
        <v>1388</v>
      </c>
      <c r="AL284" s="213">
        <v>49</v>
      </c>
      <c r="AM284" s="212"/>
      <c r="AN284" s="211">
        <v>85.26</v>
      </c>
      <c r="AO284" s="212">
        <v>0</v>
      </c>
      <c r="AP284" s="194" t="s">
        <v>55</v>
      </c>
      <c r="AQ284" s="193" t="s">
        <v>1407</v>
      </c>
      <c r="AR284" s="210"/>
      <c r="AS284" s="209" t="s">
        <v>1547</v>
      </c>
      <c r="AT284" s="175"/>
      <c r="AU284" s="65" t="s">
        <v>25</v>
      </c>
      <c r="AV284" s="163" t="s">
        <v>1388</v>
      </c>
      <c r="AW284" s="65">
        <v>1444</v>
      </c>
      <c r="AX284" s="196">
        <v>44679.622870370367</v>
      </c>
    </row>
    <row r="285" spans="1:50">
      <c r="A285" s="124" t="s">
        <v>62</v>
      </c>
      <c r="B285" s="109" t="s">
        <v>1320</v>
      </c>
      <c r="C285" s="214" t="s">
        <v>830</v>
      </c>
      <c r="D285" s="163" t="s">
        <v>3353</v>
      </c>
      <c r="E285" s="170">
        <v>365</v>
      </c>
      <c r="F285" s="171">
        <v>355</v>
      </c>
      <c r="G285" s="184">
        <v>350</v>
      </c>
      <c r="H285" s="181">
        <v>365</v>
      </c>
      <c r="I285" s="171">
        <v>355</v>
      </c>
      <c r="J285" s="184">
        <v>350</v>
      </c>
      <c r="K285" s="181">
        <v>365</v>
      </c>
      <c r="L285" s="171">
        <v>355</v>
      </c>
      <c r="M285" s="184">
        <v>350</v>
      </c>
      <c r="N285" s="181">
        <v>365</v>
      </c>
      <c r="O285" s="171">
        <v>355</v>
      </c>
      <c r="P285" s="207">
        <v>350</v>
      </c>
      <c r="Q285" s="204">
        <v>365</v>
      </c>
      <c r="R285" s="206">
        <v>355</v>
      </c>
      <c r="S285" s="207">
        <v>350</v>
      </c>
      <c r="T285" s="204">
        <v>365</v>
      </c>
      <c r="U285" s="206">
        <v>355</v>
      </c>
      <c r="V285" s="207">
        <v>350</v>
      </c>
      <c r="W285" s="204">
        <v>365</v>
      </c>
      <c r="X285" s="206">
        <v>355</v>
      </c>
      <c r="Y285" s="207">
        <v>350</v>
      </c>
      <c r="Z285" s="204">
        <v>365</v>
      </c>
      <c r="AA285" s="206">
        <v>355</v>
      </c>
      <c r="AB285" s="207">
        <v>350</v>
      </c>
      <c r="AC285" s="204">
        <v>365</v>
      </c>
      <c r="AD285" s="206">
        <v>355</v>
      </c>
      <c r="AE285" s="207">
        <v>350</v>
      </c>
      <c r="AF285" s="204">
        <v>365</v>
      </c>
      <c r="AG285" s="206">
        <v>355</v>
      </c>
      <c r="AH285" s="207">
        <v>350</v>
      </c>
      <c r="AI285" s="208" t="s">
        <v>1568</v>
      </c>
      <c r="AJ285" s="194" t="s">
        <v>1980</v>
      </c>
      <c r="AK285" s="132" t="s">
        <v>1722</v>
      </c>
      <c r="AL285" s="213">
        <v>1</v>
      </c>
      <c r="AM285" s="212"/>
      <c r="AN285" s="211">
        <v>385</v>
      </c>
      <c r="AO285" s="212"/>
      <c r="AP285" s="194" t="s">
        <v>55</v>
      </c>
      <c r="AQ285" s="193" t="s">
        <v>1403</v>
      </c>
      <c r="AR285" s="210"/>
      <c r="AS285" s="209" t="s">
        <v>1441</v>
      </c>
      <c r="AT285" s="175"/>
      <c r="AU285" s="65" t="s">
        <v>25</v>
      </c>
      <c r="AV285" s="163" t="s">
        <v>13</v>
      </c>
      <c r="AW285" s="65">
        <v>1190</v>
      </c>
      <c r="AX285" s="196">
        <v>44746.657349537039</v>
      </c>
    </row>
    <row r="286" spans="1:50">
      <c r="A286" s="124" t="s">
        <v>80</v>
      </c>
      <c r="B286" s="109" t="s">
        <v>1320</v>
      </c>
      <c r="C286" s="214" t="s">
        <v>664</v>
      </c>
      <c r="D286" s="163" t="s">
        <v>3363</v>
      </c>
      <c r="E286" s="170">
        <v>94.996800000000007</v>
      </c>
      <c r="F286" s="171">
        <v>94.996800000000007</v>
      </c>
      <c r="G286" s="184">
        <v>94.996800000000007</v>
      </c>
      <c r="H286" s="181">
        <v>94.996800000000007</v>
      </c>
      <c r="I286" s="171">
        <v>94.996800000000007</v>
      </c>
      <c r="J286" s="184">
        <v>94.996800000000007</v>
      </c>
      <c r="K286" s="181">
        <v>94.996800000000007</v>
      </c>
      <c r="L286" s="171">
        <v>94.996800000000007</v>
      </c>
      <c r="M286" s="184">
        <v>94.996800000000007</v>
      </c>
      <c r="N286" s="181">
        <v>94.996800000000007</v>
      </c>
      <c r="O286" s="171">
        <v>94.996800000000007</v>
      </c>
      <c r="P286" s="207">
        <v>94.996800000000007</v>
      </c>
      <c r="Q286" s="204">
        <v>94.996800000000007</v>
      </c>
      <c r="R286" s="206">
        <v>94.996800000000007</v>
      </c>
      <c r="S286" s="207">
        <v>94.996800000000007</v>
      </c>
      <c r="T286" s="204">
        <v>94.996800000000007</v>
      </c>
      <c r="U286" s="206">
        <v>94.996800000000007</v>
      </c>
      <c r="V286" s="207">
        <v>94.996800000000007</v>
      </c>
      <c r="W286" s="204">
        <v>94.996800000000007</v>
      </c>
      <c r="X286" s="206">
        <v>94.996800000000007</v>
      </c>
      <c r="Y286" s="207">
        <v>94.996800000000007</v>
      </c>
      <c r="Z286" s="204">
        <v>94.996800000000007</v>
      </c>
      <c r="AA286" s="206">
        <v>94.996800000000007</v>
      </c>
      <c r="AB286" s="207">
        <v>94.996800000000007</v>
      </c>
      <c r="AC286" s="204">
        <v>94.996800000000007</v>
      </c>
      <c r="AD286" s="206">
        <v>94.996800000000007</v>
      </c>
      <c r="AE286" s="207">
        <v>94.996800000000007</v>
      </c>
      <c r="AF286" s="204">
        <v>94.996800000000007</v>
      </c>
      <c r="AG286" s="206">
        <v>94.996800000000007</v>
      </c>
      <c r="AH286" s="207">
        <v>94.996800000000007</v>
      </c>
      <c r="AI286" s="208" t="s">
        <v>69</v>
      </c>
      <c r="AJ286" s="194" t="s">
        <v>1398</v>
      </c>
      <c r="AK286" s="132" t="s">
        <v>1388</v>
      </c>
      <c r="AL286" s="213">
        <v>54</v>
      </c>
      <c r="AM286" s="212"/>
      <c r="AN286" s="211">
        <v>108</v>
      </c>
      <c r="AO286" s="212"/>
      <c r="AP286" s="194" t="s">
        <v>55</v>
      </c>
      <c r="AQ286" s="193" t="s">
        <v>1407</v>
      </c>
      <c r="AR286" s="210"/>
      <c r="AS286" s="209" t="s">
        <v>1547</v>
      </c>
      <c r="AT286" s="175"/>
      <c r="AU286" s="65" t="s">
        <v>25</v>
      </c>
      <c r="AV286" s="163" t="s">
        <v>1388</v>
      </c>
      <c r="AW286" s="65">
        <v>1397</v>
      </c>
      <c r="AX286" s="196">
        <v>44678.402604166666</v>
      </c>
    </row>
    <row r="287" spans="1:50">
      <c r="A287" s="124" t="s">
        <v>80</v>
      </c>
      <c r="B287" s="109" t="s">
        <v>1385</v>
      </c>
      <c r="C287" s="214" t="s">
        <v>136</v>
      </c>
      <c r="D287" s="163" t="s">
        <v>208</v>
      </c>
      <c r="E287" s="170">
        <v>0</v>
      </c>
      <c r="F287" s="171">
        <v>0</v>
      </c>
      <c r="G287" s="184">
        <v>0</v>
      </c>
      <c r="H287" s="181">
        <v>87</v>
      </c>
      <c r="I287" s="171">
        <v>87</v>
      </c>
      <c r="J287" s="184">
        <v>87</v>
      </c>
      <c r="K287" s="181">
        <v>87</v>
      </c>
      <c r="L287" s="171">
        <v>87</v>
      </c>
      <c r="M287" s="184">
        <v>87</v>
      </c>
      <c r="N287" s="181">
        <v>87</v>
      </c>
      <c r="O287" s="171">
        <v>87</v>
      </c>
      <c r="P287" s="207">
        <v>87</v>
      </c>
      <c r="Q287" s="204">
        <v>87</v>
      </c>
      <c r="R287" s="206">
        <v>87</v>
      </c>
      <c r="S287" s="207">
        <v>87</v>
      </c>
      <c r="T287" s="204">
        <v>87</v>
      </c>
      <c r="U287" s="206">
        <v>87</v>
      </c>
      <c r="V287" s="207">
        <v>87</v>
      </c>
      <c r="W287" s="204">
        <v>87</v>
      </c>
      <c r="X287" s="206">
        <v>87</v>
      </c>
      <c r="Y287" s="207">
        <v>87</v>
      </c>
      <c r="Z287" s="204">
        <v>87</v>
      </c>
      <c r="AA287" s="206">
        <v>87</v>
      </c>
      <c r="AB287" s="207">
        <v>87</v>
      </c>
      <c r="AC287" s="204">
        <v>87</v>
      </c>
      <c r="AD287" s="206">
        <v>87</v>
      </c>
      <c r="AE287" s="207">
        <v>87</v>
      </c>
      <c r="AF287" s="204">
        <v>87</v>
      </c>
      <c r="AG287" s="206">
        <v>87</v>
      </c>
      <c r="AH287" s="207">
        <v>87</v>
      </c>
      <c r="AI287" s="208" t="s">
        <v>69</v>
      </c>
      <c r="AJ287" s="194" t="s">
        <v>1429</v>
      </c>
      <c r="AK287" s="132" t="s">
        <v>1388</v>
      </c>
      <c r="AL287" s="213">
        <v>1</v>
      </c>
      <c r="AM287" s="212"/>
      <c r="AN287" s="211">
        <v>105</v>
      </c>
      <c r="AO287" s="212"/>
      <c r="AP287" s="194" t="s">
        <v>27</v>
      </c>
      <c r="AQ287" s="193" t="s">
        <v>1407</v>
      </c>
      <c r="AR287" s="210" t="s">
        <v>2063</v>
      </c>
      <c r="AS287" s="209" t="s">
        <v>1700</v>
      </c>
      <c r="AT287" s="175"/>
      <c r="AU287" s="65" t="s">
        <v>27</v>
      </c>
      <c r="AV287" s="163" t="s">
        <v>1388</v>
      </c>
      <c r="AW287" s="65">
        <v>1575</v>
      </c>
      <c r="AX287" s="196">
        <v>44746.592870370368</v>
      </c>
    </row>
    <row r="288" spans="1:50">
      <c r="A288" s="124" t="s">
        <v>46</v>
      </c>
      <c r="B288" s="109" t="s">
        <v>1320</v>
      </c>
      <c r="C288" s="214" t="s">
        <v>561</v>
      </c>
      <c r="D288" s="163" t="s">
        <v>3367</v>
      </c>
      <c r="E288" s="170">
        <v>425</v>
      </c>
      <c r="F288" s="171">
        <v>395</v>
      </c>
      <c r="G288" s="184">
        <v>385</v>
      </c>
      <c r="H288" s="181">
        <v>425</v>
      </c>
      <c r="I288" s="171">
        <v>395</v>
      </c>
      <c r="J288" s="184">
        <v>385</v>
      </c>
      <c r="K288" s="181">
        <v>425</v>
      </c>
      <c r="L288" s="171">
        <v>415</v>
      </c>
      <c r="M288" s="184">
        <v>405</v>
      </c>
      <c r="N288" s="181">
        <v>425</v>
      </c>
      <c r="O288" s="171">
        <v>415</v>
      </c>
      <c r="P288" s="207">
        <v>405</v>
      </c>
      <c r="Q288" s="204">
        <v>425</v>
      </c>
      <c r="R288" s="206">
        <v>415</v>
      </c>
      <c r="S288" s="207">
        <v>405</v>
      </c>
      <c r="T288" s="204">
        <v>425</v>
      </c>
      <c r="U288" s="206">
        <v>415</v>
      </c>
      <c r="V288" s="207">
        <v>405</v>
      </c>
      <c r="W288" s="204">
        <v>425</v>
      </c>
      <c r="X288" s="206">
        <v>415</v>
      </c>
      <c r="Y288" s="207">
        <v>405</v>
      </c>
      <c r="Z288" s="204">
        <v>425</v>
      </c>
      <c r="AA288" s="206">
        <v>415</v>
      </c>
      <c r="AB288" s="207">
        <v>405</v>
      </c>
      <c r="AC288" s="204">
        <v>440</v>
      </c>
      <c r="AD288" s="206">
        <v>415</v>
      </c>
      <c r="AE288" s="207">
        <v>395</v>
      </c>
      <c r="AF288" s="204">
        <v>425</v>
      </c>
      <c r="AG288" s="206">
        <v>415</v>
      </c>
      <c r="AH288" s="207">
        <v>405</v>
      </c>
      <c r="AI288" s="208" t="s">
        <v>140</v>
      </c>
      <c r="AJ288" s="194" t="s">
        <v>1980</v>
      </c>
      <c r="AK288" s="132" t="s">
        <v>1360</v>
      </c>
      <c r="AL288" s="213">
        <v>1</v>
      </c>
      <c r="AM288" s="212"/>
      <c r="AN288" s="211">
        <v>440</v>
      </c>
      <c r="AO288" s="212"/>
      <c r="AP288" s="194" t="s">
        <v>55</v>
      </c>
      <c r="AQ288" s="193" t="s">
        <v>1403</v>
      </c>
      <c r="AR288" s="210"/>
      <c r="AS288" s="209" t="s">
        <v>1769</v>
      </c>
      <c r="AT288" s="175"/>
      <c r="AU288" s="65" t="s">
        <v>25</v>
      </c>
      <c r="AV288" s="163" t="s">
        <v>13</v>
      </c>
      <c r="AW288" s="65">
        <v>1192</v>
      </c>
      <c r="AX288" s="196">
        <v>44746.56722222222</v>
      </c>
    </row>
    <row r="289" spans="1:50">
      <c r="A289" s="124" t="s">
        <v>46</v>
      </c>
      <c r="B289" s="109" t="s">
        <v>1385</v>
      </c>
      <c r="C289" s="214" t="s">
        <v>3369</v>
      </c>
      <c r="D289" s="163" t="s">
        <v>208</v>
      </c>
      <c r="E289" s="170">
        <v>0</v>
      </c>
      <c r="F289" s="171">
        <v>0</v>
      </c>
      <c r="G289" s="184">
        <v>0</v>
      </c>
      <c r="H289" s="181">
        <v>0</v>
      </c>
      <c r="I289" s="171">
        <v>318</v>
      </c>
      <c r="J289" s="184">
        <v>318</v>
      </c>
      <c r="K289" s="181">
        <v>320</v>
      </c>
      <c r="L289" s="171">
        <v>318</v>
      </c>
      <c r="M289" s="184">
        <v>318</v>
      </c>
      <c r="N289" s="181">
        <v>320</v>
      </c>
      <c r="O289" s="171">
        <v>318</v>
      </c>
      <c r="P289" s="207">
        <v>318</v>
      </c>
      <c r="Q289" s="204">
        <v>320</v>
      </c>
      <c r="R289" s="206">
        <v>318</v>
      </c>
      <c r="S289" s="207">
        <v>318</v>
      </c>
      <c r="T289" s="204">
        <v>320</v>
      </c>
      <c r="U289" s="206">
        <v>318</v>
      </c>
      <c r="V289" s="207">
        <v>318</v>
      </c>
      <c r="W289" s="204">
        <v>320</v>
      </c>
      <c r="X289" s="206">
        <v>318</v>
      </c>
      <c r="Y289" s="207">
        <v>318</v>
      </c>
      <c r="Z289" s="204">
        <v>320</v>
      </c>
      <c r="AA289" s="206">
        <v>318</v>
      </c>
      <c r="AB289" s="207">
        <v>318</v>
      </c>
      <c r="AC289" s="204">
        <v>320</v>
      </c>
      <c r="AD289" s="206">
        <v>318</v>
      </c>
      <c r="AE289" s="207">
        <v>318</v>
      </c>
      <c r="AF289" s="204">
        <v>320</v>
      </c>
      <c r="AG289" s="206">
        <v>318</v>
      </c>
      <c r="AH289" s="207">
        <v>318</v>
      </c>
      <c r="AI289" s="208" t="s">
        <v>3370</v>
      </c>
      <c r="AJ289" s="194" t="s">
        <v>1493</v>
      </c>
      <c r="AK289" s="132" t="s">
        <v>1360</v>
      </c>
      <c r="AL289" s="213">
        <v>1</v>
      </c>
      <c r="AM289" s="212"/>
      <c r="AN289" s="211">
        <v>320</v>
      </c>
      <c r="AO289" s="212"/>
      <c r="AP289" s="65" t="s">
        <v>94</v>
      </c>
      <c r="AQ289" s="193" t="s">
        <v>1403</v>
      </c>
      <c r="AR289" s="210" t="s">
        <v>1483</v>
      </c>
      <c r="AS289" s="209"/>
      <c r="AT289" s="175"/>
      <c r="AU289" s="65" t="s">
        <v>27</v>
      </c>
      <c r="AV289" s="163" t="s">
        <v>14</v>
      </c>
      <c r="AW289" s="65">
        <v>1193</v>
      </c>
      <c r="AX289" s="196">
        <v>44742.694155092591</v>
      </c>
    </row>
    <row r="290" spans="1:50">
      <c r="A290" s="124" t="s">
        <v>95</v>
      </c>
      <c r="B290" s="109" t="s">
        <v>1320</v>
      </c>
      <c r="C290" s="214" t="s">
        <v>96</v>
      </c>
      <c r="D290" s="163" t="s">
        <v>98</v>
      </c>
      <c r="E290" s="170">
        <v>0</v>
      </c>
      <c r="F290" s="171">
        <v>0</v>
      </c>
      <c r="G290" s="184">
        <v>0</v>
      </c>
      <c r="H290" s="181">
        <v>0</v>
      </c>
      <c r="I290" s="171">
        <v>0</v>
      </c>
      <c r="J290" s="184">
        <v>0</v>
      </c>
      <c r="K290" s="181">
        <v>0</v>
      </c>
      <c r="L290" s="171">
        <v>0</v>
      </c>
      <c r="M290" s="184">
        <v>0</v>
      </c>
      <c r="N290" s="181">
        <v>0</v>
      </c>
      <c r="O290" s="171">
        <v>0</v>
      </c>
      <c r="P290" s="207">
        <v>0</v>
      </c>
      <c r="Q290" s="204">
        <v>0</v>
      </c>
      <c r="R290" s="206">
        <v>0</v>
      </c>
      <c r="S290" s="207">
        <v>0</v>
      </c>
      <c r="T290" s="204">
        <v>0</v>
      </c>
      <c r="U290" s="206">
        <v>0</v>
      </c>
      <c r="V290" s="207">
        <v>0</v>
      </c>
      <c r="W290" s="204">
        <v>0</v>
      </c>
      <c r="X290" s="206">
        <v>0</v>
      </c>
      <c r="Y290" s="207">
        <v>0</v>
      </c>
      <c r="Z290" s="204">
        <v>0</v>
      </c>
      <c r="AA290" s="206">
        <v>0</v>
      </c>
      <c r="AB290" s="207">
        <v>0</v>
      </c>
      <c r="AC290" s="204">
        <v>0</v>
      </c>
      <c r="AD290" s="206">
        <v>0</v>
      </c>
      <c r="AE290" s="207">
        <v>0</v>
      </c>
      <c r="AF290" s="204">
        <v>0</v>
      </c>
      <c r="AG290" s="206">
        <v>0</v>
      </c>
      <c r="AH290" s="207">
        <v>0</v>
      </c>
      <c r="AI290" s="208" t="s">
        <v>97</v>
      </c>
      <c r="AJ290" s="194" t="s">
        <v>1980</v>
      </c>
      <c r="AK290" s="132" t="s">
        <v>1360</v>
      </c>
      <c r="AL290" s="213">
        <v>2</v>
      </c>
      <c r="AM290" s="212"/>
      <c r="AN290" s="211">
        <v>208</v>
      </c>
      <c r="AO290" s="212"/>
      <c r="AP290" s="194" t="s">
        <v>55</v>
      </c>
      <c r="AQ290" s="193" t="s">
        <v>1403</v>
      </c>
      <c r="AR290" s="210"/>
      <c r="AS290" s="209" t="s">
        <v>1532</v>
      </c>
      <c r="AT290" s="175"/>
      <c r="AU290" s="65" t="s">
        <v>25</v>
      </c>
      <c r="AV290" s="163" t="s">
        <v>13</v>
      </c>
      <c r="AW290" s="65">
        <v>1194</v>
      </c>
      <c r="AX290" s="196">
        <v>44672.497916666667</v>
      </c>
    </row>
    <row r="291" spans="1:50">
      <c r="A291" s="124" t="s">
        <v>95</v>
      </c>
      <c r="B291" s="109" t="s">
        <v>1320</v>
      </c>
      <c r="C291" s="214" t="s">
        <v>1012</v>
      </c>
      <c r="D291" s="163" t="s">
        <v>3374</v>
      </c>
      <c r="E291" s="170">
        <v>58</v>
      </c>
      <c r="F291" s="171">
        <v>58</v>
      </c>
      <c r="G291" s="184">
        <v>58</v>
      </c>
      <c r="H291" s="204">
        <v>58</v>
      </c>
      <c r="I291" s="171">
        <v>58</v>
      </c>
      <c r="J291" s="184">
        <v>58</v>
      </c>
      <c r="K291" s="204">
        <v>58</v>
      </c>
      <c r="L291" s="171">
        <v>58</v>
      </c>
      <c r="M291" s="184">
        <v>58</v>
      </c>
      <c r="N291" s="204">
        <v>58</v>
      </c>
      <c r="O291" s="171">
        <v>58</v>
      </c>
      <c r="P291" s="207">
        <v>58</v>
      </c>
      <c r="Q291" s="204">
        <v>58</v>
      </c>
      <c r="R291" s="206">
        <v>58</v>
      </c>
      <c r="S291" s="207">
        <v>58</v>
      </c>
      <c r="T291" s="204">
        <v>58</v>
      </c>
      <c r="U291" s="206">
        <v>58</v>
      </c>
      <c r="V291" s="207">
        <v>58</v>
      </c>
      <c r="W291" s="204">
        <v>58</v>
      </c>
      <c r="X291" s="206">
        <v>58</v>
      </c>
      <c r="Y291" s="207">
        <v>58</v>
      </c>
      <c r="Z291" s="204">
        <v>58</v>
      </c>
      <c r="AA291" s="206">
        <v>58</v>
      </c>
      <c r="AB291" s="207">
        <v>58</v>
      </c>
      <c r="AC291" s="204">
        <v>58</v>
      </c>
      <c r="AD291" s="206">
        <v>58</v>
      </c>
      <c r="AE291" s="207">
        <v>58</v>
      </c>
      <c r="AF291" s="204">
        <v>58</v>
      </c>
      <c r="AG291" s="206">
        <v>58</v>
      </c>
      <c r="AH291" s="207">
        <v>58</v>
      </c>
      <c r="AI291" s="208" t="s">
        <v>97</v>
      </c>
      <c r="AJ291" s="194" t="s">
        <v>1493</v>
      </c>
      <c r="AK291" s="132" t="s">
        <v>1360</v>
      </c>
      <c r="AL291" s="213">
        <v>1</v>
      </c>
      <c r="AM291" s="212"/>
      <c r="AN291" s="211">
        <v>58</v>
      </c>
      <c r="AO291" s="212"/>
      <c r="AP291" s="194" t="s">
        <v>55</v>
      </c>
      <c r="AQ291" s="193" t="s">
        <v>1403</v>
      </c>
      <c r="AR291" s="210"/>
      <c r="AS291" s="209" t="s">
        <v>1532</v>
      </c>
      <c r="AT291" s="175"/>
      <c r="AU291" s="65" t="s">
        <v>25</v>
      </c>
      <c r="AV291" s="163" t="s">
        <v>14</v>
      </c>
      <c r="AW291" s="65">
        <v>1195</v>
      </c>
      <c r="AX291" s="196">
        <v>44670.619016203702</v>
      </c>
    </row>
    <row r="292" spans="1:50">
      <c r="A292" s="124" t="s">
        <v>46</v>
      </c>
      <c r="B292" s="109" t="s">
        <v>1320</v>
      </c>
      <c r="C292" s="214" t="s">
        <v>1003</v>
      </c>
      <c r="D292" s="163" t="s">
        <v>3384</v>
      </c>
      <c r="E292" s="170">
        <v>106.80000000000001</v>
      </c>
      <c r="F292" s="171">
        <v>106.80000000000001</v>
      </c>
      <c r="G292" s="184">
        <v>106.80000000000001</v>
      </c>
      <c r="H292" s="204">
        <v>106.80000000000001</v>
      </c>
      <c r="I292" s="171">
        <v>106.80000000000001</v>
      </c>
      <c r="J292" s="184">
        <v>106.80000000000001</v>
      </c>
      <c r="K292" s="204">
        <v>106.80000000000001</v>
      </c>
      <c r="L292" s="171">
        <v>106.80000000000001</v>
      </c>
      <c r="M292" s="184">
        <v>106.80000000000001</v>
      </c>
      <c r="N292" s="204">
        <v>106.80000000000001</v>
      </c>
      <c r="O292" s="171">
        <v>106.80000000000001</v>
      </c>
      <c r="P292" s="207">
        <v>106.80000000000001</v>
      </c>
      <c r="Q292" s="204">
        <v>106.80000000000001</v>
      </c>
      <c r="R292" s="206">
        <v>106.80000000000001</v>
      </c>
      <c r="S292" s="207">
        <v>106.80000000000001</v>
      </c>
      <c r="T292" s="204">
        <v>106.80000000000001</v>
      </c>
      <c r="U292" s="206">
        <v>106.80000000000001</v>
      </c>
      <c r="V292" s="207">
        <v>106.80000000000001</v>
      </c>
      <c r="W292" s="204">
        <v>106.80000000000001</v>
      </c>
      <c r="X292" s="206">
        <v>106.80000000000001</v>
      </c>
      <c r="Y292" s="207">
        <v>106.80000000000001</v>
      </c>
      <c r="Z292" s="204">
        <v>106.80000000000001</v>
      </c>
      <c r="AA292" s="206">
        <v>106.80000000000001</v>
      </c>
      <c r="AB292" s="207">
        <v>106.80000000000001</v>
      </c>
      <c r="AC292" s="204">
        <v>106.80000000000001</v>
      </c>
      <c r="AD292" s="206">
        <v>106.80000000000001</v>
      </c>
      <c r="AE292" s="207">
        <v>106.80000000000001</v>
      </c>
      <c r="AF292" s="204">
        <v>106.80000000000001</v>
      </c>
      <c r="AG292" s="206">
        <v>106.80000000000001</v>
      </c>
      <c r="AH292" s="207">
        <v>106.80000000000001</v>
      </c>
      <c r="AI292" s="208" t="s">
        <v>3383</v>
      </c>
      <c r="AJ292" s="194" t="s">
        <v>1419</v>
      </c>
      <c r="AK292" s="132" t="s">
        <v>17</v>
      </c>
      <c r="AL292" s="213">
        <v>51</v>
      </c>
      <c r="AM292" s="212"/>
      <c r="AN292" s="211">
        <v>106.80000000000001</v>
      </c>
      <c r="AO292" s="212"/>
      <c r="AP292" s="194" t="s">
        <v>55</v>
      </c>
      <c r="AQ292" s="193" t="s">
        <v>1407</v>
      </c>
      <c r="AR292" s="210"/>
      <c r="AS292" s="209" t="s">
        <v>1511</v>
      </c>
      <c r="AT292" s="175"/>
      <c r="AU292" s="65" t="s">
        <v>25</v>
      </c>
      <c r="AV292" s="163" t="s">
        <v>17</v>
      </c>
      <c r="AW292" s="65">
        <v>1196</v>
      </c>
      <c r="AX292" s="196">
        <v>44743.619525462964</v>
      </c>
    </row>
    <row r="293" spans="1:50">
      <c r="A293" s="124" t="s">
        <v>62</v>
      </c>
      <c r="B293" s="109" t="s">
        <v>1320</v>
      </c>
      <c r="C293" s="214" t="s">
        <v>3386</v>
      </c>
      <c r="D293" s="163" t="s">
        <v>3387</v>
      </c>
      <c r="E293" s="170">
        <v>350</v>
      </c>
      <c r="F293" s="171">
        <v>350</v>
      </c>
      <c r="G293" s="184">
        <v>350</v>
      </c>
      <c r="H293" s="204">
        <v>350</v>
      </c>
      <c r="I293" s="171">
        <v>350</v>
      </c>
      <c r="J293" s="184">
        <v>350</v>
      </c>
      <c r="K293" s="204">
        <v>350</v>
      </c>
      <c r="L293" s="171">
        <v>350</v>
      </c>
      <c r="M293" s="184">
        <v>350</v>
      </c>
      <c r="N293" s="204">
        <v>350</v>
      </c>
      <c r="O293" s="171">
        <v>350</v>
      </c>
      <c r="P293" s="207">
        <v>350</v>
      </c>
      <c r="Q293" s="204">
        <v>350</v>
      </c>
      <c r="R293" s="206">
        <v>350</v>
      </c>
      <c r="S293" s="207">
        <v>350</v>
      </c>
      <c r="T293" s="204">
        <v>350</v>
      </c>
      <c r="U293" s="206">
        <v>350</v>
      </c>
      <c r="V293" s="207">
        <v>350</v>
      </c>
      <c r="W293" s="204">
        <v>350</v>
      </c>
      <c r="X293" s="206">
        <v>350</v>
      </c>
      <c r="Y293" s="207">
        <v>350</v>
      </c>
      <c r="Z293" s="204">
        <v>350</v>
      </c>
      <c r="AA293" s="206">
        <v>350</v>
      </c>
      <c r="AB293" s="207">
        <v>350</v>
      </c>
      <c r="AC293" s="204">
        <v>350</v>
      </c>
      <c r="AD293" s="206">
        <v>350</v>
      </c>
      <c r="AE293" s="207">
        <v>350</v>
      </c>
      <c r="AF293" s="204">
        <v>350</v>
      </c>
      <c r="AG293" s="206">
        <v>350</v>
      </c>
      <c r="AH293" s="207">
        <v>350</v>
      </c>
      <c r="AI293" s="208" t="s">
        <v>301</v>
      </c>
      <c r="AJ293" s="194" t="s">
        <v>1596</v>
      </c>
      <c r="AK293" s="132" t="s">
        <v>1597</v>
      </c>
      <c r="AL293" s="213">
        <v>1</v>
      </c>
      <c r="AM293" s="212"/>
      <c r="AN293" s="211">
        <v>350</v>
      </c>
      <c r="AO293" s="212"/>
      <c r="AP293" s="194" t="s">
        <v>55</v>
      </c>
      <c r="AQ293" s="193" t="s">
        <v>1403</v>
      </c>
      <c r="AR293" s="210"/>
      <c r="AS293" s="209" t="s">
        <v>1441</v>
      </c>
      <c r="AT293" s="175"/>
      <c r="AU293" s="65" t="s">
        <v>25</v>
      </c>
      <c r="AV293" s="163" t="s">
        <v>12</v>
      </c>
      <c r="AW293" s="65">
        <v>1197</v>
      </c>
      <c r="AX293" s="196">
        <v>44670.621122685188</v>
      </c>
    </row>
    <row r="294" spans="1:50">
      <c r="A294" s="124" t="s">
        <v>62</v>
      </c>
      <c r="B294" s="109" t="s">
        <v>1320</v>
      </c>
      <c r="C294" s="214" t="s">
        <v>3386</v>
      </c>
      <c r="D294" s="163" t="s">
        <v>3388</v>
      </c>
      <c r="E294" s="170">
        <v>350</v>
      </c>
      <c r="F294" s="171">
        <v>350</v>
      </c>
      <c r="G294" s="184">
        <v>350</v>
      </c>
      <c r="H294" s="204">
        <v>350</v>
      </c>
      <c r="I294" s="171">
        <v>350</v>
      </c>
      <c r="J294" s="184">
        <v>350</v>
      </c>
      <c r="K294" s="204">
        <v>350</v>
      </c>
      <c r="L294" s="171">
        <v>350</v>
      </c>
      <c r="M294" s="184">
        <v>350</v>
      </c>
      <c r="N294" s="204">
        <v>350</v>
      </c>
      <c r="O294" s="171">
        <v>350</v>
      </c>
      <c r="P294" s="207">
        <v>350</v>
      </c>
      <c r="Q294" s="204">
        <v>350</v>
      </c>
      <c r="R294" s="206">
        <v>350</v>
      </c>
      <c r="S294" s="207">
        <v>350</v>
      </c>
      <c r="T294" s="204">
        <v>350</v>
      </c>
      <c r="U294" s="206">
        <v>350</v>
      </c>
      <c r="V294" s="207">
        <v>350</v>
      </c>
      <c r="W294" s="204">
        <v>350</v>
      </c>
      <c r="X294" s="206">
        <v>350</v>
      </c>
      <c r="Y294" s="207">
        <v>350</v>
      </c>
      <c r="Z294" s="204">
        <v>350</v>
      </c>
      <c r="AA294" s="206">
        <v>350</v>
      </c>
      <c r="AB294" s="207">
        <v>350</v>
      </c>
      <c r="AC294" s="204">
        <v>350</v>
      </c>
      <c r="AD294" s="206">
        <v>350</v>
      </c>
      <c r="AE294" s="207">
        <v>350</v>
      </c>
      <c r="AF294" s="204">
        <v>350</v>
      </c>
      <c r="AG294" s="206">
        <v>350</v>
      </c>
      <c r="AH294" s="207">
        <v>350</v>
      </c>
      <c r="AI294" s="208" t="s">
        <v>301</v>
      </c>
      <c r="AJ294" s="194" t="s">
        <v>1596</v>
      </c>
      <c r="AK294" s="132" t="s">
        <v>1597</v>
      </c>
      <c r="AL294" s="213">
        <v>1</v>
      </c>
      <c r="AM294" s="212"/>
      <c r="AN294" s="211">
        <v>350</v>
      </c>
      <c r="AO294" s="212"/>
      <c r="AP294" s="194" t="s">
        <v>55</v>
      </c>
      <c r="AQ294" s="193" t="s">
        <v>1403</v>
      </c>
      <c r="AR294" s="210"/>
      <c r="AS294" s="209" t="s">
        <v>1441</v>
      </c>
      <c r="AT294" s="175"/>
      <c r="AU294" s="65" t="s">
        <v>25</v>
      </c>
      <c r="AV294" s="163" t="s">
        <v>12</v>
      </c>
      <c r="AW294" s="65">
        <v>1197</v>
      </c>
      <c r="AX294" s="196">
        <v>44670.621122685188</v>
      </c>
    </row>
    <row r="295" spans="1:50">
      <c r="A295" s="124" t="s">
        <v>62</v>
      </c>
      <c r="B295" s="109" t="s">
        <v>1320</v>
      </c>
      <c r="C295" s="214" t="s">
        <v>3386</v>
      </c>
      <c r="D295" s="163" t="s">
        <v>3389</v>
      </c>
      <c r="E295" s="170">
        <v>350</v>
      </c>
      <c r="F295" s="171">
        <v>350</v>
      </c>
      <c r="G295" s="184">
        <v>350</v>
      </c>
      <c r="H295" s="181">
        <v>350</v>
      </c>
      <c r="I295" s="171">
        <v>350</v>
      </c>
      <c r="J295" s="184">
        <v>350</v>
      </c>
      <c r="K295" s="181">
        <v>350</v>
      </c>
      <c r="L295" s="171">
        <v>350</v>
      </c>
      <c r="M295" s="184">
        <v>350</v>
      </c>
      <c r="N295" s="181">
        <v>350</v>
      </c>
      <c r="O295" s="171">
        <v>350</v>
      </c>
      <c r="P295" s="207">
        <v>350</v>
      </c>
      <c r="Q295" s="204">
        <v>350</v>
      </c>
      <c r="R295" s="206">
        <v>350</v>
      </c>
      <c r="S295" s="207">
        <v>350</v>
      </c>
      <c r="T295" s="204">
        <v>350</v>
      </c>
      <c r="U295" s="206">
        <v>350</v>
      </c>
      <c r="V295" s="207">
        <v>350</v>
      </c>
      <c r="W295" s="204">
        <v>350</v>
      </c>
      <c r="X295" s="206">
        <v>350</v>
      </c>
      <c r="Y295" s="207">
        <v>350</v>
      </c>
      <c r="Z295" s="204">
        <v>350</v>
      </c>
      <c r="AA295" s="206">
        <v>350</v>
      </c>
      <c r="AB295" s="207">
        <v>350</v>
      </c>
      <c r="AC295" s="204">
        <v>350</v>
      </c>
      <c r="AD295" s="206">
        <v>350</v>
      </c>
      <c r="AE295" s="207">
        <v>350</v>
      </c>
      <c r="AF295" s="204">
        <v>350</v>
      </c>
      <c r="AG295" s="206">
        <v>350</v>
      </c>
      <c r="AH295" s="207">
        <v>350</v>
      </c>
      <c r="AI295" s="208" t="s">
        <v>301</v>
      </c>
      <c r="AJ295" s="194" t="s">
        <v>1596</v>
      </c>
      <c r="AK295" s="132" t="s">
        <v>1597</v>
      </c>
      <c r="AL295" s="213">
        <v>1</v>
      </c>
      <c r="AM295" s="212"/>
      <c r="AN295" s="211">
        <v>350</v>
      </c>
      <c r="AO295" s="212"/>
      <c r="AP295" s="194" t="s">
        <v>55</v>
      </c>
      <c r="AQ295" s="193" t="s">
        <v>1403</v>
      </c>
      <c r="AR295" s="210"/>
      <c r="AS295" s="209" t="s">
        <v>1424</v>
      </c>
      <c r="AT295" s="175"/>
      <c r="AU295" s="65" t="s">
        <v>25</v>
      </c>
      <c r="AV295" s="163" t="s">
        <v>12</v>
      </c>
      <c r="AW295" s="65">
        <v>1197</v>
      </c>
      <c r="AX295" s="196">
        <v>44670.621122685188</v>
      </c>
    </row>
    <row r="296" spans="1:50">
      <c r="A296" s="124" t="s">
        <v>62</v>
      </c>
      <c r="B296" s="109" t="s">
        <v>1320</v>
      </c>
      <c r="C296" s="214" t="s">
        <v>3386</v>
      </c>
      <c r="D296" s="163" t="s">
        <v>3390</v>
      </c>
      <c r="E296" s="170">
        <v>350</v>
      </c>
      <c r="F296" s="171">
        <v>350</v>
      </c>
      <c r="G296" s="184">
        <v>350</v>
      </c>
      <c r="H296" s="181">
        <v>350</v>
      </c>
      <c r="I296" s="171">
        <v>350</v>
      </c>
      <c r="J296" s="184">
        <v>350</v>
      </c>
      <c r="K296" s="181">
        <v>350</v>
      </c>
      <c r="L296" s="171">
        <v>350</v>
      </c>
      <c r="M296" s="184">
        <v>350</v>
      </c>
      <c r="N296" s="181">
        <v>350</v>
      </c>
      <c r="O296" s="171">
        <v>350</v>
      </c>
      <c r="P296" s="207">
        <v>350</v>
      </c>
      <c r="Q296" s="204">
        <v>350</v>
      </c>
      <c r="R296" s="206">
        <v>350</v>
      </c>
      <c r="S296" s="207">
        <v>350</v>
      </c>
      <c r="T296" s="204">
        <v>350</v>
      </c>
      <c r="U296" s="206">
        <v>350</v>
      </c>
      <c r="V296" s="207">
        <v>350</v>
      </c>
      <c r="W296" s="204">
        <v>350</v>
      </c>
      <c r="X296" s="206">
        <v>350</v>
      </c>
      <c r="Y296" s="207">
        <v>350</v>
      </c>
      <c r="Z296" s="204">
        <v>350</v>
      </c>
      <c r="AA296" s="206">
        <v>350</v>
      </c>
      <c r="AB296" s="207">
        <v>350</v>
      </c>
      <c r="AC296" s="204">
        <v>350</v>
      </c>
      <c r="AD296" s="206">
        <v>350</v>
      </c>
      <c r="AE296" s="207">
        <v>350</v>
      </c>
      <c r="AF296" s="204">
        <v>350</v>
      </c>
      <c r="AG296" s="206">
        <v>350</v>
      </c>
      <c r="AH296" s="207">
        <v>350</v>
      </c>
      <c r="AI296" s="208" t="s">
        <v>301</v>
      </c>
      <c r="AJ296" s="194" t="s">
        <v>1596</v>
      </c>
      <c r="AK296" s="132" t="s">
        <v>1597</v>
      </c>
      <c r="AL296" s="213">
        <v>1</v>
      </c>
      <c r="AM296" s="212"/>
      <c r="AN296" s="211">
        <v>350</v>
      </c>
      <c r="AO296" s="212"/>
      <c r="AP296" s="194" t="s">
        <v>55</v>
      </c>
      <c r="AQ296" s="193" t="s">
        <v>1403</v>
      </c>
      <c r="AR296" s="210"/>
      <c r="AS296" s="209" t="s">
        <v>1424</v>
      </c>
      <c r="AT296" s="175"/>
      <c r="AU296" s="65" t="s">
        <v>25</v>
      </c>
      <c r="AV296" s="163" t="s">
        <v>12</v>
      </c>
      <c r="AW296" s="65">
        <v>1197</v>
      </c>
      <c r="AX296" s="196">
        <v>44670.621122685188</v>
      </c>
    </row>
    <row r="297" spans="1:50">
      <c r="A297" s="124" t="s">
        <v>62</v>
      </c>
      <c r="B297" s="109" t="s">
        <v>1320</v>
      </c>
      <c r="C297" s="214" t="s">
        <v>3393</v>
      </c>
      <c r="D297" s="163" t="s">
        <v>3394</v>
      </c>
      <c r="E297" s="170">
        <v>443</v>
      </c>
      <c r="F297" s="171">
        <v>443</v>
      </c>
      <c r="G297" s="184">
        <v>443</v>
      </c>
      <c r="H297" s="181">
        <v>443</v>
      </c>
      <c r="I297" s="171">
        <v>443</v>
      </c>
      <c r="J297" s="184">
        <v>443</v>
      </c>
      <c r="K297" s="181">
        <v>443</v>
      </c>
      <c r="L297" s="171">
        <v>443</v>
      </c>
      <c r="M297" s="184">
        <v>443</v>
      </c>
      <c r="N297" s="181">
        <v>443</v>
      </c>
      <c r="O297" s="171">
        <v>443</v>
      </c>
      <c r="P297" s="207">
        <v>443</v>
      </c>
      <c r="Q297" s="204">
        <v>443</v>
      </c>
      <c r="R297" s="206">
        <v>443</v>
      </c>
      <c r="S297" s="207">
        <v>443</v>
      </c>
      <c r="T297" s="204">
        <v>443</v>
      </c>
      <c r="U297" s="206">
        <v>443</v>
      </c>
      <c r="V297" s="207">
        <v>443</v>
      </c>
      <c r="W297" s="204">
        <v>443</v>
      </c>
      <c r="X297" s="206">
        <v>443</v>
      </c>
      <c r="Y297" s="207">
        <v>443</v>
      </c>
      <c r="Z297" s="204">
        <v>443</v>
      </c>
      <c r="AA297" s="206">
        <v>443</v>
      </c>
      <c r="AB297" s="207">
        <v>443</v>
      </c>
      <c r="AC297" s="204">
        <v>443</v>
      </c>
      <c r="AD297" s="206">
        <v>443</v>
      </c>
      <c r="AE297" s="207">
        <v>443</v>
      </c>
      <c r="AF297" s="204">
        <v>443</v>
      </c>
      <c r="AG297" s="206">
        <v>443</v>
      </c>
      <c r="AH297" s="207">
        <v>443</v>
      </c>
      <c r="AI297" s="208" t="s">
        <v>301</v>
      </c>
      <c r="AJ297" s="194" t="s">
        <v>1822</v>
      </c>
      <c r="AK297" s="132" t="s">
        <v>1597</v>
      </c>
      <c r="AL297" s="213">
        <v>1</v>
      </c>
      <c r="AM297" s="212"/>
      <c r="AN297" s="211">
        <v>450</v>
      </c>
      <c r="AO297" s="212"/>
      <c r="AP297" s="194" t="s">
        <v>55</v>
      </c>
      <c r="AQ297" s="193" t="s">
        <v>1403</v>
      </c>
      <c r="AR297" s="210"/>
      <c r="AS297" s="209" t="s">
        <v>1424</v>
      </c>
      <c r="AT297" s="175"/>
      <c r="AU297" s="65" t="s">
        <v>25</v>
      </c>
      <c r="AV297" s="163" t="s">
        <v>12</v>
      </c>
      <c r="AW297" s="65">
        <v>1199</v>
      </c>
      <c r="AX297" s="196">
        <v>44670.621747685182</v>
      </c>
    </row>
    <row r="298" spans="1:50">
      <c r="A298" s="124" t="s">
        <v>95</v>
      </c>
      <c r="B298" s="109" t="s">
        <v>1320</v>
      </c>
      <c r="C298" s="214" t="s">
        <v>3397</v>
      </c>
      <c r="D298" s="163" t="s">
        <v>3398</v>
      </c>
      <c r="E298" s="170">
        <v>72</v>
      </c>
      <c r="F298" s="171">
        <v>72</v>
      </c>
      <c r="G298" s="184">
        <v>72</v>
      </c>
      <c r="H298" s="181">
        <v>72</v>
      </c>
      <c r="I298" s="171">
        <v>70</v>
      </c>
      <c r="J298" s="184">
        <v>70</v>
      </c>
      <c r="K298" s="181">
        <v>72</v>
      </c>
      <c r="L298" s="171">
        <v>70</v>
      </c>
      <c r="M298" s="184">
        <v>70</v>
      </c>
      <c r="N298" s="181">
        <v>70</v>
      </c>
      <c r="O298" s="171">
        <v>70</v>
      </c>
      <c r="P298" s="207">
        <v>70</v>
      </c>
      <c r="Q298" s="204">
        <v>70</v>
      </c>
      <c r="R298" s="206">
        <v>70</v>
      </c>
      <c r="S298" s="207">
        <v>70</v>
      </c>
      <c r="T298" s="204">
        <v>70</v>
      </c>
      <c r="U298" s="206">
        <v>72</v>
      </c>
      <c r="V298" s="207">
        <v>72</v>
      </c>
      <c r="W298" s="204">
        <v>72</v>
      </c>
      <c r="X298" s="206">
        <v>72</v>
      </c>
      <c r="Y298" s="207">
        <v>72</v>
      </c>
      <c r="Z298" s="204">
        <v>72</v>
      </c>
      <c r="AA298" s="206">
        <v>72</v>
      </c>
      <c r="AB298" s="207">
        <v>72</v>
      </c>
      <c r="AC298" s="204">
        <v>72</v>
      </c>
      <c r="AD298" s="206">
        <v>72</v>
      </c>
      <c r="AE298" s="207">
        <v>72</v>
      </c>
      <c r="AF298" s="204">
        <v>72</v>
      </c>
      <c r="AG298" s="206">
        <v>72</v>
      </c>
      <c r="AH298" s="207">
        <v>72</v>
      </c>
      <c r="AI298" s="208" t="s">
        <v>1585</v>
      </c>
      <c r="AJ298" s="194" t="s">
        <v>1539</v>
      </c>
      <c r="AK298" s="132" t="s">
        <v>18</v>
      </c>
      <c r="AL298" s="213">
        <v>6</v>
      </c>
      <c r="AM298" s="212"/>
      <c r="AN298" s="211">
        <v>90</v>
      </c>
      <c r="AO298" s="212"/>
      <c r="AP298" s="194" t="s">
        <v>55</v>
      </c>
      <c r="AQ298" s="193" t="s">
        <v>1403</v>
      </c>
      <c r="AR298" s="210"/>
      <c r="AS298" s="209" t="s">
        <v>1588</v>
      </c>
      <c r="AT298" s="175"/>
      <c r="AU298" s="65" t="s">
        <v>25</v>
      </c>
      <c r="AV298" s="163" t="s">
        <v>18</v>
      </c>
      <c r="AW298" s="65">
        <v>1200</v>
      </c>
      <c r="AX298" s="196">
        <v>44670.622534722221</v>
      </c>
    </row>
    <row r="299" spans="1:50">
      <c r="A299" s="124" t="s">
        <v>80</v>
      </c>
      <c r="B299" s="109" t="s">
        <v>1320</v>
      </c>
      <c r="C299" s="214" t="s">
        <v>259</v>
      </c>
      <c r="D299" s="163" t="s">
        <v>3480</v>
      </c>
      <c r="E299" s="170">
        <v>0</v>
      </c>
      <c r="F299" s="171">
        <v>0</v>
      </c>
      <c r="G299" s="184">
        <v>0</v>
      </c>
      <c r="H299" s="181">
        <v>0</v>
      </c>
      <c r="I299" s="171">
        <v>0</v>
      </c>
      <c r="J299" s="184">
        <v>0</v>
      </c>
      <c r="K299" s="181">
        <v>0</v>
      </c>
      <c r="L299" s="171">
        <v>0</v>
      </c>
      <c r="M299" s="184">
        <v>0</v>
      </c>
      <c r="N299" s="181">
        <v>0</v>
      </c>
      <c r="O299" s="171">
        <v>0</v>
      </c>
      <c r="P299" s="207">
        <v>0</v>
      </c>
      <c r="Q299" s="204">
        <v>0</v>
      </c>
      <c r="R299" s="206">
        <v>0</v>
      </c>
      <c r="S299" s="207">
        <v>0</v>
      </c>
      <c r="T299" s="204">
        <v>0</v>
      </c>
      <c r="U299" s="206">
        <v>0</v>
      </c>
      <c r="V299" s="207">
        <v>0</v>
      </c>
      <c r="W299" s="204">
        <v>0</v>
      </c>
      <c r="X299" s="206">
        <v>0</v>
      </c>
      <c r="Y299" s="207">
        <v>0</v>
      </c>
      <c r="Z299" s="204">
        <v>0</v>
      </c>
      <c r="AA299" s="206">
        <v>0</v>
      </c>
      <c r="AB299" s="207">
        <v>0</v>
      </c>
      <c r="AC299" s="204">
        <v>0</v>
      </c>
      <c r="AD299" s="206">
        <v>0</v>
      </c>
      <c r="AE299" s="207">
        <v>0</v>
      </c>
      <c r="AF299" s="204">
        <v>0</v>
      </c>
      <c r="AG299" s="206">
        <v>0</v>
      </c>
      <c r="AH299" s="207">
        <v>0</v>
      </c>
      <c r="AI299" s="208" t="s">
        <v>89</v>
      </c>
      <c r="AJ299" s="194" t="s">
        <v>1596</v>
      </c>
      <c r="AK299" s="132" t="s">
        <v>1360</v>
      </c>
      <c r="AL299" s="213">
        <v>1</v>
      </c>
      <c r="AM299" s="212"/>
      <c r="AN299" s="211">
        <v>120</v>
      </c>
      <c r="AO299" s="212"/>
      <c r="AP299" s="194" t="s">
        <v>2166</v>
      </c>
      <c r="AQ299" s="193" t="s">
        <v>1403</v>
      </c>
      <c r="AR299" s="210"/>
      <c r="AS299" s="209" t="s">
        <v>1369</v>
      </c>
      <c r="AT299" s="175">
        <v>44834</v>
      </c>
      <c r="AU299" s="65" t="s">
        <v>24</v>
      </c>
      <c r="AV299" s="163" t="s">
        <v>15</v>
      </c>
      <c r="AW299" s="65">
        <v>1209</v>
      </c>
      <c r="AX299" s="196">
        <v>44671.437962962962</v>
      </c>
    </row>
    <row r="300" spans="1:50">
      <c r="A300" s="124" t="s">
        <v>80</v>
      </c>
      <c r="B300" s="109" t="s">
        <v>1320</v>
      </c>
      <c r="C300" s="214" t="s">
        <v>308</v>
      </c>
      <c r="D300" s="163" t="s">
        <v>309</v>
      </c>
      <c r="E300" s="170">
        <v>0</v>
      </c>
      <c r="F300" s="171">
        <v>0</v>
      </c>
      <c r="G300" s="184">
        <v>0</v>
      </c>
      <c r="H300" s="181">
        <v>0</v>
      </c>
      <c r="I300" s="171">
        <v>0</v>
      </c>
      <c r="J300" s="184">
        <v>0</v>
      </c>
      <c r="K300" s="181">
        <v>0</v>
      </c>
      <c r="L300" s="171">
        <v>200</v>
      </c>
      <c r="M300" s="184">
        <v>195</v>
      </c>
      <c r="N300" s="181">
        <v>200</v>
      </c>
      <c r="O300" s="171">
        <v>200</v>
      </c>
      <c r="P300" s="207">
        <v>195</v>
      </c>
      <c r="Q300" s="204">
        <v>200</v>
      </c>
      <c r="R300" s="206">
        <v>200</v>
      </c>
      <c r="S300" s="207">
        <v>195</v>
      </c>
      <c r="T300" s="204">
        <v>200</v>
      </c>
      <c r="U300" s="206">
        <v>200</v>
      </c>
      <c r="V300" s="207">
        <v>195</v>
      </c>
      <c r="W300" s="204">
        <v>200</v>
      </c>
      <c r="X300" s="206">
        <v>200</v>
      </c>
      <c r="Y300" s="207">
        <v>195</v>
      </c>
      <c r="Z300" s="204">
        <v>200</v>
      </c>
      <c r="AA300" s="206">
        <v>200</v>
      </c>
      <c r="AB300" s="207">
        <v>195</v>
      </c>
      <c r="AC300" s="204">
        <v>200</v>
      </c>
      <c r="AD300" s="206">
        <v>200</v>
      </c>
      <c r="AE300" s="207">
        <v>195</v>
      </c>
      <c r="AF300" s="204">
        <v>200</v>
      </c>
      <c r="AG300" s="206">
        <v>200</v>
      </c>
      <c r="AH300" s="207">
        <v>195</v>
      </c>
      <c r="AI300" s="208" t="s">
        <v>89</v>
      </c>
      <c r="AJ300" s="194" t="s">
        <v>1596</v>
      </c>
      <c r="AK300" s="132" t="s">
        <v>1360</v>
      </c>
      <c r="AL300" s="213">
        <v>1</v>
      </c>
      <c r="AM300" s="212"/>
      <c r="AN300" s="211">
        <v>200</v>
      </c>
      <c r="AO300" s="212"/>
      <c r="AP300" s="194" t="s">
        <v>55</v>
      </c>
      <c r="AQ300" s="193" t="s">
        <v>1403</v>
      </c>
      <c r="AR300" s="210"/>
      <c r="AS300" s="209" t="s">
        <v>1837</v>
      </c>
      <c r="AT300" s="175"/>
      <c r="AU300" s="65" t="s">
        <v>25</v>
      </c>
      <c r="AV300" s="163" t="s">
        <v>15</v>
      </c>
      <c r="AW300" s="65">
        <v>1210</v>
      </c>
      <c r="AX300" s="196">
        <v>44671.438784722224</v>
      </c>
    </row>
    <row r="301" spans="1:50">
      <c r="A301" s="124" t="s">
        <v>80</v>
      </c>
      <c r="B301" s="109" t="s">
        <v>1320</v>
      </c>
      <c r="C301" s="214" t="s">
        <v>308</v>
      </c>
      <c r="D301" s="163" t="s">
        <v>3481</v>
      </c>
      <c r="E301" s="170">
        <v>200</v>
      </c>
      <c r="F301" s="171">
        <v>200</v>
      </c>
      <c r="G301" s="184">
        <v>195</v>
      </c>
      <c r="H301" s="181">
        <v>200</v>
      </c>
      <c r="I301" s="171">
        <v>200</v>
      </c>
      <c r="J301" s="184">
        <v>195</v>
      </c>
      <c r="K301" s="181">
        <v>200</v>
      </c>
      <c r="L301" s="171">
        <v>200</v>
      </c>
      <c r="M301" s="184">
        <v>195</v>
      </c>
      <c r="N301" s="181">
        <v>200</v>
      </c>
      <c r="O301" s="171">
        <v>200</v>
      </c>
      <c r="P301" s="207">
        <v>195</v>
      </c>
      <c r="Q301" s="204">
        <v>200</v>
      </c>
      <c r="R301" s="206">
        <v>200</v>
      </c>
      <c r="S301" s="207">
        <v>195</v>
      </c>
      <c r="T301" s="204">
        <v>200</v>
      </c>
      <c r="U301" s="206">
        <v>200</v>
      </c>
      <c r="V301" s="207">
        <v>195</v>
      </c>
      <c r="W301" s="204">
        <v>200</v>
      </c>
      <c r="X301" s="206">
        <v>200</v>
      </c>
      <c r="Y301" s="207">
        <v>195</v>
      </c>
      <c r="Z301" s="204">
        <v>200</v>
      </c>
      <c r="AA301" s="206">
        <v>200</v>
      </c>
      <c r="AB301" s="207">
        <v>195</v>
      </c>
      <c r="AC301" s="204">
        <v>200</v>
      </c>
      <c r="AD301" s="206">
        <v>200</v>
      </c>
      <c r="AE301" s="207">
        <v>195</v>
      </c>
      <c r="AF301" s="204">
        <v>200</v>
      </c>
      <c r="AG301" s="206">
        <v>200</v>
      </c>
      <c r="AH301" s="207">
        <v>195</v>
      </c>
      <c r="AI301" s="208" t="s">
        <v>89</v>
      </c>
      <c r="AJ301" s="194" t="s">
        <v>1596</v>
      </c>
      <c r="AK301" s="132" t="s">
        <v>1360</v>
      </c>
      <c r="AL301" s="213">
        <v>1</v>
      </c>
      <c r="AM301" s="212"/>
      <c r="AN301" s="211">
        <v>200</v>
      </c>
      <c r="AO301" s="212"/>
      <c r="AP301" s="194" t="s">
        <v>55</v>
      </c>
      <c r="AQ301" s="193" t="s">
        <v>1403</v>
      </c>
      <c r="AR301" s="210"/>
      <c r="AS301" s="209" t="s">
        <v>1837</v>
      </c>
      <c r="AT301" s="175"/>
      <c r="AU301" s="65" t="s">
        <v>25</v>
      </c>
      <c r="AV301" s="163" t="s">
        <v>15</v>
      </c>
      <c r="AW301" s="65">
        <v>1210</v>
      </c>
      <c r="AX301" s="196">
        <v>44671.438784722224</v>
      </c>
    </row>
    <row r="302" spans="1:50">
      <c r="A302" s="124" t="s">
        <v>80</v>
      </c>
      <c r="B302" s="109" t="s">
        <v>1320</v>
      </c>
      <c r="C302" s="214" t="s">
        <v>308</v>
      </c>
      <c r="D302" s="163" t="s">
        <v>3482</v>
      </c>
      <c r="E302" s="170">
        <v>200</v>
      </c>
      <c r="F302" s="171">
        <v>200</v>
      </c>
      <c r="G302" s="184">
        <v>195</v>
      </c>
      <c r="H302" s="181">
        <v>200</v>
      </c>
      <c r="I302" s="171">
        <v>200</v>
      </c>
      <c r="J302" s="184">
        <v>195</v>
      </c>
      <c r="K302" s="181">
        <v>200</v>
      </c>
      <c r="L302" s="171">
        <v>200</v>
      </c>
      <c r="M302" s="184">
        <v>195</v>
      </c>
      <c r="N302" s="181">
        <v>200</v>
      </c>
      <c r="O302" s="171">
        <v>200</v>
      </c>
      <c r="P302" s="207">
        <v>195</v>
      </c>
      <c r="Q302" s="204">
        <v>200</v>
      </c>
      <c r="R302" s="206">
        <v>200</v>
      </c>
      <c r="S302" s="207">
        <v>195</v>
      </c>
      <c r="T302" s="204">
        <v>200</v>
      </c>
      <c r="U302" s="206">
        <v>200</v>
      </c>
      <c r="V302" s="207">
        <v>195</v>
      </c>
      <c r="W302" s="204">
        <v>200</v>
      </c>
      <c r="X302" s="206">
        <v>200</v>
      </c>
      <c r="Y302" s="207">
        <v>195</v>
      </c>
      <c r="Z302" s="204">
        <v>200</v>
      </c>
      <c r="AA302" s="206">
        <v>200</v>
      </c>
      <c r="AB302" s="207">
        <v>195</v>
      </c>
      <c r="AC302" s="204">
        <v>200</v>
      </c>
      <c r="AD302" s="206">
        <v>200</v>
      </c>
      <c r="AE302" s="207">
        <v>195</v>
      </c>
      <c r="AF302" s="204">
        <v>200</v>
      </c>
      <c r="AG302" s="206">
        <v>200</v>
      </c>
      <c r="AH302" s="207">
        <v>195</v>
      </c>
      <c r="AI302" s="208" t="s">
        <v>89</v>
      </c>
      <c r="AJ302" s="194" t="s">
        <v>1596</v>
      </c>
      <c r="AK302" s="132" t="s">
        <v>1360</v>
      </c>
      <c r="AL302" s="213">
        <v>1</v>
      </c>
      <c r="AM302" s="212"/>
      <c r="AN302" s="211">
        <v>200</v>
      </c>
      <c r="AO302" s="212"/>
      <c r="AP302" s="194" t="s">
        <v>55</v>
      </c>
      <c r="AQ302" s="193" t="s">
        <v>1403</v>
      </c>
      <c r="AR302" s="210"/>
      <c r="AS302" s="209" t="s">
        <v>1837</v>
      </c>
      <c r="AT302" s="175"/>
      <c r="AU302" s="65" t="s">
        <v>25</v>
      </c>
      <c r="AV302" s="163" t="s">
        <v>15</v>
      </c>
      <c r="AW302" s="65">
        <v>1210</v>
      </c>
      <c r="AX302" s="196">
        <v>44671.438784722224</v>
      </c>
    </row>
    <row r="303" spans="1:50">
      <c r="A303" s="124" t="s">
        <v>80</v>
      </c>
      <c r="B303" s="109" t="s">
        <v>1320</v>
      </c>
      <c r="C303" s="214" t="s">
        <v>308</v>
      </c>
      <c r="D303" s="163" t="s">
        <v>3483</v>
      </c>
      <c r="E303" s="170">
        <v>200</v>
      </c>
      <c r="F303" s="171">
        <v>200</v>
      </c>
      <c r="G303" s="184">
        <v>195</v>
      </c>
      <c r="H303" s="181">
        <v>200</v>
      </c>
      <c r="I303" s="171">
        <v>200</v>
      </c>
      <c r="J303" s="184">
        <v>195</v>
      </c>
      <c r="K303" s="181">
        <v>200</v>
      </c>
      <c r="L303" s="171">
        <v>200</v>
      </c>
      <c r="M303" s="184">
        <v>195</v>
      </c>
      <c r="N303" s="181">
        <v>200</v>
      </c>
      <c r="O303" s="171">
        <v>200</v>
      </c>
      <c r="P303" s="207">
        <v>195</v>
      </c>
      <c r="Q303" s="204">
        <v>200</v>
      </c>
      <c r="R303" s="206">
        <v>200</v>
      </c>
      <c r="S303" s="207">
        <v>195</v>
      </c>
      <c r="T303" s="204">
        <v>200</v>
      </c>
      <c r="U303" s="206">
        <v>200</v>
      </c>
      <c r="V303" s="207">
        <v>195</v>
      </c>
      <c r="W303" s="204">
        <v>200</v>
      </c>
      <c r="X303" s="206">
        <v>200</v>
      </c>
      <c r="Y303" s="207">
        <v>195</v>
      </c>
      <c r="Z303" s="204">
        <v>200</v>
      </c>
      <c r="AA303" s="206">
        <v>200</v>
      </c>
      <c r="AB303" s="207">
        <v>195</v>
      </c>
      <c r="AC303" s="204">
        <v>200</v>
      </c>
      <c r="AD303" s="206">
        <v>200</v>
      </c>
      <c r="AE303" s="207">
        <v>195</v>
      </c>
      <c r="AF303" s="204">
        <v>200</v>
      </c>
      <c r="AG303" s="206">
        <v>200</v>
      </c>
      <c r="AH303" s="207">
        <v>195</v>
      </c>
      <c r="AI303" s="208" t="s">
        <v>89</v>
      </c>
      <c r="AJ303" s="194" t="s">
        <v>1596</v>
      </c>
      <c r="AK303" s="132" t="s">
        <v>1360</v>
      </c>
      <c r="AL303" s="213">
        <v>1</v>
      </c>
      <c r="AM303" s="212"/>
      <c r="AN303" s="211">
        <v>200</v>
      </c>
      <c r="AO303" s="212"/>
      <c r="AP303" s="194" t="s">
        <v>55</v>
      </c>
      <c r="AQ303" s="193" t="s">
        <v>1403</v>
      </c>
      <c r="AR303" s="210"/>
      <c r="AS303" s="209" t="s">
        <v>1837</v>
      </c>
      <c r="AT303" s="175"/>
      <c r="AU303" s="65" t="s">
        <v>25</v>
      </c>
      <c r="AV303" s="163" t="s">
        <v>15</v>
      </c>
      <c r="AW303" s="65">
        <v>1210</v>
      </c>
      <c r="AX303" s="196">
        <v>44671.438784722224</v>
      </c>
    </row>
    <row r="304" spans="1:50">
      <c r="A304" s="124" t="s">
        <v>62</v>
      </c>
      <c r="B304" s="109" t="s">
        <v>1320</v>
      </c>
      <c r="C304" s="214" t="s">
        <v>681</v>
      </c>
      <c r="D304" s="163" t="s">
        <v>3489</v>
      </c>
      <c r="E304" s="170">
        <v>165</v>
      </c>
      <c r="F304" s="171">
        <v>155</v>
      </c>
      <c r="G304" s="184">
        <v>150</v>
      </c>
      <c r="H304" s="181">
        <v>165</v>
      </c>
      <c r="I304" s="171">
        <v>155</v>
      </c>
      <c r="J304" s="184">
        <v>150</v>
      </c>
      <c r="K304" s="181">
        <v>165</v>
      </c>
      <c r="L304" s="171">
        <v>155</v>
      </c>
      <c r="M304" s="184">
        <v>150</v>
      </c>
      <c r="N304" s="181">
        <v>165</v>
      </c>
      <c r="O304" s="171">
        <v>155</v>
      </c>
      <c r="P304" s="207">
        <v>150</v>
      </c>
      <c r="Q304" s="204">
        <v>165</v>
      </c>
      <c r="R304" s="206">
        <v>155</v>
      </c>
      <c r="S304" s="207">
        <v>150</v>
      </c>
      <c r="T304" s="204">
        <v>165</v>
      </c>
      <c r="U304" s="206">
        <v>155</v>
      </c>
      <c r="V304" s="207">
        <v>150</v>
      </c>
      <c r="W304" s="204">
        <v>165</v>
      </c>
      <c r="X304" s="206">
        <v>155</v>
      </c>
      <c r="Y304" s="207">
        <v>150</v>
      </c>
      <c r="Z304" s="204">
        <v>165</v>
      </c>
      <c r="AA304" s="206">
        <v>155</v>
      </c>
      <c r="AB304" s="207">
        <v>150</v>
      </c>
      <c r="AC304" s="204">
        <v>165</v>
      </c>
      <c r="AD304" s="206">
        <v>155</v>
      </c>
      <c r="AE304" s="207">
        <v>150</v>
      </c>
      <c r="AF304" s="204">
        <v>165</v>
      </c>
      <c r="AG304" s="206">
        <v>155</v>
      </c>
      <c r="AH304" s="207">
        <v>150</v>
      </c>
      <c r="AI304" s="208" t="s">
        <v>3488</v>
      </c>
      <c r="AJ304" s="194" t="s">
        <v>1980</v>
      </c>
      <c r="AK304" s="132" t="s">
        <v>1360</v>
      </c>
      <c r="AL304" s="213">
        <v>1</v>
      </c>
      <c r="AM304" s="212"/>
      <c r="AN304" s="211">
        <v>160</v>
      </c>
      <c r="AO304" s="212"/>
      <c r="AP304" s="194" t="s">
        <v>55</v>
      </c>
      <c r="AQ304" s="193" t="s">
        <v>1403</v>
      </c>
      <c r="AR304" s="210"/>
      <c r="AS304" s="209" t="s">
        <v>1681</v>
      </c>
      <c r="AT304" s="175"/>
      <c r="AU304" s="65" t="s">
        <v>25</v>
      </c>
      <c r="AV304" s="163" t="s">
        <v>13</v>
      </c>
      <c r="AW304" s="65">
        <v>1724</v>
      </c>
      <c r="AX304" s="196">
        <v>44671.389675925922</v>
      </c>
    </row>
    <row r="305" spans="1:50">
      <c r="A305" s="124" t="s">
        <v>62</v>
      </c>
      <c r="B305" s="109" t="s">
        <v>1320</v>
      </c>
      <c r="C305" s="214" t="s">
        <v>681</v>
      </c>
      <c r="D305" s="163" t="s">
        <v>3490</v>
      </c>
      <c r="E305" s="170">
        <v>82</v>
      </c>
      <c r="F305" s="171">
        <v>78</v>
      </c>
      <c r="G305" s="184">
        <v>78</v>
      </c>
      <c r="H305" s="181">
        <v>82</v>
      </c>
      <c r="I305" s="171">
        <v>78</v>
      </c>
      <c r="J305" s="184">
        <v>78</v>
      </c>
      <c r="K305" s="181">
        <v>82</v>
      </c>
      <c r="L305" s="171">
        <v>78</v>
      </c>
      <c r="M305" s="184">
        <v>78</v>
      </c>
      <c r="N305" s="181">
        <v>81</v>
      </c>
      <c r="O305" s="171">
        <v>77</v>
      </c>
      <c r="P305" s="207">
        <v>77</v>
      </c>
      <c r="Q305" s="204">
        <v>81</v>
      </c>
      <c r="R305" s="206">
        <v>77</v>
      </c>
      <c r="S305" s="207">
        <v>77</v>
      </c>
      <c r="T305" s="204">
        <v>81</v>
      </c>
      <c r="U305" s="206">
        <v>77</v>
      </c>
      <c r="V305" s="207">
        <v>77</v>
      </c>
      <c r="W305" s="204">
        <v>81</v>
      </c>
      <c r="X305" s="206">
        <v>77</v>
      </c>
      <c r="Y305" s="207">
        <v>77</v>
      </c>
      <c r="Z305" s="204">
        <v>81</v>
      </c>
      <c r="AA305" s="206">
        <v>77</v>
      </c>
      <c r="AB305" s="207">
        <v>77</v>
      </c>
      <c r="AC305" s="204">
        <v>81</v>
      </c>
      <c r="AD305" s="206">
        <v>77</v>
      </c>
      <c r="AE305" s="207">
        <v>77</v>
      </c>
      <c r="AF305" s="204">
        <v>81</v>
      </c>
      <c r="AG305" s="206">
        <v>77</v>
      </c>
      <c r="AH305" s="207">
        <v>77</v>
      </c>
      <c r="AI305" s="208" t="s">
        <v>3488</v>
      </c>
      <c r="AJ305" s="194" t="s">
        <v>1980</v>
      </c>
      <c r="AK305" s="132" t="s">
        <v>1360</v>
      </c>
      <c r="AL305" s="213">
        <v>1</v>
      </c>
      <c r="AM305" s="212"/>
      <c r="AN305" s="211">
        <v>84</v>
      </c>
      <c r="AO305" s="212"/>
      <c r="AP305" s="194" t="s">
        <v>55</v>
      </c>
      <c r="AQ305" s="193" t="s">
        <v>1403</v>
      </c>
      <c r="AR305" s="210"/>
      <c r="AS305" s="209" t="s">
        <v>1681</v>
      </c>
      <c r="AT305" s="175"/>
      <c r="AU305" s="65" t="s">
        <v>25</v>
      </c>
      <c r="AV305" s="163" t="s">
        <v>13</v>
      </c>
      <c r="AW305" s="65">
        <v>1724</v>
      </c>
      <c r="AX305" s="196">
        <v>44671.389675925922</v>
      </c>
    </row>
    <row r="306" spans="1:50">
      <c r="A306" s="124" t="s">
        <v>95</v>
      </c>
      <c r="B306" s="109" t="s">
        <v>1320</v>
      </c>
      <c r="C306" s="214" t="s">
        <v>3491</v>
      </c>
      <c r="D306" s="163" t="s">
        <v>3492</v>
      </c>
      <c r="E306" s="170">
        <v>80</v>
      </c>
      <c r="F306" s="171">
        <v>100</v>
      </c>
      <c r="G306" s="184">
        <v>100</v>
      </c>
      <c r="H306" s="181">
        <v>100</v>
      </c>
      <c r="I306" s="171">
        <v>70</v>
      </c>
      <c r="J306" s="184">
        <v>70</v>
      </c>
      <c r="K306" s="181">
        <v>100</v>
      </c>
      <c r="L306" s="171">
        <v>100</v>
      </c>
      <c r="M306" s="184">
        <v>100</v>
      </c>
      <c r="N306" s="181">
        <v>100</v>
      </c>
      <c r="O306" s="171">
        <v>70</v>
      </c>
      <c r="P306" s="207">
        <v>70</v>
      </c>
      <c r="Q306" s="204">
        <v>100</v>
      </c>
      <c r="R306" s="206">
        <v>100</v>
      </c>
      <c r="S306" s="207">
        <v>100</v>
      </c>
      <c r="T306" s="204">
        <v>100</v>
      </c>
      <c r="U306" s="206">
        <v>100</v>
      </c>
      <c r="V306" s="207">
        <v>100</v>
      </c>
      <c r="W306" s="204">
        <v>100</v>
      </c>
      <c r="X306" s="206">
        <v>100</v>
      </c>
      <c r="Y306" s="207">
        <v>100</v>
      </c>
      <c r="Z306" s="204">
        <v>100</v>
      </c>
      <c r="AA306" s="206">
        <v>100</v>
      </c>
      <c r="AB306" s="207">
        <v>100</v>
      </c>
      <c r="AC306" s="204">
        <v>100</v>
      </c>
      <c r="AD306" s="206">
        <v>100</v>
      </c>
      <c r="AE306" s="207">
        <v>100</v>
      </c>
      <c r="AF306" s="204">
        <v>100</v>
      </c>
      <c r="AG306" s="206">
        <v>100</v>
      </c>
      <c r="AH306" s="207">
        <v>100</v>
      </c>
      <c r="AI306" s="208" t="s">
        <v>1585</v>
      </c>
      <c r="AJ306" s="194" t="s">
        <v>1539</v>
      </c>
      <c r="AK306" s="132" t="s">
        <v>18</v>
      </c>
      <c r="AL306" s="213">
        <v>4</v>
      </c>
      <c r="AM306" s="212"/>
      <c r="AN306" s="211">
        <v>93</v>
      </c>
      <c r="AO306" s="212"/>
      <c r="AP306" s="194" t="s">
        <v>55</v>
      </c>
      <c r="AQ306" s="193" t="s">
        <v>1403</v>
      </c>
      <c r="AR306" s="210"/>
      <c r="AS306" s="209" t="s">
        <v>1588</v>
      </c>
      <c r="AT306" s="175"/>
      <c r="AU306" s="65" t="s">
        <v>25</v>
      </c>
      <c r="AV306" s="163" t="s">
        <v>18</v>
      </c>
      <c r="AW306" s="65">
        <v>1213</v>
      </c>
      <c r="AX306" s="196">
        <v>44672.654814814814</v>
      </c>
    </row>
    <row r="307" spans="1:50">
      <c r="A307" s="124" t="s">
        <v>95</v>
      </c>
      <c r="B307" s="109" t="s">
        <v>1320</v>
      </c>
      <c r="C307" s="214" t="s">
        <v>3495</v>
      </c>
      <c r="D307" s="163" t="s">
        <v>3496</v>
      </c>
      <c r="E307" s="170">
        <v>88</v>
      </c>
      <c r="F307" s="171">
        <v>88</v>
      </c>
      <c r="G307" s="184">
        <v>88</v>
      </c>
      <c r="H307" s="181">
        <v>88</v>
      </c>
      <c r="I307" s="171">
        <v>88</v>
      </c>
      <c r="J307" s="184">
        <v>88</v>
      </c>
      <c r="K307" s="181">
        <v>88</v>
      </c>
      <c r="L307" s="171">
        <v>88</v>
      </c>
      <c r="M307" s="184">
        <v>88</v>
      </c>
      <c r="N307" s="181">
        <v>88</v>
      </c>
      <c r="O307" s="171">
        <v>88</v>
      </c>
      <c r="P307" s="207">
        <v>88</v>
      </c>
      <c r="Q307" s="204">
        <v>88</v>
      </c>
      <c r="R307" s="206">
        <v>88</v>
      </c>
      <c r="S307" s="207">
        <v>88</v>
      </c>
      <c r="T307" s="204">
        <v>88</v>
      </c>
      <c r="U307" s="206">
        <v>88</v>
      </c>
      <c r="V307" s="207">
        <v>88</v>
      </c>
      <c r="W307" s="204">
        <v>88</v>
      </c>
      <c r="X307" s="206">
        <v>88</v>
      </c>
      <c r="Y307" s="207">
        <v>88</v>
      </c>
      <c r="Z307" s="204">
        <v>88</v>
      </c>
      <c r="AA307" s="206">
        <v>0</v>
      </c>
      <c r="AB307" s="207">
        <v>0</v>
      </c>
      <c r="AC307" s="204">
        <v>88</v>
      </c>
      <c r="AD307" s="206">
        <v>88</v>
      </c>
      <c r="AE307" s="207">
        <v>88</v>
      </c>
      <c r="AF307" s="204">
        <v>88</v>
      </c>
      <c r="AG307" s="206">
        <v>88</v>
      </c>
      <c r="AH307" s="207">
        <v>88</v>
      </c>
      <c r="AI307" s="208" t="s">
        <v>1585</v>
      </c>
      <c r="AJ307" s="194" t="s">
        <v>1539</v>
      </c>
      <c r="AK307" s="132" t="s">
        <v>18</v>
      </c>
      <c r="AL307" s="213">
        <v>1</v>
      </c>
      <c r="AM307" s="212"/>
      <c r="AN307" s="211">
        <v>82.8</v>
      </c>
      <c r="AO307" s="212"/>
      <c r="AP307" s="194" t="s">
        <v>55</v>
      </c>
      <c r="AQ307" s="193" t="s">
        <v>1403</v>
      </c>
      <c r="AR307" s="210"/>
      <c r="AS307" s="209" t="s">
        <v>1588</v>
      </c>
      <c r="AT307" s="175"/>
      <c r="AU307" s="65" t="s">
        <v>25</v>
      </c>
      <c r="AV307" s="163" t="s">
        <v>18</v>
      </c>
      <c r="AW307" s="65">
        <v>1214</v>
      </c>
      <c r="AX307" s="196">
        <v>44672.656099537038</v>
      </c>
    </row>
    <row r="308" spans="1:50">
      <c r="A308" s="124" t="s">
        <v>46</v>
      </c>
      <c r="B308" s="109" t="s">
        <v>1320</v>
      </c>
      <c r="C308" s="214" t="s">
        <v>3502</v>
      </c>
      <c r="D308" s="163" t="s">
        <v>3503</v>
      </c>
      <c r="E308" s="170">
        <v>1800</v>
      </c>
      <c r="F308" s="171">
        <v>1800</v>
      </c>
      <c r="G308" s="184">
        <v>1800</v>
      </c>
      <c r="H308" s="181">
        <v>1800</v>
      </c>
      <c r="I308" s="171">
        <v>1800</v>
      </c>
      <c r="J308" s="184">
        <v>1800</v>
      </c>
      <c r="K308" s="181">
        <v>1800</v>
      </c>
      <c r="L308" s="171">
        <v>1800</v>
      </c>
      <c r="M308" s="184">
        <v>1800</v>
      </c>
      <c r="N308" s="181">
        <v>1800</v>
      </c>
      <c r="O308" s="171">
        <v>1800</v>
      </c>
      <c r="P308" s="207">
        <v>1800</v>
      </c>
      <c r="Q308" s="204">
        <v>1800</v>
      </c>
      <c r="R308" s="206">
        <v>1800</v>
      </c>
      <c r="S308" s="207">
        <v>1800</v>
      </c>
      <c r="T308" s="204">
        <v>1800</v>
      </c>
      <c r="U308" s="206">
        <v>1800</v>
      </c>
      <c r="V308" s="207">
        <v>1800</v>
      </c>
      <c r="W308" s="204">
        <v>1800</v>
      </c>
      <c r="X308" s="206">
        <v>1800</v>
      </c>
      <c r="Y308" s="207">
        <v>1800</v>
      </c>
      <c r="Z308" s="204">
        <v>1800</v>
      </c>
      <c r="AA308" s="206">
        <v>1800</v>
      </c>
      <c r="AB308" s="207">
        <v>1800</v>
      </c>
      <c r="AC308" s="204">
        <v>1800</v>
      </c>
      <c r="AD308" s="206">
        <v>1800</v>
      </c>
      <c r="AE308" s="207">
        <v>1800</v>
      </c>
      <c r="AF308" s="204">
        <v>1800</v>
      </c>
      <c r="AG308" s="206">
        <v>1800</v>
      </c>
      <c r="AH308" s="207">
        <v>1800</v>
      </c>
      <c r="AI308" s="208" t="s">
        <v>558</v>
      </c>
      <c r="AJ308" s="194" t="s">
        <v>1539</v>
      </c>
      <c r="AK308" s="132" t="s">
        <v>18</v>
      </c>
      <c r="AL308" s="213">
        <v>6</v>
      </c>
      <c r="AM308" s="212"/>
      <c r="AN308" s="211">
        <v>1500</v>
      </c>
      <c r="AO308" s="212"/>
      <c r="AP308" s="194" t="s">
        <v>55</v>
      </c>
      <c r="AQ308" s="193" t="s">
        <v>1403</v>
      </c>
      <c r="AR308" s="210"/>
      <c r="AS308" s="209" t="s">
        <v>1434</v>
      </c>
      <c r="AT308" s="175"/>
      <c r="AU308" s="65" t="s">
        <v>25</v>
      </c>
      <c r="AV308" s="163" t="s">
        <v>18</v>
      </c>
      <c r="AW308" s="65">
        <v>1215</v>
      </c>
      <c r="AX308" s="196">
        <v>44671.292523148149</v>
      </c>
    </row>
    <row r="309" spans="1:50">
      <c r="A309" s="124" t="s">
        <v>95</v>
      </c>
      <c r="B309" s="109" t="s">
        <v>1320</v>
      </c>
      <c r="C309" s="214" t="s">
        <v>3506</v>
      </c>
      <c r="D309" s="163" t="s">
        <v>3507</v>
      </c>
      <c r="E309" s="170">
        <v>130</v>
      </c>
      <c r="F309" s="171">
        <v>104</v>
      </c>
      <c r="G309" s="184">
        <v>104</v>
      </c>
      <c r="H309" s="181">
        <v>130</v>
      </c>
      <c r="I309" s="171">
        <v>130</v>
      </c>
      <c r="J309" s="184">
        <v>130</v>
      </c>
      <c r="K309" s="181">
        <v>130</v>
      </c>
      <c r="L309" s="171">
        <v>130</v>
      </c>
      <c r="M309" s="184">
        <v>130</v>
      </c>
      <c r="N309" s="181">
        <v>130</v>
      </c>
      <c r="O309" s="171">
        <v>104</v>
      </c>
      <c r="P309" s="207">
        <v>104</v>
      </c>
      <c r="Q309" s="204">
        <v>130</v>
      </c>
      <c r="R309" s="206">
        <v>130</v>
      </c>
      <c r="S309" s="207">
        <v>130</v>
      </c>
      <c r="T309" s="204">
        <v>130</v>
      </c>
      <c r="U309" s="206">
        <v>130</v>
      </c>
      <c r="V309" s="207">
        <v>130</v>
      </c>
      <c r="W309" s="204">
        <v>130</v>
      </c>
      <c r="X309" s="206">
        <v>130</v>
      </c>
      <c r="Y309" s="207">
        <v>130</v>
      </c>
      <c r="Z309" s="204">
        <v>130</v>
      </c>
      <c r="AA309" s="206">
        <v>104</v>
      </c>
      <c r="AB309" s="207">
        <v>104</v>
      </c>
      <c r="AC309" s="204">
        <v>130</v>
      </c>
      <c r="AD309" s="206">
        <v>130</v>
      </c>
      <c r="AE309" s="207">
        <v>130</v>
      </c>
      <c r="AF309" s="204">
        <v>130</v>
      </c>
      <c r="AG309" s="206">
        <v>130</v>
      </c>
      <c r="AH309" s="207">
        <v>130</v>
      </c>
      <c r="AI309" s="208" t="s">
        <v>1585</v>
      </c>
      <c r="AJ309" s="194" t="s">
        <v>1539</v>
      </c>
      <c r="AK309" s="132" t="s">
        <v>18</v>
      </c>
      <c r="AL309" s="213">
        <v>5</v>
      </c>
      <c r="AM309" s="212"/>
      <c r="AN309" s="211">
        <v>125</v>
      </c>
      <c r="AO309" s="212"/>
      <c r="AP309" s="194" t="s">
        <v>55</v>
      </c>
      <c r="AQ309" s="193" t="s">
        <v>1403</v>
      </c>
      <c r="AR309" s="210"/>
      <c r="AS309" s="209" t="s">
        <v>1588</v>
      </c>
      <c r="AT309" s="175"/>
      <c r="AU309" s="65" t="s">
        <v>25</v>
      </c>
      <c r="AV309" s="163" t="s">
        <v>18</v>
      </c>
      <c r="AW309" s="65">
        <v>1216</v>
      </c>
      <c r="AX309" s="196">
        <v>44672.657418981478</v>
      </c>
    </row>
    <row r="310" spans="1:50">
      <c r="A310" s="124" t="s">
        <v>46</v>
      </c>
      <c r="B310" s="109" t="s">
        <v>1320</v>
      </c>
      <c r="C310" s="214" t="s">
        <v>3540</v>
      </c>
      <c r="D310" s="163" t="s">
        <v>3541</v>
      </c>
      <c r="E310" s="170">
        <v>674</v>
      </c>
      <c r="F310" s="171">
        <v>674</v>
      </c>
      <c r="G310" s="184">
        <v>674</v>
      </c>
      <c r="H310" s="181">
        <v>674</v>
      </c>
      <c r="I310" s="171">
        <v>674</v>
      </c>
      <c r="J310" s="184">
        <v>674</v>
      </c>
      <c r="K310" s="181">
        <v>674</v>
      </c>
      <c r="L310" s="171">
        <v>674</v>
      </c>
      <c r="M310" s="184">
        <v>674</v>
      </c>
      <c r="N310" s="181">
        <v>674</v>
      </c>
      <c r="O310" s="171">
        <v>674</v>
      </c>
      <c r="P310" s="207">
        <v>674</v>
      </c>
      <c r="Q310" s="204">
        <v>684</v>
      </c>
      <c r="R310" s="206">
        <v>694</v>
      </c>
      <c r="S310" s="207">
        <v>694</v>
      </c>
      <c r="T310" s="204">
        <v>704</v>
      </c>
      <c r="U310" s="206">
        <v>704</v>
      </c>
      <c r="V310" s="207">
        <v>704</v>
      </c>
      <c r="W310" s="204">
        <v>709</v>
      </c>
      <c r="X310" s="206">
        <v>714</v>
      </c>
      <c r="Y310" s="207">
        <v>714</v>
      </c>
      <c r="Z310" s="204">
        <v>719</v>
      </c>
      <c r="AA310" s="206">
        <v>724</v>
      </c>
      <c r="AB310" s="207">
        <v>724</v>
      </c>
      <c r="AC310" s="204">
        <v>724</v>
      </c>
      <c r="AD310" s="206">
        <v>724</v>
      </c>
      <c r="AE310" s="207">
        <v>724</v>
      </c>
      <c r="AF310" s="204">
        <v>724</v>
      </c>
      <c r="AG310" s="206">
        <v>724</v>
      </c>
      <c r="AH310" s="207">
        <v>724</v>
      </c>
      <c r="AI310" s="208" t="s">
        <v>558</v>
      </c>
      <c r="AJ310" s="194" t="s">
        <v>1539</v>
      </c>
      <c r="AK310" s="132" t="s">
        <v>18</v>
      </c>
      <c r="AL310" s="213">
        <v>8</v>
      </c>
      <c r="AM310" s="212"/>
      <c r="AN310" s="211">
        <v>616</v>
      </c>
      <c r="AO310" s="212"/>
      <c r="AP310" s="194" t="s">
        <v>55</v>
      </c>
      <c r="AQ310" s="193" t="s">
        <v>1403</v>
      </c>
      <c r="AR310" s="210"/>
      <c r="AS310" s="209" t="s">
        <v>1434</v>
      </c>
      <c r="AT310" s="175"/>
      <c r="AU310" s="65" t="s">
        <v>25</v>
      </c>
      <c r="AV310" s="163" t="s">
        <v>18</v>
      </c>
      <c r="AW310" s="65">
        <v>1217</v>
      </c>
      <c r="AX310" s="196">
        <v>44671.294756944444</v>
      </c>
    </row>
    <row r="311" spans="1:50">
      <c r="A311" s="124" t="s">
        <v>46</v>
      </c>
      <c r="B311" s="109" t="s">
        <v>1320</v>
      </c>
      <c r="C311" s="214" t="s">
        <v>3544</v>
      </c>
      <c r="D311" s="163" t="s">
        <v>3546</v>
      </c>
      <c r="E311" s="170">
        <v>166</v>
      </c>
      <c r="F311" s="171">
        <v>164</v>
      </c>
      <c r="G311" s="184">
        <v>160</v>
      </c>
      <c r="H311" s="181">
        <v>166</v>
      </c>
      <c r="I311" s="171">
        <v>164</v>
      </c>
      <c r="J311" s="184">
        <v>160</v>
      </c>
      <c r="K311" s="181">
        <v>166</v>
      </c>
      <c r="L311" s="171">
        <v>164</v>
      </c>
      <c r="M311" s="184">
        <v>160</v>
      </c>
      <c r="N311" s="181">
        <v>166</v>
      </c>
      <c r="O311" s="171">
        <v>164</v>
      </c>
      <c r="P311" s="207">
        <v>160</v>
      </c>
      <c r="Q311" s="204">
        <v>166</v>
      </c>
      <c r="R311" s="206">
        <v>164</v>
      </c>
      <c r="S311" s="207">
        <v>160</v>
      </c>
      <c r="T311" s="204">
        <v>166</v>
      </c>
      <c r="U311" s="206">
        <v>164</v>
      </c>
      <c r="V311" s="207">
        <v>160</v>
      </c>
      <c r="W311" s="204">
        <v>166</v>
      </c>
      <c r="X311" s="206">
        <v>164</v>
      </c>
      <c r="Y311" s="207">
        <v>160</v>
      </c>
      <c r="Z311" s="204">
        <v>166</v>
      </c>
      <c r="AA311" s="206">
        <v>164</v>
      </c>
      <c r="AB311" s="207">
        <v>160</v>
      </c>
      <c r="AC311" s="204">
        <v>166</v>
      </c>
      <c r="AD311" s="206">
        <v>164</v>
      </c>
      <c r="AE311" s="207">
        <v>160</v>
      </c>
      <c r="AF311" s="204">
        <v>166</v>
      </c>
      <c r="AG311" s="206">
        <v>164</v>
      </c>
      <c r="AH311" s="207">
        <v>160</v>
      </c>
      <c r="AI311" s="208" t="s">
        <v>3545</v>
      </c>
      <c r="AJ311" s="194" t="s">
        <v>1493</v>
      </c>
      <c r="AK311" s="132" t="s">
        <v>1360</v>
      </c>
      <c r="AL311" s="213">
        <v>1</v>
      </c>
      <c r="AM311" s="212"/>
      <c r="AN311" s="211">
        <v>166</v>
      </c>
      <c r="AO311" s="212"/>
      <c r="AP311" s="194" t="s">
        <v>55</v>
      </c>
      <c r="AQ311" s="193" t="s">
        <v>1403</v>
      </c>
      <c r="AR311" s="210"/>
      <c r="AS311" s="209" t="s">
        <v>1558</v>
      </c>
      <c r="AT311" s="175"/>
      <c r="AU311" s="65" t="s">
        <v>25</v>
      </c>
      <c r="AV311" s="163" t="s">
        <v>14</v>
      </c>
      <c r="AW311" s="65">
        <v>1218</v>
      </c>
      <c r="AX311" s="196">
        <v>44671.295706018522</v>
      </c>
    </row>
    <row r="312" spans="1:50">
      <c r="A312" s="124" t="s">
        <v>46</v>
      </c>
      <c r="B312" s="109" t="s">
        <v>1320</v>
      </c>
      <c r="C312" s="214" t="s">
        <v>3544</v>
      </c>
      <c r="D312" s="163" t="s">
        <v>3548</v>
      </c>
      <c r="E312" s="170">
        <v>166</v>
      </c>
      <c r="F312" s="171">
        <v>164</v>
      </c>
      <c r="G312" s="184">
        <v>160</v>
      </c>
      <c r="H312" s="181">
        <v>166</v>
      </c>
      <c r="I312" s="171">
        <v>164</v>
      </c>
      <c r="J312" s="184">
        <v>160</v>
      </c>
      <c r="K312" s="181">
        <v>166</v>
      </c>
      <c r="L312" s="171">
        <v>164</v>
      </c>
      <c r="M312" s="184">
        <v>160</v>
      </c>
      <c r="N312" s="181">
        <v>166</v>
      </c>
      <c r="O312" s="171">
        <v>164</v>
      </c>
      <c r="P312" s="207">
        <v>160</v>
      </c>
      <c r="Q312" s="204">
        <v>166</v>
      </c>
      <c r="R312" s="206">
        <v>164</v>
      </c>
      <c r="S312" s="207">
        <v>160</v>
      </c>
      <c r="T312" s="204">
        <v>166</v>
      </c>
      <c r="U312" s="206">
        <v>164</v>
      </c>
      <c r="V312" s="207">
        <v>160</v>
      </c>
      <c r="W312" s="204">
        <v>166</v>
      </c>
      <c r="X312" s="206">
        <v>164</v>
      </c>
      <c r="Y312" s="207">
        <v>160</v>
      </c>
      <c r="Z312" s="204">
        <v>166</v>
      </c>
      <c r="AA312" s="206">
        <v>164</v>
      </c>
      <c r="AB312" s="207">
        <v>160</v>
      </c>
      <c r="AC312" s="204">
        <v>166</v>
      </c>
      <c r="AD312" s="206">
        <v>164</v>
      </c>
      <c r="AE312" s="207">
        <v>160</v>
      </c>
      <c r="AF312" s="204">
        <v>166</v>
      </c>
      <c r="AG312" s="206">
        <v>164</v>
      </c>
      <c r="AH312" s="207">
        <v>160</v>
      </c>
      <c r="AI312" s="208" t="s">
        <v>3545</v>
      </c>
      <c r="AJ312" s="194" t="s">
        <v>1493</v>
      </c>
      <c r="AK312" s="132" t="s">
        <v>1360</v>
      </c>
      <c r="AL312" s="213">
        <v>1</v>
      </c>
      <c r="AM312" s="212"/>
      <c r="AN312" s="211">
        <v>166</v>
      </c>
      <c r="AO312" s="212"/>
      <c r="AP312" s="194" t="s">
        <v>55</v>
      </c>
      <c r="AQ312" s="193" t="s">
        <v>1403</v>
      </c>
      <c r="AR312" s="210"/>
      <c r="AS312" s="209" t="s">
        <v>1558</v>
      </c>
      <c r="AT312" s="175"/>
      <c r="AU312" s="65" t="s">
        <v>25</v>
      </c>
      <c r="AV312" s="163" t="s">
        <v>14</v>
      </c>
      <c r="AW312" s="65">
        <v>1218</v>
      </c>
      <c r="AX312" s="196">
        <v>44671.295706018522</v>
      </c>
    </row>
    <row r="313" spans="1:50">
      <c r="A313" s="124" t="s">
        <v>46</v>
      </c>
      <c r="B313" s="109" t="s">
        <v>1320</v>
      </c>
      <c r="C313" s="214" t="s">
        <v>3544</v>
      </c>
      <c r="D313" s="163" t="s">
        <v>3549</v>
      </c>
      <c r="E313" s="170">
        <v>166</v>
      </c>
      <c r="F313" s="171">
        <v>164</v>
      </c>
      <c r="G313" s="184">
        <v>160</v>
      </c>
      <c r="H313" s="181">
        <v>166</v>
      </c>
      <c r="I313" s="171">
        <v>164</v>
      </c>
      <c r="J313" s="184">
        <v>160</v>
      </c>
      <c r="K313" s="181">
        <v>166</v>
      </c>
      <c r="L313" s="171">
        <v>164</v>
      </c>
      <c r="M313" s="184">
        <v>160</v>
      </c>
      <c r="N313" s="181">
        <v>166</v>
      </c>
      <c r="O313" s="171">
        <v>164</v>
      </c>
      <c r="P313" s="207">
        <v>160</v>
      </c>
      <c r="Q313" s="204">
        <v>166</v>
      </c>
      <c r="R313" s="206">
        <v>164</v>
      </c>
      <c r="S313" s="207">
        <v>160</v>
      </c>
      <c r="T313" s="204">
        <v>166</v>
      </c>
      <c r="U313" s="206">
        <v>164</v>
      </c>
      <c r="V313" s="207">
        <v>160</v>
      </c>
      <c r="W313" s="204">
        <v>166</v>
      </c>
      <c r="X313" s="206">
        <v>164</v>
      </c>
      <c r="Y313" s="207">
        <v>160</v>
      </c>
      <c r="Z313" s="204">
        <v>166</v>
      </c>
      <c r="AA313" s="206">
        <v>164</v>
      </c>
      <c r="AB313" s="207">
        <v>160</v>
      </c>
      <c r="AC313" s="204">
        <v>166</v>
      </c>
      <c r="AD313" s="206">
        <v>164</v>
      </c>
      <c r="AE313" s="207">
        <v>160</v>
      </c>
      <c r="AF313" s="204">
        <v>166</v>
      </c>
      <c r="AG313" s="206">
        <v>164</v>
      </c>
      <c r="AH313" s="207">
        <v>160</v>
      </c>
      <c r="AI313" s="208" t="s">
        <v>3545</v>
      </c>
      <c r="AJ313" s="194" t="s">
        <v>1493</v>
      </c>
      <c r="AK313" s="132" t="s">
        <v>1360</v>
      </c>
      <c r="AL313" s="213">
        <v>1</v>
      </c>
      <c r="AM313" s="212"/>
      <c r="AN313" s="211">
        <v>166</v>
      </c>
      <c r="AO313" s="212"/>
      <c r="AP313" s="194" t="s">
        <v>55</v>
      </c>
      <c r="AQ313" s="193" t="s">
        <v>1403</v>
      </c>
      <c r="AR313" s="210"/>
      <c r="AS313" s="209" t="s">
        <v>1558</v>
      </c>
      <c r="AT313" s="175"/>
      <c r="AU313" s="65" t="s">
        <v>25</v>
      </c>
      <c r="AV313" s="163" t="s">
        <v>14</v>
      </c>
      <c r="AW313" s="65">
        <v>1218</v>
      </c>
      <c r="AX313" s="196">
        <v>44671.295706018522</v>
      </c>
    </row>
    <row r="314" spans="1:50">
      <c r="A314" s="124" t="s">
        <v>46</v>
      </c>
      <c r="B314" s="109" t="s">
        <v>1320</v>
      </c>
      <c r="C314" s="214" t="s">
        <v>3544</v>
      </c>
      <c r="D314" s="163" t="s">
        <v>3550</v>
      </c>
      <c r="E314" s="170">
        <v>166</v>
      </c>
      <c r="F314" s="171">
        <v>164</v>
      </c>
      <c r="G314" s="184">
        <v>160</v>
      </c>
      <c r="H314" s="181">
        <v>166</v>
      </c>
      <c r="I314" s="171">
        <v>164</v>
      </c>
      <c r="J314" s="184">
        <v>160</v>
      </c>
      <c r="K314" s="181">
        <v>166</v>
      </c>
      <c r="L314" s="171">
        <v>164</v>
      </c>
      <c r="M314" s="184">
        <v>160</v>
      </c>
      <c r="N314" s="181">
        <v>166</v>
      </c>
      <c r="O314" s="171">
        <v>164</v>
      </c>
      <c r="P314" s="207">
        <v>160</v>
      </c>
      <c r="Q314" s="204">
        <v>166</v>
      </c>
      <c r="R314" s="206">
        <v>164</v>
      </c>
      <c r="S314" s="207">
        <v>160</v>
      </c>
      <c r="T314" s="204">
        <v>166</v>
      </c>
      <c r="U314" s="206">
        <v>164</v>
      </c>
      <c r="V314" s="207">
        <v>160</v>
      </c>
      <c r="W314" s="204">
        <v>166</v>
      </c>
      <c r="X314" s="206">
        <v>164</v>
      </c>
      <c r="Y314" s="207">
        <v>160</v>
      </c>
      <c r="Z314" s="204">
        <v>166</v>
      </c>
      <c r="AA314" s="206">
        <v>164</v>
      </c>
      <c r="AB314" s="207">
        <v>160</v>
      </c>
      <c r="AC314" s="204">
        <v>166</v>
      </c>
      <c r="AD314" s="206">
        <v>164</v>
      </c>
      <c r="AE314" s="207">
        <v>160</v>
      </c>
      <c r="AF314" s="204">
        <v>166</v>
      </c>
      <c r="AG314" s="206">
        <v>164</v>
      </c>
      <c r="AH314" s="207">
        <v>160</v>
      </c>
      <c r="AI314" s="208" t="s">
        <v>3545</v>
      </c>
      <c r="AJ314" s="194" t="s">
        <v>1493</v>
      </c>
      <c r="AK314" s="132" t="s">
        <v>1360</v>
      </c>
      <c r="AL314" s="213">
        <v>1</v>
      </c>
      <c r="AM314" s="212"/>
      <c r="AN314" s="211">
        <v>166</v>
      </c>
      <c r="AO314" s="212"/>
      <c r="AP314" s="194" t="s">
        <v>55</v>
      </c>
      <c r="AQ314" s="193" t="s">
        <v>1403</v>
      </c>
      <c r="AR314" s="210"/>
      <c r="AS314" s="209" t="s">
        <v>1558</v>
      </c>
      <c r="AT314" s="175"/>
      <c r="AU314" s="65" t="s">
        <v>25</v>
      </c>
      <c r="AV314" s="163" t="s">
        <v>14</v>
      </c>
      <c r="AW314" s="65">
        <v>1218</v>
      </c>
      <c r="AX314" s="196">
        <v>44671.295706018522</v>
      </c>
    </row>
    <row r="315" spans="1:50">
      <c r="A315" s="124" t="s">
        <v>46</v>
      </c>
      <c r="B315" s="109" t="s">
        <v>1320</v>
      </c>
      <c r="C315" s="214" t="s">
        <v>3555</v>
      </c>
      <c r="D315" s="163" t="s">
        <v>3557</v>
      </c>
      <c r="E315" s="170">
        <v>660</v>
      </c>
      <c r="F315" s="171">
        <v>660</v>
      </c>
      <c r="G315" s="184">
        <v>660</v>
      </c>
      <c r="H315" s="205">
        <v>660</v>
      </c>
      <c r="I315" s="171">
        <v>660</v>
      </c>
      <c r="J315" s="184">
        <v>660</v>
      </c>
      <c r="K315" s="205">
        <v>660</v>
      </c>
      <c r="L315" s="171">
        <v>660</v>
      </c>
      <c r="M315" s="184">
        <v>660</v>
      </c>
      <c r="N315" s="205">
        <v>660</v>
      </c>
      <c r="O315" s="171">
        <v>660</v>
      </c>
      <c r="P315" s="207">
        <v>660</v>
      </c>
      <c r="Q315" s="205">
        <v>660</v>
      </c>
      <c r="R315" s="206">
        <v>660</v>
      </c>
      <c r="S315" s="207">
        <v>660</v>
      </c>
      <c r="T315" s="205">
        <v>660</v>
      </c>
      <c r="U315" s="206">
        <v>660</v>
      </c>
      <c r="V315" s="207">
        <v>660</v>
      </c>
      <c r="W315" s="205">
        <v>660</v>
      </c>
      <c r="X315" s="206">
        <v>660</v>
      </c>
      <c r="Y315" s="207">
        <v>660</v>
      </c>
      <c r="Z315" s="205">
        <v>660</v>
      </c>
      <c r="AA315" s="206">
        <v>660</v>
      </c>
      <c r="AB315" s="207">
        <v>660</v>
      </c>
      <c r="AC315" s="205">
        <v>0</v>
      </c>
      <c r="AD315" s="206">
        <v>0</v>
      </c>
      <c r="AE315" s="207">
        <v>0</v>
      </c>
      <c r="AF315" s="205">
        <v>0</v>
      </c>
      <c r="AG315" s="206">
        <v>0</v>
      </c>
      <c r="AH315" s="207">
        <v>0</v>
      </c>
      <c r="AI315" s="132" t="s">
        <v>3556</v>
      </c>
      <c r="AJ315" s="194" t="s">
        <v>1596</v>
      </c>
      <c r="AK315" s="132" t="s">
        <v>1597</v>
      </c>
      <c r="AL315" s="213">
        <v>1</v>
      </c>
      <c r="AM315" s="212"/>
      <c r="AN315" s="211">
        <v>660</v>
      </c>
      <c r="AO315" s="212"/>
      <c r="AP315" s="194" t="s">
        <v>55</v>
      </c>
      <c r="AQ315" s="193" t="s">
        <v>1403</v>
      </c>
      <c r="AR315" s="210"/>
      <c r="AS315" s="209" t="s">
        <v>1751</v>
      </c>
      <c r="AT315" s="175"/>
      <c r="AU315" s="65" t="s">
        <v>25</v>
      </c>
      <c r="AV315" s="163" t="s">
        <v>12</v>
      </c>
      <c r="AW315" s="65">
        <v>1219</v>
      </c>
      <c r="AX315" s="196">
        <v>44671.296712962961</v>
      </c>
    </row>
    <row r="316" spans="1:50">
      <c r="A316" s="124" t="s">
        <v>46</v>
      </c>
      <c r="B316" s="109" t="s">
        <v>1320</v>
      </c>
      <c r="C316" s="214" t="s">
        <v>3555</v>
      </c>
      <c r="D316" s="163" t="s">
        <v>3558</v>
      </c>
      <c r="E316" s="170">
        <v>660</v>
      </c>
      <c r="F316" s="171">
        <v>660</v>
      </c>
      <c r="G316" s="184">
        <v>660</v>
      </c>
      <c r="H316" s="204">
        <v>660</v>
      </c>
      <c r="I316" s="171">
        <v>660</v>
      </c>
      <c r="J316" s="184">
        <v>660</v>
      </c>
      <c r="K316" s="204">
        <v>660</v>
      </c>
      <c r="L316" s="171">
        <v>660</v>
      </c>
      <c r="M316" s="184">
        <v>660</v>
      </c>
      <c r="N316" s="204">
        <v>660</v>
      </c>
      <c r="O316" s="171">
        <v>660</v>
      </c>
      <c r="P316" s="207">
        <v>660</v>
      </c>
      <c r="Q316" s="204">
        <v>660</v>
      </c>
      <c r="R316" s="206">
        <v>660</v>
      </c>
      <c r="S316" s="207">
        <v>660</v>
      </c>
      <c r="T316" s="204">
        <v>660</v>
      </c>
      <c r="U316" s="206">
        <v>660</v>
      </c>
      <c r="V316" s="207">
        <v>660</v>
      </c>
      <c r="W316" s="204">
        <v>660</v>
      </c>
      <c r="X316" s="206">
        <v>660</v>
      </c>
      <c r="Y316" s="207">
        <v>660</v>
      </c>
      <c r="Z316" s="204">
        <v>660</v>
      </c>
      <c r="AA316" s="206">
        <v>660</v>
      </c>
      <c r="AB316" s="207">
        <v>660</v>
      </c>
      <c r="AC316" s="204">
        <v>0</v>
      </c>
      <c r="AD316" s="206">
        <v>0</v>
      </c>
      <c r="AE316" s="207">
        <v>0</v>
      </c>
      <c r="AF316" s="204">
        <v>0</v>
      </c>
      <c r="AG316" s="206">
        <v>0</v>
      </c>
      <c r="AH316" s="207">
        <v>0</v>
      </c>
      <c r="AI316" s="208" t="s">
        <v>3556</v>
      </c>
      <c r="AJ316" s="194" t="s">
        <v>1596</v>
      </c>
      <c r="AK316" s="132" t="s">
        <v>1597</v>
      </c>
      <c r="AL316" s="213">
        <v>1</v>
      </c>
      <c r="AM316" s="212"/>
      <c r="AN316" s="211">
        <v>660</v>
      </c>
      <c r="AO316" s="212"/>
      <c r="AP316" s="194" t="s">
        <v>55</v>
      </c>
      <c r="AQ316" s="193" t="s">
        <v>1403</v>
      </c>
      <c r="AR316" s="210"/>
      <c r="AS316" s="209" t="s">
        <v>1751</v>
      </c>
      <c r="AT316" s="175"/>
      <c r="AU316" s="65" t="s">
        <v>25</v>
      </c>
      <c r="AV316" s="163" t="s">
        <v>12</v>
      </c>
      <c r="AW316" s="65">
        <v>1219</v>
      </c>
      <c r="AX316" s="196">
        <v>44671.296712962961</v>
      </c>
    </row>
    <row r="317" spans="1:50">
      <c r="A317" s="124" t="s">
        <v>100</v>
      </c>
      <c r="B317" s="109" t="s">
        <v>1320</v>
      </c>
      <c r="C317" s="214" t="s">
        <v>3560</v>
      </c>
      <c r="D317" s="163" t="s">
        <v>3561</v>
      </c>
      <c r="E317" s="170">
        <v>56</v>
      </c>
      <c r="F317" s="171">
        <v>50</v>
      </c>
      <c r="G317" s="184">
        <v>47.5</v>
      </c>
      <c r="H317" s="204">
        <v>56</v>
      </c>
      <c r="I317" s="171">
        <v>50</v>
      </c>
      <c r="J317" s="184">
        <v>47.5</v>
      </c>
      <c r="K317" s="204">
        <v>56</v>
      </c>
      <c r="L317" s="171">
        <v>50</v>
      </c>
      <c r="M317" s="184">
        <v>47.5</v>
      </c>
      <c r="N317" s="204">
        <v>56</v>
      </c>
      <c r="O317" s="171">
        <v>50</v>
      </c>
      <c r="P317" s="207">
        <v>47.5</v>
      </c>
      <c r="Q317" s="204">
        <v>56</v>
      </c>
      <c r="R317" s="206">
        <v>50</v>
      </c>
      <c r="S317" s="207">
        <v>47.5</v>
      </c>
      <c r="T317" s="204">
        <v>56</v>
      </c>
      <c r="U317" s="206">
        <v>50</v>
      </c>
      <c r="V317" s="207">
        <v>47.5</v>
      </c>
      <c r="W317" s="204">
        <v>56</v>
      </c>
      <c r="X317" s="206">
        <v>50</v>
      </c>
      <c r="Y317" s="207">
        <v>47.5</v>
      </c>
      <c r="Z317" s="204">
        <v>56</v>
      </c>
      <c r="AA317" s="206">
        <v>50</v>
      </c>
      <c r="AB317" s="207">
        <v>47.5</v>
      </c>
      <c r="AC317" s="204">
        <v>56</v>
      </c>
      <c r="AD317" s="206">
        <v>50</v>
      </c>
      <c r="AE317" s="207">
        <v>47.5</v>
      </c>
      <c r="AF317" s="204">
        <v>56</v>
      </c>
      <c r="AG317" s="206">
        <v>50</v>
      </c>
      <c r="AH317" s="207">
        <v>47.5</v>
      </c>
      <c r="AI317" s="208" t="s">
        <v>558</v>
      </c>
      <c r="AJ317" s="194" t="s">
        <v>1493</v>
      </c>
      <c r="AK317" s="132" t="s">
        <v>1360</v>
      </c>
      <c r="AL317" s="213">
        <v>1</v>
      </c>
      <c r="AM317" s="212"/>
      <c r="AN317" s="211">
        <v>50</v>
      </c>
      <c r="AO317" s="212"/>
      <c r="AP317" s="194" t="s">
        <v>55</v>
      </c>
      <c r="AQ317" s="193" t="s">
        <v>1403</v>
      </c>
      <c r="AR317" s="210"/>
      <c r="AS317" s="209" t="s">
        <v>1434</v>
      </c>
      <c r="AT317" s="175"/>
      <c r="AU317" s="65" t="s">
        <v>25</v>
      </c>
      <c r="AV317" s="163" t="s">
        <v>14</v>
      </c>
      <c r="AW317" s="65">
        <v>1220</v>
      </c>
      <c r="AX317" s="196">
        <v>44706.599907407406</v>
      </c>
    </row>
    <row r="318" spans="1:50">
      <c r="A318" s="124" t="s">
        <v>100</v>
      </c>
      <c r="B318" s="109" t="s">
        <v>1320</v>
      </c>
      <c r="C318" s="214" t="s">
        <v>3560</v>
      </c>
      <c r="D318" s="163" t="s">
        <v>3562</v>
      </c>
      <c r="E318" s="170">
        <v>56</v>
      </c>
      <c r="F318" s="171">
        <v>50</v>
      </c>
      <c r="G318" s="184">
        <v>47.5</v>
      </c>
      <c r="H318" s="204">
        <v>56</v>
      </c>
      <c r="I318" s="171">
        <v>50</v>
      </c>
      <c r="J318" s="184">
        <v>47.5</v>
      </c>
      <c r="K318" s="204">
        <v>56</v>
      </c>
      <c r="L318" s="171">
        <v>50</v>
      </c>
      <c r="M318" s="184">
        <v>47.5</v>
      </c>
      <c r="N318" s="204">
        <v>56</v>
      </c>
      <c r="O318" s="171">
        <v>50</v>
      </c>
      <c r="P318" s="207">
        <v>47.5</v>
      </c>
      <c r="Q318" s="204">
        <v>56</v>
      </c>
      <c r="R318" s="206">
        <v>50</v>
      </c>
      <c r="S318" s="207">
        <v>47.5</v>
      </c>
      <c r="T318" s="204">
        <v>56</v>
      </c>
      <c r="U318" s="206">
        <v>50</v>
      </c>
      <c r="V318" s="207">
        <v>47.5</v>
      </c>
      <c r="W318" s="204">
        <v>56</v>
      </c>
      <c r="X318" s="206">
        <v>50</v>
      </c>
      <c r="Y318" s="207">
        <v>47.5</v>
      </c>
      <c r="Z318" s="204">
        <v>56</v>
      </c>
      <c r="AA318" s="206">
        <v>50</v>
      </c>
      <c r="AB318" s="207">
        <v>47.5</v>
      </c>
      <c r="AC318" s="204">
        <v>56</v>
      </c>
      <c r="AD318" s="206">
        <v>50</v>
      </c>
      <c r="AE318" s="207">
        <v>47.5</v>
      </c>
      <c r="AF318" s="204">
        <v>56</v>
      </c>
      <c r="AG318" s="206">
        <v>50</v>
      </c>
      <c r="AH318" s="207">
        <v>47.5</v>
      </c>
      <c r="AI318" s="208" t="s">
        <v>558</v>
      </c>
      <c r="AJ318" s="194" t="s">
        <v>1493</v>
      </c>
      <c r="AK318" s="132" t="s">
        <v>1360</v>
      </c>
      <c r="AL318" s="213">
        <v>1</v>
      </c>
      <c r="AM318" s="212"/>
      <c r="AN318" s="211">
        <v>50</v>
      </c>
      <c r="AO318" s="212"/>
      <c r="AP318" s="194" t="s">
        <v>55</v>
      </c>
      <c r="AQ318" s="193" t="s">
        <v>1403</v>
      </c>
      <c r="AR318" s="210"/>
      <c r="AS318" s="209" t="s">
        <v>1434</v>
      </c>
      <c r="AT318" s="175"/>
      <c r="AU318" s="65" t="s">
        <v>25</v>
      </c>
      <c r="AV318" s="163" t="s">
        <v>14</v>
      </c>
      <c r="AW318" s="65">
        <v>1220</v>
      </c>
      <c r="AX318" s="196">
        <v>44706.599907407406</v>
      </c>
    </row>
    <row r="319" spans="1:50">
      <c r="A319" s="124" t="s">
        <v>100</v>
      </c>
      <c r="B319" s="109" t="s">
        <v>1320</v>
      </c>
      <c r="C319" s="214" t="s">
        <v>3560</v>
      </c>
      <c r="D319" s="163" t="s">
        <v>3563</v>
      </c>
      <c r="E319" s="170">
        <v>56</v>
      </c>
      <c r="F319" s="171">
        <v>50</v>
      </c>
      <c r="G319" s="184">
        <v>47.5</v>
      </c>
      <c r="H319" s="204">
        <v>56</v>
      </c>
      <c r="I319" s="171">
        <v>50</v>
      </c>
      <c r="J319" s="184">
        <v>47.5</v>
      </c>
      <c r="K319" s="204">
        <v>56</v>
      </c>
      <c r="L319" s="171">
        <v>50</v>
      </c>
      <c r="M319" s="184">
        <v>47.5</v>
      </c>
      <c r="N319" s="204">
        <v>56</v>
      </c>
      <c r="O319" s="171">
        <v>50</v>
      </c>
      <c r="P319" s="207">
        <v>47.5</v>
      </c>
      <c r="Q319" s="204">
        <v>56</v>
      </c>
      <c r="R319" s="206">
        <v>50</v>
      </c>
      <c r="S319" s="207">
        <v>47.5</v>
      </c>
      <c r="T319" s="204">
        <v>56</v>
      </c>
      <c r="U319" s="206">
        <v>50</v>
      </c>
      <c r="V319" s="207">
        <v>47.5</v>
      </c>
      <c r="W319" s="204">
        <v>56</v>
      </c>
      <c r="X319" s="206">
        <v>50</v>
      </c>
      <c r="Y319" s="207">
        <v>47.5</v>
      </c>
      <c r="Z319" s="204">
        <v>56</v>
      </c>
      <c r="AA319" s="206">
        <v>50</v>
      </c>
      <c r="AB319" s="207">
        <v>47.5</v>
      </c>
      <c r="AC319" s="204">
        <v>56</v>
      </c>
      <c r="AD319" s="206">
        <v>50</v>
      </c>
      <c r="AE319" s="207">
        <v>47.5</v>
      </c>
      <c r="AF319" s="204">
        <v>56</v>
      </c>
      <c r="AG319" s="206">
        <v>50</v>
      </c>
      <c r="AH319" s="207">
        <v>47.5</v>
      </c>
      <c r="AI319" s="208" t="s">
        <v>558</v>
      </c>
      <c r="AJ319" s="194" t="s">
        <v>1493</v>
      </c>
      <c r="AK319" s="132" t="s">
        <v>1360</v>
      </c>
      <c r="AL319" s="213">
        <v>1</v>
      </c>
      <c r="AM319" s="212"/>
      <c r="AN319" s="211">
        <v>50</v>
      </c>
      <c r="AO319" s="212"/>
      <c r="AP319" s="194" t="s">
        <v>55</v>
      </c>
      <c r="AQ319" s="193" t="s">
        <v>1403</v>
      </c>
      <c r="AR319" s="210"/>
      <c r="AS319" s="209" t="s">
        <v>1434</v>
      </c>
      <c r="AT319" s="175"/>
      <c r="AU319" s="65" t="s">
        <v>25</v>
      </c>
      <c r="AV319" s="163" t="s">
        <v>14</v>
      </c>
      <c r="AW319" s="65">
        <v>1220</v>
      </c>
      <c r="AX319" s="196">
        <v>44706.599907407406</v>
      </c>
    </row>
    <row r="320" spans="1:50">
      <c r="A320" s="124" t="s">
        <v>100</v>
      </c>
      <c r="B320" s="109" t="s">
        <v>1320</v>
      </c>
      <c r="C320" s="214" t="s">
        <v>3560</v>
      </c>
      <c r="D320" s="163" t="s">
        <v>3564</v>
      </c>
      <c r="E320" s="170">
        <v>56</v>
      </c>
      <c r="F320" s="171">
        <v>50</v>
      </c>
      <c r="G320" s="184">
        <v>47.5</v>
      </c>
      <c r="H320" s="205">
        <v>56</v>
      </c>
      <c r="I320" s="171">
        <v>50</v>
      </c>
      <c r="J320" s="184">
        <v>47.5</v>
      </c>
      <c r="K320" s="205">
        <v>56</v>
      </c>
      <c r="L320" s="171">
        <v>50</v>
      </c>
      <c r="M320" s="184">
        <v>47.5</v>
      </c>
      <c r="N320" s="205">
        <v>56</v>
      </c>
      <c r="O320" s="171">
        <v>50</v>
      </c>
      <c r="P320" s="207">
        <v>47.5</v>
      </c>
      <c r="Q320" s="205">
        <v>56</v>
      </c>
      <c r="R320" s="206">
        <v>50</v>
      </c>
      <c r="S320" s="207">
        <v>47.5</v>
      </c>
      <c r="T320" s="205">
        <v>56</v>
      </c>
      <c r="U320" s="206">
        <v>50</v>
      </c>
      <c r="V320" s="207">
        <v>47.5</v>
      </c>
      <c r="W320" s="205">
        <v>56</v>
      </c>
      <c r="X320" s="206">
        <v>50</v>
      </c>
      <c r="Y320" s="207">
        <v>47.5</v>
      </c>
      <c r="Z320" s="205">
        <v>56</v>
      </c>
      <c r="AA320" s="206">
        <v>50</v>
      </c>
      <c r="AB320" s="207">
        <v>47.5</v>
      </c>
      <c r="AC320" s="205">
        <v>56</v>
      </c>
      <c r="AD320" s="206">
        <v>50</v>
      </c>
      <c r="AE320" s="207">
        <v>47.5</v>
      </c>
      <c r="AF320" s="205">
        <v>56</v>
      </c>
      <c r="AG320" s="206">
        <v>50</v>
      </c>
      <c r="AH320" s="207">
        <v>47.5</v>
      </c>
      <c r="AI320" s="132" t="s">
        <v>558</v>
      </c>
      <c r="AJ320" s="194" t="s">
        <v>1493</v>
      </c>
      <c r="AK320" s="132" t="s">
        <v>1360</v>
      </c>
      <c r="AL320" s="213">
        <v>1</v>
      </c>
      <c r="AM320" s="212"/>
      <c r="AN320" s="211">
        <v>50</v>
      </c>
      <c r="AO320" s="212"/>
      <c r="AP320" s="194" t="s">
        <v>55</v>
      </c>
      <c r="AQ320" s="193" t="s">
        <v>1403</v>
      </c>
      <c r="AR320" s="210"/>
      <c r="AS320" s="209" t="s">
        <v>1434</v>
      </c>
      <c r="AT320" s="175"/>
      <c r="AU320" s="65" t="s">
        <v>25</v>
      </c>
      <c r="AV320" s="163" t="s">
        <v>14</v>
      </c>
      <c r="AW320" s="65">
        <v>1220</v>
      </c>
      <c r="AX320" s="196">
        <v>44706.599907407406</v>
      </c>
    </row>
    <row r="321" spans="1:50">
      <c r="A321" s="124" t="s">
        <v>100</v>
      </c>
      <c r="B321" s="109" t="s">
        <v>1320</v>
      </c>
      <c r="C321" s="214" t="s">
        <v>3560</v>
      </c>
      <c r="D321" s="163" t="s">
        <v>3565</v>
      </c>
      <c r="E321" s="170">
        <v>56</v>
      </c>
      <c r="F321" s="171">
        <v>50</v>
      </c>
      <c r="G321" s="184">
        <v>47.5</v>
      </c>
      <c r="H321" s="205">
        <v>56</v>
      </c>
      <c r="I321" s="171">
        <v>50</v>
      </c>
      <c r="J321" s="184">
        <v>47.5</v>
      </c>
      <c r="K321" s="205">
        <v>56</v>
      </c>
      <c r="L321" s="171">
        <v>50</v>
      </c>
      <c r="M321" s="184">
        <v>47.5</v>
      </c>
      <c r="N321" s="205">
        <v>56</v>
      </c>
      <c r="O321" s="171">
        <v>50</v>
      </c>
      <c r="P321" s="207">
        <v>47.5</v>
      </c>
      <c r="Q321" s="205">
        <v>56</v>
      </c>
      <c r="R321" s="206">
        <v>50</v>
      </c>
      <c r="S321" s="207">
        <v>47.5</v>
      </c>
      <c r="T321" s="205">
        <v>56</v>
      </c>
      <c r="U321" s="206">
        <v>50</v>
      </c>
      <c r="V321" s="207">
        <v>47.5</v>
      </c>
      <c r="W321" s="205">
        <v>56</v>
      </c>
      <c r="X321" s="206">
        <v>50</v>
      </c>
      <c r="Y321" s="207">
        <v>47.5</v>
      </c>
      <c r="Z321" s="205">
        <v>56</v>
      </c>
      <c r="AA321" s="206">
        <v>50</v>
      </c>
      <c r="AB321" s="207">
        <v>47.5</v>
      </c>
      <c r="AC321" s="205">
        <v>56</v>
      </c>
      <c r="AD321" s="206">
        <v>50</v>
      </c>
      <c r="AE321" s="207">
        <v>47.5</v>
      </c>
      <c r="AF321" s="205">
        <v>56</v>
      </c>
      <c r="AG321" s="206">
        <v>50</v>
      </c>
      <c r="AH321" s="207">
        <v>47.5</v>
      </c>
      <c r="AI321" s="132" t="s">
        <v>558</v>
      </c>
      <c r="AJ321" s="194" t="s">
        <v>1493</v>
      </c>
      <c r="AK321" s="132" t="s">
        <v>1360</v>
      </c>
      <c r="AL321" s="213">
        <v>1</v>
      </c>
      <c r="AM321" s="212"/>
      <c r="AN321" s="211">
        <v>50</v>
      </c>
      <c r="AO321" s="212"/>
      <c r="AP321" s="194" t="s">
        <v>55</v>
      </c>
      <c r="AQ321" s="193" t="s">
        <v>1403</v>
      </c>
      <c r="AR321" s="210"/>
      <c r="AS321" s="209" t="s">
        <v>1434</v>
      </c>
      <c r="AT321" s="175"/>
      <c r="AU321" s="65" t="s">
        <v>25</v>
      </c>
      <c r="AV321" s="163" t="s">
        <v>14</v>
      </c>
      <c r="AW321" s="65">
        <v>1220</v>
      </c>
      <c r="AX321" s="196">
        <v>44706.599907407406</v>
      </c>
    </row>
    <row r="322" spans="1:50">
      <c r="A322" s="124" t="s">
        <v>100</v>
      </c>
      <c r="B322" s="109" t="s">
        <v>1320</v>
      </c>
      <c r="C322" s="214" t="s">
        <v>3560</v>
      </c>
      <c r="D322" s="163" t="s">
        <v>3566</v>
      </c>
      <c r="E322" s="170">
        <v>56</v>
      </c>
      <c r="F322" s="171">
        <v>50</v>
      </c>
      <c r="G322" s="184">
        <v>47.5</v>
      </c>
      <c r="H322" s="205">
        <v>56</v>
      </c>
      <c r="I322" s="171">
        <v>50</v>
      </c>
      <c r="J322" s="184">
        <v>47.5</v>
      </c>
      <c r="K322" s="205">
        <v>56</v>
      </c>
      <c r="L322" s="171">
        <v>50</v>
      </c>
      <c r="M322" s="184">
        <v>47.5</v>
      </c>
      <c r="N322" s="205">
        <v>56</v>
      </c>
      <c r="O322" s="171">
        <v>50</v>
      </c>
      <c r="P322" s="207">
        <v>47.5</v>
      </c>
      <c r="Q322" s="205">
        <v>56</v>
      </c>
      <c r="R322" s="206">
        <v>50</v>
      </c>
      <c r="S322" s="207">
        <v>47.5</v>
      </c>
      <c r="T322" s="205">
        <v>56</v>
      </c>
      <c r="U322" s="206">
        <v>50</v>
      </c>
      <c r="V322" s="207">
        <v>47.5</v>
      </c>
      <c r="W322" s="205">
        <v>56</v>
      </c>
      <c r="X322" s="206">
        <v>50</v>
      </c>
      <c r="Y322" s="207">
        <v>47.5</v>
      </c>
      <c r="Z322" s="205">
        <v>56</v>
      </c>
      <c r="AA322" s="206">
        <v>50</v>
      </c>
      <c r="AB322" s="207">
        <v>47.5</v>
      </c>
      <c r="AC322" s="205">
        <v>56</v>
      </c>
      <c r="AD322" s="206">
        <v>50</v>
      </c>
      <c r="AE322" s="207">
        <v>47.5</v>
      </c>
      <c r="AF322" s="205">
        <v>56</v>
      </c>
      <c r="AG322" s="206">
        <v>50</v>
      </c>
      <c r="AH322" s="207">
        <v>47.5</v>
      </c>
      <c r="AI322" s="132" t="s">
        <v>558</v>
      </c>
      <c r="AJ322" s="194" t="s">
        <v>1493</v>
      </c>
      <c r="AK322" s="132" t="s">
        <v>1360</v>
      </c>
      <c r="AL322" s="213">
        <v>1</v>
      </c>
      <c r="AM322" s="212"/>
      <c r="AN322" s="211">
        <v>50</v>
      </c>
      <c r="AO322" s="212"/>
      <c r="AP322" s="194" t="s">
        <v>55</v>
      </c>
      <c r="AQ322" s="193" t="s">
        <v>1403</v>
      </c>
      <c r="AR322" s="210"/>
      <c r="AS322" s="209" t="s">
        <v>1434</v>
      </c>
      <c r="AT322" s="175"/>
      <c r="AU322" s="65" t="s">
        <v>25</v>
      </c>
      <c r="AV322" s="163" t="s">
        <v>14</v>
      </c>
      <c r="AW322" s="65">
        <v>1220</v>
      </c>
      <c r="AX322" s="196">
        <v>44706.599907407406</v>
      </c>
    </row>
    <row r="323" spans="1:50">
      <c r="A323" s="124" t="s">
        <v>100</v>
      </c>
      <c r="B323" s="109" t="s">
        <v>1320</v>
      </c>
      <c r="C323" s="214" t="s">
        <v>159</v>
      </c>
      <c r="D323" s="163" t="s">
        <v>161</v>
      </c>
      <c r="E323" s="170">
        <v>300</v>
      </c>
      <c r="F323" s="171">
        <v>50</v>
      </c>
      <c r="G323" s="184">
        <v>50</v>
      </c>
      <c r="H323" s="205">
        <v>300</v>
      </c>
      <c r="I323" s="171">
        <v>50</v>
      </c>
      <c r="J323" s="184">
        <v>50</v>
      </c>
      <c r="K323" s="205">
        <v>300</v>
      </c>
      <c r="L323" s="171">
        <v>50</v>
      </c>
      <c r="M323" s="184">
        <v>50</v>
      </c>
      <c r="N323" s="205">
        <v>300</v>
      </c>
      <c r="O323" s="171">
        <v>50</v>
      </c>
      <c r="P323" s="207">
        <v>50</v>
      </c>
      <c r="Q323" s="205">
        <v>300</v>
      </c>
      <c r="R323" s="206">
        <v>50</v>
      </c>
      <c r="S323" s="207">
        <v>50</v>
      </c>
      <c r="T323" s="205">
        <v>300</v>
      </c>
      <c r="U323" s="206">
        <v>50</v>
      </c>
      <c r="V323" s="207">
        <v>50</v>
      </c>
      <c r="W323" s="205">
        <v>300</v>
      </c>
      <c r="X323" s="206">
        <v>50</v>
      </c>
      <c r="Y323" s="207">
        <v>50</v>
      </c>
      <c r="Z323" s="205">
        <v>300</v>
      </c>
      <c r="AA323" s="206">
        <v>50</v>
      </c>
      <c r="AB323" s="207">
        <v>50</v>
      </c>
      <c r="AC323" s="205">
        <v>300</v>
      </c>
      <c r="AD323" s="206">
        <v>50</v>
      </c>
      <c r="AE323" s="207">
        <v>50</v>
      </c>
      <c r="AF323" s="205">
        <v>300</v>
      </c>
      <c r="AG323" s="206">
        <v>50</v>
      </c>
      <c r="AH323" s="207">
        <v>50</v>
      </c>
      <c r="AI323" s="132" t="s">
        <v>160</v>
      </c>
      <c r="AJ323" s="194" t="s">
        <v>1391</v>
      </c>
      <c r="AK323" s="132" t="s">
        <v>21</v>
      </c>
      <c r="AL323" s="213">
        <v>1</v>
      </c>
      <c r="AM323" s="212"/>
      <c r="AN323" s="211">
        <v>300</v>
      </c>
      <c r="AO323" s="212">
        <v>450</v>
      </c>
      <c r="AP323" s="194" t="s">
        <v>55</v>
      </c>
      <c r="AQ323" s="193" t="s">
        <v>1403</v>
      </c>
      <c r="AR323" s="210"/>
      <c r="AS323" s="209" t="s">
        <v>1405</v>
      </c>
      <c r="AT323" s="175"/>
      <c r="AU323" s="65" t="s">
        <v>25</v>
      </c>
      <c r="AV323" s="163" t="s">
        <v>20</v>
      </c>
      <c r="AW323" s="65">
        <v>1864</v>
      </c>
      <c r="AX323" s="196">
        <v>44746.527511574073</v>
      </c>
    </row>
    <row r="324" spans="1:50">
      <c r="A324" s="124" t="s">
        <v>46</v>
      </c>
      <c r="B324" s="109" t="s">
        <v>1385</v>
      </c>
      <c r="C324" s="214" t="s">
        <v>179</v>
      </c>
      <c r="D324" s="163" t="s">
        <v>181</v>
      </c>
      <c r="E324" s="170">
        <v>30.008000000000003</v>
      </c>
      <c r="F324" s="171">
        <v>30.008000000000003</v>
      </c>
      <c r="G324" s="184">
        <v>30.008000000000003</v>
      </c>
      <c r="H324" s="205">
        <v>30.008000000000003</v>
      </c>
      <c r="I324" s="171">
        <v>30.008000000000003</v>
      </c>
      <c r="J324" s="184">
        <v>30.008000000000003</v>
      </c>
      <c r="K324" s="205">
        <v>30.008000000000003</v>
      </c>
      <c r="L324" s="171">
        <v>30.008000000000003</v>
      </c>
      <c r="M324" s="184">
        <v>30.008000000000003</v>
      </c>
      <c r="N324" s="205">
        <v>30.008000000000003</v>
      </c>
      <c r="O324" s="171">
        <v>30.008000000000003</v>
      </c>
      <c r="P324" s="207">
        <v>30.008000000000003</v>
      </c>
      <c r="Q324" s="205">
        <v>30.008000000000003</v>
      </c>
      <c r="R324" s="206">
        <v>30.008000000000003</v>
      </c>
      <c r="S324" s="207">
        <v>30.008000000000003</v>
      </c>
      <c r="T324" s="205">
        <v>30.008000000000003</v>
      </c>
      <c r="U324" s="206">
        <v>30.008000000000003</v>
      </c>
      <c r="V324" s="207">
        <v>30.008000000000003</v>
      </c>
      <c r="W324" s="205">
        <v>30.008000000000003</v>
      </c>
      <c r="X324" s="206">
        <v>30.008000000000003</v>
      </c>
      <c r="Y324" s="207">
        <v>30.008000000000003</v>
      </c>
      <c r="Z324" s="205">
        <v>30.008000000000003</v>
      </c>
      <c r="AA324" s="206">
        <v>30.008000000000003</v>
      </c>
      <c r="AB324" s="207">
        <v>30.008000000000003</v>
      </c>
      <c r="AC324" s="205">
        <v>30.008000000000003</v>
      </c>
      <c r="AD324" s="206">
        <v>30.008000000000003</v>
      </c>
      <c r="AE324" s="207">
        <v>30.008000000000003</v>
      </c>
      <c r="AF324" s="205">
        <v>30.008000000000003</v>
      </c>
      <c r="AG324" s="206">
        <v>30.008000000000003</v>
      </c>
      <c r="AH324" s="207">
        <v>30.008000000000003</v>
      </c>
      <c r="AI324" s="132" t="s">
        <v>180</v>
      </c>
      <c r="AJ324" s="194" t="s">
        <v>1429</v>
      </c>
      <c r="AK324" s="132" t="s">
        <v>1388</v>
      </c>
      <c r="AL324" s="213">
        <v>22</v>
      </c>
      <c r="AM324" s="212"/>
      <c r="AN324" s="211">
        <v>36.014000000000003</v>
      </c>
      <c r="AO324" s="212"/>
      <c r="AP324" s="194" t="s">
        <v>27</v>
      </c>
      <c r="AQ324" s="193" t="s">
        <v>1407</v>
      </c>
      <c r="AR324" s="210" t="s">
        <v>2503</v>
      </c>
      <c r="AS324" s="209" t="s">
        <v>1532</v>
      </c>
      <c r="AT324" s="175"/>
      <c r="AU324" s="65" t="s">
        <v>27</v>
      </c>
      <c r="AV324" s="163" t="s">
        <v>1388</v>
      </c>
      <c r="AW324" s="65">
        <v>1514</v>
      </c>
      <c r="AX324" s="196">
        <v>44671.467592592591</v>
      </c>
    </row>
    <row r="325" spans="1:50">
      <c r="A325" s="124" t="s">
        <v>46</v>
      </c>
      <c r="B325" s="109" t="s">
        <v>1385</v>
      </c>
      <c r="C325" s="214" t="s">
        <v>179</v>
      </c>
      <c r="D325" s="163" t="s">
        <v>181</v>
      </c>
      <c r="E325" s="170">
        <v>16.368000000000002</v>
      </c>
      <c r="F325" s="171">
        <v>16.368000000000002</v>
      </c>
      <c r="G325" s="184">
        <v>16.368000000000002</v>
      </c>
      <c r="H325" s="205">
        <v>16.368000000000002</v>
      </c>
      <c r="I325" s="171">
        <v>16.368000000000002</v>
      </c>
      <c r="J325" s="184">
        <v>16.368000000000002</v>
      </c>
      <c r="K325" s="205">
        <v>16.368000000000002</v>
      </c>
      <c r="L325" s="171">
        <v>16.368000000000002</v>
      </c>
      <c r="M325" s="184">
        <v>16.368000000000002</v>
      </c>
      <c r="N325" s="205">
        <v>16.368000000000002</v>
      </c>
      <c r="O325" s="171">
        <v>16.368000000000002</v>
      </c>
      <c r="P325" s="207">
        <v>16.368000000000002</v>
      </c>
      <c r="Q325" s="205">
        <v>16.368000000000002</v>
      </c>
      <c r="R325" s="206">
        <v>16.368000000000002</v>
      </c>
      <c r="S325" s="207">
        <v>16.368000000000002</v>
      </c>
      <c r="T325" s="205">
        <v>16.368000000000002</v>
      </c>
      <c r="U325" s="206">
        <v>16.368000000000002</v>
      </c>
      <c r="V325" s="207">
        <v>16.368000000000002</v>
      </c>
      <c r="W325" s="205">
        <v>16.368000000000002</v>
      </c>
      <c r="X325" s="206">
        <v>16.368000000000002</v>
      </c>
      <c r="Y325" s="207">
        <v>16.368000000000002</v>
      </c>
      <c r="Z325" s="205">
        <v>16.368000000000002</v>
      </c>
      <c r="AA325" s="206">
        <v>16.368000000000002</v>
      </c>
      <c r="AB325" s="207">
        <v>16.368000000000002</v>
      </c>
      <c r="AC325" s="205">
        <v>16.368000000000002</v>
      </c>
      <c r="AD325" s="206">
        <v>16.368000000000002</v>
      </c>
      <c r="AE325" s="207">
        <v>16.368000000000002</v>
      </c>
      <c r="AF325" s="205">
        <v>16.368000000000002</v>
      </c>
      <c r="AG325" s="206">
        <v>16.368000000000002</v>
      </c>
      <c r="AH325" s="207">
        <v>16.368000000000002</v>
      </c>
      <c r="AI325" s="132" t="s">
        <v>180</v>
      </c>
      <c r="AJ325" s="194" t="s">
        <v>1429</v>
      </c>
      <c r="AK325" s="132" t="s">
        <v>1388</v>
      </c>
      <c r="AL325" s="213">
        <v>12</v>
      </c>
      <c r="AM325" s="212"/>
      <c r="AN325" s="211">
        <v>19.643999999999998</v>
      </c>
      <c r="AO325" s="212"/>
      <c r="AP325" s="65" t="s">
        <v>27</v>
      </c>
      <c r="AQ325" s="193" t="s">
        <v>1407</v>
      </c>
      <c r="AR325" s="210" t="s">
        <v>1363</v>
      </c>
      <c r="AS325" s="209" t="s">
        <v>1532</v>
      </c>
      <c r="AT325" s="175"/>
      <c r="AU325" s="65" t="s">
        <v>27</v>
      </c>
      <c r="AV325" s="163" t="s">
        <v>1388</v>
      </c>
      <c r="AW325" s="65">
        <v>1514</v>
      </c>
      <c r="AX325" s="196">
        <v>44671.467592592591</v>
      </c>
    </row>
    <row r="326" spans="1:50">
      <c r="A326" s="124" t="s">
        <v>46</v>
      </c>
      <c r="B326" s="109" t="s">
        <v>1320</v>
      </c>
      <c r="C326" s="214" t="s">
        <v>183</v>
      </c>
      <c r="D326" s="163" t="s">
        <v>185</v>
      </c>
      <c r="E326" s="170">
        <v>50</v>
      </c>
      <c r="F326" s="171">
        <v>50</v>
      </c>
      <c r="G326" s="184">
        <v>50</v>
      </c>
      <c r="H326" s="205">
        <v>50</v>
      </c>
      <c r="I326" s="171">
        <v>50</v>
      </c>
      <c r="J326" s="184">
        <v>50</v>
      </c>
      <c r="K326" s="205">
        <v>50</v>
      </c>
      <c r="L326" s="171">
        <v>50</v>
      </c>
      <c r="M326" s="184">
        <v>50</v>
      </c>
      <c r="N326" s="205">
        <v>50</v>
      </c>
      <c r="O326" s="171">
        <v>50</v>
      </c>
      <c r="P326" s="207">
        <v>50</v>
      </c>
      <c r="Q326" s="205">
        <v>50</v>
      </c>
      <c r="R326" s="206">
        <v>50</v>
      </c>
      <c r="S326" s="207">
        <v>50</v>
      </c>
      <c r="T326" s="205">
        <v>50</v>
      </c>
      <c r="U326" s="206">
        <v>50</v>
      </c>
      <c r="V326" s="207">
        <v>50</v>
      </c>
      <c r="W326" s="205">
        <v>50</v>
      </c>
      <c r="X326" s="206">
        <v>50</v>
      </c>
      <c r="Y326" s="207">
        <v>50</v>
      </c>
      <c r="Z326" s="205">
        <v>50</v>
      </c>
      <c r="AA326" s="206">
        <v>50</v>
      </c>
      <c r="AB326" s="207">
        <v>50</v>
      </c>
      <c r="AC326" s="205">
        <v>50</v>
      </c>
      <c r="AD326" s="206">
        <v>50</v>
      </c>
      <c r="AE326" s="207">
        <v>50</v>
      </c>
      <c r="AF326" s="205">
        <v>50</v>
      </c>
      <c r="AG326" s="206">
        <v>50</v>
      </c>
      <c r="AH326" s="207">
        <v>50</v>
      </c>
      <c r="AI326" s="132" t="s">
        <v>184</v>
      </c>
      <c r="AJ326" s="194" t="s">
        <v>1391</v>
      </c>
      <c r="AK326" s="132" t="s">
        <v>21</v>
      </c>
      <c r="AL326" s="213">
        <v>1</v>
      </c>
      <c r="AM326" s="212"/>
      <c r="AN326" s="211">
        <v>50</v>
      </c>
      <c r="AO326" s="212">
        <v>75</v>
      </c>
      <c r="AP326" s="194" t="s">
        <v>131</v>
      </c>
      <c r="AQ326" s="193" t="s">
        <v>1403</v>
      </c>
      <c r="AR326" s="210" t="s">
        <v>2503</v>
      </c>
      <c r="AS326" s="209" t="s">
        <v>1441</v>
      </c>
      <c r="AT326" s="175"/>
      <c r="AU326" s="65" t="s">
        <v>25</v>
      </c>
      <c r="AV326" s="163" t="s">
        <v>20</v>
      </c>
      <c r="AW326" s="65">
        <v>1874</v>
      </c>
      <c r="AX326" s="196">
        <v>44746.672210648147</v>
      </c>
    </row>
    <row r="327" spans="1:50">
      <c r="A327" s="124" t="s">
        <v>62</v>
      </c>
      <c r="B327" s="109" t="s">
        <v>1385</v>
      </c>
      <c r="C327" s="214" t="s">
        <v>304</v>
      </c>
      <c r="D327" s="163" t="s">
        <v>3592</v>
      </c>
      <c r="E327" s="170">
        <v>100</v>
      </c>
      <c r="F327" s="171">
        <v>100</v>
      </c>
      <c r="G327" s="184">
        <v>100</v>
      </c>
      <c r="H327" s="205">
        <v>100</v>
      </c>
      <c r="I327" s="171">
        <v>100</v>
      </c>
      <c r="J327" s="184">
        <v>100</v>
      </c>
      <c r="K327" s="205">
        <v>100</v>
      </c>
      <c r="L327" s="171">
        <v>100</v>
      </c>
      <c r="M327" s="184">
        <v>100</v>
      </c>
      <c r="N327" s="205">
        <v>100</v>
      </c>
      <c r="O327" s="171">
        <v>100</v>
      </c>
      <c r="P327" s="207">
        <v>100</v>
      </c>
      <c r="Q327" s="205">
        <v>100</v>
      </c>
      <c r="R327" s="206">
        <v>100</v>
      </c>
      <c r="S327" s="207">
        <v>100</v>
      </c>
      <c r="T327" s="205">
        <v>100</v>
      </c>
      <c r="U327" s="206">
        <v>100</v>
      </c>
      <c r="V327" s="207">
        <v>100</v>
      </c>
      <c r="W327" s="205">
        <v>100</v>
      </c>
      <c r="X327" s="206">
        <v>100</v>
      </c>
      <c r="Y327" s="207">
        <v>100</v>
      </c>
      <c r="Z327" s="205">
        <v>100</v>
      </c>
      <c r="AA327" s="206">
        <v>100</v>
      </c>
      <c r="AB327" s="207">
        <v>100</v>
      </c>
      <c r="AC327" s="205">
        <v>100</v>
      </c>
      <c r="AD327" s="206">
        <v>100</v>
      </c>
      <c r="AE327" s="207">
        <v>100</v>
      </c>
      <c r="AF327" s="205">
        <v>100</v>
      </c>
      <c r="AG327" s="206">
        <v>100</v>
      </c>
      <c r="AH327" s="207">
        <v>100</v>
      </c>
      <c r="AI327" s="132" t="s">
        <v>64</v>
      </c>
      <c r="AJ327" s="194" t="s">
        <v>1391</v>
      </c>
      <c r="AK327" s="132" t="s">
        <v>21</v>
      </c>
      <c r="AL327" s="213">
        <v>1</v>
      </c>
      <c r="AM327" s="212"/>
      <c r="AN327" s="211">
        <v>100</v>
      </c>
      <c r="AO327" s="212">
        <v>150</v>
      </c>
      <c r="AP327" s="194" t="s">
        <v>27</v>
      </c>
      <c r="AQ327" s="193" t="s">
        <v>1407</v>
      </c>
      <c r="AR327" s="210" t="s">
        <v>1409</v>
      </c>
      <c r="AS327" s="209" t="s">
        <v>1744</v>
      </c>
      <c r="AT327" s="175"/>
      <c r="AU327" s="65" t="s">
        <v>27</v>
      </c>
      <c r="AV327" s="163" t="s">
        <v>20</v>
      </c>
      <c r="AW327" s="65">
        <v>1762</v>
      </c>
      <c r="AX327" s="196">
        <v>44747.389861111114</v>
      </c>
    </row>
    <row r="328" spans="1:50">
      <c r="A328" s="124" t="s">
        <v>62</v>
      </c>
      <c r="B328" s="109" t="s">
        <v>1385</v>
      </c>
      <c r="C328" s="214" t="s">
        <v>63</v>
      </c>
      <c r="D328" s="163" t="s">
        <v>65</v>
      </c>
      <c r="E328" s="170">
        <v>0</v>
      </c>
      <c r="F328" s="171">
        <v>0</v>
      </c>
      <c r="G328" s="184">
        <v>0</v>
      </c>
      <c r="H328" s="205">
        <v>125</v>
      </c>
      <c r="I328" s="171">
        <v>125</v>
      </c>
      <c r="J328" s="184">
        <v>125</v>
      </c>
      <c r="K328" s="205">
        <v>125</v>
      </c>
      <c r="L328" s="171">
        <v>125</v>
      </c>
      <c r="M328" s="184">
        <v>125</v>
      </c>
      <c r="N328" s="205">
        <v>125</v>
      </c>
      <c r="O328" s="171">
        <v>125</v>
      </c>
      <c r="P328" s="207">
        <v>125</v>
      </c>
      <c r="Q328" s="205">
        <v>125</v>
      </c>
      <c r="R328" s="206">
        <v>125</v>
      </c>
      <c r="S328" s="207">
        <v>125</v>
      </c>
      <c r="T328" s="205">
        <v>125</v>
      </c>
      <c r="U328" s="206">
        <v>125</v>
      </c>
      <c r="V328" s="207">
        <v>125</v>
      </c>
      <c r="W328" s="205">
        <v>125</v>
      </c>
      <c r="X328" s="206">
        <v>125</v>
      </c>
      <c r="Y328" s="207">
        <v>125</v>
      </c>
      <c r="Z328" s="205">
        <v>125</v>
      </c>
      <c r="AA328" s="206">
        <v>125</v>
      </c>
      <c r="AB328" s="207">
        <v>125</v>
      </c>
      <c r="AC328" s="205">
        <v>125</v>
      </c>
      <c r="AD328" s="206">
        <v>125</v>
      </c>
      <c r="AE328" s="207">
        <v>125</v>
      </c>
      <c r="AF328" s="205">
        <v>125</v>
      </c>
      <c r="AG328" s="206">
        <v>125</v>
      </c>
      <c r="AH328" s="207">
        <v>125</v>
      </c>
      <c r="AI328" s="132" t="s">
        <v>64</v>
      </c>
      <c r="AJ328" s="194" t="s">
        <v>1429</v>
      </c>
      <c r="AK328" s="132" t="s">
        <v>1388</v>
      </c>
      <c r="AL328" s="213">
        <v>1</v>
      </c>
      <c r="AM328" s="212"/>
      <c r="AN328" s="211">
        <v>160</v>
      </c>
      <c r="AO328" s="212"/>
      <c r="AP328" s="194" t="s">
        <v>27</v>
      </c>
      <c r="AQ328" s="193" t="s">
        <v>1407</v>
      </c>
      <c r="AR328" s="210" t="s">
        <v>1602</v>
      </c>
      <c r="AS328" s="209" t="s">
        <v>1700</v>
      </c>
      <c r="AT328" s="175"/>
      <c r="AU328" s="65" t="s">
        <v>27</v>
      </c>
      <c r="AV328" s="163" t="s">
        <v>1388</v>
      </c>
      <c r="AW328" s="65">
        <v>1455</v>
      </c>
      <c r="AX328" s="196">
        <v>44747.369270833333</v>
      </c>
    </row>
    <row r="329" spans="1:50">
      <c r="A329" s="124" t="s">
        <v>62</v>
      </c>
      <c r="B329" s="109" t="s">
        <v>1385</v>
      </c>
      <c r="C329" s="214" t="s">
        <v>690</v>
      </c>
      <c r="D329" s="163" t="s">
        <v>3604</v>
      </c>
      <c r="E329" s="170">
        <v>16.103999999999999</v>
      </c>
      <c r="F329" s="171">
        <v>16.103999999999999</v>
      </c>
      <c r="G329" s="184">
        <v>16.103999999999999</v>
      </c>
      <c r="H329" s="205">
        <v>32.103999999999999</v>
      </c>
      <c r="I329" s="171">
        <v>32.103999999999999</v>
      </c>
      <c r="J329" s="184">
        <v>32.103999999999999</v>
      </c>
      <c r="K329" s="205">
        <v>32.103999999999999</v>
      </c>
      <c r="L329" s="171">
        <v>32.103999999999999</v>
      </c>
      <c r="M329" s="184">
        <v>32.103999999999999</v>
      </c>
      <c r="N329" s="205">
        <v>32.103999999999999</v>
      </c>
      <c r="O329" s="171">
        <v>32.103999999999999</v>
      </c>
      <c r="P329" s="207">
        <v>32.103999999999999</v>
      </c>
      <c r="Q329" s="205">
        <v>32.103999999999999</v>
      </c>
      <c r="R329" s="206">
        <v>32.103999999999999</v>
      </c>
      <c r="S329" s="207">
        <v>32.103999999999999</v>
      </c>
      <c r="T329" s="205">
        <v>32.103999999999999</v>
      </c>
      <c r="U329" s="206">
        <v>32.103999999999999</v>
      </c>
      <c r="V329" s="207">
        <v>32.103999999999999</v>
      </c>
      <c r="W329" s="205">
        <v>32.103999999999999</v>
      </c>
      <c r="X329" s="206">
        <v>32.103999999999999</v>
      </c>
      <c r="Y329" s="207">
        <v>32.103999999999999</v>
      </c>
      <c r="Z329" s="205">
        <v>32.103999999999999</v>
      </c>
      <c r="AA329" s="206">
        <v>32.103999999999999</v>
      </c>
      <c r="AB329" s="207">
        <v>32.103999999999999</v>
      </c>
      <c r="AC329" s="205">
        <v>32.103999999999999</v>
      </c>
      <c r="AD329" s="206">
        <v>32.103999999999999</v>
      </c>
      <c r="AE329" s="207">
        <v>32.103999999999999</v>
      </c>
      <c r="AF329" s="205">
        <v>32.103999999999999</v>
      </c>
      <c r="AG329" s="206">
        <v>32.103999999999999</v>
      </c>
      <c r="AH329" s="207">
        <v>32.103999999999999</v>
      </c>
      <c r="AI329" s="132" t="s">
        <v>3603</v>
      </c>
      <c r="AJ329" s="194" t="s">
        <v>1429</v>
      </c>
      <c r="AK329" s="132" t="s">
        <v>1388</v>
      </c>
      <c r="AL329" s="213">
        <v>8</v>
      </c>
      <c r="AM329" s="212"/>
      <c r="AN329" s="211">
        <v>32.103999999999999</v>
      </c>
      <c r="AO329" s="212">
        <v>0</v>
      </c>
      <c r="AP329" s="194" t="s">
        <v>27</v>
      </c>
      <c r="AQ329" s="193" t="s">
        <v>1407</v>
      </c>
      <c r="AR329" s="210" t="s">
        <v>3144</v>
      </c>
      <c r="AS329" s="209" t="s">
        <v>1681</v>
      </c>
      <c r="AT329" s="175"/>
      <c r="AU329" s="65" t="s">
        <v>27</v>
      </c>
      <c r="AV329" s="163" t="s">
        <v>1388</v>
      </c>
      <c r="AW329" s="65">
        <v>1530</v>
      </c>
      <c r="AX329" s="196">
        <v>44742.601574074077</v>
      </c>
    </row>
    <row r="330" spans="1:50">
      <c r="A330" s="124" t="s">
        <v>62</v>
      </c>
      <c r="B330" s="109" t="s">
        <v>1385</v>
      </c>
      <c r="C330" s="214" t="s">
        <v>690</v>
      </c>
      <c r="D330" s="163" t="s">
        <v>3606</v>
      </c>
      <c r="E330" s="170">
        <v>16.103999999999999</v>
      </c>
      <c r="F330" s="171">
        <v>16.103999999999999</v>
      </c>
      <c r="G330" s="184">
        <v>16.103999999999999</v>
      </c>
      <c r="H330" s="205">
        <v>32.103999999999999</v>
      </c>
      <c r="I330" s="171">
        <v>32.103999999999999</v>
      </c>
      <c r="J330" s="184">
        <v>32.103999999999999</v>
      </c>
      <c r="K330" s="205">
        <v>32.103999999999999</v>
      </c>
      <c r="L330" s="171">
        <v>32.103999999999999</v>
      </c>
      <c r="M330" s="184">
        <v>32.103999999999999</v>
      </c>
      <c r="N330" s="205">
        <v>32.103999999999999</v>
      </c>
      <c r="O330" s="171">
        <v>32.103999999999999</v>
      </c>
      <c r="P330" s="207">
        <v>32.103999999999999</v>
      </c>
      <c r="Q330" s="205">
        <v>32.103999999999999</v>
      </c>
      <c r="R330" s="206">
        <v>32.103999999999999</v>
      </c>
      <c r="S330" s="207">
        <v>32.103999999999999</v>
      </c>
      <c r="T330" s="205">
        <v>32.103999999999999</v>
      </c>
      <c r="U330" s="206">
        <v>32.103999999999999</v>
      </c>
      <c r="V330" s="207">
        <v>32.103999999999999</v>
      </c>
      <c r="W330" s="205">
        <v>32.103999999999999</v>
      </c>
      <c r="X330" s="206">
        <v>32.103999999999999</v>
      </c>
      <c r="Y330" s="207">
        <v>32.103999999999999</v>
      </c>
      <c r="Z330" s="205">
        <v>32.103999999999999</v>
      </c>
      <c r="AA330" s="206">
        <v>32.103999999999999</v>
      </c>
      <c r="AB330" s="207">
        <v>32.103999999999999</v>
      </c>
      <c r="AC330" s="205">
        <v>32.103999999999999</v>
      </c>
      <c r="AD330" s="206">
        <v>32.103999999999999</v>
      </c>
      <c r="AE330" s="207">
        <v>32.103999999999999</v>
      </c>
      <c r="AF330" s="205">
        <v>32.103999999999999</v>
      </c>
      <c r="AG330" s="206">
        <v>32.103999999999999</v>
      </c>
      <c r="AH330" s="207">
        <v>32.103999999999999</v>
      </c>
      <c r="AI330" s="132" t="s">
        <v>3603</v>
      </c>
      <c r="AJ330" s="194" t="s">
        <v>1429</v>
      </c>
      <c r="AK330" s="132" t="s">
        <v>1388</v>
      </c>
      <c r="AL330" s="213">
        <v>8</v>
      </c>
      <c r="AM330" s="212"/>
      <c r="AN330" s="211">
        <v>32.103999999999999</v>
      </c>
      <c r="AO330" s="212">
        <v>0</v>
      </c>
      <c r="AP330" s="194" t="s">
        <v>27</v>
      </c>
      <c r="AQ330" s="193" t="s">
        <v>1407</v>
      </c>
      <c r="AR330" s="210" t="s">
        <v>3144</v>
      </c>
      <c r="AS330" s="209" t="s">
        <v>1534</v>
      </c>
      <c r="AT330" s="175"/>
      <c r="AU330" s="65" t="s">
        <v>27</v>
      </c>
      <c r="AV330" s="163" t="s">
        <v>1388</v>
      </c>
      <c r="AW330" s="65">
        <v>1530</v>
      </c>
      <c r="AX330" s="196">
        <v>44742.601574074077</v>
      </c>
    </row>
    <row r="331" spans="1:50">
      <c r="A331" s="124" t="s">
        <v>80</v>
      </c>
      <c r="B331" s="109" t="s">
        <v>1320</v>
      </c>
      <c r="C331" s="214" t="s">
        <v>3607</v>
      </c>
      <c r="D331" s="163" t="s">
        <v>3609</v>
      </c>
      <c r="E331" s="170">
        <v>111</v>
      </c>
      <c r="F331" s="171">
        <v>111</v>
      </c>
      <c r="G331" s="184">
        <v>0</v>
      </c>
      <c r="H331" s="205">
        <v>111</v>
      </c>
      <c r="I331" s="171">
        <v>111</v>
      </c>
      <c r="J331" s="184">
        <v>0</v>
      </c>
      <c r="K331" s="205">
        <v>111</v>
      </c>
      <c r="L331" s="171">
        <v>111</v>
      </c>
      <c r="M331" s="184">
        <v>0</v>
      </c>
      <c r="N331" s="205">
        <v>111</v>
      </c>
      <c r="O331" s="171">
        <v>111</v>
      </c>
      <c r="P331" s="207">
        <v>0</v>
      </c>
      <c r="Q331" s="205">
        <v>111</v>
      </c>
      <c r="R331" s="206">
        <v>111</v>
      </c>
      <c r="S331" s="207">
        <v>0</v>
      </c>
      <c r="T331" s="205">
        <v>111</v>
      </c>
      <c r="U331" s="206">
        <v>111</v>
      </c>
      <c r="V331" s="207">
        <v>0</v>
      </c>
      <c r="W331" s="205">
        <v>111</v>
      </c>
      <c r="X331" s="206">
        <v>111</v>
      </c>
      <c r="Y331" s="207">
        <v>0</v>
      </c>
      <c r="Z331" s="205">
        <v>111</v>
      </c>
      <c r="AA331" s="206">
        <v>111</v>
      </c>
      <c r="AB331" s="207">
        <v>0</v>
      </c>
      <c r="AC331" s="205">
        <v>111</v>
      </c>
      <c r="AD331" s="206">
        <v>111</v>
      </c>
      <c r="AE331" s="207">
        <v>0</v>
      </c>
      <c r="AF331" s="205">
        <v>111</v>
      </c>
      <c r="AG331" s="206">
        <v>111</v>
      </c>
      <c r="AH331" s="207">
        <v>0</v>
      </c>
      <c r="AI331" s="132" t="s">
        <v>3608</v>
      </c>
      <c r="AJ331" s="194" t="s">
        <v>1419</v>
      </c>
      <c r="AK331" s="132" t="s">
        <v>17</v>
      </c>
      <c r="AL331" s="213">
        <v>37</v>
      </c>
      <c r="AM331" s="212"/>
      <c r="AN331" s="211">
        <v>111</v>
      </c>
      <c r="AO331" s="212"/>
      <c r="AP331" s="194" t="s">
        <v>55</v>
      </c>
      <c r="AQ331" s="193" t="s">
        <v>1407</v>
      </c>
      <c r="AR331" s="210"/>
      <c r="AS331" s="209" t="s">
        <v>1534</v>
      </c>
      <c r="AT331" s="175"/>
      <c r="AU331" s="65" t="s">
        <v>25</v>
      </c>
      <c r="AV331" s="163" t="s">
        <v>17</v>
      </c>
      <c r="AW331" s="65">
        <v>1223</v>
      </c>
      <c r="AX331" s="196">
        <v>44677.464618055557</v>
      </c>
    </row>
    <row r="332" spans="1:50">
      <c r="A332" s="124" t="s">
        <v>80</v>
      </c>
      <c r="B332" s="109" t="s">
        <v>1320</v>
      </c>
      <c r="C332" s="214" t="s">
        <v>3607</v>
      </c>
      <c r="D332" s="163" t="s">
        <v>3609</v>
      </c>
      <c r="E332" s="170">
        <v>19.799999999999997</v>
      </c>
      <c r="F332" s="171">
        <v>19.799999999999997</v>
      </c>
      <c r="G332" s="184">
        <v>9</v>
      </c>
      <c r="H332" s="205">
        <v>19.799999999999997</v>
      </c>
      <c r="I332" s="171">
        <v>19.799999999999997</v>
      </c>
      <c r="J332" s="184">
        <v>9</v>
      </c>
      <c r="K332" s="205">
        <v>19.799999999999997</v>
      </c>
      <c r="L332" s="171">
        <v>19.799999999999997</v>
      </c>
      <c r="M332" s="184">
        <v>9</v>
      </c>
      <c r="N332" s="205">
        <v>19.799999999999997</v>
      </c>
      <c r="O332" s="171">
        <v>19.799999999999997</v>
      </c>
      <c r="P332" s="207">
        <v>9</v>
      </c>
      <c r="Q332" s="205">
        <v>19.799999999999997</v>
      </c>
      <c r="R332" s="206">
        <v>19.799999999999997</v>
      </c>
      <c r="S332" s="207">
        <v>9</v>
      </c>
      <c r="T332" s="205">
        <v>19.799999999999997</v>
      </c>
      <c r="U332" s="206">
        <v>19.799999999999997</v>
      </c>
      <c r="V332" s="207">
        <v>9</v>
      </c>
      <c r="W332" s="205">
        <v>19.799999999999997</v>
      </c>
      <c r="X332" s="206">
        <v>19.799999999999997</v>
      </c>
      <c r="Y332" s="207">
        <v>9</v>
      </c>
      <c r="Z332" s="205">
        <v>19.799999999999997</v>
      </c>
      <c r="AA332" s="206">
        <v>19.799999999999997</v>
      </c>
      <c r="AB332" s="207">
        <v>9</v>
      </c>
      <c r="AC332" s="205">
        <v>19.799999999999997</v>
      </c>
      <c r="AD332" s="206">
        <v>19.799999999999997</v>
      </c>
      <c r="AE332" s="207">
        <v>9</v>
      </c>
      <c r="AF332" s="205">
        <v>19.799999999999997</v>
      </c>
      <c r="AG332" s="206">
        <v>19.799999999999997</v>
      </c>
      <c r="AH332" s="207">
        <v>9</v>
      </c>
      <c r="AI332" s="132" t="s">
        <v>3608</v>
      </c>
      <c r="AJ332" s="194" t="s">
        <v>1419</v>
      </c>
      <c r="AK332" s="132" t="s">
        <v>17</v>
      </c>
      <c r="AL332" s="213">
        <v>6</v>
      </c>
      <c r="AM332" s="212"/>
      <c r="AN332" s="211">
        <v>19.799999999999997</v>
      </c>
      <c r="AO332" s="212"/>
      <c r="AP332" s="65" t="s">
        <v>55</v>
      </c>
      <c r="AQ332" s="193" t="s">
        <v>1407</v>
      </c>
      <c r="AR332" s="210"/>
      <c r="AS332" s="209" t="s">
        <v>1744</v>
      </c>
      <c r="AT332" s="175"/>
      <c r="AU332" s="65" t="s">
        <v>25</v>
      </c>
      <c r="AV332" s="163" t="s">
        <v>17</v>
      </c>
      <c r="AW332" s="65">
        <v>1223</v>
      </c>
      <c r="AX332" s="196">
        <v>44677.464618055557</v>
      </c>
    </row>
    <row r="333" spans="1:50">
      <c r="A333" s="124" t="s">
        <v>46</v>
      </c>
      <c r="B333" s="109" t="s">
        <v>1320</v>
      </c>
      <c r="C333" s="214" t="s">
        <v>224</v>
      </c>
      <c r="D333" s="163" t="s">
        <v>3631</v>
      </c>
      <c r="E333" s="170">
        <v>169.88399999999999</v>
      </c>
      <c r="F333" s="171">
        <v>169.88399999999999</v>
      </c>
      <c r="G333" s="184">
        <v>169.88399999999999</v>
      </c>
      <c r="H333" s="205">
        <v>169.88399999999999</v>
      </c>
      <c r="I333" s="171">
        <v>169.88399999999999</v>
      </c>
      <c r="J333" s="184">
        <v>169.88399999999999</v>
      </c>
      <c r="K333" s="205">
        <v>169.88399999999999</v>
      </c>
      <c r="L333" s="171">
        <v>169.88399999999999</v>
      </c>
      <c r="M333" s="184">
        <v>169.88399999999999</v>
      </c>
      <c r="N333" s="205">
        <v>169.88399999999999</v>
      </c>
      <c r="O333" s="171">
        <v>169.88399999999999</v>
      </c>
      <c r="P333" s="207">
        <v>169.88399999999999</v>
      </c>
      <c r="Q333" s="205">
        <v>169.88399999999999</v>
      </c>
      <c r="R333" s="206">
        <v>169.88399999999999</v>
      </c>
      <c r="S333" s="207">
        <v>169.88399999999999</v>
      </c>
      <c r="T333" s="205">
        <v>169.88399999999999</v>
      </c>
      <c r="U333" s="206">
        <v>169.88399999999999</v>
      </c>
      <c r="V333" s="207">
        <v>169.88399999999999</v>
      </c>
      <c r="W333" s="205">
        <v>169.88399999999999</v>
      </c>
      <c r="X333" s="206">
        <v>169.88399999999999</v>
      </c>
      <c r="Y333" s="207">
        <v>169.88399999999999</v>
      </c>
      <c r="Z333" s="205">
        <v>169.88399999999999</v>
      </c>
      <c r="AA333" s="206">
        <v>169.88399999999999</v>
      </c>
      <c r="AB333" s="207">
        <v>169.88399999999999</v>
      </c>
      <c r="AC333" s="205">
        <v>169.88399999999999</v>
      </c>
      <c r="AD333" s="206">
        <v>169.88399999999999</v>
      </c>
      <c r="AE333" s="207">
        <v>169.88399999999999</v>
      </c>
      <c r="AF333" s="205">
        <v>169.88399999999999</v>
      </c>
      <c r="AG333" s="206">
        <v>169.88399999999999</v>
      </c>
      <c r="AH333" s="207">
        <v>169.88399999999999</v>
      </c>
      <c r="AI333" s="132" t="s">
        <v>225</v>
      </c>
      <c r="AJ333" s="194" t="s">
        <v>1429</v>
      </c>
      <c r="AK333" s="132" t="s">
        <v>1388</v>
      </c>
      <c r="AL333" s="213">
        <v>132</v>
      </c>
      <c r="AM333" s="212"/>
      <c r="AN333" s="211">
        <v>216.084</v>
      </c>
      <c r="AO333" s="212">
        <v>0</v>
      </c>
      <c r="AP333" s="194" t="s">
        <v>131</v>
      </c>
      <c r="AQ333" s="193" t="s">
        <v>1407</v>
      </c>
      <c r="AR333" s="210" t="s">
        <v>1453</v>
      </c>
      <c r="AS333" s="209" t="s">
        <v>1744</v>
      </c>
      <c r="AT333" s="175"/>
      <c r="AU333" s="65" t="s">
        <v>25</v>
      </c>
      <c r="AV333" s="163" t="s">
        <v>1388</v>
      </c>
      <c r="AW333" s="65">
        <v>1515</v>
      </c>
      <c r="AX333" s="196">
        <v>44698.397013888891</v>
      </c>
    </row>
    <row r="334" spans="1:50">
      <c r="A334" s="124" t="s">
        <v>100</v>
      </c>
      <c r="B334" s="109" t="s">
        <v>1320</v>
      </c>
      <c r="C334" s="214" t="s">
        <v>654</v>
      </c>
      <c r="D334" s="163" t="s">
        <v>656</v>
      </c>
      <c r="E334" s="170">
        <v>87.983999999999995</v>
      </c>
      <c r="F334" s="171">
        <v>85.527000000000001</v>
      </c>
      <c r="G334" s="184">
        <v>82.368000000000009</v>
      </c>
      <c r="H334" s="205">
        <v>87.983999999999995</v>
      </c>
      <c r="I334" s="171">
        <v>85.527000000000001</v>
      </c>
      <c r="J334" s="184">
        <v>82.368000000000009</v>
      </c>
      <c r="K334" s="205">
        <v>87.983999999999995</v>
      </c>
      <c r="L334" s="171">
        <v>85.527000000000001</v>
      </c>
      <c r="M334" s="184">
        <v>82.368000000000009</v>
      </c>
      <c r="N334" s="205">
        <v>87.983999999999995</v>
      </c>
      <c r="O334" s="171">
        <v>85.527000000000001</v>
      </c>
      <c r="P334" s="207">
        <v>82.368000000000009</v>
      </c>
      <c r="Q334" s="205">
        <v>87.983999999999995</v>
      </c>
      <c r="R334" s="206">
        <v>85.527000000000001</v>
      </c>
      <c r="S334" s="207">
        <v>82.368000000000009</v>
      </c>
      <c r="T334" s="205">
        <v>87.983999999999995</v>
      </c>
      <c r="U334" s="206">
        <v>85.527000000000001</v>
      </c>
      <c r="V334" s="207">
        <v>82.368000000000009</v>
      </c>
      <c r="W334" s="205">
        <v>87.983999999999995</v>
      </c>
      <c r="X334" s="206">
        <v>85.527000000000001</v>
      </c>
      <c r="Y334" s="207">
        <v>82.368000000000009</v>
      </c>
      <c r="Z334" s="205">
        <v>87.983999999999995</v>
      </c>
      <c r="AA334" s="206">
        <v>85.527000000000001</v>
      </c>
      <c r="AB334" s="207">
        <v>82.368000000000009</v>
      </c>
      <c r="AC334" s="205">
        <v>87.983999999999995</v>
      </c>
      <c r="AD334" s="206">
        <v>85.527000000000001</v>
      </c>
      <c r="AE334" s="207">
        <v>82.368000000000009</v>
      </c>
      <c r="AF334" s="205">
        <v>87.983999999999995</v>
      </c>
      <c r="AG334" s="206">
        <v>85.527000000000001</v>
      </c>
      <c r="AH334" s="207">
        <v>82.368000000000009</v>
      </c>
      <c r="AI334" s="132" t="s">
        <v>655</v>
      </c>
      <c r="AJ334" s="194" t="s">
        <v>1429</v>
      </c>
      <c r="AK334" s="132" t="s">
        <v>1388</v>
      </c>
      <c r="AL334" s="213">
        <v>39</v>
      </c>
      <c r="AM334" s="212"/>
      <c r="AN334" s="211">
        <v>97.5</v>
      </c>
      <c r="AO334" s="212"/>
      <c r="AP334" s="194" t="s">
        <v>55</v>
      </c>
      <c r="AQ334" s="193" t="s">
        <v>1407</v>
      </c>
      <c r="AR334" s="210"/>
      <c r="AS334" s="209" t="s">
        <v>1547</v>
      </c>
      <c r="AT334" s="175"/>
      <c r="AU334" s="65" t="s">
        <v>25</v>
      </c>
      <c r="AV334" s="163" t="s">
        <v>1388</v>
      </c>
      <c r="AW334" s="65">
        <v>1563</v>
      </c>
      <c r="AX334" s="196">
        <v>44711.643391203703</v>
      </c>
    </row>
    <row r="335" spans="1:50">
      <c r="A335" s="124" t="s">
        <v>100</v>
      </c>
      <c r="B335" s="109" t="s">
        <v>1320</v>
      </c>
      <c r="C335" s="214" t="s">
        <v>657</v>
      </c>
      <c r="D335" s="163" t="s">
        <v>3637</v>
      </c>
      <c r="E335" s="170">
        <v>34</v>
      </c>
      <c r="F335" s="171">
        <v>34</v>
      </c>
      <c r="G335" s="184">
        <v>34</v>
      </c>
      <c r="H335" s="205">
        <v>34</v>
      </c>
      <c r="I335" s="171">
        <v>34</v>
      </c>
      <c r="J335" s="184">
        <v>34</v>
      </c>
      <c r="K335" s="205">
        <v>34</v>
      </c>
      <c r="L335" s="171">
        <v>34</v>
      </c>
      <c r="M335" s="184">
        <v>34</v>
      </c>
      <c r="N335" s="205">
        <v>34</v>
      </c>
      <c r="O335" s="171">
        <v>34</v>
      </c>
      <c r="P335" s="207">
        <v>34</v>
      </c>
      <c r="Q335" s="205">
        <v>34</v>
      </c>
      <c r="R335" s="206">
        <v>34</v>
      </c>
      <c r="S335" s="207">
        <v>34</v>
      </c>
      <c r="T335" s="205">
        <v>34</v>
      </c>
      <c r="U335" s="206">
        <v>34</v>
      </c>
      <c r="V335" s="207">
        <v>34</v>
      </c>
      <c r="W335" s="205">
        <v>34</v>
      </c>
      <c r="X335" s="206">
        <v>34</v>
      </c>
      <c r="Y335" s="207">
        <v>34</v>
      </c>
      <c r="Z335" s="205">
        <v>34</v>
      </c>
      <c r="AA335" s="206">
        <v>34</v>
      </c>
      <c r="AB335" s="207">
        <v>34</v>
      </c>
      <c r="AC335" s="205">
        <v>34</v>
      </c>
      <c r="AD335" s="206">
        <v>34</v>
      </c>
      <c r="AE335" s="207">
        <v>34</v>
      </c>
      <c r="AF335" s="205">
        <v>34</v>
      </c>
      <c r="AG335" s="206">
        <v>34</v>
      </c>
      <c r="AH335" s="207">
        <v>34</v>
      </c>
      <c r="AI335" s="132" t="s">
        <v>49</v>
      </c>
      <c r="AJ335" s="194" t="s">
        <v>1539</v>
      </c>
      <c r="AK335" s="132" t="s">
        <v>18</v>
      </c>
      <c r="AL335" s="213">
        <v>2</v>
      </c>
      <c r="AM335" s="212"/>
      <c r="AN335" s="211">
        <v>34</v>
      </c>
      <c r="AO335" s="212"/>
      <c r="AP335" s="194" t="s">
        <v>55</v>
      </c>
      <c r="AQ335" s="193" t="s">
        <v>1403</v>
      </c>
      <c r="AR335" s="210"/>
      <c r="AS335" s="209" t="s">
        <v>1542</v>
      </c>
      <c r="AT335" s="175"/>
      <c r="AU335" s="65" t="s">
        <v>25</v>
      </c>
      <c r="AV335" s="163" t="s">
        <v>18</v>
      </c>
      <c r="AW335" s="65">
        <v>1227</v>
      </c>
      <c r="AX335" s="196">
        <v>44671.301759259259</v>
      </c>
    </row>
    <row r="336" spans="1:50">
      <c r="A336" s="124" t="s">
        <v>100</v>
      </c>
      <c r="B336" s="109" t="s">
        <v>1320</v>
      </c>
      <c r="C336" s="214" t="s">
        <v>657</v>
      </c>
      <c r="D336" s="163" t="s">
        <v>3638</v>
      </c>
      <c r="E336" s="170">
        <v>34</v>
      </c>
      <c r="F336" s="171">
        <v>34</v>
      </c>
      <c r="G336" s="184">
        <v>34</v>
      </c>
      <c r="H336" s="205">
        <v>34</v>
      </c>
      <c r="I336" s="171">
        <v>34</v>
      </c>
      <c r="J336" s="184">
        <v>34</v>
      </c>
      <c r="K336" s="205">
        <v>34</v>
      </c>
      <c r="L336" s="171">
        <v>34</v>
      </c>
      <c r="M336" s="184">
        <v>34</v>
      </c>
      <c r="N336" s="205">
        <v>34</v>
      </c>
      <c r="O336" s="171">
        <v>34</v>
      </c>
      <c r="P336" s="207">
        <v>34</v>
      </c>
      <c r="Q336" s="205">
        <v>34</v>
      </c>
      <c r="R336" s="206">
        <v>34</v>
      </c>
      <c r="S336" s="207">
        <v>34</v>
      </c>
      <c r="T336" s="205">
        <v>34</v>
      </c>
      <c r="U336" s="206">
        <v>34</v>
      </c>
      <c r="V336" s="207">
        <v>34</v>
      </c>
      <c r="W336" s="205">
        <v>34</v>
      </c>
      <c r="X336" s="206">
        <v>34</v>
      </c>
      <c r="Y336" s="207">
        <v>34</v>
      </c>
      <c r="Z336" s="205">
        <v>34</v>
      </c>
      <c r="AA336" s="206">
        <v>34</v>
      </c>
      <c r="AB336" s="207">
        <v>34</v>
      </c>
      <c r="AC336" s="205">
        <v>34</v>
      </c>
      <c r="AD336" s="206">
        <v>34</v>
      </c>
      <c r="AE336" s="207">
        <v>34</v>
      </c>
      <c r="AF336" s="205">
        <v>34</v>
      </c>
      <c r="AG336" s="206">
        <v>34</v>
      </c>
      <c r="AH336" s="207">
        <v>34</v>
      </c>
      <c r="AI336" s="132" t="s">
        <v>49</v>
      </c>
      <c r="AJ336" s="194" t="s">
        <v>1539</v>
      </c>
      <c r="AK336" s="132" t="s">
        <v>18</v>
      </c>
      <c r="AL336" s="213">
        <v>2</v>
      </c>
      <c r="AM336" s="212"/>
      <c r="AN336" s="211">
        <v>34</v>
      </c>
      <c r="AO336" s="212"/>
      <c r="AP336" s="194" t="s">
        <v>55</v>
      </c>
      <c r="AQ336" s="193" t="s">
        <v>1403</v>
      </c>
      <c r="AR336" s="210"/>
      <c r="AS336" s="209" t="s">
        <v>1542</v>
      </c>
      <c r="AT336" s="175"/>
      <c r="AU336" s="65" t="s">
        <v>25</v>
      </c>
      <c r="AV336" s="163" t="s">
        <v>18</v>
      </c>
      <c r="AW336" s="65">
        <v>1227</v>
      </c>
      <c r="AX336" s="196">
        <v>44671.301759259259</v>
      </c>
    </row>
    <row r="337" spans="1:50">
      <c r="A337" s="124" t="s">
        <v>46</v>
      </c>
      <c r="B337" s="109" t="s">
        <v>1385</v>
      </c>
      <c r="C337" s="214" t="s">
        <v>116</v>
      </c>
      <c r="D337" s="163" t="s">
        <v>208</v>
      </c>
      <c r="E337" s="170">
        <v>90.016000000000005</v>
      </c>
      <c r="F337" s="171">
        <v>90.016000000000005</v>
      </c>
      <c r="G337" s="184">
        <v>90.016000000000005</v>
      </c>
      <c r="H337" s="205">
        <v>90.016000000000005</v>
      </c>
      <c r="I337" s="171">
        <v>90.016000000000005</v>
      </c>
      <c r="J337" s="184">
        <v>90.016000000000005</v>
      </c>
      <c r="K337" s="205">
        <v>90.016000000000005</v>
      </c>
      <c r="L337" s="171">
        <v>90.016000000000005</v>
      </c>
      <c r="M337" s="184">
        <v>90.016000000000005</v>
      </c>
      <c r="N337" s="205">
        <v>90.016000000000005</v>
      </c>
      <c r="O337" s="171">
        <v>90.016000000000005</v>
      </c>
      <c r="P337" s="207">
        <v>90.016000000000005</v>
      </c>
      <c r="Q337" s="205">
        <v>90.016000000000005</v>
      </c>
      <c r="R337" s="206">
        <v>90.016000000000005</v>
      </c>
      <c r="S337" s="207">
        <v>90.016000000000005</v>
      </c>
      <c r="T337" s="205">
        <v>90.016000000000005</v>
      </c>
      <c r="U337" s="206">
        <v>90.016000000000005</v>
      </c>
      <c r="V337" s="207">
        <v>90.016000000000005</v>
      </c>
      <c r="W337" s="205">
        <v>90.016000000000005</v>
      </c>
      <c r="X337" s="206">
        <v>90.016000000000005</v>
      </c>
      <c r="Y337" s="207">
        <v>90.016000000000005</v>
      </c>
      <c r="Z337" s="205">
        <v>90.016000000000005</v>
      </c>
      <c r="AA337" s="206">
        <v>90.016000000000005</v>
      </c>
      <c r="AB337" s="207">
        <v>90.016000000000005</v>
      </c>
      <c r="AC337" s="205">
        <v>90.016000000000005</v>
      </c>
      <c r="AD337" s="206">
        <v>90.016000000000005</v>
      </c>
      <c r="AE337" s="207">
        <v>90.016000000000005</v>
      </c>
      <c r="AF337" s="205">
        <v>90.016000000000005</v>
      </c>
      <c r="AG337" s="206">
        <v>91.06</v>
      </c>
      <c r="AH337" s="207">
        <v>90.016000000000005</v>
      </c>
      <c r="AI337" s="132" t="s">
        <v>117</v>
      </c>
      <c r="AJ337" s="194" t="s">
        <v>1429</v>
      </c>
      <c r="AK337" s="132" t="s">
        <v>1388</v>
      </c>
      <c r="AL337" s="213">
        <v>29</v>
      </c>
      <c r="AM337" s="212"/>
      <c r="AN337" s="211">
        <v>105.27</v>
      </c>
      <c r="AO337" s="212"/>
      <c r="AP337" s="194" t="s">
        <v>27</v>
      </c>
      <c r="AQ337" s="193" t="s">
        <v>1407</v>
      </c>
      <c r="AR337" s="210" t="s">
        <v>1671</v>
      </c>
      <c r="AS337" s="209"/>
      <c r="AT337" s="175"/>
      <c r="AU337" s="65" t="s">
        <v>27</v>
      </c>
      <c r="AV337" s="163" t="s">
        <v>1388</v>
      </c>
      <c r="AW337" s="65">
        <v>1904</v>
      </c>
      <c r="AX337" s="196">
        <v>44732.485046296293</v>
      </c>
    </row>
    <row r="338" spans="1:50">
      <c r="A338" s="124" t="s">
        <v>62</v>
      </c>
      <c r="B338" s="109" t="s">
        <v>1385</v>
      </c>
      <c r="C338" s="214" t="s">
        <v>401</v>
      </c>
      <c r="D338" s="163" t="s">
        <v>3650</v>
      </c>
      <c r="E338" s="170">
        <v>400</v>
      </c>
      <c r="F338" s="171">
        <v>400</v>
      </c>
      <c r="G338" s="184">
        <v>395</v>
      </c>
      <c r="H338" s="205">
        <v>400</v>
      </c>
      <c r="I338" s="171">
        <v>400</v>
      </c>
      <c r="J338" s="184">
        <v>395</v>
      </c>
      <c r="K338" s="205">
        <v>400</v>
      </c>
      <c r="L338" s="171">
        <v>400</v>
      </c>
      <c r="M338" s="184">
        <v>395</v>
      </c>
      <c r="N338" s="205">
        <v>400</v>
      </c>
      <c r="O338" s="171">
        <v>400</v>
      </c>
      <c r="P338" s="207">
        <v>395</v>
      </c>
      <c r="Q338" s="205">
        <v>400</v>
      </c>
      <c r="R338" s="206">
        <v>400</v>
      </c>
      <c r="S338" s="207">
        <v>395</v>
      </c>
      <c r="T338" s="205">
        <v>400</v>
      </c>
      <c r="U338" s="206">
        <v>400</v>
      </c>
      <c r="V338" s="207">
        <v>395</v>
      </c>
      <c r="W338" s="205">
        <v>400</v>
      </c>
      <c r="X338" s="206">
        <v>400</v>
      </c>
      <c r="Y338" s="207">
        <v>395</v>
      </c>
      <c r="Z338" s="205">
        <v>400</v>
      </c>
      <c r="AA338" s="206">
        <v>400</v>
      </c>
      <c r="AB338" s="207">
        <v>395</v>
      </c>
      <c r="AC338" s="205">
        <v>400</v>
      </c>
      <c r="AD338" s="206">
        <v>400</v>
      </c>
      <c r="AE338" s="207">
        <v>395</v>
      </c>
      <c r="AF338" s="205">
        <v>400</v>
      </c>
      <c r="AG338" s="206">
        <v>400</v>
      </c>
      <c r="AH338" s="207">
        <v>395</v>
      </c>
      <c r="AI338" s="132" t="s">
        <v>3649</v>
      </c>
      <c r="AJ338" s="194" t="s">
        <v>1429</v>
      </c>
      <c r="AK338" s="132" t="s">
        <v>1388</v>
      </c>
      <c r="AL338" s="213">
        <v>1</v>
      </c>
      <c r="AM338" s="212"/>
      <c r="AN338" s="211">
        <v>400</v>
      </c>
      <c r="AO338" s="212"/>
      <c r="AP338" s="194" t="s">
        <v>27</v>
      </c>
      <c r="AQ338" s="193" t="s">
        <v>1407</v>
      </c>
      <c r="AR338" s="210" t="s">
        <v>3651</v>
      </c>
      <c r="AS338" s="209" t="s">
        <v>1457</v>
      </c>
      <c r="AT338" s="175"/>
      <c r="AU338" s="65" t="s">
        <v>27</v>
      </c>
      <c r="AV338" s="163" t="s">
        <v>1388</v>
      </c>
      <c r="AW338" s="65">
        <v>2011</v>
      </c>
      <c r="AX338" s="196">
        <v>44672.485578703701</v>
      </c>
    </row>
    <row r="339" spans="1:50">
      <c r="A339" s="124" t="s">
        <v>46</v>
      </c>
      <c r="B339" s="109" t="s">
        <v>1320</v>
      </c>
      <c r="C339" s="214" t="s">
        <v>796</v>
      </c>
      <c r="D339" s="163" t="s">
        <v>3661</v>
      </c>
      <c r="E339" s="170">
        <v>20</v>
      </c>
      <c r="F339" s="171">
        <v>20</v>
      </c>
      <c r="G339" s="184">
        <v>20</v>
      </c>
      <c r="H339" s="205">
        <v>20</v>
      </c>
      <c r="I339" s="171">
        <v>20</v>
      </c>
      <c r="J339" s="184">
        <v>20</v>
      </c>
      <c r="K339" s="205">
        <v>20</v>
      </c>
      <c r="L339" s="171">
        <v>20</v>
      </c>
      <c r="M339" s="184">
        <v>20</v>
      </c>
      <c r="N339" s="205">
        <v>20</v>
      </c>
      <c r="O339" s="171">
        <v>20</v>
      </c>
      <c r="P339" s="207">
        <v>20</v>
      </c>
      <c r="Q339" s="205">
        <v>20</v>
      </c>
      <c r="R339" s="206">
        <v>20</v>
      </c>
      <c r="S339" s="207">
        <v>20</v>
      </c>
      <c r="T339" s="205">
        <v>20</v>
      </c>
      <c r="U339" s="206">
        <v>20</v>
      </c>
      <c r="V339" s="207">
        <v>20</v>
      </c>
      <c r="W339" s="205">
        <v>20</v>
      </c>
      <c r="X339" s="206">
        <v>20</v>
      </c>
      <c r="Y339" s="207">
        <v>20</v>
      </c>
      <c r="Z339" s="205">
        <v>20</v>
      </c>
      <c r="AA339" s="206">
        <v>20</v>
      </c>
      <c r="AB339" s="207">
        <v>20</v>
      </c>
      <c r="AC339" s="205">
        <v>20</v>
      </c>
      <c r="AD339" s="206">
        <v>20</v>
      </c>
      <c r="AE339" s="207">
        <v>20</v>
      </c>
      <c r="AF339" s="205">
        <v>20</v>
      </c>
      <c r="AG339" s="206">
        <v>20</v>
      </c>
      <c r="AH339" s="207">
        <v>20</v>
      </c>
      <c r="AI339" s="132" t="s">
        <v>3660</v>
      </c>
      <c r="AJ339" s="194" t="s">
        <v>1398</v>
      </c>
      <c r="AK339" s="132" t="s">
        <v>1388</v>
      </c>
      <c r="AL339" s="213">
        <v>8</v>
      </c>
      <c r="AM339" s="212"/>
      <c r="AN339" s="211">
        <v>20</v>
      </c>
      <c r="AO339" s="212"/>
      <c r="AP339" s="194" t="s">
        <v>55</v>
      </c>
      <c r="AQ339" s="193" t="s">
        <v>1407</v>
      </c>
      <c r="AR339" s="210"/>
      <c r="AS339" s="209" t="s">
        <v>1769</v>
      </c>
      <c r="AT339" s="175"/>
      <c r="AU339" s="65" t="s">
        <v>25</v>
      </c>
      <c r="AV339" s="163" t="s">
        <v>1388</v>
      </c>
      <c r="AW339" s="65">
        <v>1662</v>
      </c>
      <c r="AX339" s="196">
        <v>44658.651655092595</v>
      </c>
    </row>
    <row r="340" spans="1:50">
      <c r="A340" s="124" t="s">
        <v>46</v>
      </c>
      <c r="B340" s="109" t="s">
        <v>1320</v>
      </c>
      <c r="C340" s="214" t="s">
        <v>3662</v>
      </c>
      <c r="D340" s="163" t="s">
        <v>3664</v>
      </c>
      <c r="E340" s="170">
        <v>172.48</v>
      </c>
      <c r="F340" s="171">
        <v>172.48</v>
      </c>
      <c r="G340" s="184">
        <v>0</v>
      </c>
      <c r="H340" s="205">
        <v>172.48</v>
      </c>
      <c r="I340" s="171">
        <v>172.48</v>
      </c>
      <c r="J340" s="184">
        <v>0</v>
      </c>
      <c r="K340" s="205">
        <v>172.48</v>
      </c>
      <c r="L340" s="171">
        <v>172.48</v>
      </c>
      <c r="M340" s="184">
        <v>0</v>
      </c>
      <c r="N340" s="205">
        <v>172.48</v>
      </c>
      <c r="O340" s="171">
        <v>172.48</v>
      </c>
      <c r="P340" s="207">
        <v>0</v>
      </c>
      <c r="Q340" s="205">
        <v>172.48</v>
      </c>
      <c r="R340" s="206">
        <v>172.48</v>
      </c>
      <c r="S340" s="207">
        <v>0</v>
      </c>
      <c r="T340" s="205">
        <v>172.48</v>
      </c>
      <c r="U340" s="206">
        <v>172.48</v>
      </c>
      <c r="V340" s="207">
        <v>0</v>
      </c>
      <c r="W340" s="205">
        <v>172.48</v>
      </c>
      <c r="X340" s="206">
        <v>172.48</v>
      </c>
      <c r="Y340" s="207">
        <v>0</v>
      </c>
      <c r="Z340" s="205">
        <v>172.48</v>
      </c>
      <c r="AA340" s="206">
        <v>172.48</v>
      </c>
      <c r="AB340" s="207">
        <v>0</v>
      </c>
      <c r="AC340" s="205">
        <v>172.48</v>
      </c>
      <c r="AD340" s="206">
        <v>172.48</v>
      </c>
      <c r="AE340" s="207">
        <v>0</v>
      </c>
      <c r="AF340" s="205">
        <v>172.48</v>
      </c>
      <c r="AG340" s="206">
        <v>172.48</v>
      </c>
      <c r="AH340" s="207">
        <v>0</v>
      </c>
      <c r="AI340" s="132" t="s">
        <v>3663</v>
      </c>
      <c r="AJ340" s="194" t="s">
        <v>1419</v>
      </c>
      <c r="AK340" s="132" t="s">
        <v>17</v>
      </c>
      <c r="AL340" s="213">
        <v>70</v>
      </c>
      <c r="AM340" s="212"/>
      <c r="AN340" s="211">
        <v>172.48</v>
      </c>
      <c r="AO340" s="212"/>
      <c r="AP340" s="194" t="s">
        <v>55</v>
      </c>
      <c r="AQ340" s="193" t="s">
        <v>1407</v>
      </c>
      <c r="AR340" s="210"/>
      <c r="AS340" s="209" t="s">
        <v>1959</v>
      </c>
      <c r="AT340" s="175"/>
      <c r="AU340" s="65" t="s">
        <v>25</v>
      </c>
      <c r="AV340" s="163" t="s">
        <v>17</v>
      </c>
      <c r="AW340" s="65">
        <v>1277</v>
      </c>
      <c r="AX340" s="196">
        <v>44747.710659722223</v>
      </c>
    </row>
    <row r="341" spans="1:50">
      <c r="A341" s="124" t="s">
        <v>62</v>
      </c>
      <c r="B341" s="109" t="s">
        <v>1320</v>
      </c>
      <c r="C341" s="214" t="s">
        <v>873</v>
      </c>
      <c r="D341" s="163" t="s">
        <v>3669</v>
      </c>
      <c r="E341" s="170">
        <v>56.005000000000003</v>
      </c>
      <c r="F341" s="171">
        <v>54.901000000000003</v>
      </c>
      <c r="G341" s="184">
        <v>54.119000000000007</v>
      </c>
      <c r="H341" s="205">
        <v>56.005000000000003</v>
      </c>
      <c r="I341" s="171">
        <v>54.901000000000003</v>
      </c>
      <c r="J341" s="184">
        <v>54.119000000000007</v>
      </c>
      <c r="K341" s="205">
        <v>56.005000000000003</v>
      </c>
      <c r="L341" s="171">
        <v>54.901000000000003</v>
      </c>
      <c r="M341" s="184">
        <v>54.119000000000007</v>
      </c>
      <c r="N341" s="205">
        <v>56.005000000000003</v>
      </c>
      <c r="O341" s="171">
        <v>54.901000000000003</v>
      </c>
      <c r="P341" s="207">
        <v>54.119000000000007</v>
      </c>
      <c r="Q341" s="205">
        <v>56.005000000000003</v>
      </c>
      <c r="R341" s="206">
        <v>54.901000000000003</v>
      </c>
      <c r="S341" s="207">
        <v>54.119000000000007</v>
      </c>
      <c r="T341" s="205">
        <v>56.005000000000003</v>
      </c>
      <c r="U341" s="206">
        <v>54.901000000000003</v>
      </c>
      <c r="V341" s="207">
        <v>54.119000000000007</v>
      </c>
      <c r="W341" s="205">
        <v>56.005000000000003</v>
      </c>
      <c r="X341" s="206">
        <v>54.901000000000003</v>
      </c>
      <c r="Y341" s="207">
        <v>54.119000000000007</v>
      </c>
      <c r="Z341" s="205">
        <v>56.005000000000003</v>
      </c>
      <c r="AA341" s="206">
        <v>54.901000000000003</v>
      </c>
      <c r="AB341" s="207">
        <v>54.119000000000007</v>
      </c>
      <c r="AC341" s="205">
        <v>56.005000000000003</v>
      </c>
      <c r="AD341" s="206">
        <v>54.901000000000003</v>
      </c>
      <c r="AE341" s="207">
        <v>54.119000000000007</v>
      </c>
      <c r="AF341" s="205">
        <v>56.005000000000003</v>
      </c>
      <c r="AG341" s="206">
        <v>54.901000000000003</v>
      </c>
      <c r="AH341" s="207">
        <v>54.119000000000007</v>
      </c>
      <c r="AI341" s="132" t="s">
        <v>3668</v>
      </c>
      <c r="AJ341" s="194" t="s">
        <v>1429</v>
      </c>
      <c r="AK341" s="132" t="s">
        <v>1388</v>
      </c>
      <c r="AL341" s="213">
        <v>23</v>
      </c>
      <c r="AM341" s="212"/>
      <c r="AN341" s="211">
        <v>57.5</v>
      </c>
      <c r="AO341" s="212"/>
      <c r="AP341" s="194" t="s">
        <v>55</v>
      </c>
      <c r="AQ341" s="193" t="s">
        <v>1407</v>
      </c>
      <c r="AR341" s="210"/>
      <c r="AS341" s="209" t="s">
        <v>1452</v>
      </c>
      <c r="AT341" s="175"/>
      <c r="AU341" s="65" t="s">
        <v>25</v>
      </c>
      <c r="AV341" s="163" t="s">
        <v>1388</v>
      </c>
      <c r="AW341" s="65">
        <v>1407</v>
      </c>
      <c r="AX341" s="196">
        <v>44671.443807870368</v>
      </c>
    </row>
    <row r="342" spans="1:50">
      <c r="A342" s="124" t="s">
        <v>80</v>
      </c>
      <c r="B342" s="109" t="s">
        <v>1320</v>
      </c>
      <c r="C342" s="214" t="s">
        <v>520</v>
      </c>
      <c r="D342" s="163" t="s">
        <v>522</v>
      </c>
      <c r="E342" s="170">
        <v>119.36</v>
      </c>
      <c r="F342" s="171">
        <v>119.36</v>
      </c>
      <c r="G342" s="184">
        <v>0</v>
      </c>
      <c r="H342" s="205">
        <v>119.36</v>
      </c>
      <c r="I342" s="171">
        <v>119.36</v>
      </c>
      <c r="J342" s="184">
        <v>0</v>
      </c>
      <c r="K342" s="205">
        <v>119.36</v>
      </c>
      <c r="L342" s="171">
        <v>119.36</v>
      </c>
      <c r="M342" s="184">
        <v>0</v>
      </c>
      <c r="N342" s="205">
        <v>119.36</v>
      </c>
      <c r="O342" s="171">
        <v>119.36</v>
      </c>
      <c r="P342" s="207">
        <v>0</v>
      </c>
      <c r="Q342" s="205">
        <v>119.36</v>
      </c>
      <c r="R342" s="206">
        <v>119.36</v>
      </c>
      <c r="S342" s="207">
        <v>0</v>
      </c>
      <c r="T342" s="205">
        <v>119.36</v>
      </c>
      <c r="U342" s="206">
        <v>119.36</v>
      </c>
      <c r="V342" s="207">
        <v>0</v>
      </c>
      <c r="W342" s="205">
        <v>119.36</v>
      </c>
      <c r="X342" s="206">
        <v>119.36</v>
      </c>
      <c r="Y342" s="207">
        <v>0</v>
      </c>
      <c r="Z342" s="205">
        <v>119.36</v>
      </c>
      <c r="AA342" s="206">
        <v>119.36</v>
      </c>
      <c r="AB342" s="207">
        <v>0</v>
      </c>
      <c r="AC342" s="205">
        <v>119.36</v>
      </c>
      <c r="AD342" s="206">
        <v>119.36</v>
      </c>
      <c r="AE342" s="207">
        <v>0</v>
      </c>
      <c r="AF342" s="205">
        <v>119.36</v>
      </c>
      <c r="AG342" s="206">
        <v>119.36</v>
      </c>
      <c r="AH342" s="207">
        <v>0</v>
      </c>
      <c r="AI342" s="132" t="s">
        <v>521</v>
      </c>
      <c r="AJ342" s="194" t="s">
        <v>1419</v>
      </c>
      <c r="AK342" s="132" t="s">
        <v>17</v>
      </c>
      <c r="AL342" s="213">
        <v>32</v>
      </c>
      <c r="AM342" s="212"/>
      <c r="AN342" s="211">
        <v>119.36</v>
      </c>
      <c r="AO342" s="212"/>
      <c r="AP342" s="194" t="s">
        <v>55</v>
      </c>
      <c r="AQ342" s="193" t="s">
        <v>1407</v>
      </c>
      <c r="AR342" s="210"/>
      <c r="AS342" s="209" t="s">
        <v>1769</v>
      </c>
      <c r="AT342" s="175"/>
      <c r="AU342" s="65" t="s">
        <v>25</v>
      </c>
      <c r="AV342" s="163" t="s">
        <v>17</v>
      </c>
      <c r="AW342" s="65">
        <v>1231</v>
      </c>
      <c r="AX342" s="196">
        <v>44671.311030092591</v>
      </c>
    </row>
    <row r="343" spans="1:50">
      <c r="A343" s="124" t="s">
        <v>100</v>
      </c>
      <c r="B343" s="109" t="s">
        <v>1320</v>
      </c>
      <c r="C343" s="214" t="s">
        <v>111</v>
      </c>
      <c r="D343" s="163" t="s">
        <v>113</v>
      </c>
      <c r="E343" s="170">
        <v>85</v>
      </c>
      <c r="F343" s="171">
        <v>85</v>
      </c>
      <c r="G343" s="184">
        <v>84.99</v>
      </c>
      <c r="H343" s="205">
        <v>85</v>
      </c>
      <c r="I343" s="171">
        <v>85</v>
      </c>
      <c r="J343" s="184">
        <v>84.99</v>
      </c>
      <c r="K343" s="205">
        <v>85</v>
      </c>
      <c r="L343" s="171">
        <v>85</v>
      </c>
      <c r="M343" s="184">
        <v>84.99</v>
      </c>
      <c r="N343" s="205">
        <v>85</v>
      </c>
      <c r="O343" s="171">
        <v>85</v>
      </c>
      <c r="P343" s="207">
        <v>84.99</v>
      </c>
      <c r="Q343" s="205">
        <v>85</v>
      </c>
      <c r="R343" s="206">
        <v>85</v>
      </c>
      <c r="S343" s="207">
        <v>84.99</v>
      </c>
      <c r="T343" s="205">
        <v>85</v>
      </c>
      <c r="U343" s="206">
        <v>85</v>
      </c>
      <c r="V343" s="207">
        <v>84.99</v>
      </c>
      <c r="W343" s="205">
        <v>85</v>
      </c>
      <c r="X343" s="206">
        <v>85</v>
      </c>
      <c r="Y343" s="207">
        <v>84.99</v>
      </c>
      <c r="Z343" s="205">
        <v>85</v>
      </c>
      <c r="AA343" s="206">
        <v>85</v>
      </c>
      <c r="AB343" s="207">
        <v>84.99</v>
      </c>
      <c r="AC343" s="205">
        <v>85</v>
      </c>
      <c r="AD343" s="206">
        <v>85</v>
      </c>
      <c r="AE343" s="207">
        <v>84.99</v>
      </c>
      <c r="AF343" s="205">
        <v>85</v>
      </c>
      <c r="AG343" s="206">
        <v>85</v>
      </c>
      <c r="AH343" s="207">
        <v>84.99</v>
      </c>
      <c r="AI343" s="132" t="s">
        <v>112</v>
      </c>
      <c r="AJ343" s="194" t="s">
        <v>1429</v>
      </c>
      <c r="AK343" s="132" t="s">
        <v>1388</v>
      </c>
      <c r="AL343" s="213">
        <v>1</v>
      </c>
      <c r="AM343" s="212"/>
      <c r="AN343" s="211">
        <v>85</v>
      </c>
      <c r="AO343" s="212"/>
      <c r="AP343" s="194" t="s">
        <v>55</v>
      </c>
      <c r="AQ343" s="193" t="s">
        <v>1407</v>
      </c>
      <c r="AR343" s="210" t="s">
        <v>1453</v>
      </c>
      <c r="AS343" s="209" t="s">
        <v>1744</v>
      </c>
      <c r="AT343" s="175"/>
      <c r="AU343" s="65" t="s">
        <v>25</v>
      </c>
      <c r="AV343" s="163" t="s">
        <v>1388</v>
      </c>
      <c r="AW343" s="65">
        <v>1674</v>
      </c>
      <c r="AX343" s="196">
        <v>44671.514456018522</v>
      </c>
    </row>
    <row r="344" spans="1:50">
      <c r="A344" s="124" t="s">
        <v>62</v>
      </c>
      <c r="B344" s="109" t="s">
        <v>1320</v>
      </c>
      <c r="C344" s="214" t="s">
        <v>3704</v>
      </c>
      <c r="D344" s="163" t="s">
        <v>3705</v>
      </c>
      <c r="E344" s="170">
        <v>285</v>
      </c>
      <c r="F344" s="171">
        <v>285</v>
      </c>
      <c r="G344" s="184">
        <v>285</v>
      </c>
      <c r="H344" s="205">
        <v>285</v>
      </c>
      <c r="I344" s="171">
        <v>285</v>
      </c>
      <c r="J344" s="184">
        <v>285</v>
      </c>
      <c r="K344" s="205">
        <v>285</v>
      </c>
      <c r="L344" s="171">
        <v>285</v>
      </c>
      <c r="M344" s="184">
        <v>285</v>
      </c>
      <c r="N344" s="205">
        <v>285</v>
      </c>
      <c r="O344" s="171">
        <v>285</v>
      </c>
      <c r="P344" s="207">
        <v>285</v>
      </c>
      <c r="Q344" s="205">
        <v>285</v>
      </c>
      <c r="R344" s="206">
        <v>285</v>
      </c>
      <c r="S344" s="207">
        <v>285</v>
      </c>
      <c r="T344" s="205">
        <v>285</v>
      </c>
      <c r="U344" s="206">
        <v>285</v>
      </c>
      <c r="V344" s="207">
        <v>285</v>
      </c>
      <c r="W344" s="205">
        <v>285</v>
      </c>
      <c r="X344" s="206">
        <v>285</v>
      </c>
      <c r="Y344" s="207">
        <v>285</v>
      </c>
      <c r="Z344" s="205">
        <v>285</v>
      </c>
      <c r="AA344" s="206">
        <v>285</v>
      </c>
      <c r="AB344" s="207">
        <v>285</v>
      </c>
      <c r="AC344" s="205">
        <v>285</v>
      </c>
      <c r="AD344" s="206">
        <v>285</v>
      </c>
      <c r="AE344" s="207">
        <v>285</v>
      </c>
      <c r="AF344" s="205">
        <v>285</v>
      </c>
      <c r="AG344" s="206">
        <v>285</v>
      </c>
      <c r="AH344" s="207">
        <v>285</v>
      </c>
      <c r="AI344" s="132" t="s">
        <v>1568</v>
      </c>
      <c r="AJ344" s="194" t="s">
        <v>1469</v>
      </c>
      <c r="AK344" s="132" t="s">
        <v>18</v>
      </c>
      <c r="AL344" s="213">
        <v>1</v>
      </c>
      <c r="AM344" s="212"/>
      <c r="AN344" s="211">
        <v>285</v>
      </c>
      <c r="AO344" s="212">
        <v>2500</v>
      </c>
      <c r="AP344" s="194" t="s">
        <v>55</v>
      </c>
      <c r="AQ344" s="193" t="s">
        <v>1403</v>
      </c>
      <c r="AR344" s="210"/>
      <c r="AS344" s="209" t="s">
        <v>2958</v>
      </c>
      <c r="AT344" s="175"/>
      <c r="AU344" s="65" t="s">
        <v>25</v>
      </c>
      <c r="AV344" s="163" t="s">
        <v>18</v>
      </c>
      <c r="AW344" s="65">
        <v>1235</v>
      </c>
      <c r="AX344" s="196">
        <v>44747.470173611109</v>
      </c>
    </row>
    <row r="345" spans="1:50">
      <c r="A345" s="124" t="s">
        <v>62</v>
      </c>
      <c r="B345" s="109" t="s">
        <v>1320</v>
      </c>
      <c r="C345" s="214" t="s">
        <v>3704</v>
      </c>
      <c r="D345" s="163" t="s">
        <v>3706</v>
      </c>
      <c r="E345" s="170">
        <v>285</v>
      </c>
      <c r="F345" s="171">
        <v>285</v>
      </c>
      <c r="G345" s="184">
        <v>285</v>
      </c>
      <c r="H345" s="205">
        <v>285</v>
      </c>
      <c r="I345" s="171">
        <v>285</v>
      </c>
      <c r="J345" s="184">
        <v>285</v>
      </c>
      <c r="K345" s="205">
        <v>285</v>
      </c>
      <c r="L345" s="171">
        <v>285</v>
      </c>
      <c r="M345" s="184">
        <v>285</v>
      </c>
      <c r="N345" s="205">
        <v>285</v>
      </c>
      <c r="O345" s="171">
        <v>285</v>
      </c>
      <c r="P345" s="207">
        <v>285</v>
      </c>
      <c r="Q345" s="205">
        <v>285</v>
      </c>
      <c r="R345" s="206">
        <v>285</v>
      </c>
      <c r="S345" s="207">
        <v>285</v>
      </c>
      <c r="T345" s="205">
        <v>285</v>
      </c>
      <c r="U345" s="206">
        <v>285</v>
      </c>
      <c r="V345" s="207">
        <v>285</v>
      </c>
      <c r="W345" s="205">
        <v>285</v>
      </c>
      <c r="X345" s="206">
        <v>285</v>
      </c>
      <c r="Y345" s="207">
        <v>285</v>
      </c>
      <c r="Z345" s="205">
        <v>285</v>
      </c>
      <c r="AA345" s="206">
        <v>285</v>
      </c>
      <c r="AB345" s="207">
        <v>285</v>
      </c>
      <c r="AC345" s="205">
        <v>285</v>
      </c>
      <c r="AD345" s="206">
        <v>285</v>
      </c>
      <c r="AE345" s="207">
        <v>285</v>
      </c>
      <c r="AF345" s="205">
        <v>285</v>
      </c>
      <c r="AG345" s="206">
        <v>285</v>
      </c>
      <c r="AH345" s="207">
        <v>285</v>
      </c>
      <c r="AI345" s="132" t="s">
        <v>1568</v>
      </c>
      <c r="AJ345" s="194" t="s">
        <v>1469</v>
      </c>
      <c r="AK345" s="132" t="s">
        <v>18</v>
      </c>
      <c r="AL345" s="213">
        <v>1</v>
      </c>
      <c r="AM345" s="212"/>
      <c r="AN345" s="211">
        <v>285</v>
      </c>
      <c r="AO345" s="212">
        <v>2500</v>
      </c>
      <c r="AP345" s="194" t="s">
        <v>55</v>
      </c>
      <c r="AQ345" s="193" t="s">
        <v>1403</v>
      </c>
      <c r="AR345" s="210"/>
      <c r="AS345" s="209" t="s">
        <v>2958</v>
      </c>
      <c r="AT345" s="175"/>
      <c r="AU345" s="65" t="s">
        <v>25</v>
      </c>
      <c r="AV345" s="163" t="s">
        <v>18</v>
      </c>
      <c r="AW345" s="65">
        <v>1235</v>
      </c>
      <c r="AX345" s="196">
        <v>44747.470173611109</v>
      </c>
    </row>
    <row r="346" spans="1:50">
      <c r="A346" s="124" t="s">
        <v>46</v>
      </c>
      <c r="B346" s="109" t="s">
        <v>1385</v>
      </c>
      <c r="C346" s="214" t="s">
        <v>118</v>
      </c>
      <c r="D346" s="163" t="s">
        <v>208</v>
      </c>
      <c r="E346" s="170">
        <v>0</v>
      </c>
      <c r="F346" s="171">
        <v>0</v>
      </c>
      <c r="G346" s="184">
        <v>0</v>
      </c>
      <c r="H346" s="205">
        <v>280</v>
      </c>
      <c r="I346" s="171">
        <v>280</v>
      </c>
      <c r="J346" s="184">
        <v>280</v>
      </c>
      <c r="K346" s="205">
        <v>280</v>
      </c>
      <c r="L346" s="171">
        <v>280</v>
      </c>
      <c r="M346" s="184">
        <v>280</v>
      </c>
      <c r="N346" s="205">
        <v>280</v>
      </c>
      <c r="O346" s="171">
        <v>280</v>
      </c>
      <c r="P346" s="207">
        <v>280</v>
      </c>
      <c r="Q346" s="205">
        <v>280</v>
      </c>
      <c r="R346" s="206">
        <v>280</v>
      </c>
      <c r="S346" s="207">
        <v>280</v>
      </c>
      <c r="T346" s="205">
        <v>280</v>
      </c>
      <c r="U346" s="206">
        <v>280</v>
      </c>
      <c r="V346" s="207">
        <v>280</v>
      </c>
      <c r="W346" s="205">
        <v>280</v>
      </c>
      <c r="X346" s="206">
        <v>280</v>
      </c>
      <c r="Y346" s="207">
        <v>280</v>
      </c>
      <c r="Z346" s="205">
        <v>280</v>
      </c>
      <c r="AA346" s="206">
        <v>280</v>
      </c>
      <c r="AB346" s="207">
        <v>280</v>
      </c>
      <c r="AC346" s="205">
        <v>280</v>
      </c>
      <c r="AD346" s="206">
        <v>280</v>
      </c>
      <c r="AE346" s="207">
        <v>280</v>
      </c>
      <c r="AF346" s="205">
        <v>280</v>
      </c>
      <c r="AG346" s="206">
        <v>280</v>
      </c>
      <c r="AH346" s="207">
        <v>280</v>
      </c>
      <c r="AI346" s="132" t="s">
        <v>119</v>
      </c>
      <c r="AJ346" s="194" t="s">
        <v>1429</v>
      </c>
      <c r="AK346" s="132" t="s">
        <v>1388</v>
      </c>
      <c r="AL346" s="213">
        <v>1</v>
      </c>
      <c r="AM346" s="212"/>
      <c r="AN346" s="211">
        <v>280</v>
      </c>
      <c r="AO346" s="212"/>
      <c r="AP346" s="194" t="s">
        <v>27</v>
      </c>
      <c r="AQ346" s="193" t="s">
        <v>1407</v>
      </c>
      <c r="AR346" s="210" t="s">
        <v>2578</v>
      </c>
      <c r="AS346" s="209" t="s">
        <v>1700</v>
      </c>
      <c r="AT346" s="175"/>
      <c r="AU346" s="65" t="s">
        <v>27</v>
      </c>
      <c r="AV346" s="163" t="s">
        <v>1388</v>
      </c>
      <c r="AW346" s="65">
        <v>1716</v>
      </c>
      <c r="AX346" s="196">
        <v>44747.387395833335</v>
      </c>
    </row>
    <row r="347" spans="1:50">
      <c r="A347" s="124" t="s">
        <v>46</v>
      </c>
      <c r="B347" s="109" t="s">
        <v>1320</v>
      </c>
      <c r="C347" s="214" t="s">
        <v>3727</v>
      </c>
      <c r="D347" s="163" t="s">
        <v>3729</v>
      </c>
      <c r="E347" s="170">
        <v>48.300000000000004</v>
      </c>
      <c r="F347" s="171">
        <v>48.300000000000004</v>
      </c>
      <c r="G347" s="184">
        <v>48.300000000000004</v>
      </c>
      <c r="H347" s="170">
        <v>48.300000000000004</v>
      </c>
      <c r="I347" s="171">
        <v>48.300000000000004</v>
      </c>
      <c r="J347" s="184">
        <v>48.300000000000004</v>
      </c>
      <c r="K347" s="170">
        <v>48.300000000000004</v>
      </c>
      <c r="L347" s="171">
        <v>48.300000000000004</v>
      </c>
      <c r="M347" s="184">
        <v>48.300000000000004</v>
      </c>
      <c r="N347" s="170">
        <v>48.300000000000004</v>
      </c>
      <c r="O347" s="171">
        <v>48.300000000000004</v>
      </c>
      <c r="P347" s="184">
        <v>48.300000000000004</v>
      </c>
      <c r="Q347" s="170">
        <v>48.300000000000004</v>
      </c>
      <c r="R347" s="171">
        <v>48.300000000000004</v>
      </c>
      <c r="S347" s="184">
        <v>48.300000000000004</v>
      </c>
      <c r="T347" s="170">
        <v>48.300000000000004</v>
      </c>
      <c r="U347" s="171">
        <v>48.300000000000004</v>
      </c>
      <c r="V347" s="184">
        <v>48.300000000000004</v>
      </c>
      <c r="W347" s="170">
        <v>48.300000000000004</v>
      </c>
      <c r="X347" s="171">
        <v>48.300000000000004</v>
      </c>
      <c r="Y347" s="184">
        <v>48.300000000000004</v>
      </c>
      <c r="Z347" s="170">
        <v>48.300000000000004</v>
      </c>
      <c r="AA347" s="171">
        <v>48.300000000000004</v>
      </c>
      <c r="AB347" s="184">
        <v>48.300000000000004</v>
      </c>
      <c r="AC347" s="170">
        <v>48.300000000000004</v>
      </c>
      <c r="AD347" s="171">
        <v>48.300000000000004</v>
      </c>
      <c r="AE347" s="184">
        <v>48.300000000000004</v>
      </c>
      <c r="AF347" s="170">
        <v>48.300000000000004</v>
      </c>
      <c r="AG347" s="171">
        <v>48.300000000000004</v>
      </c>
      <c r="AH347" s="184">
        <v>48.300000000000004</v>
      </c>
      <c r="AI347" s="65" t="s">
        <v>3728</v>
      </c>
      <c r="AJ347" s="163" t="s">
        <v>1419</v>
      </c>
      <c r="AK347" s="65" t="s">
        <v>17</v>
      </c>
      <c r="AL347" s="176">
        <v>23</v>
      </c>
      <c r="AM347" s="159"/>
      <c r="AN347" s="172">
        <v>48.300000000000004</v>
      </c>
      <c r="AO347" s="159"/>
      <c r="AP347" s="163" t="s">
        <v>55</v>
      </c>
      <c r="AQ347" s="109" t="s">
        <v>1407</v>
      </c>
      <c r="AR347" s="173"/>
      <c r="AS347" s="174" t="s">
        <v>1405</v>
      </c>
      <c r="AT347" s="175"/>
      <c r="AU347" s="65" t="s">
        <v>25</v>
      </c>
      <c r="AV347" s="163" t="s">
        <v>17</v>
      </c>
      <c r="AW347" s="65">
        <v>1240</v>
      </c>
      <c r="AX347" s="196">
        <v>44671.315578703703</v>
      </c>
    </row>
    <row r="348" spans="1:50">
      <c r="A348" s="124" t="s">
        <v>62</v>
      </c>
      <c r="B348" s="109" t="s">
        <v>1385</v>
      </c>
      <c r="C348" s="214" t="s">
        <v>305</v>
      </c>
      <c r="D348" s="163" t="s">
        <v>208</v>
      </c>
      <c r="E348" s="170">
        <v>175.953</v>
      </c>
      <c r="F348" s="171">
        <v>175.953</v>
      </c>
      <c r="G348" s="184">
        <v>157.53</v>
      </c>
      <c r="H348" s="170">
        <v>175.953</v>
      </c>
      <c r="I348" s="171">
        <v>175.953</v>
      </c>
      <c r="J348" s="184">
        <v>157.53</v>
      </c>
      <c r="K348" s="170">
        <v>175.953</v>
      </c>
      <c r="L348" s="171">
        <v>175.953</v>
      </c>
      <c r="M348" s="184">
        <v>157.53</v>
      </c>
      <c r="N348" s="170">
        <v>175.953</v>
      </c>
      <c r="O348" s="171">
        <v>175.953</v>
      </c>
      <c r="P348" s="207">
        <v>157.53</v>
      </c>
      <c r="Q348" s="205">
        <v>175.953</v>
      </c>
      <c r="R348" s="206">
        <v>175.953</v>
      </c>
      <c r="S348" s="207">
        <v>157.53</v>
      </c>
      <c r="T348" s="205">
        <v>175.953</v>
      </c>
      <c r="U348" s="206">
        <v>175.953</v>
      </c>
      <c r="V348" s="207">
        <v>157.53</v>
      </c>
      <c r="W348" s="205">
        <v>175.953</v>
      </c>
      <c r="X348" s="206">
        <v>175.953</v>
      </c>
      <c r="Y348" s="207">
        <v>157.53</v>
      </c>
      <c r="Z348" s="205">
        <v>175.953</v>
      </c>
      <c r="AA348" s="206">
        <v>175.953</v>
      </c>
      <c r="AB348" s="207">
        <v>157.53</v>
      </c>
      <c r="AC348" s="205">
        <v>175.953</v>
      </c>
      <c r="AD348" s="206">
        <v>175.953</v>
      </c>
      <c r="AE348" s="207">
        <v>157.53</v>
      </c>
      <c r="AF348" s="205">
        <v>175.953</v>
      </c>
      <c r="AG348" s="206">
        <v>175.953</v>
      </c>
      <c r="AH348" s="207">
        <v>157.53</v>
      </c>
      <c r="AI348" s="132" t="s">
        <v>306</v>
      </c>
      <c r="AJ348" s="194" t="s">
        <v>1429</v>
      </c>
      <c r="AK348" s="132" t="s">
        <v>1388</v>
      </c>
      <c r="AL348" s="213">
        <v>89</v>
      </c>
      <c r="AM348" s="212"/>
      <c r="AN348" s="211">
        <v>222.5</v>
      </c>
      <c r="AO348" s="212"/>
      <c r="AP348" s="194" t="s">
        <v>27</v>
      </c>
      <c r="AQ348" s="193" t="s">
        <v>1407</v>
      </c>
      <c r="AR348" s="210" t="s">
        <v>1537</v>
      </c>
      <c r="AS348" s="209"/>
      <c r="AT348" s="175"/>
      <c r="AU348" s="65" t="s">
        <v>27</v>
      </c>
      <c r="AV348" s="163" t="s">
        <v>1388</v>
      </c>
      <c r="AW348" s="65">
        <v>1672</v>
      </c>
      <c r="AX348" s="196">
        <v>44726.498101851852</v>
      </c>
    </row>
    <row r="349" spans="1:50">
      <c r="A349" s="124" t="s">
        <v>46</v>
      </c>
      <c r="B349" s="109" t="s">
        <v>1385</v>
      </c>
      <c r="C349" s="214" t="s">
        <v>190</v>
      </c>
      <c r="D349" s="163" t="s">
        <v>208</v>
      </c>
      <c r="E349" s="170">
        <v>0</v>
      </c>
      <c r="F349" s="171">
        <v>10.602</v>
      </c>
      <c r="G349" s="184">
        <v>10.602</v>
      </c>
      <c r="H349" s="170">
        <v>53.01</v>
      </c>
      <c r="I349" s="171">
        <v>53.01</v>
      </c>
      <c r="J349" s="184">
        <v>53.01</v>
      </c>
      <c r="K349" s="170">
        <v>53.01</v>
      </c>
      <c r="L349" s="171">
        <v>53.01</v>
      </c>
      <c r="M349" s="184">
        <v>53.01</v>
      </c>
      <c r="N349" s="170">
        <v>53.01</v>
      </c>
      <c r="O349" s="171">
        <v>53.01</v>
      </c>
      <c r="P349" s="207">
        <v>53.01</v>
      </c>
      <c r="Q349" s="205">
        <v>53.01</v>
      </c>
      <c r="R349" s="206">
        <v>53.01</v>
      </c>
      <c r="S349" s="207">
        <v>53.01</v>
      </c>
      <c r="T349" s="205">
        <v>53.01</v>
      </c>
      <c r="U349" s="206">
        <v>53.01</v>
      </c>
      <c r="V349" s="207">
        <v>53.01</v>
      </c>
      <c r="W349" s="205">
        <v>53.01</v>
      </c>
      <c r="X349" s="206">
        <v>53.01</v>
      </c>
      <c r="Y349" s="207">
        <v>53.01</v>
      </c>
      <c r="Z349" s="205">
        <v>53.01</v>
      </c>
      <c r="AA349" s="206">
        <v>53.01</v>
      </c>
      <c r="AB349" s="207">
        <v>53.01</v>
      </c>
      <c r="AC349" s="205">
        <v>53.01</v>
      </c>
      <c r="AD349" s="206">
        <v>53.01</v>
      </c>
      <c r="AE349" s="207">
        <v>53.01</v>
      </c>
      <c r="AF349" s="205">
        <v>53.01</v>
      </c>
      <c r="AG349" s="206">
        <v>53.01</v>
      </c>
      <c r="AH349" s="207">
        <v>53.01</v>
      </c>
      <c r="AI349" s="132" t="s">
        <v>191</v>
      </c>
      <c r="AJ349" s="194" t="s">
        <v>1429</v>
      </c>
      <c r="AK349" s="132" t="s">
        <v>1388</v>
      </c>
      <c r="AL349" s="213">
        <v>38</v>
      </c>
      <c r="AM349" s="212"/>
      <c r="AN349" s="211">
        <v>62.319999999999993</v>
      </c>
      <c r="AO349" s="212">
        <v>0</v>
      </c>
      <c r="AP349" s="194" t="s">
        <v>27</v>
      </c>
      <c r="AQ349" s="193" t="s">
        <v>1407</v>
      </c>
      <c r="AR349" s="210" t="s">
        <v>3144</v>
      </c>
      <c r="AS349" s="209" t="s">
        <v>1484</v>
      </c>
      <c r="AT349" s="175"/>
      <c r="AU349" s="65" t="s">
        <v>27</v>
      </c>
      <c r="AV349" s="163" t="s">
        <v>1388</v>
      </c>
      <c r="AW349" s="65">
        <v>1865</v>
      </c>
      <c r="AX349" s="196">
        <v>44684.329606481479</v>
      </c>
    </row>
    <row r="350" spans="1:50">
      <c r="A350" s="124" t="s">
        <v>100</v>
      </c>
      <c r="B350" s="109" t="s">
        <v>1320</v>
      </c>
      <c r="C350" s="214" t="s">
        <v>3760</v>
      </c>
      <c r="D350" s="163" t="s">
        <v>3762</v>
      </c>
      <c r="E350" s="170">
        <v>380</v>
      </c>
      <c r="F350" s="171">
        <v>360</v>
      </c>
      <c r="G350" s="184">
        <v>350</v>
      </c>
      <c r="H350" s="170">
        <v>380</v>
      </c>
      <c r="I350" s="171">
        <v>360</v>
      </c>
      <c r="J350" s="184">
        <v>350</v>
      </c>
      <c r="K350" s="170">
        <v>380</v>
      </c>
      <c r="L350" s="171">
        <v>360</v>
      </c>
      <c r="M350" s="184">
        <v>350</v>
      </c>
      <c r="N350" s="170">
        <v>380</v>
      </c>
      <c r="O350" s="171">
        <v>360</v>
      </c>
      <c r="P350" s="207">
        <v>350</v>
      </c>
      <c r="Q350" s="205">
        <v>380</v>
      </c>
      <c r="R350" s="206">
        <v>360</v>
      </c>
      <c r="S350" s="207">
        <v>350</v>
      </c>
      <c r="T350" s="205">
        <v>380</v>
      </c>
      <c r="U350" s="206">
        <v>360</v>
      </c>
      <c r="V350" s="207">
        <v>350</v>
      </c>
      <c r="W350" s="205">
        <v>380</v>
      </c>
      <c r="X350" s="206">
        <v>0</v>
      </c>
      <c r="Y350" s="207">
        <v>0</v>
      </c>
      <c r="Z350" s="205">
        <v>0</v>
      </c>
      <c r="AA350" s="206">
        <v>0</v>
      </c>
      <c r="AB350" s="207">
        <v>0</v>
      </c>
      <c r="AC350" s="205">
        <v>0</v>
      </c>
      <c r="AD350" s="206">
        <v>0</v>
      </c>
      <c r="AE350" s="207">
        <v>0</v>
      </c>
      <c r="AF350" s="205">
        <v>0</v>
      </c>
      <c r="AG350" s="206">
        <v>0</v>
      </c>
      <c r="AH350" s="207">
        <v>0</v>
      </c>
      <c r="AI350" s="132" t="s">
        <v>3761</v>
      </c>
      <c r="AJ350" s="194" t="s">
        <v>1596</v>
      </c>
      <c r="AK350" s="132" t="s">
        <v>2683</v>
      </c>
      <c r="AL350" s="213">
        <v>1</v>
      </c>
      <c r="AM350" s="212"/>
      <c r="AN350" s="211">
        <v>350</v>
      </c>
      <c r="AO350" s="212"/>
      <c r="AP350" s="194" t="s">
        <v>55</v>
      </c>
      <c r="AQ350" s="193" t="s">
        <v>1403</v>
      </c>
      <c r="AR350" s="210"/>
      <c r="AS350" s="209" t="s">
        <v>1820</v>
      </c>
      <c r="AT350" s="175"/>
      <c r="AU350" s="65" t="s">
        <v>25</v>
      </c>
      <c r="AV350" s="163" t="s">
        <v>12</v>
      </c>
      <c r="AW350" s="65">
        <v>1247</v>
      </c>
      <c r="AX350" s="196">
        <v>44746.539895833332</v>
      </c>
    </row>
    <row r="351" spans="1:50">
      <c r="A351" s="124" t="s">
        <v>100</v>
      </c>
      <c r="B351" s="109" t="s">
        <v>1320</v>
      </c>
      <c r="C351" s="214" t="s">
        <v>3760</v>
      </c>
      <c r="D351" s="163" t="s">
        <v>3763</v>
      </c>
      <c r="E351" s="170">
        <v>370</v>
      </c>
      <c r="F351" s="171">
        <v>350</v>
      </c>
      <c r="G351" s="184">
        <v>340</v>
      </c>
      <c r="H351" s="170">
        <v>370</v>
      </c>
      <c r="I351" s="171">
        <v>350</v>
      </c>
      <c r="J351" s="184">
        <v>340</v>
      </c>
      <c r="K351" s="170">
        <v>370</v>
      </c>
      <c r="L351" s="171">
        <v>350</v>
      </c>
      <c r="M351" s="184">
        <v>340</v>
      </c>
      <c r="N351" s="170">
        <v>370</v>
      </c>
      <c r="O351" s="171">
        <v>350</v>
      </c>
      <c r="P351" s="207">
        <v>340</v>
      </c>
      <c r="Q351" s="205">
        <v>370</v>
      </c>
      <c r="R351" s="206">
        <v>350</v>
      </c>
      <c r="S351" s="207">
        <v>340</v>
      </c>
      <c r="T351" s="205">
        <v>370</v>
      </c>
      <c r="U351" s="206">
        <v>350</v>
      </c>
      <c r="V351" s="207">
        <v>340</v>
      </c>
      <c r="W351" s="205">
        <v>370</v>
      </c>
      <c r="X351" s="206">
        <v>0</v>
      </c>
      <c r="Y351" s="207">
        <v>0</v>
      </c>
      <c r="Z351" s="205">
        <v>0</v>
      </c>
      <c r="AA351" s="206">
        <v>0</v>
      </c>
      <c r="AB351" s="207">
        <v>0</v>
      </c>
      <c r="AC351" s="205">
        <v>0</v>
      </c>
      <c r="AD351" s="206">
        <v>0</v>
      </c>
      <c r="AE351" s="207">
        <v>0</v>
      </c>
      <c r="AF351" s="205">
        <v>0</v>
      </c>
      <c r="AG351" s="206">
        <v>0</v>
      </c>
      <c r="AH351" s="207">
        <v>0</v>
      </c>
      <c r="AI351" s="132" t="s">
        <v>3761</v>
      </c>
      <c r="AJ351" s="194" t="s">
        <v>1596</v>
      </c>
      <c r="AK351" s="132" t="s">
        <v>2683</v>
      </c>
      <c r="AL351" s="213">
        <v>1</v>
      </c>
      <c r="AM351" s="212"/>
      <c r="AN351" s="211">
        <v>350</v>
      </c>
      <c r="AO351" s="212"/>
      <c r="AP351" s="194" t="s">
        <v>55</v>
      </c>
      <c r="AQ351" s="193" t="s">
        <v>1403</v>
      </c>
      <c r="AR351" s="210"/>
      <c r="AS351" s="209" t="s">
        <v>1820</v>
      </c>
      <c r="AT351" s="175"/>
      <c r="AU351" s="65" t="s">
        <v>25</v>
      </c>
      <c r="AV351" s="163" t="s">
        <v>12</v>
      </c>
      <c r="AW351" s="65">
        <v>1247</v>
      </c>
      <c r="AX351" s="196">
        <v>44746.539895833332</v>
      </c>
    </row>
    <row r="352" spans="1:50">
      <c r="A352" s="124" t="s">
        <v>100</v>
      </c>
      <c r="B352" s="109" t="s">
        <v>1320</v>
      </c>
      <c r="C352" s="214" t="s">
        <v>3760</v>
      </c>
      <c r="D352" s="163" t="s">
        <v>3764</v>
      </c>
      <c r="E352" s="170">
        <v>395</v>
      </c>
      <c r="F352" s="171">
        <v>370</v>
      </c>
      <c r="G352" s="184">
        <v>360</v>
      </c>
      <c r="H352" s="205">
        <v>395</v>
      </c>
      <c r="I352" s="171">
        <v>370</v>
      </c>
      <c r="J352" s="184">
        <v>360</v>
      </c>
      <c r="K352" s="205">
        <v>395</v>
      </c>
      <c r="L352" s="171">
        <v>370</v>
      </c>
      <c r="M352" s="184">
        <v>360</v>
      </c>
      <c r="N352" s="205">
        <v>395</v>
      </c>
      <c r="O352" s="171">
        <v>370</v>
      </c>
      <c r="P352" s="207">
        <v>360</v>
      </c>
      <c r="Q352" s="205">
        <v>395</v>
      </c>
      <c r="R352" s="206">
        <v>370</v>
      </c>
      <c r="S352" s="207">
        <v>360</v>
      </c>
      <c r="T352" s="205">
        <v>395</v>
      </c>
      <c r="U352" s="206">
        <v>370</v>
      </c>
      <c r="V352" s="207">
        <v>360</v>
      </c>
      <c r="W352" s="205">
        <v>395</v>
      </c>
      <c r="X352" s="206">
        <v>0</v>
      </c>
      <c r="Y352" s="207">
        <v>0</v>
      </c>
      <c r="Z352" s="205">
        <v>0</v>
      </c>
      <c r="AA352" s="206">
        <v>0</v>
      </c>
      <c r="AB352" s="207">
        <v>0</v>
      </c>
      <c r="AC352" s="205">
        <v>0</v>
      </c>
      <c r="AD352" s="206">
        <v>0</v>
      </c>
      <c r="AE352" s="207">
        <v>0</v>
      </c>
      <c r="AF352" s="205">
        <v>0</v>
      </c>
      <c r="AG352" s="206">
        <v>0</v>
      </c>
      <c r="AH352" s="207">
        <v>0</v>
      </c>
      <c r="AI352" s="132" t="s">
        <v>3761</v>
      </c>
      <c r="AJ352" s="194" t="s">
        <v>1596</v>
      </c>
      <c r="AK352" s="132" t="s">
        <v>2683</v>
      </c>
      <c r="AL352" s="213">
        <v>1</v>
      </c>
      <c r="AM352" s="212"/>
      <c r="AN352" s="211">
        <v>375</v>
      </c>
      <c r="AO352" s="212"/>
      <c r="AP352" s="194" t="s">
        <v>55</v>
      </c>
      <c r="AQ352" s="193" t="s">
        <v>1403</v>
      </c>
      <c r="AR352" s="210"/>
      <c r="AS352" s="209" t="s">
        <v>1820</v>
      </c>
      <c r="AT352" s="175"/>
      <c r="AU352" s="65" t="s">
        <v>25</v>
      </c>
      <c r="AV352" s="163" t="s">
        <v>12</v>
      </c>
      <c r="AW352" s="65">
        <v>1247</v>
      </c>
      <c r="AX352" s="196">
        <v>44746.539895833332</v>
      </c>
    </row>
    <row r="353" spans="1:50">
      <c r="A353" s="124" t="s">
        <v>100</v>
      </c>
      <c r="B353" s="109" t="s">
        <v>1320</v>
      </c>
      <c r="C353" s="214" t="s">
        <v>3760</v>
      </c>
      <c r="D353" s="163" t="s">
        <v>3766</v>
      </c>
      <c r="E353" s="170">
        <v>395</v>
      </c>
      <c r="F353" s="171">
        <v>370</v>
      </c>
      <c r="G353" s="184">
        <v>360</v>
      </c>
      <c r="H353" s="205">
        <v>395</v>
      </c>
      <c r="I353" s="171">
        <v>370</v>
      </c>
      <c r="J353" s="184">
        <v>360</v>
      </c>
      <c r="K353" s="205">
        <v>395</v>
      </c>
      <c r="L353" s="171">
        <v>370</v>
      </c>
      <c r="M353" s="184">
        <v>360</v>
      </c>
      <c r="N353" s="205">
        <v>395</v>
      </c>
      <c r="O353" s="171">
        <v>370</v>
      </c>
      <c r="P353" s="207">
        <v>360</v>
      </c>
      <c r="Q353" s="205">
        <v>395</v>
      </c>
      <c r="R353" s="206">
        <v>370</v>
      </c>
      <c r="S353" s="207">
        <v>360</v>
      </c>
      <c r="T353" s="205">
        <v>395</v>
      </c>
      <c r="U353" s="206">
        <v>370</v>
      </c>
      <c r="V353" s="207">
        <v>360</v>
      </c>
      <c r="W353" s="205">
        <v>395</v>
      </c>
      <c r="X353" s="206">
        <v>0</v>
      </c>
      <c r="Y353" s="207">
        <v>0</v>
      </c>
      <c r="Z353" s="205">
        <v>0</v>
      </c>
      <c r="AA353" s="206">
        <v>0</v>
      </c>
      <c r="AB353" s="207">
        <v>0</v>
      </c>
      <c r="AC353" s="205">
        <v>0</v>
      </c>
      <c r="AD353" s="206">
        <v>0</v>
      </c>
      <c r="AE353" s="207">
        <v>0</v>
      </c>
      <c r="AF353" s="205">
        <v>0</v>
      </c>
      <c r="AG353" s="206">
        <v>0</v>
      </c>
      <c r="AH353" s="207">
        <v>0</v>
      </c>
      <c r="AI353" s="132" t="s">
        <v>3761</v>
      </c>
      <c r="AJ353" s="194" t="s">
        <v>1596</v>
      </c>
      <c r="AK353" s="132" t="s">
        <v>2683</v>
      </c>
      <c r="AL353" s="213">
        <v>1</v>
      </c>
      <c r="AM353" s="212"/>
      <c r="AN353" s="211">
        <v>375</v>
      </c>
      <c r="AO353" s="212"/>
      <c r="AP353" s="194" t="s">
        <v>55</v>
      </c>
      <c r="AQ353" s="193" t="s">
        <v>1403</v>
      </c>
      <c r="AR353" s="210"/>
      <c r="AS353" s="209" t="s">
        <v>1820</v>
      </c>
      <c r="AT353" s="175"/>
      <c r="AU353" s="65" t="s">
        <v>25</v>
      </c>
      <c r="AV353" s="163" t="s">
        <v>12</v>
      </c>
      <c r="AW353" s="65">
        <v>1247</v>
      </c>
      <c r="AX353" s="196">
        <v>44746.539895833332</v>
      </c>
    </row>
    <row r="354" spans="1:50">
      <c r="A354" s="124" t="s">
        <v>62</v>
      </c>
      <c r="B354" s="109" t="s">
        <v>1320</v>
      </c>
      <c r="C354" s="214" t="s">
        <v>254</v>
      </c>
      <c r="D354" s="163" t="s">
        <v>256</v>
      </c>
      <c r="E354" s="170">
        <v>102.96</v>
      </c>
      <c r="F354" s="171">
        <v>102.96</v>
      </c>
      <c r="G354" s="184">
        <v>102.96</v>
      </c>
      <c r="H354" s="205">
        <v>102.96</v>
      </c>
      <c r="I354" s="171">
        <v>102.96</v>
      </c>
      <c r="J354" s="184">
        <v>102.96</v>
      </c>
      <c r="K354" s="205">
        <v>102.96</v>
      </c>
      <c r="L354" s="171">
        <v>102.96</v>
      </c>
      <c r="M354" s="184">
        <v>102.96</v>
      </c>
      <c r="N354" s="205">
        <v>102.96</v>
      </c>
      <c r="O354" s="171">
        <v>102.96</v>
      </c>
      <c r="P354" s="207">
        <v>102.96</v>
      </c>
      <c r="Q354" s="205">
        <v>102.96</v>
      </c>
      <c r="R354" s="206">
        <v>102.96</v>
      </c>
      <c r="S354" s="207">
        <v>102.96</v>
      </c>
      <c r="T354" s="205">
        <v>102.96</v>
      </c>
      <c r="U354" s="206">
        <v>102.96</v>
      </c>
      <c r="V354" s="207">
        <v>102.96</v>
      </c>
      <c r="W354" s="205">
        <v>102.96</v>
      </c>
      <c r="X354" s="206">
        <v>102.96</v>
      </c>
      <c r="Y354" s="207">
        <v>102.96</v>
      </c>
      <c r="Z354" s="205">
        <v>102.96</v>
      </c>
      <c r="AA354" s="206">
        <v>102.96</v>
      </c>
      <c r="AB354" s="207">
        <v>102.96</v>
      </c>
      <c r="AC354" s="205">
        <v>102.96</v>
      </c>
      <c r="AD354" s="206">
        <v>102.96</v>
      </c>
      <c r="AE354" s="207">
        <v>102.96</v>
      </c>
      <c r="AF354" s="205">
        <v>102.96</v>
      </c>
      <c r="AG354" s="206">
        <v>102.96</v>
      </c>
      <c r="AH354" s="207">
        <v>102.96</v>
      </c>
      <c r="AI354" s="132" t="s">
        <v>255</v>
      </c>
      <c r="AJ354" s="194" t="s">
        <v>1429</v>
      </c>
      <c r="AK354" s="132" t="s">
        <v>1388</v>
      </c>
      <c r="AL354" s="213">
        <v>44</v>
      </c>
      <c r="AM354" s="212"/>
      <c r="AN354" s="211">
        <v>102.96</v>
      </c>
      <c r="AO354" s="212">
        <v>0</v>
      </c>
      <c r="AP354" s="194" t="s">
        <v>55</v>
      </c>
      <c r="AQ354" s="193" t="s">
        <v>1407</v>
      </c>
      <c r="AR354" s="210"/>
      <c r="AS354" s="209" t="s">
        <v>1558</v>
      </c>
      <c r="AT354" s="175"/>
      <c r="AU354" s="65" t="s">
        <v>25</v>
      </c>
      <c r="AV354" s="163" t="s">
        <v>1388</v>
      </c>
      <c r="AW354" s="65">
        <v>1599</v>
      </c>
      <c r="AX354" s="196">
        <v>44732.475949074076</v>
      </c>
    </row>
    <row r="355" spans="1:50">
      <c r="A355" s="124" t="s">
        <v>100</v>
      </c>
      <c r="B355" s="109" t="s">
        <v>1320</v>
      </c>
      <c r="C355" s="214" t="s">
        <v>205</v>
      </c>
      <c r="D355" s="163" t="s">
        <v>207</v>
      </c>
      <c r="E355" s="170">
        <v>81</v>
      </c>
      <c r="F355" s="171">
        <v>81</v>
      </c>
      <c r="G355" s="184">
        <v>81</v>
      </c>
      <c r="H355" s="205">
        <v>81</v>
      </c>
      <c r="I355" s="171">
        <v>81</v>
      </c>
      <c r="J355" s="184">
        <v>81</v>
      </c>
      <c r="K355" s="205">
        <v>81</v>
      </c>
      <c r="L355" s="171">
        <v>81</v>
      </c>
      <c r="M355" s="184">
        <v>81</v>
      </c>
      <c r="N355" s="205">
        <v>81</v>
      </c>
      <c r="O355" s="171">
        <v>81</v>
      </c>
      <c r="P355" s="207">
        <v>81</v>
      </c>
      <c r="Q355" s="205">
        <v>81</v>
      </c>
      <c r="R355" s="206">
        <v>81</v>
      </c>
      <c r="S355" s="207">
        <v>81</v>
      </c>
      <c r="T355" s="205">
        <v>81</v>
      </c>
      <c r="U355" s="206">
        <v>81</v>
      </c>
      <c r="V355" s="207">
        <v>81</v>
      </c>
      <c r="W355" s="205">
        <v>81</v>
      </c>
      <c r="X355" s="206">
        <v>81</v>
      </c>
      <c r="Y355" s="207">
        <v>81</v>
      </c>
      <c r="Z355" s="205">
        <v>81</v>
      </c>
      <c r="AA355" s="206">
        <v>81</v>
      </c>
      <c r="AB355" s="207">
        <v>81</v>
      </c>
      <c r="AC355" s="205">
        <v>81</v>
      </c>
      <c r="AD355" s="206">
        <v>81</v>
      </c>
      <c r="AE355" s="207">
        <v>81</v>
      </c>
      <c r="AF355" s="205">
        <v>81</v>
      </c>
      <c r="AG355" s="206">
        <v>81</v>
      </c>
      <c r="AH355" s="207">
        <v>81</v>
      </c>
      <c r="AI355" s="132" t="s">
        <v>206</v>
      </c>
      <c r="AJ355" s="194" t="s">
        <v>1429</v>
      </c>
      <c r="AK355" s="132" t="s">
        <v>1388</v>
      </c>
      <c r="AL355" s="213">
        <v>36</v>
      </c>
      <c r="AM355" s="212"/>
      <c r="AN355" s="211">
        <v>94</v>
      </c>
      <c r="AO355" s="212"/>
      <c r="AP355" s="65" t="s">
        <v>55</v>
      </c>
      <c r="AQ355" s="193" t="s">
        <v>1407</v>
      </c>
      <c r="AR355" s="210"/>
      <c r="AS355" s="209" t="s">
        <v>1532</v>
      </c>
      <c r="AT355" s="175"/>
      <c r="AU355" s="65" t="s">
        <v>25</v>
      </c>
      <c r="AV355" s="163" t="s">
        <v>1388</v>
      </c>
      <c r="AW355" s="65">
        <v>1423</v>
      </c>
      <c r="AX355" s="196">
        <v>44706.472511574073</v>
      </c>
    </row>
    <row r="356" spans="1:50">
      <c r="A356" s="124" t="s">
        <v>100</v>
      </c>
      <c r="B356" s="109" t="s">
        <v>1320</v>
      </c>
      <c r="C356" s="214" t="s">
        <v>485</v>
      </c>
      <c r="D356" s="163" t="s">
        <v>486</v>
      </c>
      <c r="E356" s="170">
        <v>144.4</v>
      </c>
      <c r="F356" s="171">
        <v>144.4</v>
      </c>
      <c r="G356" s="184">
        <v>144.4</v>
      </c>
      <c r="H356" s="170">
        <v>144.4</v>
      </c>
      <c r="I356" s="171">
        <v>144.4</v>
      </c>
      <c r="J356" s="184">
        <v>144.4</v>
      </c>
      <c r="K356" s="170">
        <v>144.4</v>
      </c>
      <c r="L356" s="171">
        <v>144.4</v>
      </c>
      <c r="M356" s="184">
        <v>144.4</v>
      </c>
      <c r="N356" s="170">
        <v>144.4</v>
      </c>
      <c r="O356" s="171">
        <v>144.4</v>
      </c>
      <c r="P356" s="184">
        <v>144.4</v>
      </c>
      <c r="Q356" s="170">
        <v>144.4</v>
      </c>
      <c r="R356" s="171">
        <v>144.4</v>
      </c>
      <c r="S356" s="184">
        <v>144.4</v>
      </c>
      <c r="T356" s="170">
        <v>144.4</v>
      </c>
      <c r="U356" s="171">
        <v>144.4</v>
      </c>
      <c r="V356" s="184">
        <v>144.4</v>
      </c>
      <c r="W356" s="170">
        <v>144.4</v>
      </c>
      <c r="X356" s="171">
        <v>144.4</v>
      </c>
      <c r="Y356" s="184">
        <v>144.4</v>
      </c>
      <c r="Z356" s="170">
        <v>144.4</v>
      </c>
      <c r="AA356" s="171">
        <v>144.4</v>
      </c>
      <c r="AB356" s="184">
        <v>144.4</v>
      </c>
      <c r="AC356" s="170">
        <v>144.4</v>
      </c>
      <c r="AD356" s="171">
        <v>144.4</v>
      </c>
      <c r="AE356" s="184">
        <v>144.4</v>
      </c>
      <c r="AF356" s="170">
        <v>144.4</v>
      </c>
      <c r="AG356" s="171">
        <v>144.4</v>
      </c>
      <c r="AH356" s="184">
        <v>144.4</v>
      </c>
      <c r="AI356" s="65" t="s">
        <v>362</v>
      </c>
      <c r="AJ356" s="163" t="s">
        <v>1419</v>
      </c>
      <c r="AK356" s="65" t="s">
        <v>17</v>
      </c>
      <c r="AL356" s="176">
        <v>38</v>
      </c>
      <c r="AM356" s="159"/>
      <c r="AN356" s="172">
        <v>144.4</v>
      </c>
      <c r="AO356" s="159">
        <v>0</v>
      </c>
      <c r="AP356" s="163" t="s">
        <v>131</v>
      </c>
      <c r="AQ356" s="109" t="s">
        <v>1407</v>
      </c>
      <c r="AR356" s="173" t="s">
        <v>1453</v>
      </c>
      <c r="AS356" s="174" t="s">
        <v>1547</v>
      </c>
      <c r="AT356" s="175"/>
      <c r="AU356" s="65" t="s">
        <v>25</v>
      </c>
      <c r="AV356" s="163" t="s">
        <v>17</v>
      </c>
      <c r="AW356" s="65">
        <v>1114</v>
      </c>
      <c r="AX356" s="196">
        <v>44693.455046296294</v>
      </c>
    </row>
    <row r="357" spans="1:50">
      <c r="A357" s="4" t="s">
        <v>3838</v>
      </c>
    </row>
  </sheetData>
  <sheetProtection algorithmName="SHA-512" hashValue="C9t5XFmwPk7O36ObynHQRL26ORyPoUQw7HziaD5GoQl4II4AFcajfdSaYy3rQvOq9rtpa6hIo7Qa5jabLKSp+Q==" saltValue="/oWQKm7YG2TbGGzuFamOmQ==" spinCount="100000" sheet="1" formatColumns="0" formatRows="0" sort="0" autoFilter="0" pivotTables="0"/>
  <phoneticPr fontId="53" type="noConversion"/>
  <conditionalFormatting sqref="D160:D177 AI161:AX177 E3:AH22 D183:AX192 D348:AX354 D228:AX230 AI160:AO160 AQ160:AX160 D182:AO182 AQ182:AX182 D194:AX221 D193:AO193 AQ193:AX193 D223:AX224 D222:AO222 AQ222:AX222 D226:AX226 D225:AO225 AQ225:AX225 D234:AO234 AQ234:AX234 D280:AX288 D279:AO279 AQ279:AX279 D290:AX324 D289:AO289 AQ289:AX289 D326:AX331 D325:AO325 AQ325:AX325 D332:AO332 AQ332:AX332 E24:AH61 D232:AX233 D355:AO356 AQ355:AX356 D333:AX346 D235:AX278 E63:AH182">
    <cfRule type="expression" dxfId="306" priority="261">
      <formula>AND($C3=OFFSET($C3,-1,0,1,1),$D3&lt;&gt;OFFSET($D3,-1,0,1,1))</formula>
    </cfRule>
  </conditionalFormatting>
  <conditionalFormatting sqref="D160:D177 AI161:AX177 E3:AH22 A3:B22 D183:AX192 D348:AX354 D228:AX230 A228:B230 AI160:AO160 AQ160:AX160 D182:AO182 AQ182:AX182 D194:AX221 D193:AO193 AQ193:AX193 D223:AX224 D222:AO222 AQ222:AX222 D226:AX226 D225:AO225 AQ225:AX225 D234:AO234 AQ234:AX234 D280:AX288 D279:AO279 AQ279:AX279 D290:AX324 D289:AO289 AQ289:AX289 D326:AX331 D325:AO325 AQ325:AX325 D332:AO332 AQ332:AX332 D355:AO355 AQ355:AX355 A24:B61 E24:AH61 A232:B346 D232:AX233 A348:B356 D356:AX356 D333:AX346 D235:AX278 E63:AH182 A63:B226">
    <cfRule type="expression" dxfId="305" priority="260">
      <formula>$C3&lt;&gt;OFFSET($C3,-1,0,1,1)</formula>
    </cfRule>
  </conditionalFormatting>
  <conditionalFormatting sqref="AI161:AX177 AI180:AW181 E183:AX192 AV95:AW98 AI95:AS98 AI159:AW159 AI25:AX34 AI21:AW22 AI6:AX13 A3:AH22 AI99:AX119 A348:AX354 A228:AX230 AI3:AO5 AQ3:AX5 AI15:AX20 AI14:AO14 AQ14:AX14 AI24:AW24 AI37:AX46 AI35:AO36 AQ35:AX36 AI49:AX61 AI47:AO48 AQ47:AX48 AI64:AO64 AQ64:AX64 AI121:AX148 AI120:AO120 AQ120:AX120 AI150:AX158 AI149:AO149 AQ149:AX149 AI160:AO160 AQ160:AX160 AI178:AO179 AQ178:AW179 E182:AO182 AQ182:AX182 E194:AX221 E193:AO193 AQ193:AX193 E223:AX224 E222:AO222 AQ222:AX222 E226:AX226 E225:AO225 AQ225:AX225 A234:AO234 AQ234:AX234 A280:AX288 A279:AO279 AQ279:AX279 A290:AX324 A289:AO289 AQ289:AX289 A326:AX331 A325:AO325 AQ325:AX325 A332:AO332 AQ332:AX332 AI65:AX94 A24:AH61 A232:AX233 A355:AO356 AQ355:AX356 A333:AX346 A235:AX278 E63:AH182 A63:D226 AI63:AX63">
    <cfRule type="expression" dxfId="304" priority="259">
      <formula>AND(ISNUMBER(SEARCH("Summer Typical",A$2,1)),$A3="TAS1")</formula>
    </cfRule>
  </conditionalFormatting>
  <conditionalFormatting sqref="AL3:AO22 AO126:AO127 AW3:AW22 E3:AH22 AL128:AO226 AL228:AO230 E228:AH230 AW228:AW230 AW24:AW61 AL24:AO61 E24:AH61 AW232:AW346 AL232:AO346 AL348:AO356 E348:AH356 AW348:AW356 E232:AH346 E63:AH226 AL63:AO125 AW63:AW226">
    <cfRule type="expression" dxfId="303" priority="258">
      <formula>MOD(E3,1)=0</formula>
    </cfRule>
  </conditionalFormatting>
  <conditionalFormatting sqref="E3:AH22 E228:AH230 E24:AH61 E348:AH356 E232:AH346 E63:AH226">
    <cfRule type="expression" dxfId="302" priority="247">
      <formula>AND($C3=OFFSET($C3,-1,0,1,1),$D3=OFFSET($D3,-1,0,1,1),E3=OFFSET(E3,-1,0,1,1))</formula>
    </cfRule>
  </conditionalFormatting>
  <conditionalFormatting sqref="AV95:AW98 AI180:AW181 AI99:AX119 AI95:AS98 AI159:AW159 AI25:AX34 AI21:AW22 AI6:AX13 AI161:AX177 AI128:AX148 AI126:AK127 AO126:AX127 AI183:AX192 B3:AH22 B348:AX354 B228:AX230 AI3:AO5 AQ3:AX5 AI15:AX20 AI14:AO14 AQ14:AX14 AI24:AW24 AI37:AX46 AI35:AO36 AQ35:AX36 AI49:AX61 AI47:AO48 AQ47:AX48 AI64:AO64 AQ64:AX64 AI121:AX125 AI120:AO120 AQ120:AX120 AI150:AX158 AI149:AO149 AQ149:AX149 AI160:AO160 AQ160:AX160 AI178:AO179 AQ178:AW179 AI182:AO182 AQ182:AX182 AI194:AX221 AI193:AO193 AQ193:AX193 AI223:AX224 AI222:AO222 AQ222:AX222 AI226:AX226 AI225:AO225 AQ225:AX225 B234:AO234 AQ234:AX234 B280:AX288 B279:AO279 AQ279:AX279 B290:AX324 B289:AO289 AQ289:AX289 B326:AX331 B325:AO325 AQ325:AX325 B332:AO332 AQ332:AX332 B355:AO355 AQ355:AX355 AI65:AX94 B24:AH61 B232:AX233 B356:AX356 B333:AX346 B235:AX278 B63:AH226 AI63:AX63">
    <cfRule type="expression" dxfId="301" priority="254">
      <formula>$B3="Project"</formula>
    </cfRule>
  </conditionalFormatting>
  <conditionalFormatting sqref="D178:D181 AV95:AW98 AI180:AW181 AI99:AX119 AI95:AS98 AI159:AW159 AI25:AX34 AI21:AW22 AI6:AX13 D3:D22 AI128:AX148 AI126:AK127 AO126:AX127 AI3:AO5 AQ3:AX5 AI15:AX20 AI14:AO14 AQ14:AX14 AI24:AW24 AI37:AX46 AI35:AO36 AQ35:AX36 AI49:AX61 AI47:AO48 AQ47:AX48 AI64:AO64 AQ64:AX64 AI121:AX125 AI120:AO120 AQ120:AX120 AI150:AX158 AI149:AO149 AQ149:AX149 AI178:AO179 AQ178:AW179 D24:D61 AI65:AX94 D63:D159 AI63:AX63">
    <cfRule type="expression" dxfId="300" priority="257">
      <formula>AND($C3=OFFSET($C3,-1,0,1,1),$D3&lt;&gt;OFFSET($D3,-1,0,1,1))</formula>
    </cfRule>
  </conditionalFormatting>
  <conditionalFormatting sqref="AI180:AW181 AI99:AX119 AI95:AS98 AI159:AW159 AI25:AX34 AV95:AW98 AI21:AW22 AI6:AX13 AI161:AX177 AI128:AX148 AI126:AK127 AO126:AX127 A3:B22 AI183:AX192 AI348:AX354 AI228:AX230 A228:B230 AI3:AO5 AQ3:AX5 AI15:AX20 AI14:AO14 AQ14:AX14 AI24:AW24 AI37:AX46 AI35:AO36 AQ35:AX36 AI49:AX61 AI47:AO48 AQ47:AX48 AI64:AO64 AQ64:AX64 AI121:AX125 AI120:AO120 AQ120:AX120 AI150:AX158 AI149:AO149 AQ149:AX149 AI160:AO160 AQ160:AX160 AI178:AO179 AQ178:AW179 AI182:AO182 AQ182:AX182 AI194:AX221 AI193:AO193 AQ193:AX193 AI223:AX224 AI222:AO222 AQ222:AX222 AI226:AX226 AI225:AO225 AQ225:AX225 AI234:AO234 AQ234:AX234 AI280:AX288 AI279:AO279 AQ279:AX279 AI290:AX324 AI289:AO289 AQ289:AX289 AI326:AX331 AI325:AO325 AQ325:AX325 AI333:AX346 AI332:AO332 AQ332:AX332 AI235:AX278 A24:B61 AI65:AX94 A232:B346 AI232:AX233 A348:B356 AI355:AO356 AQ355:AX356 A63:B226 AI63:AX63">
    <cfRule type="expression" dxfId="299" priority="255">
      <formula>AND($C3=OFFSET($C3,-1,0,1,1),A3=OFFSET(A3,-1,0,1,1))</formula>
    </cfRule>
  </conditionalFormatting>
  <conditionalFormatting sqref="D178:D181 AV95:AW98 AI180:AW181 AI99:AX119 AI95:AS98 AI159:AW159 AI25:AX34 AI21:AW22 AI6:AX13 D3:D22 AI128:AX148 AI126:AK127 AO126:AX127 AI3:AO5 AQ3:AX5 AI15:AX20 AI14:AO14 AQ14:AX14 AI24:AW24 AI37:AX46 AI35:AO36 AQ35:AX36 AI49:AX61 AI47:AO48 AQ47:AX48 AI64:AO64 AQ64:AX64 AI121:AX125 AI120:AO120 AQ120:AX120 AI150:AX158 AI149:AO149 AQ149:AX149 AI178:AO179 AQ178:AW179 D24:D61 AI65:AX94 D63:D159 AI63:AX63">
    <cfRule type="expression" dxfId="298" priority="250">
      <formula>$C3&lt;&gt;OFFSET($C3,-1,0,1,1)</formula>
    </cfRule>
  </conditionalFormatting>
  <conditionalFormatting sqref="AP6:AP13 AP348:AP354 AP228:AP230 AP15:AP22 AP24:AP34 AP37:AP46 AP49:AP61 AP121:AP148 AP150:AP159 AP161:AP177 AP180:AP181 AP183:AP192 AP194:AP221 AP223:AP224 AP226 AP280:AP288 AP290:AP324 AP326:AP331 AP333:AP346 AP235:AP278 AP65:AP119 AP232:AP233 AP63">
    <cfRule type="expression" dxfId="297" priority="249">
      <formula>SEARCH("Committed",$AP6,1)</formula>
    </cfRule>
  </conditionalFormatting>
  <conditionalFormatting sqref="AR3:AR22 AR228:AR230 AR24:AR61 AR232:AR346 AR348:AR356 AR63:AR226">
    <cfRule type="expression" dxfId="296" priority="248">
      <formula>OR(AND(ISNUMBER(DATEVALUE($V3)),MONTH(DATEVALUE($V3))=12,DATEVALUE("31/12/"&amp;TEXT(YEAR(DATEVALUE($V3)),"####"))&lt;TODAY()),AND(ISNUMBER(DATEVALUE($V3)),MONTH(DATEVALUE($V3))&lt;12,DATEVALUE("01/"&amp;TEXT(MONTH(DATEVALUE($V3))+1,"##")&amp;"/"&amp;TEXT(YEAR(DATEVALUE($V3)),"####"))-1&lt;TODAY()))</formula>
    </cfRule>
  </conditionalFormatting>
  <conditionalFormatting sqref="AU3:AU22 AU99:AU226 AU228:AU230 AU24:AU61 AU232:AU346 AU348:AU356 AU63:AU94">
    <cfRule type="cellIs" dxfId="295" priority="242" operator="equal">
      <formula>"Withdrawn"</formula>
    </cfRule>
    <cfRule type="cellIs" dxfId="294" priority="243" operator="equal">
      <formula>"Proposed"</formula>
    </cfRule>
    <cfRule type="cellIs" dxfId="293" priority="244" operator="equal">
      <formula>"Committed"</formula>
    </cfRule>
    <cfRule type="cellIs" dxfId="292" priority="245" operator="equal">
      <formula>"Upgrade"</formula>
    </cfRule>
    <cfRule type="cellIs" dxfId="291" priority="246" operator="equal">
      <formula>"Existing less Announced Withdrawal"</formula>
    </cfRule>
    <cfRule type="cellIs" dxfId="290" priority="262" operator="equal">
      <formula>"Announced Withdrawal"</formula>
    </cfRule>
  </conditionalFormatting>
  <conditionalFormatting sqref="C3:C22 C228:C230 C24:C61 C232:C346 C348:C356 C63:C226">
    <cfRule type="expression" dxfId="289" priority="251">
      <formula>$C3&lt;&gt;OFFSET($C3,-1,0,1,1)</formula>
    </cfRule>
    <cfRule type="expression" dxfId="288" priority="252">
      <formula>$C3=OFFSET($C3,-1,0,1,1)</formula>
    </cfRule>
    <cfRule type="expression" dxfId="287" priority="253">
      <formula>$B3="Project"</formula>
    </cfRule>
  </conditionalFormatting>
  <conditionalFormatting sqref="AX178:AX181">
    <cfRule type="expression" dxfId="286" priority="236">
      <formula>$B178="Project"</formula>
    </cfRule>
  </conditionalFormatting>
  <conditionalFormatting sqref="AX178:AX181">
    <cfRule type="expression" dxfId="285" priority="235">
      <formula>$C178&lt;&gt;OFFSET($C178,-1,0,1,1)</formula>
    </cfRule>
  </conditionalFormatting>
  <conditionalFormatting sqref="AX178:AX181">
    <cfRule type="colorScale" priority="240">
      <colorScale>
        <cfvo type="min"/>
        <cfvo type="formula" val="TODAY()-365"/>
        <cfvo type="max"/>
        <color rgb="FFFFD1D1"/>
        <color theme="7" tint="0.79998168889431442"/>
        <color theme="0"/>
      </colorScale>
    </cfRule>
  </conditionalFormatting>
  <conditionalFormatting sqref="AX95:AX98">
    <cfRule type="expression" dxfId="284" priority="230">
      <formula>$B95="Project"</formula>
    </cfRule>
  </conditionalFormatting>
  <conditionalFormatting sqref="AX95:AX98">
    <cfRule type="expression" dxfId="283" priority="229">
      <formula>$C95&lt;&gt;OFFSET($C95,-1,0,1,1)</formula>
    </cfRule>
  </conditionalFormatting>
  <conditionalFormatting sqref="AX95:AX98">
    <cfRule type="colorScale" priority="234">
      <colorScale>
        <cfvo type="min"/>
        <cfvo type="formula" val="TODAY()-365"/>
        <cfvo type="max"/>
        <color rgb="FFFFD1D1"/>
        <color theme="7" tint="0.79998168889431442"/>
        <color theme="0"/>
      </colorScale>
    </cfRule>
  </conditionalFormatting>
  <conditionalFormatting sqref="AX159">
    <cfRule type="expression" dxfId="282" priority="224">
      <formula>$B159="Project"</formula>
    </cfRule>
  </conditionalFormatting>
  <conditionalFormatting sqref="AX159">
    <cfRule type="expression" dxfId="281" priority="223">
      <formula>$C159&lt;&gt;OFFSET($C159,-1,0,1,1)</formula>
    </cfRule>
  </conditionalFormatting>
  <conditionalFormatting sqref="AX159">
    <cfRule type="colorScale" priority="228">
      <colorScale>
        <cfvo type="min"/>
        <cfvo type="formula" val="TODAY()-365"/>
        <cfvo type="max"/>
        <color rgb="FFFFD1D1"/>
        <color theme="7" tint="0.79998168889431442"/>
        <color theme="0"/>
      </colorScale>
    </cfRule>
  </conditionalFormatting>
  <conditionalFormatting sqref="AX21:AX22 AX24">
    <cfRule type="expression" dxfId="280" priority="218">
      <formula>$B21="Project"</formula>
    </cfRule>
  </conditionalFormatting>
  <conditionalFormatting sqref="AX21:AX22 AX24">
    <cfRule type="expression" dxfId="279" priority="217">
      <formula>$C21&lt;&gt;OFFSET($C21,-1,0,1,1)</formula>
    </cfRule>
  </conditionalFormatting>
  <conditionalFormatting sqref="AX21:AX22 AX24">
    <cfRule type="colorScale" priority="222">
      <colorScale>
        <cfvo type="min"/>
        <cfvo type="formula" val="TODAY()-365"/>
        <cfvo type="max"/>
        <color rgb="FFFFD1D1"/>
        <color theme="7" tint="0.79998168889431442"/>
        <color theme="0"/>
      </colorScale>
    </cfRule>
  </conditionalFormatting>
  <conditionalFormatting sqref="AT95:AT98">
    <cfRule type="expression" dxfId="278" priority="213">
      <formula>$B95="Project"</formula>
    </cfRule>
  </conditionalFormatting>
  <conditionalFormatting sqref="AT95:AT98">
    <cfRule type="expression" dxfId="277" priority="212">
      <formula>$C95&lt;&gt;OFFSET($C95,-1,0,1,1)</formula>
    </cfRule>
  </conditionalFormatting>
  <conditionalFormatting sqref="AU95:AU98">
    <cfRule type="expression" dxfId="276" priority="208">
      <formula>$B95="Project"</formula>
    </cfRule>
  </conditionalFormatting>
  <conditionalFormatting sqref="AU95:AU98">
    <cfRule type="expression" dxfId="275" priority="207">
      <formula>$C95&lt;&gt;OFFSET($C95,-1,0,1,1)</formula>
    </cfRule>
  </conditionalFormatting>
  <conditionalFormatting sqref="AU95:AU98">
    <cfRule type="cellIs" dxfId="274" priority="201" operator="equal">
      <formula>"Withdrawn"</formula>
    </cfRule>
    <cfRule type="cellIs" dxfId="273" priority="202" operator="equal">
      <formula>"Proposed"</formula>
    </cfRule>
    <cfRule type="cellIs" dxfId="272" priority="203" operator="equal">
      <formula>"Committed"</formula>
    </cfRule>
    <cfRule type="cellIs" dxfId="271" priority="204" operator="equal">
      <formula>"Upgrade"</formula>
    </cfRule>
    <cfRule type="cellIs" dxfId="270" priority="205" operator="equal">
      <formula>"Existing less Announced Withdrawal"</formula>
    </cfRule>
    <cfRule type="cellIs" dxfId="269" priority="206" operator="equal">
      <formula>"Announced Withdrawal"</formula>
    </cfRule>
  </conditionalFormatting>
  <conditionalFormatting sqref="AL126:AN127">
    <cfRule type="expression" dxfId="268" priority="191">
      <formula>MOD(AL126,1)=0</formula>
    </cfRule>
  </conditionalFormatting>
  <conditionalFormatting sqref="AL126:AN127">
    <cfRule type="expression" dxfId="267" priority="188">
      <formula>$B126="Project"</formula>
    </cfRule>
  </conditionalFormatting>
  <conditionalFormatting sqref="AL126:AN127">
    <cfRule type="expression" dxfId="266" priority="190">
      <formula>AND($C126=OFFSET($C126,-1,0,1,1),$D126&lt;&gt;OFFSET($D126,-1,0,1,1))</formula>
    </cfRule>
  </conditionalFormatting>
  <conditionalFormatting sqref="AL126:AN127">
    <cfRule type="expression" dxfId="265" priority="189">
      <formula>AND($C126=OFFSET($C126,-1,0,1,1),AL126=OFFSET(AL126,-1,0,1,1))</formula>
    </cfRule>
  </conditionalFormatting>
  <conditionalFormatting sqref="AL126:AN127">
    <cfRule type="expression" dxfId="264" priority="187">
      <formula>$C126&lt;&gt;OFFSET($C126,-1,0,1,1)</formula>
    </cfRule>
  </conditionalFormatting>
  <conditionalFormatting sqref="AX178:AX181 AX95:AX98 AX159 AX21:AX22 AT95:AU98 AX24 AP356">
    <cfRule type="expression" dxfId="263" priority="4627">
      <formula>AND($C21=OFFSET($C21,-1,0,1,1),$G21=OFFSET($G21,-1,0,1,1),AP21&lt;&gt;OFFSET(AP21,-1,0,1,1))</formula>
    </cfRule>
  </conditionalFormatting>
  <conditionalFormatting sqref="AX178:AX181 AX95:AX98 AX159 AX21:AX22 AT95:AU98 AX24 AP356">
    <cfRule type="expression" dxfId="262" priority="4628">
      <formula>AND($C21=OFFSET($C21,-1,0,1,1),$G21&lt;&gt;OFFSET($G21,-1,0,1,1))</formula>
    </cfRule>
    <cfRule type="expression" dxfId="261" priority="4629">
      <formula>AND($C21=OFFSET($C21,-1,0,1,1),$G21=OFFSET($G21,-1,0,1,1),AP21=OFFSET(AP21,-1,0,1,1))</formula>
    </cfRule>
  </conditionalFormatting>
  <conditionalFormatting sqref="D347:AX347">
    <cfRule type="expression" dxfId="260" priority="184">
      <formula>AND($C347=OFFSET($C347,-1,0,1,1),$D347&lt;&gt;OFFSET($D347,-1,0,1,1))</formula>
    </cfRule>
  </conditionalFormatting>
  <conditionalFormatting sqref="D347:AX347 A347:B347">
    <cfRule type="expression" dxfId="259" priority="183">
      <formula>$C347&lt;&gt;OFFSET($C347,-1,0,1,1)</formula>
    </cfRule>
  </conditionalFormatting>
  <conditionalFormatting sqref="A347:AX347">
    <cfRule type="expression" dxfId="258" priority="182">
      <formula>AND(ISNUMBER(SEARCH("Summer Typical",A$2,1)),$A347="TAS1")</formula>
    </cfRule>
  </conditionalFormatting>
  <conditionalFormatting sqref="AL347:AO347 E347:AH347 AW347">
    <cfRule type="expression" dxfId="257" priority="181">
      <formula>MOD(E347,1)=0</formula>
    </cfRule>
  </conditionalFormatting>
  <conditionalFormatting sqref="E347:AH347">
    <cfRule type="expression" dxfId="256" priority="173">
      <formula>AND($C347=OFFSET($C347,-1,0,1,1),$D347=OFFSET($D347,-1,0,1,1),E347=OFFSET(E347,-1,0,1,1))</formula>
    </cfRule>
  </conditionalFormatting>
  <conditionalFormatting sqref="B347:AX347">
    <cfRule type="expression" dxfId="255" priority="179">
      <formula>$B347="Project"</formula>
    </cfRule>
  </conditionalFormatting>
  <conditionalFormatting sqref="AI347:AX347 A347:B347">
    <cfRule type="expression" dxfId="254" priority="180">
      <formula>AND($C347=OFFSET($C347,-1,0,1,1),A347=OFFSET(A347,-1,0,1,1))</formula>
    </cfRule>
  </conditionalFormatting>
  <conditionalFormatting sqref="AP347">
    <cfRule type="expression" dxfId="253" priority="175">
      <formula>SEARCH("Committed",$AP347,1)</formula>
    </cfRule>
  </conditionalFormatting>
  <conditionalFormatting sqref="AR347">
    <cfRule type="expression" dxfId="252" priority="174">
      <formula>OR(AND(ISNUMBER(DATEVALUE($V347)),MONTH(DATEVALUE($V347))=12,DATEVALUE("31/12/"&amp;TEXT(YEAR(DATEVALUE($V347)),"####"))&lt;TODAY()),AND(ISNUMBER(DATEVALUE($V347)),MONTH(DATEVALUE($V347))&lt;12,DATEVALUE("01/"&amp;TEXT(MONTH(DATEVALUE($V347))+1,"##")&amp;"/"&amp;TEXT(YEAR(DATEVALUE($V347)),"####"))-1&lt;TODAY()))</formula>
    </cfRule>
  </conditionalFormatting>
  <conditionalFormatting sqref="AU347">
    <cfRule type="cellIs" dxfId="251" priority="168" operator="equal">
      <formula>"Withdrawn"</formula>
    </cfRule>
    <cfRule type="cellIs" dxfId="250" priority="169" operator="equal">
      <formula>"Proposed"</formula>
    </cfRule>
    <cfRule type="cellIs" dxfId="249" priority="170" operator="equal">
      <formula>"Committed"</formula>
    </cfRule>
    <cfRule type="cellIs" dxfId="248" priority="171" operator="equal">
      <formula>"Upgrade"</formula>
    </cfRule>
    <cfRule type="cellIs" dxfId="247" priority="172" operator="equal">
      <formula>"Existing less Announced Withdrawal"</formula>
    </cfRule>
    <cfRule type="cellIs" dxfId="246" priority="185" operator="equal">
      <formula>"Announced Withdrawal"</formula>
    </cfRule>
  </conditionalFormatting>
  <conditionalFormatting sqref="C347">
    <cfRule type="expression" dxfId="245" priority="176">
      <formula>$C347&lt;&gt;OFFSET($C347,-1,0,1,1)</formula>
    </cfRule>
    <cfRule type="expression" dxfId="244" priority="177">
      <formula>$C347=OFFSET($C347,-1,0,1,1)</formula>
    </cfRule>
    <cfRule type="expression" dxfId="243" priority="178">
      <formula>$B347="Project"</formula>
    </cfRule>
  </conditionalFormatting>
  <conditionalFormatting sqref="D227:AX227">
    <cfRule type="expression" dxfId="242" priority="166">
      <formula>AND($C227=OFFSET($C227,-1,0,1,1),$D227&lt;&gt;OFFSET($D227,-1,0,1,1))</formula>
    </cfRule>
  </conditionalFormatting>
  <conditionalFormatting sqref="A227:B227 D227:AX227">
    <cfRule type="expression" dxfId="241" priority="165">
      <formula>$C227&lt;&gt;OFFSET($C227,-1,0,1,1)</formula>
    </cfRule>
  </conditionalFormatting>
  <conditionalFormatting sqref="A227:AX227">
    <cfRule type="expression" dxfId="240" priority="164">
      <formula>AND(ISNUMBER(SEARCH("Summer Typical",A$2,1)),$A227="TAS1")</formula>
    </cfRule>
  </conditionalFormatting>
  <conditionalFormatting sqref="AW227 E227:AH227 AL227:AO227">
    <cfRule type="expression" dxfId="239" priority="163">
      <formula>MOD(E227,1)=0</formula>
    </cfRule>
  </conditionalFormatting>
  <conditionalFormatting sqref="E227:AH227">
    <cfRule type="expression" dxfId="238" priority="155">
      <formula>AND($C227=OFFSET($C227,-1,0,1,1),$D227=OFFSET($D227,-1,0,1,1),E227=OFFSET(E227,-1,0,1,1))</formula>
    </cfRule>
  </conditionalFormatting>
  <conditionalFormatting sqref="B227:AX227">
    <cfRule type="expression" dxfId="237" priority="161">
      <formula>$B227="Project"</formula>
    </cfRule>
  </conditionalFormatting>
  <conditionalFormatting sqref="A227:B227 AI227:AX227">
    <cfRule type="expression" dxfId="236" priority="162">
      <formula>AND($C227=OFFSET($C227,-1,0,1,1),A227=OFFSET(A227,-1,0,1,1))</formula>
    </cfRule>
  </conditionalFormatting>
  <conditionalFormatting sqref="AP227">
    <cfRule type="expression" dxfId="235" priority="157">
      <formula>SEARCH("Committed",$AP227,1)</formula>
    </cfRule>
  </conditionalFormatting>
  <conditionalFormatting sqref="AR227">
    <cfRule type="expression" dxfId="234" priority="156">
      <formula>OR(AND(ISNUMBER(DATEVALUE($V227)),MONTH(DATEVALUE($V227))=12,DATEVALUE("31/12/"&amp;TEXT(YEAR(DATEVALUE($V227)),"####"))&lt;TODAY()),AND(ISNUMBER(DATEVALUE($V227)),MONTH(DATEVALUE($V227))&lt;12,DATEVALUE("01/"&amp;TEXT(MONTH(DATEVALUE($V227))+1,"##")&amp;"/"&amp;TEXT(YEAR(DATEVALUE($V227)),"####"))-1&lt;TODAY()))</formula>
    </cfRule>
  </conditionalFormatting>
  <conditionalFormatting sqref="AU227">
    <cfRule type="cellIs" dxfId="233" priority="150" operator="equal">
      <formula>"Withdrawn"</formula>
    </cfRule>
    <cfRule type="cellIs" dxfId="232" priority="151" operator="equal">
      <formula>"Proposed"</formula>
    </cfRule>
    <cfRule type="cellIs" dxfId="231" priority="152" operator="equal">
      <formula>"Committed"</formula>
    </cfRule>
    <cfRule type="cellIs" dxfId="230" priority="153" operator="equal">
      <formula>"Upgrade"</formula>
    </cfRule>
    <cfRule type="cellIs" dxfId="229" priority="154" operator="equal">
      <formula>"Existing less Announced Withdrawal"</formula>
    </cfRule>
    <cfRule type="cellIs" dxfId="228" priority="167" operator="equal">
      <formula>"Announced Withdrawal"</formula>
    </cfRule>
  </conditionalFormatting>
  <conditionalFormatting sqref="C227">
    <cfRule type="expression" dxfId="227" priority="158">
      <formula>$C227&lt;&gt;OFFSET($C227,-1,0,1,1)</formula>
    </cfRule>
    <cfRule type="expression" dxfId="226" priority="159">
      <formula>$C227=OFFSET($C227,-1,0,1,1)</formula>
    </cfRule>
    <cfRule type="expression" dxfId="225" priority="160">
      <formula>$B227="Project"</formula>
    </cfRule>
  </conditionalFormatting>
  <conditionalFormatting sqref="AP3:AP5">
    <cfRule type="expression" dxfId="224" priority="146">
      <formula>$B3="Project"</formula>
    </cfRule>
  </conditionalFormatting>
  <conditionalFormatting sqref="AP3:AP5">
    <cfRule type="expression" dxfId="223" priority="149">
      <formula>AND($C3=OFFSET($C3,-1,0,1,1),$G3=OFFSET($G3,-1,0,1,1),AP3&lt;&gt;OFFSET(AP3,-1,0,1,1))</formula>
    </cfRule>
  </conditionalFormatting>
  <conditionalFormatting sqref="AP3:AP5">
    <cfRule type="expression" dxfId="222" priority="145">
      <formula>$C3&lt;&gt;OFFSET($C3,-1,0,1,1)</formula>
    </cfRule>
  </conditionalFormatting>
  <conditionalFormatting sqref="AP3:AP5">
    <cfRule type="expression" dxfId="221" priority="147">
      <formula>AND($C3=OFFSET($C3,-1,0,1,1),$G3&lt;&gt;OFFSET($G3,-1,0,1,1))</formula>
    </cfRule>
    <cfRule type="expression" dxfId="220" priority="148">
      <formula>AND($C3=OFFSET($C3,-1,0,1,1),$G3=OFFSET($G3,-1,0,1,1),AP3=OFFSET(AP3,-1,0,1,1))</formula>
    </cfRule>
  </conditionalFormatting>
  <conditionalFormatting sqref="AP14">
    <cfRule type="expression" dxfId="219" priority="141">
      <formula>$B14="Project"</formula>
    </cfRule>
  </conditionalFormatting>
  <conditionalFormatting sqref="AP14">
    <cfRule type="expression" dxfId="218" priority="144">
      <formula>AND($C14=OFFSET($C14,-1,0,1,1),$G14=OFFSET($G14,-1,0,1,1),AP14&lt;&gt;OFFSET(AP14,-1,0,1,1))</formula>
    </cfRule>
  </conditionalFormatting>
  <conditionalFormatting sqref="AP14">
    <cfRule type="expression" dxfId="217" priority="140">
      <formula>$C14&lt;&gt;OFFSET($C14,-1,0,1,1)</formula>
    </cfRule>
  </conditionalFormatting>
  <conditionalFormatting sqref="AP14">
    <cfRule type="expression" dxfId="216" priority="142">
      <formula>AND($C14=OFFSET($C14,-1,0,1,1),$G14&lt;&gt;OFFSET($G14,-1,0,1,1))</formula>
    </cfRule>
    <cfRule type="expression" dxfId="215" priority="143">
      <formula>AND($C14=OFFSET($C14,-1,0,1,1),$G14=OFFSET($G14,-1,0,1,1),AP14=OFFSET(AP14,-1,0,1,1))</formula>
    </cfRule>
  </conditionalFormatting>
  <conditionalFormatting sqref="AP47:AP48 AP35:AP36">
    <cfRule type="expression" dxfId="214" priority="131">
      <formula>$B35="Project"</formula>
    </cfRule>
  </conditionalFormatting>
  <conditionalFormatting sqref="AP47:AP48 AP35:AP36">
    <cfRule type="expression" dxfId="213" priority="134">
      <formula>AND($C35=OFFSET($C35,-1,0,1,1),$G35=OFFSET($G35,-1,0,1,1),AP35&lt;&gt;OFFSET(AP35,-1,0,1,1))</formula>
    </cfRule>
  </conditionalFormatting>
  <conditionalFormatting sqref="AP47:AP48 AP35:AP36">
    <cfRule type="expression" dxfId="212" priority="130">
      <formula>$C35&lt;&gt;OFFSET($C35,-1,0,1,1)</formula>
    </cfRule>
  </conditionalFormatting>
  <conditionalFormatting sqref="AP47:AP48 AP35:AP36">
    <cfRule type="expression" dxfId="211" priority="132">
      <formula>AND($C35=OFFSET($C35,-1,0,1,1),$G35&lt;&gt;OFFSET($G35,-1,0,1,1))</formula>
    </cfRule>
    <cfRule type="expression" dxfId="210" priority="133">
      <formula>AND($C35=OFFSET($C35,-1,0,1,1),$G35=OFFSET($G35,-1,0,1,1),AP35=OFFSET(AP35,-1,0,1,1))</formula>
    </cfRule>
  </conditionalFormatting>
  <conditionalFormatting sqref="AP64">
    <cfRule type="expression" dxfId="209" priority="126">
      <formula>$B64="Project"</formula>
    </cfRule>
  </conditionalFormatting>
  <conditionalFormatting sqref="AP64">
    <cfRule type="expression" dxfId="208" priority="129">
      <formula>AND($C64=OFFSET($C64,-1,0,1,1),$G64=OFFSET($G64,-1,0,1,1),AP64&lt;&gt;OFFSET(AP64,-1,0,1,1))</formula>
    </cfRule>
  </conditionalFormatting>
  <conditionalFormatting sqref="AP64">
    <cfRule type="expression" dxfId="207" priority="125">
      <formula>$C64&lt;&gt;OFFSET($C64,-1,0,1,1)</formula>
    </cfRule>
  </conditionalFormatting>
  <conditionalFormatting sqref="AP64">
    <cfRule type="expression" dxfId="206" priority="127">
      <formula>AND($C64=OFFSET($C64,-1,0,1,1),$G64&lt;&gt;OFFSET($G64,-1,0,1,1))</formula>
    </cfRule>
    <cfRule type="expression" dxfId="205" priority="128">
      <formula>AND($C64=OFFSET($C64,-1,0,1,1),$G64=OFFSET($G64,-1,0,1,1),AP64=OFFSET(AP64,-1,0,1,1))</formula>
    </cfRule>
  </conditionalFormatting>
  <conditionalFormatting sqref="AP120">
    <cfRule type="expression" dxfId="204" priority="121">
      <formula>$B120="Project"</formula>
    </cfRule>
  </conditionalFormatting>
  <conditionalFormatting sqref="AP120">
    <cfRule type="expression" dxfId="203" priority="124">
      <formula>AND($C120=OFFSET($C120,-1,0,1,1),$G120=OFFSET($G120,-1,0,1,1),AP120&lt;&gt;OFFSET(AP120,-1,0,1,1))</formula>
    </cfRule>
  </conditionalFormatting>
  <conditionalFormatting sqref="AP120">
    <cfRule type="expression" dxfId="202" priority="120">
      <formula>$C120&lt;&gt;OFFSET($C120,-1,0,1,1)</formula>
    </cfRule>
  </conditionalFormatting>
  <conditionalFormatting sqref="AP120">
    <cfRule type="expression" dxfId="201" priority="122">
      <formula>AND($C120=OFFSET($C120,-1,0,1,1),$G120&lt;&gt;OFFSET($G120,-1,0,1,1))</formula>
    </cfRule>
    <cfRule type="expression" dxfId="200" priority="123">
      <formula>AND($C120=OFFSET($C120,-1,0,1,1),$G120=OFFSET($G120,-1,0,1,1),AP120=OFFSET(AP120,-1,0,1,1))</formula>
    </cfRule>
  </conditionalFormatting>
  <conditionalFormatting sqref="AP160 AP149">
    <cfRule type="expression" dxfId="199" priority="116">
      <formula>$B149="Project"</formula>
    </cfRule>
  </conditionalFormatting>
  <conditionalFormatting sqref="AP160 AP149">
    <cfRule type="expression" dxfId="198" priority="119">
      <formula>AND($C149=OFFSET($C149,-1,0,1,1),$G149=OFFSET($G149,-1,0,1,1),AP149&lt;&gt;OFFSET(AP149,-1,0,1,1))</formula>
    </cfRule>
  </conditionalFormatting>
  <conditionalFormatting sqref="AP160 AP149">
    <cfRule type="expression" dxfId="197" priority="115">
      <formula>$C149&lt;&gt;OFFSET($C149,-1,0,1,1)</formula>
    </cfRule>
  </conditionalFormatting>
  <conditionalFormatting sqref="AP160 AP149">
    <cfRule type="expression" dxfId="196" priority="117">
      <formula>AND($C149=OFFSET($C149,-1,0,1,1),$G149&lt;&gt;OFFSET($G149,-1,0,1,1))</formula>
    </cfRule>
    <cfRule type="expression" dxfId="195" priority="118">
      <formula>AND($C149=OFFSET($C149,-1,0,1,1),$G149=OFFSET($G149,-1,0,1,1),AP149=OFFSET(AP149,-1,0,1,1))</formula>
    </cfRule>
  </conditionalFormatting>
  <conditionalFormatting sqref="AP178:AP179">
    <cfRule type="expression" dxfId="194" priority="111">
      <formula>$B178="Project"</formula>
    </cfRule>
  </conditionalFormatting>
  <conditionalFormatting sqref="AP178:AP179">
    <cfRule type="expression" dxfId="193" priority="114">
      <formula>AND($C178=OFFSET($C178,-1,0,1,1),$G178=OFFSET($G178,-1,0,1,1),AP178&lt;&gt;OFFSET(AP178,-1,0,1,1))</formula>
    </cfRule>
  </conditionalFormatting>
  <conditionalFormatting sqref="AP178:AP179">
    <cfRule type="expression" dxfId="192" priority="110">
      <formula>$C178&lt;&gt;OFFSET($C178,-1,0,1,1)</formula>
    </cfRule>
  </conditionalFormatting>
  <conditionalFormatting sqref="AP178:AP179">
    <cfRule type="expression" dxfId="191" priority="112">
      <formula>AND($C178=OFFSET($C178,-1,0,1,1),$G178&lt;&gt;OFFSET($G178,-1,0,1,1))</formula>
    </cfRule>
    <cfRule type="expression" dxfId="190" priority="113">
      <formula>AND($C178=OFFSET($C178,-1,0,1,1),$G178=OFFSET($G178,-1,0,1,1),AP178=OFFSET(AP178,-1,0,1,1))</formula>
    </cfRule>
  </conditionalFormatting>
  <conditionalFormatting sqref="AP182">
    <cfRule type="expression" dxfId="189" priority="106">
      <formula>$B182="Project"</formula>
    </cfRule>
  </conditionalFormatting>
  <conditionalFormatting sqref="AP182">
    <cfRule type="expression" dxfId="188" priority="109">
      <formula>AND($C182=OFFSET($C182,-1,0,1,1),$G182=OFFSET($G182,-1,0,1,1),AP182&lt;&gt;OFFSET(AP182,-1,0,1,1))</formula>
    </cfRule>
  </conditionalFormatting>
  <conditionalFormatting sqref="AP182">
    <cfRule type="expression" dxfId="187" priority="105">
      <formula>$C182&lt;&gt;OFFSET($C182,-1,0,1,1)</formula>
    </cfRule>
  </conditionalFormatting>
  <conditionalFormatting sqref="AP182">
    <cfRule type="expression" dxfId="186" priority="107">
      <formula>AND($C182=OFFSET($C182,-1,0,1,1),$G182&lt;&gt;OFFSET($G182,-1,0,1,1))</formula>
    </cfRule>
    <cfRule type="expression" dxfId="185" priority="108">
      <formula>AND($C182=OFFSET($C182,-1,0,1,1),$G182=OFFSET($G182,-1,0,1,1),AP182=OFFSET(AP182,-1,0,1,1))</formula>
    </cfRule>
  </conditionalFormatting>
  <conditionalFormatting sqref="AP193">
    <cfRule type="expression" dxfId="184" priority="101">
      <formula>$B193="Project"</formula>
    </cfRule>
  </conditionalFormatting>
  <conditionalFormatting sqref="AP193">
    <cfRule type="expression" dxfId="183" priority="104">
      <formula>AND($C193=OFFSET($C193,-1,0,1,1),$G193=OFFSET($G193,-1,0,1,1),AP193&lt;&gt;OFFSET(AP193,-1,0,1,1))</formula>
    </cfRule>
  </conditionalFormatting>
  <conditionalFormatting sqref="AP193">
    <cfRule type="expression" dxfId="182" priority="100">
      <formula>$C193&lt;&gt;OFFSET($C193,-1,0,1,1)</formula>
    </cfRule>
  </conditionalFormatting>
  <conditionalFormatting sqref="AP193">
    <cfRule type="expression" dxfId="181" priority="102">
      <formula>AND($C193=OFFSET($C193,-1,0,1,1),$G193&lt;&gt;OFFSET($G193,-1,0,1,1))</formula>
    </cfRule>
    <cfRule type="expression" dxfId="180" priority="103">
      <formula>AND($C193=OFFSET($C193,-1,0,1,1),$G193=OFFSET($G193,-1,0,1,1),AP193=OFFSET(AP193,-1,0,1,1))</formula>
    </cfRule>
  </conditionalFormatting>
  <conditionalFormatting sqref="AP222">
    <cfRule type="expression" dxfId="179" priority="96">
      <formula>$B222="Project"</formula>
    </cfRule>
  </conditionalFormatting>
  <conditionalFormatting sqref="AP222">
    <cfRule type="expression" dxfId="178" priority="99">
      <formula>AND($C222=OFFSET($C222,-1,0,1,1),$G222=OFFSET($G222,-1,0,1,1),AP222&lt;&gt;OFFSET(AP222,-1,0,1,1))</formula>
    </cfRule>
  </conditionalFormatting>
  <conditionalFormatting sqref="AP222">
    <cfRule type="expression" dxfId="177" priority="95">
      <formula>$C222&lt;&gt;OFFSET($C222,-1,0,1,1)</formula>
    </cfRule>
  </conditionalFormatting>
  <conditionalFormatting sqref="AP222">
    <cfRule type="expression" dxfId="176" priority="97">
      <formula>AND($C222=OFFSET($C222,-1,0,1,1),$G222&lt;&gt;OFFSET($G222,-1,0,1,1))</formula>
    </cfRule>
    <cfRule type="expression" dxfId="175" priority="98">
      <formula>AND($C222=OFFSET($C222,-1,0,1,1),$G222=OFFSET($G222,-1,0,1,1),AP222=OFFSET(AP222,-1,0,1,1))</formula>
    </cfRule>
  </conditionalFormatting>
  <conditionalFormatting sqref="AP234">
    <cfRule type="expression" dxfId="174" priority="86">
      <formula>$B234="Project"</formula>
    </cfRule>
  </conditionalFormatting>
  <conditionalFormatting sqref="AP234">
    <cfRule type="expression" dxfId="173" priority="89">
      <formula>AND($C234=OFFSET($C234,-1,0,1,1),$G234=OFFSET($G234,-1,0,1,1),AP234&lt;&gt;OFFSET(AP234,-1,0,1,1))</formula>
    </cfRule>
  </conditionalFormatting>
  <conditionalFormatting sqref="AP234">
    <cfRule type="expression" dxfId="172" priority="85">
      <formula>$C234&lt;&gt;OFFSET($C234,-1,0,1,1)</formula>
    </cfRule>
  </conditionalFormatting>
  <conditionalFormatting sqref="AP234">
    <cfRule type="expression" dxfId="171" priority="87">
      <formula>AND($C234=OFFSET($C234,-1,0,1,1),$G234&lt;&gt;OFFSET($G234,-1,0,1,1))</formula>
    </cfRule>
    <cfRule type="expression" dxfId="170" priority="88">
      <formula>AND($C234=OFFSET($C234,-1,0,1,1),$G234=OFFSET($G234,-1,0,1,1),AP234=OFFSET(AP234,-1,0,1,1))</formula>
    </cfRule>
  </conditionalFormatting>
  <conditionalFormatting sqref="AP289 AP279">
    <cfRule type="expression" dxfId="169" priority="81">
      <formula>$B279="Project"</formula>
    </cfRule>
  </conditionalFormatting>
  <conditionalFormatting sqref="AP289 AP279">
    <cfRule type="expression" dxfId="168" priority="84">
      <formula>AND($C279=OFFSET($C279,-1,0,1,1),$G279=OFFSET($G279,-1,0,1,1),AP279&lt;&gt;OFFSET(AP279,-1,0,1,1))</formula>
    </cfRule>
  </conditionalFormatting>
  <conditionalFormatting sqref="AP289 AP279">
    <cfRule type="expression" dxfId="167" priority="80">
      <formula>$C279&lt;&gt;OFFSET($C279,-1,0,1,1)</formula>
    </cfRule>
  </conditionalFormatting>
  <conditionalFormatting sqref="AP289 AP279">
    <cfRule type="expression" dxfId="166" priority="82">
      <formula>AND($C279=OFFSET($C279,-1,0,1,1),$G279&lt;&gt;OFFSET($G279,-1,0,1,1))</formula>
    </cfRule>
    <cfRule type="expression" dxfId="165" priority="83">
      <formula>AND($C279=OFFSET($C279,-1,0,1,1),$G279=OFFSET($G279,-1,0,1,1),AP279=OFFSET(AP279,-1,0,1,1))</formula>
    </cfRule>
  </conditionalFormatting>
  <conditionalFormatting sqref="AP332 AP325">
    <cfRule type="expression" dxfId="164" priority="76">
      <formula>$B325="Project"</formula>
    </cfRule>
  </conditionalFormatting>
  <conditionalFormatting sqref="AP332 AP325">
    <cfRule type="expression" dxfId="163" priority="79">
      <formula>AND($C325=OFFSET($C325,-1,0,1,1),$G325=OFFSET($G325,-1,0,1,1),AP325&lt;&gt;OFFSET(AP325,-1,0,1,1))</formula>
    </cfRule>
  </conditionalFormatting>
  <conditionalFormatting sqref="AP332 AP325">
    <cfRule type="expression" dxfId="162" priority="75">
      <formula>$C325&lt;&gt;OFFSET($C325,-1,0,1,1)</formula>
    </cfRule>
  </conditionalFormatting>
  <conditionalFormatting sqref="AP332 AP325">
    <cfRule type="expression" dxfId="161" priority="77">
      <formula>AND($C325=OFFSET($C325,-1,0,1,1),$G325&lt;&gt;OFFSET($G325,-1,0,1,1))</formula>
    </cfRule>
    <cfRule type="expression" dxfId="160" priority="78">
      <formula>AND($C325=OFFSET($C325,-1,0,1,1),$G325=OFFSET($G325,-1,0,1,1),AP325=OFFSET(AP325,-1,0,1,1))</formula>
    </cfRule>
  </conditionalFormatting>
  <conditionalFormatting sqref="AP355">
    <cfRule type="expression" dxfId="159" priority="71">
      <formula>$B355="Project"</formula>
    </cfRule>
  </conditionalFormatting>
  <conditionalFormatting sqref="AP355">
    <cfRule type="expression" dxfId="158" priority="74">
      <formula>AND($C355=OFFSET($C355,-1,0,1,1),$G355=OFFSET($G355,-1,0,1,1),AP355&lt;&gt;OFFSET(AP355,-1,0,1,1))</formula>
    </cfRule>
  </conditionalFormatting>
  <conditionalFormatting sqref="AP355">
    <cfRule type="expression" dxfId="157" priority="70">
      <formula>$C355&lt;&gt;OFFSET($C355,-1,0,1,1)</formula>
    </cfRule>
  </conditionalFormatting>
  <conditionalFormatting sqref="AP355">
    <cfRule type="expression" dxfId="156" priority="72">
      <formula>AND($C355=OFFSET($C355,-1,0,1,1),$G355&lt;&gt;OFFSET($G355,-1,0,1,1))</formula>
    </cfRule>
    <cfRule type="expression" dxfId="155" priority="73">
      <formula>AND($C355=OFFSET($C355,-1,0,1,1),$G355=OFFSET($G355,-1,0,1,1),AP355=OFFSET(AP355,-1,0,1,1))</formula>
    </cfRule>
  </conditionalFormatting>
  <conditionalFormatting sqref="E23:AH23">
    <cfRule type="expression" dxfId="154" priority="65">
      <formula>AND($C23=OFFSET($C23,-1,0,1,1),$D23&lt;&gt;OFFSET($D23,-1,0,1,1))</formula>
    </cfRule>
  </conditionalFormatting>
  <conditionalFormatting sqref="E23:AH23 A23:B23">
    <cfRule type="expression" dxfId="153" priority="64">
      <formula>$C23&lt;&gt;OFFSET($C23,-1,0,1,1)</formula>
    </cfRule>
  </conditionalFormatting>
  <conditionalFormatting sqref="A23:AW23">
    <cfRule type="expression" dxfId="152" priority="63">
      <formula>AND(ISNUMBER(SEARCH("Summer Typical",A$2,1)),$A23="TAS1")</formula>
    </cfRule>
  </conditionalFormatting>
  <conditionalFormatting sqref="AL23:AO23 AW23 E23:AH23">
    <cfRule type="expression" dxfId="151" priority="62">
      <formula>MOD(E23,1)=0</formula>
    </cfRule>
  </conditionalFormatting>
  <conditionalFormatting sqref="E23:AH23">
    <cfRule type="expression" dxfId="150" priority="52">
      <formula>AND($C23=OFFSET($C23,-1,0,1,1),$D23=OFFSET($D23,-1,0,1,1),E23=OFFSET(E23,-1,0,1,1))</formula>
    </cfRule>
  </conditionalFormatting>
  <conditionalFormatting sqref="B23:AW23">
    <cfRule type="expression" dxfId="149" priority="59">
      <formula>$B23="Project"</formula>
    </cfRule>
  </conditionalFormatting>
  <conditionalFormatting sqref="AI23:AW23 D23">
    <cfRule type="expression" dxfId="148" priority="61">
      <formula>AND($C23=OFFSET($C23,-1,0,1,1),$D23&lt;&gt;OFFSET($D23,-1,0,1,1))</formula>
    </cfRule>
  </conditionalFormatting>
  <conditionalFormatting sqref="AI23:AW23 A23:B23">
    <cfRule type="expression" dxfId="147" priority="60">
      <formula>AND($C23=OFFSET($C23,-1,0,1,1),A23=OFFSET(A23,-1,0,1,1))</formula>
    </cfRule>
  </conditionalFormatting>
  <conditionalFormatting sqref="AI23:AW23 D23">
    <cfRule type="expression" dxfId="146" priority="55">
      <formula>$C23&lt;&gt;OFFSET($C23,-1,0,1,1)</formula>
    </cfRule>
  </conditionalFormatting>
  <conditionalFormatting sqref="AP23">
    <cfRule type="expression" dxfId="145" priority="54">
      <formula>SEARCH("Committed",$AP23,1)</formula>
    </cfRule>
  </conditionalFormatting>
  <conditionalFormatting sqref="AR23">
    <cfRule type="expression" dxfId="144" priority="53">
      <formula>OR(AND(ISNUMBER(DATEVALUE($V23)),MONTH(DATEVALUE($V23))=12,DATEVALUE("31/12/"&amp;TEXT(YEAR(DATEVALUE($V23)),"####"))&lt;TODAY()),AND(ISNUMBER(DATEVALUE($V23)),MONTH(DATEVALUE($V23))&lt;12,DATEVALUE("01/"&amp;TEXT(MONTH(DATEVALUE($V23))+1,"##")&amp;"/"&amp;TEXT(YEAR(DATEVALUE($V23)),"####"))-1&lt;TODAY()))</formula>
    </cfRule>
  </conditionalFormatting>
  <conditionalFormatting sqref="AU23">
    <cfRule type="cellIs" dxfId="143" priority="47" operator="equal">
      <formula>"Withdrawn"</formula>
    </cfRule>
    <cfRule type="cellIs" dxfId="142" priority="48" operator="equal">
      <formula>"Proposed"</formula>
    </cfRule>
    <cfRule type="cellIs" dxfId="141" priority="49" operator="equal">
      <formula>"Committed"</formula>
    </cfRule>
    <cfRule type="cellIs" dxfId="140" priority="50" operator="equal">
      <formula>"Upgrade"</formula>
    </cfRule>
    <cfRule type="cellIs" dxfId="139" priority="51" operator="equal">
      <formula>"Existing less Announced Withdrawal"</formula>
    </cfRule>
    <cfRule type="cellIs" dxfId="138" priority="66" operator="equal">
      <formula>"Announced Withdrawal"</formula>
    </cfRule>
  </conditionalFormatting>
  <conditionalFormatting sqref="C23">
    <cfRule type="expression" dxfId="137" priority="56">
      <formula>$C23&lt;&gt;OFFSET($C23,-1,0,1,1)</formula>
    </cfRule>
    <cfRule type="expression" dxfId="136" priority="57">
      <formula>$C23=OFFSET($C23,-1,0,1,1)</formula>
    </cfRule>
    <cfRule type="expression" dxfId="135" priority="58">
      <formula>$B23="Project"</formula>
    </cfRule>
  </conditionalFormatting>
  <conditionalFormatting sqref="AX23">
    <cfRule type="expression" dxfId="134" priority="45">
      <formula>$B23="Project"</formula>
    </cfRule>
  </conditionalFormatting>
  <conditionalFormatting sqref="AX23">
    <cfRule type="expression" dxfId="133" priority="44">
      <formula>$C23&lt;&gt;OFFSET($C23,-1,0,1,1)</formula>
    </cfRule>
  </conditionalFormatting>
  <conditionalFormatting sqref="AX23">
    <cfRule type="colorScale" priority="46">
      <colorScale>
        <cfvo type="min"/>
        <cfvo type="formula" val="TODAY()-365"/>
        <cfvo type="max"/>
        <color rgb="FFFFD1D1"/>
        <color theme="7" tint="0.79998168889431442"/>
        <color theme="0"/>
      </colorScale>
    </cfRule>
  </conditionalFormatting>
  <conditionalFormatting sqref="AX23">
    <cfRule type="expression" dxfId="132" priority="67">
      <formula>AND($C23=OFFSET($C23,-1,0,1,1),$G23=OFFSET($G23,-1,0,1,1),AX23&lt;&gt;OFFSET(AX23,-1,0,1,1))</formula>
    </cfRule>
  </conditionalFormatting>
  <conditionalFormatting sqref="AX23">
    <cfRule type="expression" dxfId="131" priority="68">
      <formula>AND($C23=OFFSET($C23,-1,0,1,1),$G23&lt;&gt;OFFSET($G23,-1,0,1,1))</formula>
    </cfRule>
    <cfRule type="expression" dxfId="130" priority="69">
      <formula>AND($C23=OFFSET($C23,-1,0,1,1),$G23=OFFSET($G23,-1,0,1,1),AX23=OFFSET(AX23,-1,0,1,1))</formula>
    </cfRule>
  </conditionalFormatting>
  <conditionalFormatting sqref="AP225">
    <cfRule type="expression" dxfId="129" priority="40">
      <formula>$B225="Project"</formula>
    </cfRule>
  </conditionalFormatting>
  <conditionalFormatting sqref="AP225">
    <cfRule type="expression" dxfId="128" priority="43">
      <formula>AND($C225=OFFSET($C225,-1,0,1,1),$G225=OFFSET($G225,-1,0,1,1),AP225&lt;&gt;OFFSET(AP225,-1,0,1,1))</formula>
    </cfRule>
  </conditionalFormatting>
  <conditionalFormatting sqref="AP225">
    <cfRule type="expression" dxfId="127" priority="39">
      <formula>$C225&lt;&gt;OFFSET($C225,-1,0,1,1)</formula>
    </cfRule>
  </conditionalFormatting>
  <conditionalFormatting sqref="AP225">
    <cfRule type="expression" dxfId="126" priority="41">
      <formula>AND($C225=OFFSET($C225,-1,0,1,1),$G225&lt;&gt;OFFSET($G225,-1,0,1,1))</formula>
    </cfRule>
    <cfRule type="expression" dxfId="125" priority="42">
      <formula>AND($C225=OFFSET($C225,-1,0,1,1),$G225=OFFSET($G225,-1,0,1,1),AP225=OFFSET(AP225,-1,0,1,1))</formula>
    </cfRule>
  </conditionalFormatting>
  <conditionalFormatting sqref="D231:AX231">
    <cfRule type="expression" dxfId="124" priority="37">
      <formula>AND($C231=OFFSET($C231,-1,0,1,1),$D231&lt;&gt;OFFSET($D231,-1,0,1,1))</formula>
    </cfRule>
  </conditionalFormatting>
  <conditionalFormatting sqref="D231:AX231 A231:B231">
    <cfRule type="expression" dxfId="123" priority="36">
      <formula>$C231&lt;&gt;OFFSET($C231,-1,0,1,1)</formula>
    </cfRule>
  </conditionalFormatting>
  <conditionalFormatting sqref="A231:AX231">
    <cfRule type="expression" dxfId="122" priority="35">
      <formula>AND(ISNUMBER(SEARCH("Summer Typical",A$2,1)),$A231="TAS1")</formula>
    </cfRule>
  </conditionalFormatting>
  <conditionalFormatting sqref="AL231:AO231 E231:AH231 AW231">
    <cfRule type="expression" dxfId="121" priority="34">
      <formula>MOD(E231,1)=0</formula>
    </cfRule>
  </conditionalFormatting>
  <conditionalFormatting sqref="E231:AH231">
    <cfRule type="expression" dxfId="120" priority="26">
      <formula>AND($C231=OFFSET($C231,-1,0,1,1),$D231=OFFSET($D231,-1,0,1,1),E231=OFFSET(E231,-1,0,1,1))</formula>
    </cfRule>
  </conditionalFormatting>
  <conditionalFormatting sqref="B231:AX231">
    <cfRule type="expression" dxfId="119" priority="32">
      <formula>$B231="Project"</formula>
    </cfRule>
  </conditionalFormatting>
  <conditionalFormatting sqref="AI231:AX231 A231:B231">
    <cfRule type="expression" dxfId="118" priority="33">
      <formula>AND($C231=OFFSET($C231,-1,0,1,1),A231=OFFSET(A231,-1,0,1,1))</formula>
    </cfRule>
  </conditionalFormatting>
  <conditionalFormatting sqref="AP231">
    <cfRule type="expression" dxfId="117" priority="28">
      <formula>SEARCH("Committed",$AP231,1)</formula>
    </cfRule>
  </conditionalFormatting>
  <conditionalFormatting sqref="AR231">
    <cfRule type="expression" dxfId="116" priority="27">
      <formula>OR(AND(ISNUMBER(DATEVALUE($V231)),MONTH(DATEVALUE($V231))=12,DATEVALUE("31/12/"&amp;TEXT(YEAR(DATEVALUE($V231)),"####"))&lt;TODAY()),AND(ISNUMBER(DATEVALUE($V231)),MONTH(DATEVALUE($V231))&lt;12,DATEVALUE("01/"&amp;TEXT(MONTH(DATEVALUE($V231))+1,"##")&amp;"/"&amp;TEXT(YEAR(DATEVALUE($V231)),"####"))-1&lt;TODAY()))</formula>
    </cfRule>
  </conditionalFormatting>
  <conditionalFormatting sqref="AU231">
    <cfRule type="cellIs" dxfId="115" priority="21" operator="equal">
      <formula>"Withdrawn"</formula>
    </cfRule>
    <cfRule type="cellIs" dxfId="114" priority="22" operator="equal">
      <formula>"Proposed"</formula>
    </cfRule>
    <cfRule type="cellIs" dxfId="113" priority="23" operator="equal">
      <formula>"Committed"</formula>
    </cfRule>
    <cfRule type="cellIs" dxfId="112" priority="24" operator="equal">
      <formula>"Upgrade"</formula>
    </cfRule>
    <cfRule type="cellIs" dxfId="111" priority="25" operator="equal">
      <formula>"Existing less Announced Withdrawal"</formula>
    </cfRule>
    <cfRule type="cellIs" dxfId="110" priority="38" operator="equal">
      <formula>"Announced Withdrawal"</formula>
    </cfRule>
  </conditionalFormatting>
  <conditionalFormatting sqref="C231">
    <cfRule type="expression" dxfId="109" priority="29">
      <formula>$C231&lt;&gt;OFFSET($C231,-1,0,1,1)</formula>
    </cfRule>
    <cfRule type="expression" dxfId="108" priority="30">
      <formula>$C231=OFFSET($C231,-1,0,1,1)</formula>
    </cfRule>
    <cfRule type="expression" dxfId="107" priority="31">
      <formula>$B231="Project"</formula>
    </cfRule>
  </conditionalFormatting>
  <conditionalFormatting sqref="E62:AH62">
    <cfRule type="expression" dxfId="106" priority="19">
      <formula>AND($C62=OFFSET($C62,-1,0,1,1),$D62&lt;&gt;OFFSET($D62,-1,0,1,1))</formula>
    </cfRule>
  </conditionalFormatting>
  <conditionalFormatting sqref="A62:B62 E62:AH62">
    <cfRule type="expression" dxfId="105" priority="18">
      <formula>$C62&lt;&gt;OFFSET($C62,-1,0,1,1)</formula>
    </cfRule>
  </conditionalFormatting>
  <conditionalFormatting sqref="A62:AX62">
    <cfRule type="expression" dxfId="104" priority="17">
      <formula>AND(ISNUMBER(SEARCH("Summer Typical",A$2,1)),$A62="TAS1")</formula>
    </cfRule>
  </conditionalFormatting>
  <conditionalFormatting sqref="AW62 AL62:AO62 E62:AH62">
    <cfRule type="expression" dxfId="103" priority="16">
      <formula>MOD(E62,1)=0</formula>
    </cfRule>
  </conditionalFormatting>
  <conditionalFormatting sqref="E62:AH62">
    <cfRule type="expression" dxfId="102" priority="6">
      <formula>AND($C62=OFFSET($C62,-1,0,1,1),$D62=OFFSET($D62,-1,0,1,1),E62=OFFSET(E62,-1,0,1,1))</formula>
    </cfRule>
  </conditionalFormatting>
  <conditionalFormatting sqref="B62:AX62">
    <cfRule type="expression" dxfId="101" priority="13">
      <formula>$B62="Project"</formula>
    </cfRule>
  </conditionalFormatting>
  <conditionalFormatting sqref="AI62:AX62 D62">
    <cfRule type="expression" dxfId="100" priority="15">
      <formula>AND($C62=OFFSET($C62,-1,0,1,1),$D62&lt;&gt;OFFSET($D62,-1,0,1,1))</formula>
    </cfRule>
  </conditionalFormatting>
  <conditionalFormatting sqref="AI62:AX62 A62:B62">
    <cfRule type="expression" dxfId="99" priority="14">
      <formula>AND($C62=OFFSET($C62,-1,0,1,1),A62=OFFSET(A62,-1,0,1,1))</formula>
    </cfRule>
  </conditionalFormatting>
  <conditionalFormatting sqref="AI62:AX62 D62">
    <cfRule type="expression" dxfId="98" priority="9">
      <formula>$C62&lt;&gt;OFFSET($C62,-1,0,1,1)</formula>
    </cfRule>
  </conditionalFormatting>
  <conditionalFormatting sqref="AP62">
    <cfRule type="expression" dxfId="97" priority="8">
      <formula>SEARCH("Committed",$AP62,1)</formula>
    </cfRule>
  </conditionalFormatting>
  <conditionalFormatting sqref="AR62">
    <cfRule type="expression" dxfId="96" priority="7">
      <formula>OR(AND(ISNUMBER(DATEVALUE($V62)),MONTH(DATEVALUE($V62))=12,DATEVALUE("31/12/"&amp;TEXT(YEAR(DATEVALUE($V62)),"####"))&lt;TODAY()),AND(ISNUMBER(DATEVALUE($V62)),MONTH(DATEVALUE($V62))&lt;12,DATEVALUE("01/"&amp;TEXT(MONTH(DATEVALUE($V62))+1,"##")&amp;"/"&amp;TEXT(YEAR(DATEVALUE($V62)),"####"))-1&lt;TODAY()))</formula>
    </cfRule>
  </conditionalFormatting>
  <conditionalFormatting sqref="AU62">
    <cfRule type="cellIs" dxfId="95" priority="1" operator="equal">
      <formula>"Withdrawn"</formula>
    </cfRule>
    <cfRule type="cellIs" dxfId="94" priority="2" operator="equal">
      <formula>"Proposed"</formula>
    </cfRule>
    <cfRule type="cellIs" dxfId="93" priority="3" operator="equal">
      <formula>"Committed"</formula>
    </cfRule>
    <cfRule type="cellIs" dxfId="92" priority="4" operator="equal">
      <formula>"Upgrade"</formula>
    </cfRule>
    <cfRule type="cellIs" dxfId="91" priority="5" operator="equal">
      <formula>"Existing less Announced Withdrawal"</formula>
    </cfRule>
    <cfRule type="cellIs" dxfId="90" priority="20" operator="equal">
      <formula>"Announced Withdrawal"</formula>
    </cfRule>
  </conditionalFormatting>
  <conditionalFormatting sqref="C62">
    <cfRule type="expression" dxfId="89" priority="10">
      <formula>$C62&lt;&gt;OFFSET($C62,-1,0,1,1)</formula>
    </cfRule>
    <cfRule type="expression" dxfId="88" priority="11">
      <formula>$C62=OFFSET($C62,-1,0,1,1)</formula>
    </cfRule>
    <cfRule type="expression" dxfId="87" priority="12">
      <formula>$B62="Project"</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ACC6AB6-B118-4B7C-B495-8B838015E36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C97"/>
  <sheetViews>
    <sheetView showGridLines="0" workbookViewId="0">
      <pane ySplit="1" topLeftCell="A2" activePane="bottomLeft" state="frozen"/>
      <selection activeCell="Q226" sqref="Q226:Q1090"/>
      <selection pane="bottomLeft"/>
    </sheetView>
  </sheetViews>
  <sheetFormatPr defaultColWidth="9.42578125" defaultRowHeight="15"/>
  <cols>
    <col min="1" max="1" width="40.42578125" style="2" bestFit="1" customWidth="1"/>
    <col min="2" max="2" width="48.5703125" style="2" bestFit="1" customWidth="1"/>
    <col min="3" max="3" width="11.85546875" style="2" customWidth="1"/>
    <col min="4" max="16384" width="9.42578125" style="2"/>
  </cols>
  <sheetData>
    <row r="1" spans="1:3" ht="45">
      <c r="A1" s="10" t="s">
        <v>3839</v>
      </c>
      <c r="B1" s="10" t="s">
        <v>3840</v>
      </c>
      <c r="C1" s="110" t="s">
        <v>3841</v>
      </c>
    </row>
    <row r="2" spans="1:3">
      <c r="A2" s="228" t="s">
        <v>3957</v>
      </c>
      <c r="B2" s="229" t="s">
        <v>1841</v>
      </c>
      <c r="C2" s="230">
        <v>44764</v>
      </c>
    </row>
    <row r="3" spans="1:3">
      <c r="A3" s="111" t="s">
        <v>3842</v>
      </c>
      <c r="B3" s="134" t="s">
        <v>2606</v>
      </c>
      <c r="C3" s="130">
        <v>44727</v>
      </c>
    </row>
    <row r="4" spans="1:3">
      <c r="A4" s="111" t="s">
        <v>411</v>
      </c>
      <c r="B4" s="134" t="s">
        <v>3843</v>
      </c>
      <c r="C4" s="130">
        <v>44712</v>
      </c>
    </row>
    <row r="5" spans="1:3">
      <c r="A5" s="111" t="s">
        <v>3844</v>
      </c>
      <c r="B5" s="134" t="s">
        <v>1711</v>
      </c>
      <c r="C5" s="130">
        <v>44484</v>
      </c>
    </row>
    <row r="6" spans="1:3">
      <c r="A6" s="111" t="s">
        <v>3845</v>
      </c>
      <c r="B6" s="134" t="s">
        <v>2082</v>
      </c>
      <c r="C6" s="130">
        <v>44484</v>
      </c>
    </row>
    <row r="7" spans="1:3">
      <c r="A7" s="111" t="s">
        <v>314</v>
      </c>
      <c r="B7" s="134" t="s">
        <v>2265</v>
      </c>
      <c r="C7" s="130">
        <v>44484</v>
      </c>
    </row>
    <row r="8" spans="1:3">
      <c r="A8" s="111" t="s">
        <v>3846</v>
      </c>
      <c r="B8" s="134" t="s">
        <v>137</v>
      </c>
      <c r="C8" s="130">
        <v>44484</v>
      </c>
    </row>
    <row r="9" spans="1:3">
      <c r="A9" s="111" t="s">
        <v>3847</v>
      </c>
      <c r="B9" s="134" t="s">
        <v>269</v>
      </c>
      <c r="C9" s="130">
        <v>44484</v>
      </c>
    </row>
    <row r="10" spans="1:3">
      <c r="A10" s="111" t="s">
        <v>368</v>
      </c>
      <c r="B10" s="134" t="s">
        <v>2337</v>
      </c>
      <c r="C10" s="130">
        <v>44384</v>
      </c>
    </row>
    <row r="11" spans="1:3">
      <c r="A11" s="111" t="s">
        <v>3848</v>
      </c>
      <c r="B11" s="134" t="s">
        <v>3849</v>
      </c>
      <c r="C11" s="130">
        <v>44384</v>
      </c>
    </row>
    <row r="12" spans="1:3">
      <c r="A12" s="111" t="s">
        <v>3850</v>
      </c>
      <c r="B12" s="134" t="s">
        <v>281</v>
      </c>
      <c r="C12" s="130">
        <v>44384</v>
      </c>
    </row>
    <row r="13" spans="1:3">
      <c r="A13" s="111" t="s">
        <v>289</v>
      </c>
      <c r="B13" s="134" t="s">
        <v>288</v>
      </c>
      <c r="C13" s="130">
        <v>44384</v>
      </c>
    </row>
    <row r="14" spans="1:3">
      <c r="A14" s="111" t="s">
        <v>601</v>
      </c>
      <c r="B14" s="134" t="s">
        <v>2208</v>
      </c>
      <c r="C14" s="130">
        <v>44384</v>
      </c>
    </row>
    <row r="15" spans="1:3">
      <c r="A15" s="111" t="s">
        <v>3851</v>
      </c>
      <c r="B15" s="134" t="s">
        <v>3852</v>
      </c>
      <c r="C15" s="130">
        <v>44320</v>
      </c>
    </row>
    <row r="16" spans="1:3">
      <c r="A16" s="111" t="s">
        <v>3853</v>
      </c>
      <c r="B16" s="134" t="s">
        <v>2182</v>
      </c>
      <c r="C16" s="130">
        <v>44320</v>
      </c>
    </row>
    <row r="17" spans="1:3">
      <c r="A17" s="111" t="s">
        <v>3854</v>
      </c>
      <c r="B17" s="134" t="s">
        <v>3855</v>
      </c>
      <c r="C17" s="130">
        <v>44320</v>
      </c>
    </row>
    <row r="18" spans="1:3">
      <c r="A18" s="111" t="s">
        <v>3856</v>
      </c>
      <c r="B18" s="134" t="s">
        <v>3188</v>
      </c>
      <c r="C18" s="130">
        <v>44320</v>
      </c>
    </row>
    <row r="19" spans="1:3">
      <c r="A19" s="111" t="s">
        <v>3857</v>
      </c>
      <c r="B19" s="134" t="s">
        <v>3189</v>
      </c>
      <c r="C19" s="130">
        <v>44320</v>
      </c>
    </row>
    <row r="20" spans="1:3">
      <c r="A20" s="111" t="s">
        <v>3858</v>
      </c>
      <c r="B20" s="134" t="s">
        <v>3190</v>
      </c>
      <c r="C20" s="130">
        <v>44320</v>
      </c>
    </row>
    <row r="21" spans="1:3">
      <c r="A21" s="111" t="s">
        <v>3859</v>
      </c>
      <c r="B21" s="134" t="s">
        <v>2126</v>
      </c>
      <c r="C21" s="130">
        <v>44320</v>
      </c>
    </row>
    <row r="22" spans="1:3" ht="22.5">
      <c r="A22" s="111" t="s">
        <v>3860</v>
      </c>
      <c r="B22" s="134" t="s">
        <v>186</v>
      </c>
      <c r="C22" s="130">
        <v>44320</v>
      </c>
    </row>
    <row r="23" spans="1:3">
      <c r="A23" s="111" t="s">
        <v>2182</v>
      </c>
      <c r="B23" s="134" t="s">
        <v>3853</v>
      </c>
      <c r="C23" s="130">
        <v>44225</v>
      </c>
    </row>
    <row r="24" spans="1:3">
      <c r="A24" s="111" t="s">
        <v>2182</v>
      </c>
      <c r="B24" s="134" t="s">
        <v>2180</v>
      </c>
      <c r="C24" s="130">
        <v>44225</v>
      </c>
    </row>
    <row r="25" spans="1:3">
      <c r="A25" s="111" t="s">
        <v>3861</v>
      </c>
      <c r="B25" s="112" t="s">
        <v>3697</v>
      </c>
      <c r="C25" s="130">
        <v>44225</v>
      </c>
    </row>
    <row r="26" spans="1:3">
      <c r="A26" s="111" t="s">
        <v>3862</v>
      </c>
      <c r="B26" s="112" t="s">
        <v>430</v>
      </c>
      <c r="C26" s="130">
        <v>44041</v>
      </c>
    </row>
    <row r="27" spans="1:3">
      <c r="A27" s="111" t="s">
        <v>3863</v>
      </c>
      <c r="B27" s="112" t="s">
        <v>3864</v>
      </c>
      <c r="C27" s="130">
        <v>44034</v>
      </c>
    </row>
    <row r="28" spans="1:3">
      <c r="A28" s="111" t="s">
        <v>3865</v>
      </c>
      <c r="B28" s="134" t="s">
        <v>468</v>
      </c>
      <c r="C28" s="130">
        <v>44034</v>
      </c>
    </row>
    <row r="29" spans="1:3">
      <c r="A29" s="111" t="s">
        <v>3865</v>
      </c>
      <c r="B29" s="112" t="s">
        <v>468</v>
      </c>
      <c r="C29" s="130">
        <v>44034</v>
      </c>
    </row>
    <row r="30" spans="1:3">
      <c r="A30" s="111" t="s">
        <v>3866</v>
      </c>
      <c r="B30" s="126" t="s">
        <v>2784</v>
      </c>
      <c r="C30" s="130">
        <v>44034</v>
      </c>
    </row>
    <row r="31" spans="1:3">
      <c r="A31" s="111" t="s">
        <v>3857</v>
      </c>
      <c r="B31" s="112" t="s">
        <v>3867</v>
      </c>
      <c r="C31" s="130">
        <v>44034</v>
      </c>
    </row>
    <row r="32" spans="1:3">
      <c r="A32" s="111" t="s">
        <v>3868</v>
      </c>
      <c r="B32" s="112" t="s">
        <v>2150</v>
      </c>
      <c r="C32" s="130">
        <v>43951</v>
      </c>
    </row>
    <row r="33" spans="1:3">
      <c r="A33" s="111" t="s">
        <v>3869</v>
      </c>
      <c r="B33" s="112" t="s">
        <v>314</v>
      </c>
      <c r="C33" s="187">
        <v>43951</v>
      </c>
    </row>
    <row r="34" spans="1:3">
      <c r="A34" s="111" t="s">
        <v>3870</v>
      </c>
      <c r="B34" s="112" t="s">
        <v>2871</v>
      </c>
      <c r="C34" s="188">
        <v>43951</v>
      </c>
    </row>
    <row r="35" spans="1:3">
      <c r="A35" s="111" t="s">
        <v>769</v>
      </c>
      <c r="B35" s="112" t="s">
        <v>361</v>
      </c>
      <c r="C35" s="130">
        <v>43781</v>
      </c>
    </row>
    <row r="36" spans="1:3">
      <c r="A36" s="111" t="s">
        <v>744</v>
      </c>
      <c r="B36" s="112" t="s">
        <v>485</v>
      </c>
      <c r="C36" s="130">
        <v>43781</v>
      </c>
    </row>
    <row r="37" spans="1:3">
      <c r="A37" s="111" t="s">
        <v>3871</v>
      </c>
      <c r="B37" s="112" t="s">
        <v>822</v>
      </c>
      <c r="C37" s="130">
        <v>43781</v>
      </c>
    </row>
    <row r="38" spans="1:3" ht="22.5">
      <c r="A38" s="111" t="s">
        <v>112</v>
      </c>
      <c r="B38" s="112" t="s">
        <v>111</v>
      </c>
      <c r="C38" s="130">
        <v>43781</v>
      </c>
    </row>
    <row r="39" spans="1:3">
      <c r="A39" s="111" t="s">
        <v>3872</v>
      </c>
      <c r="B39" s="112" t="s">
        <v>1515</v>
      </c>
      <c r="C39" s="130">
        <v>43664</v>
      </c>
    </row>
    <row r="40" spans="1:3">
      <c r="A40" s="111" t="s">
        <v>703</v>
      </c>
      <c r="B40" s="112" t="s">
        <v>632</v>
      </c>
      <c r="C40" s="130">
        <v>43664</v>
      </c>
    </row>
    <row r="41" spans="1:3">
      <c r="A41" s="111" t="s">
        <v>1589</v>
      </c>
      <c r="B41" s="112" t="s">
        <v>1589</v>
      </c>
      <c r="C41" s="130">
        <v>43664</v>
      </c>
    </row>
    <row r="42" spans="1:3">
      <c r="A42" s="111" t="s">
        <v>3873</v>
      </c>
      <c r="B42" s="112" t="s">
        <v>1592</v>
      </c>
      <c r="C42" s="130">
        <v>43664</v>
      </c>
    </row>
    <row r="43" spans="1:3">
      <c r="A43" s="111" t="s">
        <v>3874</v>
      </c>
      <c r="B43" s="112" t="s">
        <v>1593</v>
      </c>
      <c r="C43" s="130">
        <v>43664</v>
      </c>
    </row>
    <row r="44" spans="1:3">
      <c r="A44" s="111" t="s">
        <v>3875</v>
      </c>
      <c r="B44" s="112" t="s">
        <v>1594</v>
      </c>
      <c r="C44" s="130">
        <v>43664</v>
      </c>
    </row>
    <row r="45" spans="1:3">
      <c r="A45" s="111" t="s">
        <v>3876</v>
      </c>
      <c r="B45" s="112" t="s">
        <v>1595</v>
      </c>
      <c r="C45" s="130">
        <v>43664</v>
      </c>
    </row>
    <row r="46" spans="1:3">
      <c r="A46" s="111" t="s">
        <v>3877</v>
      </c>
      <c r="B46" s="112" t="s">
        <v>266</v>
      </c>
      <c r="C46" s="130">
        <v>43664</v>
      </c>
    </row>
    <row r="47" spans="1:3">
      <c r="A47" s="111" t="s">
        <v>3878</v>
      </c>
      <c r="B47" s="112" t="s">
        <v>266</v>
      </c>
      <c r="C47" s="130">
        <v>43664</v>
      </c>
    </row>
    <row r="48" spans="1:3">
      <c r="A48" s="111" t="s">
        <v>3879</v>
      </c>
      <c r="B48" s="112" t="s">
        <v>2332</v>
      </c>
      <c r="C48" s="130">
        <v>43664</v>
      </c>
    </row>
    <row r="49" spans="1:3">
      <c r="A49" s="111" t="s">
        <v>3880</v>
      </c>
      <c r="B49" s="112" t="s">
        <v>3881</v>
      </c>
      <c r="C49" s="130">
        <v>43664</v>
      </c>
    </row>
    <row r="50" spans="1:3">
      <c r="A50" s="111" t="s">
        <v>683</v>
      </c>
      <c r="B50" s="112" t="s">
        <v>242</v>
      </c>
      <c r="C50" s="130">
        <v>43664</v>
      </c>
    </row>
    <row r="51" spans="1:3">
      <c r="A51" s="111" t="s">
        <v>3882</v>
      </c>
      <c r="B51" s="112" t="s">
        <v>1755</v>
      </c>
      <c r="C51" s="130">
        <v>43664</v>
      </c>
    </row>
    <row r="52" spans="1:3">
      <c r="A52" s="111" t="s">
        <v>3882</v>
      </c>
      <c r="B52" s="112" t="s">
        <v>1982</v>
      </c>
      <c r="C52" s="130">
        <v>43664</v>
      </c>
    </row>
    <row r="53" spans="1:3">
      <c r="A53" s="111" t="s">
        <v>3883</v>
      </c>
      <c r="B53" s="112" t="s">
        <v>1901</v>
      </c>
      <c r="C53" s="130">
        <v>43664</v>
      </c>
    </row>
    <row r="54" spans="1:3">
      <c r="A54" s="111" t="s">
        <v>3884</v>
      </c>
      <c r="B54" s="112" t="s">
        <v>1951</v>
      </c>
      <c r="C54" s="130">
        <v>43664</v>
      </c>
    </row>
    <row r="55" spans="1:3">
      <c r="A55" s="111" t="s">
        <v>3885</v>
      </c>
      <c r="B55" s="112" t="s">
        <v>1964</v>
      </c>
      <c r="C55" s="130">
        <v>43664</v>
      </c>
    </row>
    <row r="56" spans="1:3">
      <c r="A56" s="111" t="s">
        <v>3885</v>
      </c>
      <c r="B56" s="112" t="s">
        <v>68</v>
      </c>
      <c r="C56" s="130">
        <v>43664</v>
      </c>
    </row>
    <row r="57" spans="1:3">
      <c r="A57" s="111" t="s">
        <v>3886</v>
      </c>
      <c r="B57" s="112" t="s">
        <v>295</v>
      </c>
      <c r="C57" s="130">
        <v>43664</v>
      </c>
    </row>
    <row r="58" spans="1:3">
      <c r="A58" s="111" t="s">
        <v>3887</v>
      </c>
      <c r="B58" s="112" t="s">
        <v>2051</v>
      </c>
      <c r="C58" s="130">
        <v>43664</v>
      </c>
    </row>
    <row r="59" spans="1:3">
      <c r="A59" s="111" t="s">
        <v>3888</v>
      </c>
      <c r="B59" s="112" t="s">
        <v>458</v>
      </c>
      <c r="C59" s="130">
        <v>43664</v>
      </c>
    </row>
    <row r="60" spans="1:3">
      <c r="A60" s="111" t="s">
        <v>3889</v>
      </c>
      <c r="B60" s="112" t="s">
        <v>2146</v>
      </c>
      <c r="C60" s="130">
        <v>43664</v>
      </c>
    </row>
    <row r="61" spans="1:3">
      <c r="A61" s="111" t="s">
        <v>739</v>
      </c>
      <c r="B61" s="112" t="s">
        <v>2053</v>
      </c>
      <c r="C61" s="130">
        <v>43664</v>
      </c>
    </row>
    <row r="62" spans="1:3">
      <c r="A62" s="111" t="s">
        <v>3890</v>
      </c>
      <c r="B62" s="112" t="s">
        <v>2185</v>
      </c>
      <c r="C62" s="130">
        <v>43664</v>
      </c>
    </row>
    <row r="63" spans="1:3">
      <c r="A63" s="111" t="s">
        <v>3891</v>
      </c>
      <c r="B63" s="112" t="s">
        <v>3892</v>
      </c>
      <c r="C63" s="130">
        <v>43664</v>
      </c>
    </row>
    <row r="64" spans="1:3">
      <c r="A64" s="111" t="s">
        <v>754</v>
      </c>
      <c r="B64" s="112" t="s">
        <v>479</v>
      </c>
      <c r="C64" s="130">
        <v>43664</v>
      </c>
    </row>
    <row r="65" spans="1:3">
      <c r="A65" s="111" t="s">
        <v>3893</v>
      </c>
      <c r="B65" s="112" t="s">
        <v>2435</v>
      </c>
      <c r="C65" s="130">
        <v>43664</v>
      </c>
    </row>
    <row r="66" spans="1:3">
      <c r="A66" s="111" t="s">
        <v>3894</v>
      </c>
      <c r="B66" s="112" t="s">
        <v>2438</v>
      </c>
      <c r="C66" s="130">
        <v>43664</v>
      </c>
    </row>
    <row r="67" spans="1:3">
      <c r="A67" s="111" t="s">
        <v>3895</v>
      </c>
      <c r="B67" s="112" t="s">
        <v>3896</v>
      </c>
      <c r="C67" s="130">
        <v>43664</v>
      </c>
    </row>
    <row r="68" spans="1:3">
      <c r="A68" s="111" t="s">
        <v>3897</v>
      </c>
      <c r="B68" s="112" t="s">
        <v>2544</v>
      </c>
      <c r="C68" s="130">
        <v>43664</v>
      </c>
    </row>
    <row r="69" spans="1:3">
      <c r="A69" s="111" t="s">
        <v>695</v>
      </c>
      <c r="B69" s="112" t="s">
        <v>492</v>
      </c>
      <c r="C69" s="130">
        <v>43664</v>
      </c>
    </row>
    <row r="70" spans="1:3">
      <c r="A70" s="111" t="s">
        <v>3898</v>
      </c>
      <c r="B70" s="112" t="s">
        <v>331</v>
      </c>
      <c r="C70" s="130">
        <v>43664</v>
      </c>
    </row>
    <row r="71" spans="1:3">
      <c r="A71" s="111" t="s">
        <v>3899</v>
      </c>
      <c r="B71" s="112" t="s">
        <v>474</v>
      </c>
      <c r="C71" s="130">
        <v>43664</v>
      </c>
    </row>
    <row r="72" spans="1:3">
      <c r="A72" s="111" t="s">
        <v>1015</v>
      </c>
      <c r="B72" s="112" t="s">
        <v>155</v>
      </c>
      <c r="C72" s="130">
        <v>43664</v>
      </c>
    </row>
    <row r="73" spans="1:3">
      <c r="A73" s="111" t="s">
        <v>3900</v>
      </c>
      <c r="B73" s="112" t="s">
        <v>106</v>
      </c>
      <c r="C73" s="130">
        <v>43664</v>
      </c>
    </row>
    <row r="74" spans="1:3">
      <c r="A74" s="111" t="s">
        <v>859</v>
      </c>
      <c r="B74" s="112" t="s">
        <v>2715</v>
      </c>
      <c r="C74" s="130">
        <v>43664</v>
      </c>
    </row>
    <row r="75" spans="1:3">
      <c r="A75" s="111" t="s">
        <v>3901</v>
      </c>
      <c r="B75" s="112" t="s">
        <v>3902</v>
      </c>
      <c r="C75" s="130">
        <v>43664</v>
      </c>
    </row>
    <row r="76" spans="1:3">
      <c r="A76" s="111" t="s">
        <v>2796</v>
      </c>
      <c r="B76" s="112" t="s">
        <v>274</v>
      </c>
      <c r="C76" s="130">
        <v>43664</v>
      </c>
    </row>
    <row r="77" spans="1:3">
      <c r="A77" s="111" t="s">
        <v>3903</v>
      </c>
      <c r="B77" s="112" t="s">
        <v>464</v>
      </c>
      <c r="C77" s="130">
        <v>43664</v>
      </c>
    </row>
    <row r="78" spans="1:3">
      <c r="A78" s="111" t="s">
        <v>3904</v>
      </c>
      <c r="B78" s="112" t="s">
        <v>2837</v>
      </c>
      <c r="C78" s="130">
        <v>43664</v>
      </c>
    </row>
    <row r="79" spans="1:3">
      <c r="A79" s="111" t="s">
        <v>3905</v>
      </c>
      <c r="B79" s="112" t="s">
        <v>507</v>
      </c>
      <c r="C79" s="130">
        <v>43664</v>
      </c>
    </row>
    <row r="80" spans="1:3">
      <c r="A80" s="111" t="s">
        <v>3852</v>
      </c>
      <c r="B80" s="112" t="s">
        <v>3851</v>
      </c>
      <c r="C80" s="130">
        <v>43664</v>
      </c>
    </row>
    <row r="81" spans="1:3">
      <c r="A81" s="111" t="s">
        <v>3906</v>
      </c>
      <c r="B81" s="112" t="s">
        <v>495</v>
      </c>
      <c r="C81" s="130">
        <v>43664</v>
      </c>
    </row>
    <row r="82" spans="1:3">
      <c r="A82" s="111" t="s">
        <v>3907</v>
      </c>
      <c r="B82" s="112" t="s">
        <v>257</v>
      </c>
      <c r="C82" s="130">
        <v>43664</v>
      </c>
    </row>
    <row r="83" spans="1:3">
      <c r="A83" s="111" t="s">
        <v>3908</v>
      </c>
      <c r="B83" s="112" t="s">
        <v>3909</v>
      </c>
      <c r="C83" s="130">
        <v>43664</v>
      </c>
    </row>
    <row r="84" spans="1:3">
      <c r="A84" s="111" t="s">
        <v>775</v>
      </c>
      <c r="B84" s="112" t="s">
        <v>271</v>
      </c>
      <c r="C84" s="130">
        <v>43664</v>
      </c>
    </row>
    <row r="85" spans="1:3">
      <c r="A85" s="111" t="s">
        <v>288</v>
      </c>
      <c r="B85" s="112" t="s">
        <v>289</v>
      </c>
      <c r="C85" s="130">
        <v>43664</v>
      </c>
    </row>
    <row r="86" spans="1:3">
      <c r="A86" s="111" t="s">
        <v>3405</v>
      </c>
      <c r="B86" s="112" t="s">
        <v>3910</v>
      </c>
      <c r="C86" s="130">
        <v>43664</v>
      </c>
    </row>
    <row r="87" spans="1:3">
      <c r="A87" s="111" t="s">
        <v>3911</v>
      </c>
      <c r="B87" s="112" t="s">
        <v>3857</v>
      </c>
      <c r="C87" s="130">
        <v>43664</v>
      </c>
    </row>
    <row r="88" spans="1:3">
      <c r="A88" s="111" t="s">
        <v>3911</v>
      </c>
      <c r="B88" s="112" t="s">
        <v>3858</v>
      </c>
      <c r="C88" s="130">
        <v>43664</v>
      </c>
    </row>
    <row r="89" spans="1:3">
      <c r="A89" s="111" t="s">
        <v>3912</v>
      </c>
      <c r="B89" s="112" t="s">
        <v>3859</v>
      </c>
      <c r="C89" s="130">
        <v>43664</v>
      </c>
    </row>
    <row r="90" spans="1:3">
      <c r="A90" s="111" t="s">
        <v>3912</v>
      </c>
      <c r="B90" s="112" t="s">
        <v>3913</v>
      </c>
      <c r="C90" s="130">
        <v>43664</v>
      </c>
    </row>
    <row r="91" spans="1:3">
      <c r="A91" s="111" t="s">
        <v>3914</v>
      </c>
      <c r="B91" s="112" t="s">
        <v>3915</v>
      </c>
      <c r="C91" s="130">
        <v>43664</v>
      </c>
    </row>
    <row r="92" spans="1:3">
      <c r="A92" s="111" t="s">
        <v>3914</v>
      </c>
      <c r="B92" s="112" t="s">
        <v>3861</v>
      </c>
      <c r="C92" s="130">
        <v>43664</v>
      </c>
    </row>
    <row r="93" spans="1:3">
      <c r="A93" s="185" t="s">
        <v>186</v>
      </c>
      <c r="B93" s="113" t="s">
        <v>3860</v>
      </c>
      <c r="C93" s="130">
        <v>43664</v>
      </c>
    </row>
    <row r="94" spans="1:3">
      <c r="A94" s="185" t="s">
        <v>3916</v>
      </c>
      <c r="B94" s="113" t="s">
        <v>3654</v>
      </c>
      <c r="C94" s="130">
        <v>43664</v>
      </c>
    </row>
    <row r="95" spans="1:3">
      <c r="A95" s="185" t="s">
        <v>762</v>
      </c>
      <c r="B95" s="113" t="s">
        <v>358</v>
      </c>
      <c r="C95" s="130">
        <v>43664</v>
      </c>
    </row>
    <row r="96" spans="1:3">
      <c r="A96" s="185" t="s">
        <v>111</v>
      </c>
      <c r="B96" s="113" t="s">
        <v>112</v>
      </c>
      <c r="C96" s="130">
        <v>43664</v>
      </c>
    </row>
    <row r="97" spans="1:3">
      <c r="A97" s="185" t="s">
        <v>759</v>
      </c>
      <c r="B97" s="113" t="s">
        <v>254</v>
      </c>
      <c r="C97" s="130">
        <v>43664</v>
      </c>
    </row>
  </sheetData>
  <sheetProtection algorithmName="SHA-512" hashValue="Bt/JXfa6RLUc1XyRKLbdpzDbxI8jyUzJCd2sT+4bv4omY6qK2JK/2UcHtmlOrXsWWLh4ORxcvXbGCs5hxjhSKg==" saltValue="g83vhR2TkMi67NVTvbEqSQ==" spinCount="100000" sheet="1" formatColumns="0" formatRows="0" sort="0" autoFilter="0" pivotTables="0"/>
  <autoFilter ref="A1:C97" xr:uid="{EF607CAB-9907-49CD-B10C-23E8F08D7840}"/>
  <sortState xmlns:xlrd2="http://schemas.microsoft.com/office/spreadsheetml/2017/richdata2" ref="A5:C97">
    <sortCondition descending="1" ref="C5:C97"/>
    <sortCondition ref="A5:A97"/>
  </sortState>
  <conditionalFormatting sqref="A3:A97">
    <cfRule type="expression" dxfId="33" priority="116">
      <formula>ISBLANK($A3)=FALSE</formula>
    </cfRule>
  </conditionalFormatting>
  <conditionalFormatting sqref="B3:C97">
    <cfRule type="expression" dxfId="32" priority="115">
      <formula>ISBLANK($A3)=FALSE</formula>
    </cfRule>
  </conditionalFormatting>
  <conditionalFormatting sqref="C3:C97">
    <cfRule type="expression" dxfId="31" priority="114">
      <formula>ISBLANK($C3)=FALSE</formula>
    </cfRule>
  </conditionalFormatting>
  <conditionalFormatting sqref="A11:C97 A9:C9 A6:C7">
    <cfRule type="expression" dxfId="30" priority="110">
      <formula>$C6&lt;&gt;OFFSET($C6,-1,0,1,1)</formula>
    </cfRule>
    <cfRule type="expression" dxfId="29" priority="111">
      <formula>$A6&lt;&gt;$A5</formula>
    </cfRule>
    <cfRule type="expression" dxfId="28" priority="112">
      <formula>A5=A6</formula>
    </cfRule>
    <cfRule type="expression" dxfId="27" priority="113">
      <formula>$A5=$A6</formula>
    </cfRule>
  </conditionalFormatting>
  <conditionalFormatting sqref="B5:C9 A3:C4">
    <cfRule type="expression" dxfId="26" priority="3691">
      <formula>$C3&lt;&gt;OFFSET($C3,-1,0,1,1)</formula>
    </cfRule>
    <cfRule type="expression" dxfId="25" priority="3692">
      <formula>$A3&lt;&gt;#REF!</formula>
    </cfRule>
    <cfRule type="expression" dxfId="24" priority="3693">
      <formula>#REF!=A3</formula>
    </cfRule>
    <cfRule type="expression" dxfId="23" priority="3694">
      <formula>#REF!=$A3</formula>
    </cfRule>
  </conditionalFormatting>
  <conditionalFormatting sqref="A5:A9">
    <cfRule type="expression" dxfId="22" priority="3695">
      <formula>$C5&lt;&gt;OFFSET($C5,-1,0,1,1)</formula>
    </cfRule>
    <cfRule type="expression" dxfId="21" priority="3696">
      <formula>$A5&lt;&gt;#REF!</formula>
    </cfRule>
    <cfRule type="expression" dxfId="20" priority="3697">
      <formula>#REF!=A5</formula>
    </cfRule>
    <cfRule type="expression" dxfId="19" priority="3698">
      <formula>#REF!=$A5</formula>
    </cfRule>
  </conditionalFormatting>
  <conditionalFormatting sqref="A8:C8">
    <cfRule type="expression" dxfId="18" priority="4438">
      <formula>$C8&lt;&gt;OFFSET($C8,-1,0,1,1)</formula>
    </cfRule>
    <cfRule type="expression" dxfId="17" priority="4439">
      <formula>$A8&lt;&gt;$A6</formula>
    </cfRule>
    <cfRule type="expression" dxfId="16" priority="4440">
      <formula>A6=A8</formula>
    </cfRule>
    <cfRule type="expression" dxfId="15" priority="4441">
      <formula>$A6=$A8</formula>
    </cfRule>
  </conditionalFormatting>
  <conditionalFormatting sqref="A10:C10">
    <cfRule type="expression" dxfId="14" priority="5165">
      <formula>$C10&lt;&gt;OFFSET($C10,-1,0,1,1)</formula>
    </cfRule>
    <cfRule type="expression" dxfId="13" priority="5166">
      <formula>$A10&lt;&gt;$A1</formula>
    </cfRule>
    <cfRule type="expression" dxfId="12" priority="5167">
      <formula>A1=A10</formula>
    </cfRule>
    <cfRule type="expression" dxfId="11" priority="5168">
      <formula>$A1=$A10</formula>
    </cfRule>
  </conditionalFormatting>
  <conditionalFormatting sqref="A5:B5">
    <cfRule type="expression" dxfId="10" priority="5169">
      <formula>$C5&lt;&gt;OFFSET($C5,-1,0,1,1)</formula>
    </cfRule>
    <cfRule type="expression" dxfId="9" priority="5170">
      <formula>$A5&lt;&gt;$A1</formula>
    </cfRule>
    <cfRule type="expression" dxfId="8" priority="5171">
      <formula>A1=A5</formula>
    </cfRule>
    <cfRule type="expression" dxfId="7" priority="5172">
      <formula>$A1=$A5</formula>
    </cfRule>
  </conditionalFormatting>
  <conditionalFormatting sqref="A2">
    <cfRule type="expression" dxfId="6" priority="3">
      <formula>ISBLANK($A2)=FALSE</formula>
    </cfRule>
  </conditionalFormatting>
  <conditionalFormatting sqref="B2:C2">
    <cfRule type="expression" dxfId="5" priority="2">
      <formula>ISBLANK($A2)=FALSE</formula>
    </cfRule>
  </conditionalFormatting>
  <conditionalFormatting sqref="C2">
    <cfRule type="expression" dxfId="4" priority="1">
      <formula>ISBLANK($C2)=FALSE</formula>
    </cfRule>
  </conditionalFormatting>
  <conditionalFormatting sqref="A2:C2">
    <cfRule type="expression" dxfId="3" priority="4">
      <formula>$C2&lt;&gt;OFFSET($C2,-1,0,1,1)</formula>
    </cfRule>
    <cfRule type="expression" dxfId="2" priority="5">
      <formula>$A2&lt;&gt;#REF!</formula>
    </cfRule>
    <cfRule type="expression" dxfId="1" priority="6">
      <formula>#REF!=A2</formula>
    </cfRule>
    <cfRule type="expression" dxfId="0" priority="7">
      <formula>#REF!=$A2</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36b1904-91de-4886-bc24-7a478f15bd7e" xsi:nil="true"/>
    <lcf76f155ced4ddcb4097134ff3c332f xmlns="736b1904-91de-4886-bc24-7a478f15bd7e">
      <Terms xmlns="http://schemas.microsoft.com/office/infopath/2007/PartnerControls"/>
    </lcf76f155ced4ddcb4097134ff3c332f>
    <TaxCatchAll xmlns="5d1a2284-45bc-4927-a9f9-e51f9f17c21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5" ma:contentTypeDescription="Create a new document." ma:contentTypeScope="" ma:versionID="c63227eb20b558e016d0797493dfc0cf">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8c6bc3d8f344292fc82fde39d87cd22d"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5C368B-2F91-405D-8CC0-A9D7898278E0}">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5d1a2284-45bc-4927-a9f9-e51f9f17c21a"/>
    <ds:schemaRef ds:uri="719b3e7a-2613-4a49-9d18-67bceaacb3ee"/>
    <ds:schemaRef ds:uri="736b1904-91de-4886-bc24-7a478f15bd7e"/>
    <ds:schemaRef ds:uri="http://www.w3.org/XML/1998/namespace"/>
    <ds:schemaRef ds:uri="http://purl.org/dc/dcmitype/"/>
  </ds:schemaRefs>
</ds:datastoreItem>
</file>

<file path=customXml/itemProps2.xml><?xml version="1.0" encoding="utf-8"?>
<ds:datastoreItem xmlns:ds="http://schemas.openxmlformats.org/officeDocument/2006/customXml" ds:itemID="{AF770BFD-3F85-4591-B99D-7606B29111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D66856-67E5-4AB6-82A7-82457C804E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Summary</vt:lpstr>
      <vt:lpstr>Change Log</vt:lpstr>
      <vt:lpstr>Background Information</vt:lpstr>
      <vt:lpstr>How to filter</vt:lpstr>
      <vt:lpstr>ExistingGeneration&amp;NewDevs</vt:lpstr>
      <vt:lpstr>Scheduled Capacities</vt:lpstr>
      <vt:lpstr>Site name changes</vt:lpstr>
      <vt:lpstr>'Background Information'!Print_Area</vt:lpstr>
      <vt:lpstr>'Change Log'!Print_Area</vt:lpstr>
      <vt:lpstr>'ExistingGeneration&amp;NewDevs'!Print_Area</vt:lpstr>
      <vt:lpstr>'How to filter'!Print_Area</vt:lpstr>
      <vt:lpstr>'Scheduled Capacities'!Print_Area</vt:lpstr>
      <vt:lpstr>'Site name changes'!Print_Area</vt:lpstr>
      <vt:lpstr>'Change Log'!Print_Titles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2022-07-19T05:00:14Z</dcterms:created>
  <dcterms:modified xsi:type="dcterms:W3CDTF">2022-07-21T00:18:23Z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0x010100D4D2CC6AFC985844AD376A4415D80D5E</vt:lpwstr>
  </property>
</Properties>
</file>