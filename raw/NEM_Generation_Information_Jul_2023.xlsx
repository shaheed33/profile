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66925"/>
  <xr:revisionPtr revIDLastSave="0" documentId="13_ncr:1_{27F9FDD4-6F6D-458C-84CB-656855DC4FBC}" xr6:coauthVersionLast="47" xr6:coauthVersionMax="47" xr10:uidLastSave="{00000000-0000-0000-0000-000000000000}"/>
  <bookViews>
    <workbookView xWindow="17820" yWindow="-16425" windowWidth="29040" windowHeight="15840" xr2:uid="{3727E358-C32F-43A3-81EE-7C75B7BBA8A3}"/>
  </bookViews>
  <sheets>
    <sheet name="Summary" sheetId="9" r:id="rId1"/>
    <sheet name="Change Log" sheetId="31" r:id="rId2"/>
    <sheet name="Background Information" sheetId="10" r:id="rId3"/>
    <sheet name="How to filter" sheetId="27" r:id="rId4"/>
    <sheet name="ExistingGeneration&amp;NewDevs" sheetId="30" r:id="rId5"/>
    <sheet name="Scheduled Capacities" sheetId="29" r:id="rId6"/>
    <sheet name="Site name changes" sheetId="26" r:id="rId7"/>
  </sheets>
  <definedNames>
    <definedName name="_xlnm._FilterDatabase" localSheetId="4" hidden="1">'ExistingGeneration&amp;NewDevs'!$A$1:$Y$1</definedName>
    <definedName name="_xlnm._FilterDatabase" localSheetId="6" hidden="1">'Site name changes'!$A$1:$C$114</definedName>
    <definedName name="ExternalData_3" localSheetId="4" hidden="1">'ExistingGeneration&amp;NewDevs'!$A$2:$Y$1417</definedName>
    <definedName name="ExternalData_4" localSheetId="5" hidden="1">'Scheduled Capacities'!$A$2:$AW$342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1" l="1"/>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I40" i="9" l="1"/>
  <c r="J40" i="9"/>
  <c r="N44" i="9"/>
  <c r="N42" i="9"/>
  <c r="F40" i="9"/>
  <c r="M40" i="9"/>
  <c r="E40" i="9"/>
  <c r="N46" i="9"/>
  <c r="N45" i="9"/>
  <c r="N43" i="9"/>
  <c r="L40" i="9"/>
  <c r="H40" i="9"/>
  <c r="K40" i="9"/>
  <c r="G40" i="9"/>
  <c r="N47" i="9"/>
  <c r="D40" i="9"/>
  <c r="N41" i="9"/>
  <c r="N40" i="9" l="1"/>
  <c r="B37" i="9" l="1"/>
  <c r="B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<sst xmlns="http://schemas.openxmlformats.org/spreadsheetml/2006/main" count="24187" uniqueCount="4008">
  <si>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</si>
  <si>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</si>
  <si>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</si>
  <si>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</si>
  <si>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</si>
  <si>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</si>
  <si>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</si>
  <si>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NEM</t>
  </si>
  <si>
    <t>Dispatch Type</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</si>
  <si>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</si>
  <si>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</si>
  <si>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</si>
  <si>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</si>
  <si>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</si>
  <si>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</si>
  <si>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</si>
  <si>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</si>
  <si>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</si>
  <si>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</si>
  <si>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</si>
  <si>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</si>
  <si>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</si>
  <si>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</si>
  <si>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</si>
  <si>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</si>
  <si>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</si>
  <si>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</si>
  <si>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</si>
  <si>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</si>
  <si>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</si>
  <si>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</si>
  <si>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</si>
  <si>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</si>
  <si>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</si>
  <si>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</si>
  <si>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</si>
  <si>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</si>
  <si>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</si>
  <si>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</si>
  <si>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</si>
  <si>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t>
  </si>
  <si>
    <t>Owner</t>
  </si>
  <si>
    <t>DUID(s)</t>
  </si>
  <si>
    <t>Note</t>
  </si>
  <si>
    <t>Effective Date</t>
  </si>
  <si>
    <t>NSW1</t>
  </si>
  <si>
    <t>Project commitment</t>
  </si>
  <si>
    <t>Bango 999 Wind Farm</t>
  </si>
  <si>
    <t>BWF Nominees Pty Ltd as trustee for the BWF Trust</t>
  </si>
  <si>
    <t>BANGOWF2</t>
  </si>
  <si>
    <t>From In Commissioning to In Service</t>
  </si>
  <si>
    <t>Informative note</t>
  </si>
  <si>
    <t>Liddell</t>
  </si>
  <si>
    <t>AGL Macquarie Pty Limited</t>
  </si>
  <si>
    <t>LD01</t>
  </si>
  <si>
    <t>Withdrawn - Reached End of Life</t>
  </si>
  <si>
    <t>LD02</t>
  </si>
  <si>
    <t>LD04</t>
  </si>
  <si>
    <t>New England Solar Farm BESS</t>
  </si>
  <si>
    <t>ACEN RENEWABLES</t>
  </si>
  <si>
    <t>From Publicly Announced to Anticipated</t>
  </si>
  <si>
    <t>Shoalhaven Expansion</t>
  </si>
  <si>
    <t>Origin Energy</t>
  </si>
  <si>
    <t>Project discontinued</t>
  </si>
  <si>
    <t>Stubbo Solar Farm</t>
  </si>
  <si>
    <t>ACEN AUSTRALIA</t>
  </si>
  <si>
    <t>From Publicly Announced to Committed</t>
  </si>
  <si>
    <t>Vales Point B</t>
  </si>
  <si>
    <t>Delta Electricity</t>
  </si>
  <si>
    <t>VP5, VP6</t>
  </si>
  <si>
    <t>Waratah Super Battery</t>
  </si>
  <si>
    <t>Munmorah Battery Projectco Pty Ltd</t>
  </si>
  <si>
    <t>WARATAH</t>
  </si>
  <si>
    <t>From Anticipated to Committed*</t>
  </si>
  <si>
    <t>West Wyalong Solar Farm</t>
  </si>
  <si>
    <t>Lightsource Australia</t>
  </si>
  <si>
    <t>In Service</t>
  </si>
  <si>
    <t>QLD1</t>
  </si>
  <si>
    <t>Borumba</t>
  </si>
  <si>
    <t>Queensland Hydro</t>
  </si>
  <si>
    <t>Bouldercombe Battery project</t>
  </si>
  <si>
    <t>Genex Power Limited</t>
  </si>
  <si>
    <t>Karara</t>
  </si>
  <si>
    <t>CLEANCO</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</si>
  <si>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</si>
  <si>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</si>
  <si>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</si>
  <si>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</si>
  <si>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</si>
  <si>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</si>
  <si>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</si>
  <si>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SA1</t>
  </si>
  <si>
    <t>Goyder South Hub - Solar</t>
  </si>
  <si>
    <t>Neoen</t>
  </si>
  <si>
    <t>Mannum Solar Farm 2</t>
  </si>
  <si>
    <t>Mannum Stage 2 SubCo Pty Ltd as trustee for the Mannum Stage 2 Unit Trust
Mannum Stage 2 Subco Pty Ltd (Epic)</t>
  </si>
  <si>
    <t>MANSF2</t>
  </si>
  <si>
    <t>Port Augusta Renewable Energy Park - Solar</t>
  </si>
  <si>
    <t>PAREP 1 Pty Ltd</t>
  </si>
  <si>
    <t>Templers BESS</t>
  </si>
  <si>
    <t>ZEN Energy Future Pty Ltd</t>
  </si>
  <si>
    <t>Torrens Island BESS</t>
  </si>
  <si>
    <t>TIPSCO</t>
  </si>
  <si>
    <t xml:space="preserve">TIBG1 / TIPL1
</t>
  </si>
  <si>
    <t>From Committed to In Commissioning</t>
  </si>
  <si>
    <t>TAS1</t>
  </si>
  <si>
    <t>George Town Solar</t>
  </si>
  <si>
    <t>Ark Energy</t>
  </si>
  <si>
    <t>Wesley Vale Solar</t>
  </si>
  <si>
    <t>Epuron Projects Pty Ltd</t>
  </si>
  <si>
    <t>VIC1</t>
  </si>
  <si>
    <t>Berrybank Wind Farm</t>
  </si>
  <si>
    <t>Berrbank Development Pty ltd</t>
  </si>
  <si>
    <t>BRYB2WF2</t>
  </si>
  <si>
    <t>Cohuna Solar Farm</t>
  </si>
  <si>
    <t>Enel Green Power Australia Pty Ltd</t>
  </si>
  <si>
    <t>COHUNSF1</t>
  </si>
  <si>
    <t>Hawkesdale Wind Farm</t>
  </si>
  <si>
    <t>Hawkesdale Asset Pty Ltd as trustee for Hawkesdale Asset Trust</t>
  </si>
  <si>
    <t xml:space="preserve">Koorangie Energy Storage System </t>
  </si>
  <si>
    <t>Edify Energy</t>
  </si>
  <si>
    <t>Loy Yang A Power Station</t>
  </si>
  <si>
    <t>AGL Loy Yang Marketing Pty Ltd</t>
  </si>
  <si>
    <t>LYA2</t>
  </si>
  <si>
    <t>Unit upgrade discontinued</t>
  </si>
  <si>
    <t>Lubeck Wind Farm - KCI</t>
  </si>
  <si>
    <t xml:space="preserve"> Wind Prospect Pty Ltd</t>
  </si>
  <si>
    <t>Philip Island BESS</t>
  </si>
  <si>
    <t>Mondo Power
Mondo</t>
  </si>
  <si>
    <t>PIBESSG1</t>
  </si>
  <si>
    <t>Rangebank BESS</t>
  </si>
  <si>
    <t>Shell New Energies Australia Pty Ltd</t>
  </si>
  <si>
    <t>Tulkara Wind Farm - KCI</t>
  </si>
  <si>
    <t>Wunghnu Solar Farm</t>
  </si>
  <si>
    <t>Lightsource Development Services Australia</t>
  </si>
  <si>
    <t>101 Miller Street</t>
  </si>
  <si>
    <t>Cogent Energy Pty Ltd</t>
  </si>
  <si>
    <t>Project retired</t>
  </si>
  <si>
    <t>20 Bond St</t>
  </si>
  <si>
    <t>8 Chifley Place</t>
  </si>
  <si>
    <t>Closure year updated</t>
  </si>
  <si>
    <t>Armidale BESS (150)</t>
  </si>
  <si>
    <t>Neoen Australia Pty Ltd</t>
  </si>
  <si>
    <t>Blackmores</t>
  </si>
  <si>
    <t>Bonshaw Solar Farm</t>
  </si>
  <si>
    <t>GAIA Australia Pty Ltd</t>
  </si>
  <si>
    <t>Walcha Energy Pty Ltd</t>
  </si>
  <si>
    <t>Capital Battery</t>
  </si>
  <si>
    <t xml:space="preserve"> Neoen Australia Pty Ltd
		</t>
  </si>
  <si>
    <t xml:space="preserve">CBESS1
</t>
  </si>
  <si>
    <t>Photon Energy</t>
  </si>
  <si>
    <t>Daandine Power Station</t>
  </si>
  <si>
    <t>APT Petroleum Pipeline Holdings Pty Ltd.</t>
  </si>
  <si>
    <t>Erskine Park</t>
  </si>
  <si>
    <t>Finley Solar Project</t>
  </si>
  <si>
    <t>Vena Energy</t>
  </si>
  <si>
    <t>Gilgandra Solar Farm</t>
  </si>
  <si>
    <t>Gullen Range Wind Farm 2</t>
  </si>
  <si>
    <t>BEIJING JINGNENG CLEAN ENERGY (AUSTRALIA) HOLDING PTY LTD</t>
  </si>
  <si>
    <t>GULLRWF2</t>
  </si>
  <si>
    <t>X-Elio Australia Pty Ltd</t>
  </si>
  <si>
    <t>Hunter Valley GT</t>
  </si>
  <si>
    <t>AGL Energy</t>
  </si>
  <si>
    <t>HVGTS</t>
  </si>
  <si>
    <t>LD3</t>
  </si>
  <si>
    <t>Generation unit retired</t>
  </si>
  <si>
    <t>Piambong Wind Farm - KCI</t>
  </si>
  <si>
    <t>Piambong Wind Farm Pty Ltd
NEMMCO</t>
  </si>
  <si>
    <t>Battery unit removed</t>
  </si>
  <si>
    <t xml:space="preserve">Salisbury BESS 		</t>
  </si>
  <si>
    <t>Project (Survey Id : 1678) discontinued, replaced with Salisbury BESS (2452)</t>
  </si>
  <si>
    <t>Salisbury East Solar 350MW</t>
  </si>
  <si>
    <t>Tenterfield Solar Farm</t>
  </si>
  <si>
    <t>Enerparc Australia Pty Ltd</t>
  </si>
  <si>
    <t xml:space="preserve">Uralla BESS   </t>
  </si>
  <si>
    <t>Uungula Wind Farm</t>
  </si>
  <si>
    <t>Uungula Wind Farm Pty Ltd</t>
  </si>
  <si>
    <t>Walla Walla Solar Farm</t>
  </si>
  <si>
    <t>FRV Australia (Walla Walla Asset Co Pty Ltd (ACN 634 728 868) as trustee for the Walla Walla Asset Trust)</t>
  </si>
  <si>
    <t xml:space="preserve">WLWLSF
</t>
  </si>
  <si>
    <t>From Anticipated to Committed</t>
  </si>
  <si>
    <t>FRV Services Australia Pty Ltd</t>
  </si>
  <si>
    <t>Wollar Solar Farm</t>
  </si>
  <si>
    <t>Wollar Solar Development Pty Ltd</t>
  </si>
  <si>
    <t>Birkdale</t>
  </si>
  <si>
    <t>LMS ENERGY Pty Ltd</t>
  </si>
  <si>
    <t>Braemar</t>
  </si>
  <si>
    <t>Braemar Power Project Pty Ltd</t>
  </si>
  <si>
    <t>BRAEMAR1</t>
  </si>
  <si>
    <t>Capacity reinstated to 188 from 173</t>
  </si>
  <si>
    <t>Central Renewable Energy Zone BESS</t>
  </si>
  <si>
    <t>Stanwell Corporation Ltd</t>
  </si>
  <si>
    <t>Coopers Gap Wind Farm</t>
  </si>
  <si>
    <t>PARF Company 6 Pty Limited</t>
  </si>
  <si>
    <t>COOPGWF1</t>
  </si>
  <si>
    <t>SolarQ Pty Ltd</t>
  </si>
  <si>
    <t>Miles BESS Project</t>
  </si>
  <si>
    <t>TBSOL</t>
  </si>
  <si>
    <t>Battery added</t>
  </si>
  <si>
    <t>CleanCo QLD Limited</t>
  </si>
  <si>
    <t>Upper Burdekin Wind Farm - KCI</t>
  </si>
  <si>
    <t>UPPER BURDEKIN WIND FARM PTY LTD</t>
  </si>
  <si>
    <t>UBBATT1</t>
  </si>
  <si>
    <t>Battery unit added</t>
  </si>
  <si>
    <t>Western Downs Green Power Hub P/L</t>
  </si>
  <si>
    <t>Western Downs Green Power Hub Pty Ltd</t>
  </si>
  <si>
    <t>WDGPH1</t>
  </si>
  <si>
    <t>Wivenhoe Small Hydro</t>
  </si>
  <si>
    <t>Stanwell Corporation Limited</t>
  </si>
  <si>
    <t>WIVENSH</t>
  </si>
  <si>
    <t>Bolivar Power Station</t>
  </si>
  <si>
    <t>Iberdrola Australia Energy Markets Pty Limited</t>
  </si>
  <si>
    <t>BOLIVPS1</t>
  </si>
  <si>
    <t>From Committed to In Service</t>
  </si>
  <si>
    <t>Bungala Two Solar Farm</t>
  </si>
  <si>
    <t>Enel Green Power</t>
  </si>
  <si>
    <t>BNGSF2</t>
  </si>
  <si>
    <t>Carmodys Hill Wind Farm</t>
  </si>
  <si>
    <t>Georgetown Hills Renewable Energy Pty Ltd</t>
  </si>
  <si>
    <t>Chaff Mill (Mintaro) BESS</t>
  </si>
  <si>
    <t xml:space="preserve">CHMLBESS
</t>
  </si>
  <si>
    <t>Solar Farm removed</t>
  </si>
  <si>
    <t>Cultana Solar Farm</t>
  </si>
  <si>
    <t>Cultana Solar Project Company Pty Ltd as trustee for the Cultana Solar Farm Trust</t>
  </si>
  <si>
    <t>Keyneton Wind Farm</t>
  </si>
  <si>
    <t>EDL LFG SA Pty Ltd</t>
  </si>
  <si>
    <t>Pelican Point Power Limited</t>
  </si>
  <si>
    <t>Energy Pacific Vic Pty Ltd</t>
  </si>
  <si>
    <t>Battery of the Nation - Stage 1</t>
  </si>
  <si>
    <t>Hydro Tasmania</t>
  </si>
  <si>
    <t>Project record removed</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</si>
  <si>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</si>
  <si>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</si>
  <si>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</si>
  <si>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</si>
  <si>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</si>
  <si>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</si>
  <si>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</si>
  <si>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</si>
  <si>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ACEnergy</t>
  </si>
  <si>
    <t>Berwick</t>
  </si>
  <si>
    <t>EDL LFG Vic Pty Ltd</t>
  </si>
  <si>
    <t>Brooklyn</t>
  </si>
  <si>
    <t>Deer Park BESS</t>
  </si>
  <si>
    <t>Total Eren</t>
  </si>
  <si>
    <t>Frasers Solar Farm</t>
  </si>
  <si>
    <t>Frasers Lane Development Pty Ltd</t>
  </si>
  <si>
    <t>Glenrowan Solar Farm</t>
  </si>
  <si>
    <t>Pacific Partnerships</t>
  </si>
  <si>
    <t>ACEnergy Pty Ltd</t>
  </si>
  <si>
    <t>Inverleigh Wind Farm Pty Ltd</t>
  </si>
  <si>
    <t>Kentbruck Green Power Hub</t>
  </si>
  <si>
    <t>Project (Battery Storage) discontinued</t>
  </si>
  <si>
    <t>Moira Solar Farm</t>
  </si>
  <si>
    <t>Mortlake Energy Hub</t>
  </si>
  <si>
    <t>brightnightpower_NR</t>
  </si>
  <si>
    <t>Changed from Solar to Battery project</t>
  </si>
  <si>
    <t>Tamworth Solar Farm</t>
  </si>
  <si>
    <t>Tamworth Solar Farm Pty Ltd</t>
  </si>
  <si>
    <t/>
  </si>
  <si>
    <t xml:space="preserve">Anticipated </t>
  </si>
  <si>
    <t>Wallgrove Grid Battery project</t>
  </si>
  <si>
    <t>TransGrid</t>
  </si>
  <si>
    <t>WALGRVG1</t>
  </si>
  <si>
    <t>Wellington Solar Farm</t>
  </si>
  <si>
    <t>Lightsource Australia SPV 4 Pty Ltd</t>
  </si>
  <si>
    <t>WELLSF1</t>
  </si>
  <si>
    <t>Gangarri Solar Farm</t>
  </si>
  <si>
    <t>GANGARR1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</si>
  <si>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</si>
  <si>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</si>
  <si>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</si>
  <si>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</si>
  <si>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</si>
  <si>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</si>
  <si>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</si>
  <si>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</si>
  <si>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</si>
  <si>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</si>
  <si>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Vena Evergy</t>
  </si>
  <si>
    <t>Western Downs Battery</t>
  </si>
  <si>
    <t>WDBESS</t>
  </si>
  <si>
    <t>Woolooga Battery Energy Storage System (BESS)</t>
  </si>
  <si>
    <t>LightsourceBP</t>
  </si>
  <si>
    <t>Blyth BESS</t>
  </si>
  <si>
    <t>Goyder South Wind Farm 1A</t>
  </si>
  <si>
    <t>GSWF1A</t>
  </si>
  <si>
    <t>Goyder South Wind Farm 1B</t>
  </si>
  <si>
    <t>GSWF1B</t>
  </si>
  <si>
    <t>Lincoln Gap Wind Farm - Stage 2</t>
  </si>
  <si>
    <t>Lincoln Gap Wind Farm Pty Ltd</t>
  </si>
  <si>
    <t>LGAPWF2</t>
  </si>
  <si>
    <t>Mannum Solar Farm</t>
  </si>
  <si>
    <t>Mannum Solar Farm Pty Ltd</t>
  </si>
  <si>
    <t>NAWMA</t>
  </si>
  <si>
    <t>LMS_NR</t>
  </si>
  <si>
    <t>Port Augusta Renewable Energy Park - Wind</t>
  </si>
  <si>
    <t>Snapper Point Power Station</t>
  </si>
  <si>
    <t>Port Adelaide Energy Pty Ltd</t>
  </si>
  <si>
    <t>SNAPPER1</t>
  </si>
  <si>
    <t>Dundonnell Wind Farm</t>
  </si>
  <si>
    <t>Tilt Renewables</t>
  </si>
  <si>
    <t>DUNDWF1, DUNDWF2, DUNDWF3</t>
  </si>
  <si>
    <t>Gnarwarre BESS Facility</t>
  </si>
  <si>
    <t>Golden Plains Wind Farm East</t>
  </si>
  <si>
    <t>TagEnergy Golden Plains Investments Pty Ltd</t>
  </si>
  <si>
    <t>Jeeralang BESS (Maoneng)</t>
  </si>
  <si>
    <t>Maoneng Australia</t>
  </si>
  <si>
    <t>Navarre Wind Farm</t>
  </si>
  <si>
    <t>Neon Australia Pty Ltd</t>
  </si>
  <si>
    <t>Expected Closure Year</t>
  </si>
  <si>
    <t>Torrens Island B</t>
  </si>
  <si>
    <t xml:space="preserve">AGL SA Generation Pty Limited </t>
  </si>
  <si>
    <t>TORRB1, TORRB2, TORRB3, TORRB4</t>
  </si>
  <si>
    <t>Expected closure year changed to 2026 as per advice from AGL Energy</t>
  </si>
  <si>
    <t>Broken Hill</t>
  </si>
  <si>
    <t>MACQGEN</t>
  </si>
  <si>
    <t>Committed*</t>
  </si>
  <si>
    <t>Corowa Solar Farm</t>
  </si>
  <si>
    <t>Corowa Operationsco Pty Ltd as trustee for Corowa Operations Trust</t>
  </si>
  <si>
    <t>CRWASF1</t>
  </si>
  <si>
    <t>Crookwell 3 Wind Farm</t>
  </si>
  <si>
    <t>Crookwell 3 Development Pty Ltd</t>
  </si>
  <si>
    <t>Currawarra Solar Farm</t>
  </si>
  <si>
    <t>RES Australia Pty Ltd</t>
  </si>
  <si>
    <t>Darlington Point Energy Storage System</t>
  </si>
  <si>
    <t>Edify Energy Pty Ltd</t>
  </si>
  <si>
    <t>Hillston Sun Farm</t>
  </si>
  <si>
    <t>Hillston Sun Farm Operations Pty Ltd ATF Hillston</t>
  </si>
  <si>
    <t>HILLSTN1</t>
  </si>
  <si>
    <t>Junee Solar Farm</t>
  </si>
  <si>
    <t>Junee Operationsco Pty Ltd as trustee for Junee Operations Trust</t>
  </si>
  <si>
    <t>JUNEESF1</t>
  </si>
  <si>
    <t>Queanbeyan BESS</t>
  </si>
  <si>
    <t>Global Power Generation Australia Pty Ltd</t>
  </si>
  <si>
    <t>Quorn Park Solar Farm</t>
  </si>
  <si>
    <t>Quorn Park Solar Farm Pty Ltd</t>
  </si>
  <si>
    <t>Riverina Energy Storage System 1</t>
  </si>
  <si>
    <t>Riverina Energy Storage System 2</t>
  </si>
  <si>
    <t>Tarleigh Park Solar Farm</t>
  </si>
  <si>
    <t>Wagga North Solar Farm</t>
  </si>
  <si>
    <t>Wagga Wagga Operationsco Pty Ltd as trustree for Wagga Wagga Operations Trust</t>
  </si>
  <si>
    <t>WAGGNSF1</t>
  </si>
  <si>
    <t>Chinchilla BESS</t>
  </si>
  <si>
    <t>CSENERGY</t>
  </si>
  <si>
    <t>Gympie Regional Energy Hub - Stage 1</t>
  </si>
  <si>
    <t>Adelaide Desalination Plant</t>
  </si>
  <si>
    <t>South Australian Water Corporation</t>
  </si>
  <si>
    <t>ADPBA1G, ADPPV1, ADPPV2</t>
  </si>
  <si>
    <t>Bolivar Waste Water Treatment</t>
  </si>
  <si>
    <t>BOWWBA1G, BOWWPV1</t>
  </si>
  <si>
    <t>Christies Beach Wastewater Treatment Plant</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</si>
  <si>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</si>
  <si>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</si>
  <si>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</si>
  <si>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</si>
  <si>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</si>
  <si>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</si>
  <si>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</si>
  <si>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</si>
  <si>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</si>
  <si>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</si>
  <si>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</si>
  <si>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</si>
  <si>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</si>
  <si>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</si>
  <si>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</si>
  <si>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</si>
  <si>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</si>
  <si>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Tailem Bend Battery Project</t>
  </si>
  <si>
    <t>Bulgana Green Power Hub - BESS</t>
  </si>
  <si>
    <t>Bulgana Wind Farm Pty Ltd</t>
  </si>
  <si>
    <t>BULBESG1</t>
  </si>
  <si>
    <t>Carag SF</t>
  </si>
  <si>
    <t>EP Sunspot 3 Pty Ltd</t>
  </si>
  <si>
    <t>Diapur Wind Farm</t>
  </si>
  <si>
    <t>Diapur Wind Farm Pty Ltd</t>
  </si>
  <si>
    <t>Hazelwood Battery Energy Storage System (HBESS)</t>
  </si>
  <si>
    <t>Hazelwood BESS Project Co Pty Ltd as trustee for the HBESS Asset Trust</t>
  </si>
  <si>
    <t>HBESSG1</t>
  </si>
  <si>
    <t>Murra Warra Solar Farm</t>
  </si>
  <si>
    <t>Murra Warra Wind Farm - stage 2</t>
  </si>
  <si>
    <t>Murra Warra II Project Co Pty Ltd as Trustee for the Murra Warra II Project Trust</t>
  </si>
  <si>
    <t>MUWAWF2</t>
  </si>
  <si>
    <t>Penshurst</t>
  </si>
  <si>
    <t>Ryan Corner Wind Farm</t>
  </si>
  <si>
    <t>Ryan Corner Development Pty Ltd</t>
  </si>
  <si>
    <t>Stockyard Hill Wind Farm</t>
  </si>
  <si>
    <t>Stockyard Hill Wind Farm Pty Ltd</t>
  </si>
  <si>
    <t>STOCKYD1</t>
  </si>
  <si>
    <t>Yendon Wind Farm</t>
  </si>
  <si>
    <t>Northleaf /InfraRed/Macquarie Capital</t>
  </si>
  <si>
    <t>YENDWF1</t>
  </si>
  <si>
    <t>Mortlake South Wind Farm</t>
  </si>
  <si>
    <t>Mortlake South Wind Farm Pty Ltd</t>
  </si>
  <si>
    <t>Tomago GT</t>
  </si>
  <si>
    <t>AGL Hydro Partnership</t>
  </si>
  <si>
    <t>Clarke Creek Wind Farm</t>
  </si>
  <si>
    <t>CLARKE CREEK ENERGY PTY LTD</t>
  </si>
  <si>
    <t>CLRKCWF1</t>
  </si>
  <si>
    <t>CLRKCWF2</t>
  </si>
  <si>
    <t>In Commissioning</t>
  </si>
  <si>
    <t>Suntown Renewable Energy Facility</t>
  </si>
  <si>
    <t>LMS Energy Pty Ltd</t>
  </si>
  <si>
    <t>Mannum Adelaide Pumping Station No 3 - MAPL3 (Kanmantoo)</t>
  </si>
  <si>
    <t>MAPS3PV2</t>
  </si>
  <si>
    <t>Project removed from publication, as the developer has advised it is a duplicate of Mannum Adelaide Pumping Station No 3 – MAPL3 (Tungkillo)</t>
  </si>
  <si>
    <t>Moorabool Wind Farm</t>
  </si>
  <si>
    <t>Moorabool Wind Farm Interface Company Pty Ltd</t>
  </si>
  <si>
    <t>MOORAWF1</t>
  </si>
  <si>
    <t>Shepparton Solar Farm</t>
  </si>
  <si>
    <t>Dalton</t>
  </si>
  <si>
    <t>Discontinued</t>
  </si>
  <si>
    <t>Jemalong Solar</t>
  </si>
  <si>
    <t>Genex Power</t>
  </si>
  <si>
    <t>JEMALNG1</t>
  </si>
  <si>
    <t>UNSW C25</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</si>
  <si>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</si>
  <si>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</si>
  <si>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</si>
  <si>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</si>
  <si>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</si>
  <si>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</si>
  <si>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</si>
  <si>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</si>
  <si>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</si>
  <si>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</si>
  <si>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</si>
  <si>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Wandoan South Solar Stage 1</t>
  </si>
  <si>
    <t>WANDSF1</t>
  </si>
  <si>
    <t>Wivenhoe Regional Energy Hub - Solar</t>
  </si>
  <si>
    <t>Wivenhoe Regional Energy Hub - Storage</t>
  </si>
  <si>
    <t>ADPBA1G</t>
  </si>
  <si>
    <t>ADPPV1</t>
  </si>
  <si>
    <t>ADPPV2</t>
  </si>
  <si>
    <t>BOWWPV1</t>
  </si>
  <si>
    <t>Kanmantoo</t>
  </si>
  <si>
    <t>Tamar Valley Combined Cycle</t>
  </si>
  <si>
    <t>AETV Pty Ltd</t>
  </si>
  <si>
    <t>TVCC201</t>
  </si>
  <si>
    <t>Change from In Service - Announced Withdrawal (Permanent) to In Service</t>
  </si>
  <si>
    <t>Ben More</t>
  </si>
  <si>
    <t>Ratch Australia</t>
  </si>
  <si>
    <t>Kiamal Solar Farm - Stage 1</t>
  </si>
  <si>
    <t>KSF Project Nominees Pty Ltd ATF KSF Project Trust</t>
  </si>
  <si>
    <t>KIAMSF1</t>
  </si>
  <si>
    <t>Mallee Solar Farm</t>
  </si>
  <si>
    <t>juwi Renewable Energy Pty Ltd</t>
  </si>
  <si>
    <t>Sunraysia Solar Farm</t>
  </si>
  <si>
    <t>Sunraysia Solar Project Pty Ltd</t>
  </si>
  <si>
    <t>SUNRSF1</t>
  </si>
  <si>
    <t>Winton Solar Farm</t>
  </si>
  <si>
    <t>Winton Asset Co. Pty Ltd as Trustee of the Winton Asset Trust</t>
  </si>
  <si>
    <t>WINTSF1</t>
  </si>
  <si>
    <t>Orana BESS</t>
  </si>
  <si>
    <t>Akaysha Energy</t>
  </si>
  <si>
    <t>Ulinda Park BESS</t>
  </si>
  <si>
    <t>BOWWBA1G</t>
  </si>
  <si>
    <t>CBWWBA1G</t>
  </si>
  <si>
    <t>CBWWPV1</t>
  </si>
  <si>
    <t>HVWABA1G</t>
  </si>
  <si>
    <t>HVWAPV1</t>
  </si>
  <si>
    <t>Lincoln Gap Wind Farm - stage 2</t>
  </si>
  <si>
    <t>Nexif</t>
  </si>
  <si>
    <t>Tailem Bend Stage 2 Solar Project</t>
  </si>
  <si>
    <t xml:space="preserve">Wooreen Energy Storage System </t>
  </si>
  <si>
    <t>EnergyAustralia Holdings Limited</t>
  </si>
  <si>
    <t>Bayswater</t>
  </si>
  <si>
    <t xml:space="preserve"> AGL Macquarie Pty Limited </t>
  </si>
  <si>
    <t>BW01, BW02, BW03, BW04</t>
  </si>
  <si>
    <t>Expected closure year changed to 2033 as per advice from AGL Energy</t>
  </si>
  <si>
    <t>Closure date</t>
  </si>
  <si>
    <t>Eraring</t>
  </si>
  <si>
    <t>Origin Energy Eraring Pty Ltd</t>
  </si>
  <si>
    <t>ER01, ER02, ER03, ER04</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</si>
  <si>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</si>
  <si>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</si>
  <si>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</si>
  <si>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</si>
  <si>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</si>
  <si>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</si>
  <si>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</si>
  <si>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 xml:space="preserve"> AGL Loy Yang Marketing Pty Ltd </t>
  </si>
  <si>
    <t>LYA1, LYA2, LYA3, LYA4</t>
  </si>
  <si>
    <t>Expected closure year changed to 2045 as per advice from AGL Energy</t>
  </si>
  <si>
    <t>Victorian Big Battery</t>
  </si>
  <si>
    <t>Victorian Big Battery Pty Ltd</t>
  </si>
  <si>
    <t>VBBG1</t>
  </si>
  <si>
    <t>Avonlie Solar Farm</t>
  </si>
  <si>
    <t>Iberdrola Australia Limited</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</si>
  <si>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</si>
  <si>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</si>
  <si>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</si>
  <si>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</si>
  <si>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</si>
  <si>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</si>
  <si>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</si>
  <si>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</si>
  <si>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The remaining 12 units of Wagga North Solar Farm become Committed</t>
  </si>
  <si>
    <t>West Illawarra Leagues Club</t>
  </si>
  <si>
    <t>Western Suburbs Leagues Club</t>
  </si>
  <si>
    <t>WESTILL1</t>
  </si>
  <si>
    <t>Nameplate capacity updated from 0.99 MW to 1.43 MW</t>
  </si>
  <si>
    <t>Wyalong Solar Farm</t>
  </si>
  <si>
    <t>Wyalong Solar Farm Pty Ltd</t>
  </si>
  <si>
    <t>MacIntyre Wind Farm</t>
  </si>
  <si>
    <t>Macintyre Windfarm Pty Ltd and Arc Energy Macintyre Pty Ltd</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</si>
  <si>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</si>
  <si>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</si>
  <si>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</si>
  <si>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</si>
  <si>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</si>
  <si>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</si>
  <si>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</si>
  <si>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</si>
  <si>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</si>
  <si>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</si>
  <si>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</si>
  <si>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</si>
  <si>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</si>
  <si>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LD03, LD04</t>
  </si>
  <si>
    <t>Liddell Unit 3 has updated closure date from 1/04/2023 to 1/04/2022, Unit 4 has updated closure date from 1/04/2022 to 1/04/2023</t>
  </si>
  <si>
    <t>Rye Park Wind Farm</t>
  </si>
  <si>
    <t>Tilt Renewables Australia Pty Ltd</t>
  </si>
  <si>
    <t xml:space="preserve"> WELLSF1</t>
  </si>
  <si>
    <t>Yanco Solar Farm</t>
  </si>
  <si>
    <t>ib vogt / Sun Spot 6</t>
  </si>
  <si>
    <t>Dulacca Wind Farm</t>
  </si>
  <si>
    <t>Edenvale Solar Park</t>
  </si>
  <si>
    <t>Edenvale Solar Park Pty Ltd</t>
  </si>
  <si>
    <t>Kaban Green Power Hub - Wind Farm</t>
  </si>
  <si>
    <t>Kaban Wind Farm Pty Ltd as trustee for  Kaban Wind Farm Trust</t>
  </si>
  <si>
    <t>Kennedy Energy Park - Phase 1 - Solar</t>
  </si>
  <si>
    <t>Windlab / Eurus</t>
  </si>
  <si>
    <t>KEPSF1</t>
  </si>
  <si>
    <t>Kennedy Energy Park - Phase 1 - Storage</t>
  </si>
  <si>
    <t>Windlab/Eurus</t>
  </si>
  <si>
    <t>KEPBG1</t>
  </si>
  <si>
    <t>Kennedy Energy Park - Phase 1 - Wind</t>
  </si>
  <si>
    <t>KEPWF1</t>
  </si>
  <si>
    <t>Maryrorough Solar Farm</t>
  </si>
  <si>
    <t>Maryrorough Solar Pty Ltd</t>
  </si>
  <si>
    <t>MARYRSF1</t>
  </si>
  <si>
    <t>Moura Solar Farm SPV Pty Ltd atf the ESCO Solar Farm 4 Trust</t>
  </si>
  <si>
    <t>Nameplate capacity</t>
  </si>
  <si>
    <t>Munna Creek Solar Farm</t>
  </si>
  <si>
    <t>Renewable Energy System Technologies Pty Ltd</t>
  </si>
  <si>
    <t>Changed from 143 MW to 154 MW</t>
  </si>
  <si>
    <t>Rodds Bay Solar Farm</t>
  </si>
  <si>
    <t>United Green</t>
  </si>
  <si>
    <t>From Anticipated to Publicly Announced</t>
  </si>
  <si>
    <t>Yarranlea Solar Farm</t>
  </si>
  <si>
    <t>Yarranlea Solar Pty Ltd</t>
  </si>
  <si>
    <t>YARANSF1</t>
  </si>
  <si>
    <t>Cultana Pumped Hydro Energy Storage</t>
  </si>
  <si>
    <t>ARUP Pty Ltd</t>
  </si>
  <si>
    <t>Torrens Island A</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</si>
  <si>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</si>
  <si>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</si>
  <si>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</si>
  <si>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</si>
  <si>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</si>
  <si>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</si>
  <si>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</si>
  <si>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</si>
  <si>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</si>
  <si>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</si>
  <si>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Snowy Hydro Limited</t>
  </si>
  <si>
    <t>New England Solar Farm</t>
  </si>
  <si>
    <t>UPC Renewables Australia Pty Ltd</t>
  </si>
  <si>
    <t>Riverina Solar Farm</t>
  </si>
  <si>
    <t>Riverina Solar Pty Ltd</t>
  </si>
  <si>
    <t>Suntop Solar Farm</t>
  </si>
  <si>
    <t>Suntop Solar Farm Pty Ltd</t>
  </si>
  <si>
    <t>Bluegrass Solar Farm</t>
  </si>
  <si>
    <t>CleanCo Wind Farm (Small Mac)</t>
  </si>
  <si>
    <t>ACCIONA Energy Australia Global Pty Ltd</t>
  </si>
  <si>
    <t>Duplicate Removed</t>
  </si>
  <si>
    <t>Columboola Solar Farm</t>
  </si>
  <si>
    <t>Luminous Energy</t>
  </si>
  <si>
    <t>Kaban Green Power Hub - BESS</t>
  </si>
  <si>
    <t>Discontinued.</t>
  </si>
  <si>
    <t>Mackay GT</t>
  </si>
  <si>
    <t>MACKAYGT</t>
  </si>
  <si>
    <t>Withdrawn - Permanent</t>
  </si>
  <si>
    <t>Woolooga Solar Farm</t>
  </si>
  <si>
    <t>Woolooga Fund Pty Ltd</t>
  </si>
  <si>
    <t>From Committed to Anticipated</t>
  </si>
  <si>
    <t>TORRB1</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</si>
  <si>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</si>
  <si>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</si>
  <si>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</si>
  <si>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</si>
  <si>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</si>
  <si>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</si>
  <si>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</si>
  <si>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</si>
  <si>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</si>
  <si>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</si>
  <si>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</si>
  <si>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</si>
  <si>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</si>
  <si>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</si>
  <si>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</si>
  <si>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</si>
  <si>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</si>
  <si>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</si>
  <si>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</si>
  <si>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</si>
  <si>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</si>
  <si>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Metz Solar Farm</t>
  </si>
  <si>
    <t xml:space="preserve">Metz ProjectCo Pty Ltd as trustee for Metz ProjectCo Trust </t>
  </si>
  <si>
    <t>Molong Solar Farm</t>
  </si>
  <si>
    <t>Molong Property Co Pty Ltd as trustee for the Molong Property Trust</t>
  </si>
  <si>
    <t>MOLNGSF1</t>
  </si>
  <si>
    <t>Mugga Lane</t>
  </si>
  <si>
    <t>Nymboida</t>
  </si>
  <si>
    <t>Essential Energy</t>
  </si>
  <si>
    <t>Oaky</t>
  </si>
  <si>
    <t>Ruby Hills Wind Farm</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</si>
  <si>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</si>
  <si>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</si>
  <si>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</si>
  <si>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</si>
  <si>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</si>
  <si>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</si>
  <si>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</si>
  <si>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</si>
  <si>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</si>
  <si>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</si>
  <si>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</si>
  <si>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</si>
  <si>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</si>
  <si>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</si>
  <si>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</si>
  <si>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Mt Piper</t>
  </si>
  <si>
    <t>EnergyAustralia NSW Pty Ltd</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</si>
  <si>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</si>
  <si>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</si>
  <si>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</si>
  <si>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</si>
  <si>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</si>
  <si>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</si>
  <si>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</si>
  <si>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</si>
  <si>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</si>
  <si>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</si>
  <si>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</si>
  <si>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</si>
  <si>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</si>
  <si>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</si>
  <si>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</si>
  <si>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</si>
  <si>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</si>
  <si>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Solar Farm</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</si>
  <si>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</si>
  <si>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</si>
  <si>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</si>
  <si>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</si>
  <si>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</si>
  <si>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</si>
  <si>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</si>
  <si>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</si>
  <si>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Duplicate removed</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</si>
  <si>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</si>
  <si>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</si>
  <si>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</si>
  <si>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</si>
  <si>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</si>
  <si>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</si>
  <si>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</si>
  <si>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</si>
  <si>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</si>
  <si>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</si>
  <si>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</si>
  <si>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</si>
  <si>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</si>
  <si>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</si>
  <si>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</si>
  <si>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</si>
  <si>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Crowlands Wind Farm</t>
  </si>
  <si>
    <t>Pacific Hydro Crowlands Pty Ltd</t>
  </si>
  <si>
    <t>CROWLWF1</t>
  </si>
  <si>
    <t>DUNDWF1</t>
  </si>
  <si>
    <t>Murra Warra Project Co Pty Ltd</t>
  </si>
  <si>
    <t>Maoneng Battery</t>
  </si>
  <si>
    <t>Corrected Region from SA1 to NSW1.</t>
  </si>
  <si>
    <t>LIMOSF11</t>
  </si>
  <si>
    <t>Upgrade now Committed</t>
  </si>
  <si>
    <t>Hallett GT</t>
  </si>
  <si>
    <t>EnergyAustralia Hallett Pty Ltd</t>
  </si>
  <si>
    <t>AGLHAL</t>
  </si>
  <si>
    <t>+35 MW increase in capacity now In Service</t>
  </si>
  <si>
    <t>Expansion now In Service</t>
  </si>
  <si>
    <t>Osborne</t>
  </si>
  <si>
    <t>Osborne Cogeneration Pty Ltd</t>
  </si>
  <si>
    <t>OSB-AG</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</si>
  <si>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</si>
  <si>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</si>
  <si>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</si>
  <si>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</si>
  <si>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</si>
  <si>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</si>
  <si>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</si>
  <si>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</si>
  <si>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</si>
  <si>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</si>
  <si>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</si>
  <si>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Callide C</t>
  </si>
  <si>
    <t xml:space="preserve">Joint Venture; Callide Energy Pty Ltd and IG Power (Callide) Ltd. </t>
  </si>
  <si>
    <t>CPP_3, CPP_4</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</si>
  <si>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</si>
  <si>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</si>
  <si>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</si>
  <si>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</si>
  <si>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</si>
  <si>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</si>
  <si>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</si>
  <si>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</si>
  <si>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</si>
  <si>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</si>
  <si>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AGL Energy Limited</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</si>
  <si>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</si>
  <si>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</si>
  <si>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</si>
  <si>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</si>
  <si>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</si>
  <si>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</si>
  <si>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</si>
  <si>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</si>
  <si>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</si>
  <si>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</si>
  <si>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</si>
  <si>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</si>
  <si>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</si>
  <si>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</si>
  <si>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</si>
  <si>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</si>
  <si>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</si>
  <si>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Lake Bonney BESS1</t>
  </si>
  <si>
    <t>Lake Bonney BESS Pty Ltd</t>
  </si>
  <si>
    <t>LBBG1</t>
  </si>
  <si>
    <t>Quarantine</t>
  </si>
  <si>
    <t>QPS1, QPS2, QPS3, QPS4</t>
  </si>
  <si>
    <t xml:space="preserve">Changes in schedule capacity due to mothballed period. </t>
  </si>
  <si>
    <t>Various</t>
  </si>
  <si>
    <t>Full Commercial Use Date</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</si>
  <si>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</si>
  <si>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</si>
  <si>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Changes in Winter 2020 scheduled capacity</t>
  </si>
  <si>
    <t>Corrected from 1000 MW to 1115 MW</t>
  </si>
  <si>
    <t>MortLK11, MortLK12</t>
  </si>
  <si>
    <t>MORTLK12</t>
  </si>
  <si>
    <t>Origin Energy expects to bring the unit back online by 20 December 2019, as specified here: https://www.originenergy.com.au/about/investors-media/media-centre/statement_on_mortlake_power_station.html</t>
  </si>
  <si>
    <t>Mt Gellibrand Wind Farm</t>
  </si>
  <si>
    <t>ACCIONA Energy</t>
  </si>
  <si>
    <t>MTGELWF1</t>
  </si>
  <si>
    <t>Correction of previous Commissioning note, plant is "In Commissioning".</t>
  </si>
  <si>
    <t>Changes in expected closure date.</t>
  </si>
  <si>
    <t>Changes in schedule capacity.</t>
  </si>
  <si>
    <t>Impact Investment Group</t>
  </si>
  <si>
    <t>Corrected from Proposed to Committed.</t>
  </si>
  <si>
    <t>South Johnstone Mill</t>
  </si>
  <si>
    <t>MSF Sugar</t>
  </si>
  <si>
    <t>Hallett Repower (expansion)</t>
  </si>
  <si>
    <t>Energy Australia</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</si>
  <si>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</si>
  <si>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</si>
  <si>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</si>
  <si>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</si>
  <si>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</si>
  <si>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</si>
  <si>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</si>
  <si>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</si>
  <si>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</si>
  <si>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</si>
  <si>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</si>
  <si>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</si>
  <si>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</si>
  <si>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</si>
  <si>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</si>
  <si>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</si>
  <si>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</si>
  <si>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</si>
  <si>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</si>
  <si>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</si>
  <si>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</si>
  <si>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</si>
  <si>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</si>
  <si>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</si>
  <si>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</si>
  <si>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</si>
  <si>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</si>
  <si>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</si>
  <si>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</si>
  <si>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</si>
  <si>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</si>
  <si>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</si>
  <si>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</si>
  <si>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</si>
  <si>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Smithfield Energy Facility</t>
  </si>
  <si>
    <t>Smithfield Power Generation Pty Ltd</t>
  </si>
  <si>
    <t xml:space="preserve">SITHE01   </t>
  </si>
  <si>
    <t>Changed from 170.9 MW to 185 MW (+14.1 MW).</t>
  </si>
  <si>
    <t>Snowy 2.0</t>
  </si>
  <si>
    <t>Snowy Hydro Ltd</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</si>
  <si>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</si>
  <si>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</si>
  <si>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</si>
  <si>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</si>
  <si>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</si>
  <si>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</si>
  <si>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</si>
  <si>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</si>
  <si>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</si>
  <si>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</si>
  <si>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</si>
  <si>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</si>
  <si>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</si>
  <si>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</si>
  <si>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</si>
  <si>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</si>
  <si>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</si>
  <si>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</si>
  <si>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</si>
  <si>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</si>
  <si>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Darling Downs Solar Farm</t>
  </si>
  <si>
    <t>Darling Downs Solar Farm Pty Ltd</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</si>
  <si>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</si>
  <si>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</si>
  <si>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</si>
  <si>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</si>
  <si>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</si>
  <si>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</si>
  <si>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</si>
  <si>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</si>
  <si>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</si>
  <si>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Group Linen</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</si>
  <si>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</si>
  <si>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</si>
  <si>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</si>
  <si>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</si>
  <si>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</si>
  <si>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</si>
  <si>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</si>
  <si>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</si>
  <si>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</si>
  <si>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</si>
  <si>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</si>
  <si>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</si>
  <si>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</si>
  <si>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</si>
  <si>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</si>
  <si>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BNGSF1</t>
  </si>
  <si>
    <t>Changed from 110 MW to 135 MW (+25 MW).</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</si>
  <si>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</si>
  <si>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</si>
  <si>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</si>
  <si>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</si>
  <si>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</si>
  <si>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</si>
  <si>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</si>
  <si>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</si>
  <si>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</si>
  <si>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</si>
  <si>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</si>
  <si>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</si>
  <si>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</si>
  <si>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</si>
  <si>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</si>
  <si>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</si>
  <si>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</si>
  <si>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</si>
  <si>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</si>
  <si>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</si>
  <si>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</si>
  <si>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</si>
  <si>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</si>
  <si>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</si>
  <si>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</si>
  <si>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 Pty Ltd</t>
  </si>
  <si>
    <t>Changed from Committed to Committed*.</t>
  </si>
  <si>
    <t>Newport</t>
  </si>
  <si>
    <t>EnergyAustralia Ecogen Pty Ltd</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</si>
  <si>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</si>
  <si>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</si>
  <si>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</si>
  <si>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</si>
  <si>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</si>
  <si>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</si>
  <si>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</si>
  <si>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</si>
  <si>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</si>
  <si>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</si>
  <si>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</si>
  <si>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</si>
  <si>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</si>
  <si>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</si>
  <si>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</si>
  <si>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</si>
  <si>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</si>
  <si>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</si>
  <si>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</si>
  <si>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</si>
  <si>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</si>
  <si>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</si>
  <si>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</si>
  <si>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</si>
  <si>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</si>
  <si>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</si>
  <si>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</si>
  <si>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</si>
  <si>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</si>
  <si>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</si>
  <si>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</si>
  <si>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</si>
  <si>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</si>
  <si>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</si>
  <si>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</si>
  <si>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</si>
  <si>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</si>
  <si>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</si>
  <si>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</si>
  <si>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</si>
  <si>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</si>
  <si>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</si>
  <si>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</si>
  <si>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</si>
  <si>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</si>
  <si>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</si>
  <si>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</si>
  <si>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</si>
  <si>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</si>
  <si>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</si>
  <si>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</si>
  <si>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</si>
  <si>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</si>
  <si>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</si>
  <si>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</si>
  <si>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</si>
  <si>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</si>
  <si>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</si>
  <si>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</si>
  <si>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</si>
  <si>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</si>
  <si>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</si>
  <si>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</si>
  <si>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</si>
  <si>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</si>
  <si>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</si>
  <si>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</si>
  <si>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</si>
  <si>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</si>
  <si>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</si>
  <si>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</si>
  <si>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</si>
  <si>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</si>
  <si>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</si>
  <si>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</si>
  <si>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</si>
  <si>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</si>
  <si>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</si>
  <si>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</si>
  <si>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</si>
  <si>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</si>
  <si>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</si>
  <si>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</si>
  <si>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</si>
  <si>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</si>
  <si>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</si>
  <si>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</si>
  <si>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</si>
  <si>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</si>
  <si>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</si>
  <si>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</si>
  <si>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</si>
  <si>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</si>
  <si>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</si>
  <si>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</si>
  <si>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</si>
  <si>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</si>
  <si>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</si>
  <si>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</si>
  <si>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</si>
  <si>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</si>
  <si>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</si>
  <si>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</si>
  <si>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</si>
  <si>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</si>
  <si>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</si>
  <si>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</si>
  <si>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</si>
  <si>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</si>
  <si>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</si>
  <si>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</si>
  <si>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</si>
  <si>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</si>
  <si>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</si>
  <si>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</si>
  <si>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</si>
  <si>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</si>
  <si>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</si>
  <si>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</si>
  <si>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</si>
  <si>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</si>
  <si>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</si>
  <si>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</si>
  <si>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</si>
  <si>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</si>
  <si>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</si>
  <si>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</si>
  <si>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</si>
  <si>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</si>
  <si>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</si>
  <si>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</si>
  <si>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</si>
  <si>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</si>
  <si>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</si>
  <si>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</si>
  <si>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</si>
  <si>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</si>
  <si>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</si>
  <si>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</si>
  <si>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</si>
  <si>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</si>
  <si>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</si>
  <si>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</si>
  <si>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</si>
  <si>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</si>
  <si>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</si>
  <si>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</si>
  <si>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</si>
  <si>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</si>
  <si>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</si>
  <si>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</si>
  <si>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</si>
  <si>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</si>
  <si>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</si>
  <si>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</si>
  <si>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</si>
  <si>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</si>
  <si>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</si>
  <si>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</si>
  <si>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</si>
  <si>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</si>
  <si>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</si>
  <si>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</si>
  <si>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</si>
  <si>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</si>
  <si>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</si>
  <si>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</si>
  <si>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</si>
  <si>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</si>
  <si>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</si>
  <si>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</si>
  <si>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</si>
  <si>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</si>
  <si>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</si>
  <si>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</si>
  <si>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</si>
  <si>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</si>
  <si>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</si>
  <si>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</si>
  <si>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</si>
  <si>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</si>
  <si>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</si>
  <si>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</si>
  <si>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</si>
  <si>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</si>
  <si>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</si>
  <si>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</si>
  <si>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</si>
  <si>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</si>
  <si>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</si>
  <si>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</si>
  <si>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</si>
  <si>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</si>
  <si>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</si>
  <si>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</si>
  <si>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</si>
  <si>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</si>
  <si>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</si>
  <si>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</si>
  <si>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</si>
  <si>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</si>
  <si>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</si>
  <si>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</si>
  <si>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</si>
  <si>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</si>
  <si>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</si>
  <si>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</si>
  <si>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</si>
  <si>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</si>
  <si>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</si>
  <si>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</si>
  <si>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</si>
  <si>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</si>
  <si>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</si>
  <si>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</si>
  <si>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</si>
  <si>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</si>
  <si>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</si>
  <si>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</si>
  <si>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</si>
  <si>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</si>
  <si>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</si>
  <si>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</si>
  <si>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</si>
  <si>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</si>
  <si>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</si>
  <si>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</si>
  <si>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</si>
  <si>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</si>
  <si>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</si>
  <si>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</si>
  <si>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</si>
  <si>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</si>
  <si>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</si>
  <si>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</si>
  <si>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</si>
  <si>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</si>
  <si>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</si>
  <si>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</si>
  <si>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</si>
  <si>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</si>
  <si>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</si>
  <si>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</si>
  <si>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</si>
  <si>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</si>
  <si>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</si>
  <si>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</si>
  <si>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</si>
  <si>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</si>
  <si>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</si>
  <si>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</si>
  <si>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</si>
  <si>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</si>
  <si>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</si>
  <si>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</si>
  <si>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</si>
  <si>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</si>
  <si>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</si>
  <si>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</si>
  <si>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</si>
  <si>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</si>
  <si>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</si>
  <si>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</si>
  <si>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</si>
  <si>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</si>
  <si>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</si>
  <si>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</si>
  <si>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</si>
  <si>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</si>
  <si>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</si>
  <si>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</si>
  <si>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</si>
  <si>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</si>
  <si>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</si>
  <si>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</si>
  <si>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</si>
  <si>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</si>
  <si>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</si>
  <si>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</si>
  <si>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</si>
  <si>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</si>
  <si>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</si>
  <si>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</si>
  <si>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</si>
  <si>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</si>
  <si>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</si>
  <si>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</si>
  <si>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</si>
  <si>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</si>
  <si>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</si>
  <si>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</si>
  <si>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</si>
  <si>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</si>
  <si>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</si>
  <si>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</si>
  <si>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</si>
  <si>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</si>
  <si>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</si>
  <si>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</si>
  <si>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</si>
  <si>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</si>
  <si>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</si>
  <si>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</si>
  <si>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</si>
  <si>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</si>
  <si>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</si>
  <si>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</si>
  <si>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</si>
  <si>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</si>
  <si>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</si>
  <si>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</si>
  <si>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</si>
  <si>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</si>
  <si>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</si>
  <si>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</si>
  <si>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</si>
  <si>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</si>
  <si>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</si>
  <si>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</si>
  <si>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</si>
  <si>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</si>
  <si>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</si>
  <si>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</si>
  <si>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</si>
  <si>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</si>
  <si>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</si>
  <si>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</si>
  <si>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</si>
  <si>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</si>
  <si>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</si>
  <si>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</si>
  <si>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</si>
  <si>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</si>
  <si>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</si>
  <si>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</si>
  <si>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</si>
  <si>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</si>
  <si>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</si>
  <si>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</si>
  <si>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</si>
  <si>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</si>
  <si>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</si>
  <si>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</si>
  <si>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</si>
  <si>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</si>
  <si>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</si>
  <si>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</si>
  <si>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</si>
  <si>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</si>
  <si>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</si>
  <si>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</si>
  <si>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</si>
  <si>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</si>
  <si>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</si>
  <si>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</si>
  <si>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</si>
  <si>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</si>
  <si>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</si>
  <si>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</si>
  <si>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</si>
  <si>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</si>
  <si>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</si>
  <si>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</si>
  <si>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</si>
  <si>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</si>
  <si>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</si>
  <si>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</si>
  <si>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</si>
  <si>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</si>
  <si>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</si>
  <si>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</si>
  <si>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</si>
  <si>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</si>
  <si>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</si>
  <si>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</si>
  <si>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</si>
  <si>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</si>
  <si>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</si>
  <si>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</si>
  <si>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</si>
  <si>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</si>
  <si>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</si>
  <si>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</si>
  <si>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</si>
  <si>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</si>
  <si>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</si>
  <si>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</si>
  <si>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</si>
  <si>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</si>
  <si>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</si>
  <si>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</si>
  <si>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</si>
  <si>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</si>
  <si>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</si>
  <si>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</si>
  <si>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</si>
  <si>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</si>
  <si>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</si>
  <si>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</si>
  <si>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</si>
  <si>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</si>
  <si>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</si>
  <si>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</si>
  <si>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</si>
  <si>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</si>
  <si>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</si>
  <si>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</si>
  <si>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</si>
  <si>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</si>
  <si>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</si>
  <si>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</si>
  <si>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</si>
  <si>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</si>
  <si>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</si>
  <si>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</si>
  <si>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</si>
  <si>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</si>
  <si>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</si>
  <si>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</si>
  <si>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</si>
  <si>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</si>
  <si>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</si>
  <si>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</si>
  <si>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</si>
  <si>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</si>
  <si>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</si>
  <si>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</si>
  <si>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</si>
  <si>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</si>
  <si>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</si>
  <si>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</si>
  <si>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</si>
  <si>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</si>
  <si>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</si>
  <si>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</si>
  <si>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</si>
  <si>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</si>
  <si>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</si>
  <si>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</si>
  <si>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</si>
  <si>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</si>
  <si>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</si>
  <si>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</si>
  <si>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</si>
  <si>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</si>
  <si>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</si>
  <si>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</si>
  <si>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</si>
  <si>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</si>
  <si>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</si>
  <si>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</si>
  <si>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</si>
  <si>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</si>
  <si>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</si>
  <si>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</si>
  <si>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</si>
  <si>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</si>
  <si>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</si>
  <si>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</si>
  <si>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</si>
  <si>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</si>
  <si>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</si>
  <si>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</si>
  <si>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</si>
  <si>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</si>
  <si>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</si>
  <si>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</si>
  <si>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</si>
  <si>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</si>
  <si>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</si>
  <si>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</si>
  <si>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</si>
  <si>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</si>
  <si>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</si>
  <si>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</si>
  <si>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</si>
  <si>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</si>
  <si>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</si>
  <si>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</si>
  <si>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</si>
  <si>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</si>
  <si>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</si>
  <si>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</si>
  <si>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</si>
  <si>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</si>
  <si>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</si>
  <si>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</si>
  <si>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</si>
  <si>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</si>
  <si>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</si>
  <si>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</si>
  <si>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</si>
  <si>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</si>
  <si>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</si>
  <si>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</si>
  <si>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</si>
  <si>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</si>
  <si>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</si>
  <si>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</si>
  <si>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</si>
  <si>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</si>
  <si>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</si>
  <si>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</si>
  <si>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</si>
  <si>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</si>
  <si>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</si>
  <si>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</si>
  <si>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</si>
  <si>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</si>
  <si>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</si>
  <si>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</si>
  <si>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</si>
  <si>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</si>
  <si>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</si>
  <si>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</si>
  <si>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</si>
  <si>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</si>
  <si>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</si>
  <si>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</si>
  <si>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</si>
  <si>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</si>
  <si>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</si>
  <si>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</si>
  <si>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</si>
  <si>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</si>
  <si>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</si>
  <si>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</si>
  <si>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</si>
  <si>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</si>
  <si>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</si>
  <si>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</si>
  <si>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</si>
  <si>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</si>
  <si>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</si>
  <si>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</si>
  <si>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</si>
  <si>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</si>
  <si>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</si>
  <si>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</si>
  <si>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</si>
  <si>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</si>
  <si>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</si>
  <si>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</si>
  <si>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</si>
  <si>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</si>
  <si>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</si>
  <si>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</si>
  <si>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</si>
  <si>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</si>
  <si>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</si>
  <si>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</si>
  <si>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</si>
  <si>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</si>
  <si>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</si>
  <si>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</si>
  <si>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</si>
  <si>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</si>
  <si>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</si>
  <si>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</si>
  <si>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</si>
  <si>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</si>
  <si>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</si>
  <si>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</si>
  <si>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</si>
  <si>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</si>
  <si>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</si>
  <si>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</si>
  <si>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</si>
  <si>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</si>
  <si>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</si>
  <si>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</si>
  <si>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</si>
  <si>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</si>
  <si>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</si>
  <si>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</si>
  <si>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</si>
  <si>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</si>
  <si>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</si>
  <si>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</si>
  <si>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</si>
  <si>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</si>
  <si>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</si>
  <si>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</si>
  <si>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</si>
  <si>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</si>
  <si>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</si>
  <si>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</si>
  <si>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</si>
  <si>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</si>
  <si>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</si>
  <si>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</si>
  <si>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</si>
  <si>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</si>
  <si>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</si>
  <si>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</si>
  <si>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</si>
  <si>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</si>
  <si>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</si>
  <si>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</si>
  <si>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</si>
  <si>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</si>
  <si>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</si>
  <si>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</si>
  <si>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</si>
  <si>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</si>
  <si>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</si>
  <si>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</si>
  <si>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</si>
  <si>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</si>
  <si>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</si>
  <si>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</si>
  <si>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</si>
  <si>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</si>
  <si>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</si>
  <si>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</si>
  <si>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</si>
  <si>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</si>
  <si>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</si>
  <si>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</si>
  <si>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</si>
  <si>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</si>
  <si>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</si>
  <si>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</si>
  <si>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</si>
  <si>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</si>
  <si>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</si>
  <si>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</si>
  <si>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</si>
  <si>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</si>
  <si>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</si>
  <si>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</si>
  <si>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</si>
  <si>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</si>
  <si>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</si>
  <si>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</si>
  <si>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</si>
  <si>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</si>
  <si>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</si>
  <si>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</si>
  <si>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</si>
  <si>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</si>
  <si>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</si>
  <si>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</si>
  <si>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</si>
  <si>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</si>
  <si>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</si>
  <si>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</si>
  <si>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</si>
  <si>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</si>
  <si>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</si>
  <si>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</si>
  <si>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</si>
  <si>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</si>
  <si>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</si>
  <si>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</si>
  <si>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</si>
  <si>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</si>
  <si>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</si>
  <si>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</si>
  <si>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</si>
  <si>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</si>
  <si>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Notifiable Exemptions</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</si>
  <si>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</si>
  <si>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</si>
  <si>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</si>
  <si>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</si>
  <si>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</si>
  <si>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</si>
  <si>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</si>
  <si>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</si>
  <si>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</si>
  <si>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</si>
  <si>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</si>
  <si>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</si>
  <si>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</si>
  <si>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</si>
  <si>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</si>
  <si>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</si>
  <si>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</si>
  <si>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</si>
  <si>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</si>
  <si>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</si>
  <si>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</si>
  <si>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</si>
  <si>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</si>
  <si>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</si>
  <si>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</si>
  <si>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</si>
  <si>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</si>
  <si>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</si>
  <si>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</si>
  <si>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</si>
  <si>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</si>
  <si>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</si>
  <si>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</si>
  <si>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Site Name</t>
  </si>
  <si>
    <t>Technology Type</t>
  </si>
  <si>
    <t>Fuel Type</t>
  </si>
  <si>
    <t>Number of Units</t>
  </si>
  <si>
    <t>Nameplate Capacity (MW)</t>
  </si>
  <si>
    <t>Storage Capacity (MWh)</t>
  </si>
  <si>
    <t>Status Bucket Summary</t>
  </si>
  <si>
    <t>Fuel Bucket Summary</t>
  </si>
  <si>
    <t>Survey Version DateTime</t>
  </si>
  <si>
    <t>133 Castlereagh St</t>
  </si>
  <si>
    <t>Reciprocating Engine - Compression ignition</t>
  </si>
  <si>
    <t>Fossil - Natural Gas</t>
  </si>
  <si>
    <t>NS</t>
  </si>
  <si>
    <t>Fossil - Natural Gas Pipeline</t>
  </si>
  <si>
    <t>275 Kent St</t>
  </si>
  <si>
    <t>321 Exhibition Street Trigen</t>
  </si>
  <si>
    <t>Cogent Energy</t>
  </si>
  <si>
    <t>Reciprocating Engine - Spark ignition</t>
  </si>
  <si>
    <t>40 Mount St</t>
  </si>
  <si>
    <t>990 Latrobe St</t>
  </si>
  <si>
    <t>Project</t>
  </si>
  <si>
    <t>Abermain BESS</t>
  </si>
  <si>
    <t>FIrm Power P/L</t>
  </si>
  <si>
    <t>Storage - Battery</t>
  </si>
  <si>
    <t>Other - Other</t>
  </si>
  <si>
    <t>TBA</t>
  </si>
  <si>
    <t>Q00086</t>
  </si>
  <si>
    <t>Acacia Offshore Wind Farm - KCI</t>
  </si>
  <si>
    <t>Direct Infrastructure Pty Ltd</t>
  </si>
  <si>
    <t>Wind Turbine - Offshore</t>
  </si>
  <si>
    <t>Wind - Wind</t>
  </si>
  <si>
    <t>V00086</t>
  </si>
  <si>
    <t>Acacia SF</t>
  </si>
  <si>
    <t xml:space="preserve"> Venn Artibir Group Pty Ltd </t>
  </si>
  <si>
    <t>Solar PV - Fixed</t>
  </si>
  <si>
    <t>Solar - Solar</t>
  </si>
  <si>
    <t>Solar</t>
  </si>
  <si>
    <t>N00070</t>
  </si>
  <si>
    <t>Adelaide Airport</t>
  </si>
  <si>
    <t>Adelaide Airport Ltd</t>
  </si>
  <si>
    <t>S</t>
  </si>
  <si>
    <t>SS</t>
  </si>
  <si>
    <t>Adelaide Zoo Solar System</t>
  </si>
  <si>
    <t>Aeroten Leongatha Solar</t>
  </si>
  <si>
    <t>Alberton Wind Farm</t>
  </si>
  <si>
    <t>Synergy Wind Pty Ltd</t>
  </si>
  <si>
    <t>Wind Turbine - Onshore</t>
  </si>
  <si>
    <t>Albury Renewable Energy Facility</t>
  </si>
  <si>
    <t>Renewable Biomass or Waste - Landfill Gas</t>
  </si>
  <si>
    <t>Aldi Brendale</t>
  </si>
  <si>
    <t>Aldoga Solar Farm</t>
  </si>
  <si>
    <t>Acciona Energy Australia Global Pty Ltd</t>
  </si>
  <si>
    <t>Solar PV - Single axis tracking</t>
  </si>
  <si>
    <t>Q00036</t>
  </si>
  <si>
    <t>Altona BESS</t>
  </si>
  <si>
    <t>Ausnet Transmission Group Pty Ltd</t>
  </si>
  <si>
    <t>Fossil - Diesel</t>
  </si>
  <si>
    <t>ANGAST1</t>
  </si>
  <si>
    <t>Appin</t>
  </si>
  <si>
    <t>EDL CSM NSW Pty Ltd</t>
  </si>
  <si>
    <t>Fossil - Waste Coal Mine Gas</t>
  </si>
  <si>
    <t>APPIN</t>
  </si>
  <si>
    <t>Apsley BESS Project</t>
  </si>
  <si>
    <t xml:space="preserve"> ACENergy Pty Ltd </t>
  </si>
  <si>
    <t>N00063</t>
  </si>
  <si>
    <t>Aquila Wind</t>
  </si>
  <si>
    <t>ACEN Australia Pty Ltd</t>
  </si>
  <si>
    <t>N00038</t>
  </si>
  <si>
    <t>Aramara Solar Farm</t>
  </si>
  <si>
    <t>Aramara Solar Pty Ltd</t>
  </si>
  <si>
    <t>Ararat Wind Farm Pty Ltd</t>
  </si>
  <si>
    <t>ARWF1</t>
  </si>
  <si>
    <t>Argyle Solar Farm</t>
  </si>
  <si>
    <t>Argyle Solar Farm Pty Ltd</t>
  </si>
  <si>
    <t>Armidale BESS - 150</t>
  </si>
  <si>
    <t>Gmr Energy</t>
  </si>
  <si>
    <t>Armidale Pumped Hydro</t>
  </si>
  <si>
    <t>UPC Renewables</t>
  </si>
  <si>
    <t>Storage - Pumped hydro</t>
  </si>
  <si>
    <t>Hydro - Water</t>
  </si>
  <si>
    <t>Aurora Solar Energy Project - Phase 1</t>
  </si>
  <si>
    <t>SiliconAurora</t>
  </si>
  <si>
    <t>AusNet Services Deakin University Victoria Geelong PV Plant</t>
  </si>
  <si>
    <t>AusNet Services Ltd</t>
  </si>
  <si>
    <t>Australia Plains Solar Farm</t>
  </si>
  <si>
    <t>UPC-AC</t>
  </si>
  <si>
    <t>S00015</t>
  </si>
  <si>
    <t>Awaba</t>
  </si>
  <si>
    <t>AWABAREF</t>
  </si>
  <si>
    <t>Axedale Solar Farm</t>
  </si>
  <si>
    <t>UPC Renewables Australia</t>
  </si>
  <si>
    <t>V00025</t>
  </si>
  <si>
    <t>Bairnsdale</t>
  </si>
  <si>
    <t>Alinta DEBO</t>
  </si>
  <si>
    <t>Turbine - OCGT</t>
  </si>
  <si>
    <t>BDL01</t>
  </si>
  <si>
    <t>BDL02</t>
  </si>
  <si>
    <t>Bairnsdale BESS</t>
  </si>
  <si>
    <t>Bison Energy</t>
  </si>
  <si>
    <t>Bakers Maison</t>
  </si>
  <si>
    <t>Baking Board Battery Storage - KCI</t>
  </si>
  <si>
    <t xml:space="preserve"> Solar Projects Australia Pty Ltd</t>
  </si>
  <si>
    <t>Q00018</t>
  </si>
  <si>
    <t>Baking Board Solar Farm - KCI</t>
  </si>
  <si>
    <t>Baking Board Solar Farm Chinchilla</t>
  </si>
  <si>
    <t>Chinchilla Solar Pty Ltd</t>
  </si>
  <si>
    <t>Bald Hills Wind Farm</t>
  </si>
  <si>
    <t>Infrastructure Capital Group</t>
  </si>
  <si>
    <t>BALDHWF1</t>
  </si>
  <si>
    <t>Baldon Wind Farm</t>
  </si>
  <si>
    <t>Baldon Wind Farm Pty Ltd</t>
  </si>
  <si>
    <t>N00082</t>
  </si>
  <si>
    <t>Ballarat</t>
  </si>
  <si>
    <t>Ballarat Base Hospital Plant</t>
  </si>
  <si>
    <t>Ballarat Health Services</t>
  </si>
  <si>
    <t>BBASEHOS</t>
  </si>
  <si>
    <t>BALBG1</t>
  </si>
  <si>
    <t>Banana Range Wind Farm</t>
  </si>
  <si>
    <t>Orange Creek Energy Pty Ltd</t>
  </si>
  <si>
    <t>Q00041</t>
  </si>
  <si>
    <t>Banimboola</t>
  </si>
  <si>
    <t>Hydro - Dam</t>
  </si>
  <si>
    <t>BAPS</t>
  </si>
  <si>
    <t>Bankstown Sports Club</t>
  </si>
  <si>
    <t>BANKSPT1</t>
  </si>
  <si>
    <t>BANKSPT2</t>
  </si>
  <si>
    <t>Ergon Energy Queensland Pty Ltd</t>
  </si>
  <si>
    <t>BARCALDN</t>
  </si>
  <si>
    <t>Barcaldine Remote Community Solar Farm Pty Ltd</t>
  </si>
  <si>
    <t>BARCSF1</t>
  </si>
  <si>
    <t>Barn Hill</t>
  </si>
  <si>
    <t>Barn HIll Wind Farm Pty Ltd</t>
  </si>
  <si>
    <t>124.00 - 186.00</t>
  </si>
  <si>
    <t>Baroota Pumped Hydro Project</t>
  </si>
  <si>
    <t>ACEN Renewables</t>
  </si>
  <si>
    <t>Barron Gorge</t>
  </si>
  <si>
    <t>CleanCo Queensland Limited</t>
  </si>
  <si>
    <t>Hydro - Run of River</t>
  </si>
  <si>
    <t>BARRON-1</t>
  </si>
  <si>
    <t>BARRON-2</t>
  </si>
  <si>
    <t>Barunggam Solar Battery Farm - Battery - KCI</t>
  </si>
  <si>
    <t xml:space="preserve"> Ubergy Pty Ltd </t>
  </si>
  <si>
    <t>Q00020</t>
  </si>
  <si>
    <t>Barunggam Solar Farm - KCI</t>
  </si>
  <si>
    <t xml:space="preserve"> Ubergy Pty Ltd</t>
  </si>
  <si>
    <t xml:space="preserve">Barwon Solar Farm &amp; BESS </t>
  </si>
  <si>
    <t>elgin-energy_nr</t>
  </si>
  <si>
    <t>Bashan 1 Wind Farm</t>
  </si>
  <si>
    <t>Goldwind Australia</t>
  </si>
  <si>
    <t>T00028</t>
  </si>
  <si>
    <t>Bashan 2 Wind Farm</t>
  </si>
  <si>
    <t>T00029</t>
  </si>
  <si>
    <t>Bass Offshore Wind Energy Project</t>
  </si>
  <si>
    <t xml:space="preserve"> Nexsphere Pty Ltd</t>
  </si>
  <si>
    <t>T00010</t>
  </si>
  <si>
    <t>Bastyan</t>
  </si>
  <si>
    <t>Hydro-Electric Corporation</t>
  </si>
  <si>
    <t>BASTYAN</t>
  </si>
  <si>
    <t>Battery of the Nation - Stage 2b</t>
  </si>
  <si>
    <t>Battery of the Nation - Stage 3b</t>
  </si>
  <si>
    <t>Turbine - Steam Sub Critical</t>
  </si>
  <si>
    <t>Fossil - Black Coal</t>
  </si>
  <si>
    <t>BW01</t>
  </si>
  <si>
    <t>BW02</t>
  </si>
  <si>
    <t>BW03</t>
  </si>
  <si>
    <t>BW04</t>
  </si>
  <si>
    <t>Bayswood Timber Hallam VIC</t>
  </si>
  <si>
    <t>Bayswood Timber</t>
  </si>
  <si>
    <t>Beaconhills College Berwick</t>
  </si>
  <si>
    <t>Beelbee Solar Farm</t>
  </si>
  <si>
    <t>Belhaven Renewable Project</t>
  </si>
  <si>
    <t xml:space="preserve"> Vena Energy Services (Australia) Pty Ltd</t>
  </si>
  <si>
    <t>N00078</t>
  </si>
  <si>
    <t>Bell Bay Three</t>
  </si>
  <si>
    <t>BBTHREE1</t>
  </si>
  <si>
    <t>BBTHREE2</t>
  </si>
  <si>
    <t>BBTHREE3</t>
  </si>
  <si>
    <t>Bellambi Heights Renewables Project</t>
  </si>
  <si>
    <t>Bellbay Wind Farm</t>
  </si>
  <si>
    <t>Equis Wind (Australia) Projects (Penguin) Pty Ltd</t>
  </si>
  <si>
    <t>Ben Bullen BESS</t>
  </si>
  <si>
    <t>Tetris Energy</t>
  </si>
  <si>
    <t>Ben Bullen Solar Farm</t>
  </si>
  <si>
    <t>Ben Bullen Wind Farm</t>
  </si>
  <si>
    <t>Bendemeer Renewable Energy Hub - Solar - KCI</t>
  </si>
  <si>
    <t>Athena Energy Australia (Holdings) Pty Ltd</t>
  </si>
  <si>
    <t>N00100</t>
  </si>
  <si>
    <t>Bendemeer Renewable Energy Hub - Storage - KCI</t>
  </si>
  <si>
    <t>Bendemeer Renewable Energy Hub - Wind - KCI</t>
  </si>
  <si>
    <t>Bendigo</t>
  </si>
  <si>
    <t>Berrimal Wind Farm</t>
  </si>
  <si>
    <t>Acciona Energy Australia Global</t>
  </si>
  <si>
    <t>Berrybank 1 BESS - Storage - KCI</t>
  </si>
  <si>
    <t>V00087</t>
  </si>
  <si>
    <t>Beryl BESS</t>
  </si>
  <si>
    <t>Ratch-Australia Corporation</t>
  </si>
  <si>
    <t>BERYLSF1</t>
  </si>
  <si>
    <t>BESS Finley</t>
  </si>
  <si>
    <t>BESS Finley P/L</t>
  </si>
  <si>
    <t>N00114</t>
  </si>
  <si>
    <t>BESS Styx - Storage - KCI</t>
  </si>
  <si>
    <t>BESS Arctic Pty Ltd</t>
  </si>
  <si>
    <t>N00101</t>
  </si>
  <si>
    <t>BHP Billiton</t>
  </si>
  <si>
    <t>Big-T Project</t>
  </si>
  <si>
    <t>BE Power</t>
  </si>
  <si>
    <t>Q00051</t>
  </si>
  <si>
    <t>Birdwood Energy Reserve - KCI</t>
  </si>
  <si>
    <t xml:space="preserve"> Birdwood Energy Reserve Pty Ltd (ACN 658 507 441) as Trustee for Birdwood Energy Reserve Trust</t>
  </si>
  <si>
    <t>V00083</t>
  </si>
  <si>
    <t>Birkins Solar Farm - Hydrogen - KCI</t>
  </si>
  <si>
    <t xml:space="preserve"> FRV Services Australia Pty Ltd</t>
  </si>
  <si>
    <t>BIRKHG</t>
  </si>
  <si>
    <t>V00049</t>
  </si>
  <si>
    <t>Birkins Solar Farm - Solar - KCI</t>
  </si>
  <si>
    <t>BIRKPV</t>
  </si>
  <si>
    <t>V00048</t>
  </si>
  <si>
    <t>Birkins Solar Farm - Storage - KCI</t>
  </si>
  <si>
    <t>BIRKBESS</t>
  </si>
  <si>
    <t>V00047</t>
  </si>
  <si>
    <t>Blackstone BESS</t>
  </si>
  <si>
    <t>Q00088</t>
  </si>
  <si>
    <t>Blacktop BESS - KCI</t>
  </si>
  <si>
    <t xml:space="preserve"> BESS Officer Pty Ltd</t>
  </si>
  <si>
    <t>S00028</t>
  </si>
  <si>
    <t xml:space="preserve">Blackwater Hybrid System </t>
  </si>
  <si>
    <t>Blackwater Project Nominees Pty Ltd as trustee for the Blackwater Project Trust</t>
  </si>
  <si>
    <t>Q00048</t>
  </si>
  <si>
    <t>Blair Athol Solar Power Station</t>
  </si>
  <si>
    <t>TerraCom Ltd</t>
  </si>
  <si>
    <t>Blayney</t>
  </si>
  <si>
    <t>Blaney and Crookwell WindFarm Pty Ltd</t>
  </si>
  <si>
    <t>Blenheim BESS - KCI</t>
  </si>
  <si>
    <t xml:space="preserve"> Gatton Solar Farm Pty Ltd</t>
  </si>
  <si>
    <t>Q00025</t>
  </si>
  <si>
    <t>Blenheim Solar Farm - KCI</t>
  </si>
  <si>
    <t>Blind Creek Solar Farm</t>
  </si>
  <si>
    <t>Ms BCSF Holdings Pty Ltd as trustee for the Blind Creek Solar Farm Trust</t>
  </si>
  <si>
    <t>N00044</t>
  </si>
  <si>
    <t>Blowering</t>
  </si>
  <si>
    <t>BLOWERNG</t>
  </si>
  <si>
    <t>Blue Lake Milling Power Plant</t>
  </si>
  <si>
    <t>Vibe Energy Pty Ltd</t>
  </si>
  <si>
    <t>BLULAKE</t>
  </si>
  <si>
    <t>BLUEGSF1</t>
  </si>
  <si>
    <t>Bluff Solar Farm</t>
  </si>
  <si>
    <t>Iberdrola Australia Development Pty Ltd</t>
  </si>
  <si>
    <t>1.00 - 85.00</t>
  </si>
  <si>
    <t>S00021</t>
  </si>
  <si>
    <t>South Pacific Power Pty Ltd</t>
  </si>
  <si>
    <t>BOCOROC2</t>
  </si>
  <si>
    <t>BOCORWF1</t>
  </si>
  <si>
    <t>BODWF1</t>
  </si>
  <si>
    <t xml:space="preserve">Boggabri solar and storage project </t>
  </si>
  <si>
    <t>Boiling Down BESS</t>
  </si>
  <si>
    <t>Hanwha Energy Australia Pty Ltd</t>
  </si>
  <si>
    <t>N00111</t>
  </si>
  <si>
    <t>Renewable Biomass or Waste - Biogas</t>
  </si>
  <si>
    <t>Boma Solar Farm</t>
  </si>
  <si>
    <t>Solis Industria</t>
  </si>
  <si>
    <t>N00008</t>
  </si>
  <si>
    <t>Boomber Green Energy Hub</t>
  </si>
  <si>
    <t>Boomer Green Energy Hub Pty Ltd (a subsidiary of the Ark Energy Group)</t>
  </si>
  <si>
    <t>Bordertown Power Station Gen</t>
  </si>
  <si>
    <t>Boronia Mini Hydro</t>
  </si>
  <si>
    <t>Boulder Creek Wind Farm</t>
  </si>
  <si>
    <t>ARK Energy Corporation Pty Ltd</t>
  </si>
  <si>
    <t>Q00004</t>
  </si>
  <si>
    <t>Bouldercombe Solar Farm</t>
  </si>
  <si>
    <t>EEW Eco Energy World Ltd</t>
  </si>
  <si>
    <t>Bouldercombe Solar Farm - KCI</t>
  </si>
  <si>
    <t xml:space="preserve"> ENEL Green Power Australia Pty Ltd</t>
  </si>
  <si>
    <t>Q00024</t>
  </si>
  <si>
    <t>Bouldercombe Solar Farm BESS - KCI</t>
  </si>
  <si>
    <t>Bowen PHES - KCI</t>
  </si>
  <si>
    <t xml:space="preserve"> Blue Hydro Project Pty Ltd</t>
  </si>
  <si>
    <t>Q00055</t>
  </si>
  <si>
    <t>Bowmans Creek Wind Farm</t>
  </si>
  <si>
    <t>Fossil - Coal Seam Methane</t>
  </si>
  <si>
    <t>BRAEMAR2</t>
  </si>
  <si>
    <t>BRAEMAR3</t>
  </si>
  <si>
    <t>Braemar 2 Power Station</t>
  </si>
  <si>
    <t>NewGen Braemar 2 Partnership comprising Arrow Braemar 2 Pty Ltd and Arrow Southern Generation Pty Ltd</t>
  </si>
  <si>
    <t>BRAEMAR5</t>
  </si>
  <si>
    <t>BRAEMAR6</t>
  </si>
  <si>
    <t>BRAEMAR7</t>
  </si>
  <si>
    <t>Brampton Solar Farm</t>
  </si>
  <si>
    <t>Q00076</t>
  </si>
  <si>
    <t>Brewongle Solar Farm</t>
  </si>
  <si>
    <t>Bridgewater</t>
  </si>
  <si>
    <t>Ceramet</t>
  </si>
  <si>
    <t>Bridgewater BESS</t>
  </si>
  <si>
    <t xml:space="preserve"> Edify Energy Pty Ltd</t>
  </si>
  <si>
    <t>T00009</t>
  </si>
  <si>
    <t>Bridle Track Solar Project</t>
  </si>
  <si>
    <t>Brinkworth BESS - Storage - KCI</t>
  </si>
  <si>
    <t>Equis Energy (Australia) Projects (Ngumi 6) Pty Ltd as trustee for the Equis Energy(Australia) Ngumi 6 Asset Trust</t>
  </si>
  <si>
    <t>S00034</t>
  </si>
  <si>
    <t>Broadlea Solar Farm</t>
  </si>
  <si>
    <t>EEW Eco Energy World</t>
  </si>
  <si>
    <t>Broadmeadows</t>
  </si>
  <si>
    <t>Broadsound Solar Farm</t>
  </si>
  <si>
    <t>Broadsound Solar Farm Pty Ltd</t>
  </si>
  <si>
    <t>Q00021</t>
  </si>
  <si>
    <t>Broadwater</t>
  </si>
  <si>
    <t>Cape Byron Management PTY LTD</t>
  </si>
  <si>
    <t>Renewable Biomass or Waste - Biomass</t>
  </si>
  <si>
    <t>BWTR1</t>
  </si>
  <si>
    <t>Brocklehurst Solar Farm</t>
  </si>
  <si>
    <t>Broken Hill GT</t>
  </si>
  <si>
    <t>Transgrid</t>
  </si>
  <si>
    <t>GB01</t>
  </si>
  <si>
    <t>BROKENH1</t>
  </si>
  <si>
    <t>Brooyer BESS</t>
  </si>
  <si>
    <t>Res Group</t>
  </si>
  <si>
    <t>Q00050</t>
  </si>
  <si>
    <t>Brown Mountain Hydro Power Station</t>
  </si>
  <si>
    <t>Cochrane Dam Pty Ltd</t>
  </si>
  <si>
    <t xml:space="preserve"> BROWNMT</t>
  </si>
  <si>
    <t>Browns Plains</t>
  </si>
  <si>
    <t>EDL LFG (Qld) Pty Ltd</t>
  </si>
  <si>
    <t>BPLANDF1</t>
  </si>
  <si>
    <t>BPLANDF2</t>
  </si>
  <si>
    <t>Bulli Creek Battery</t>
  </si>
  <si>
    <t>Bulli Creek Solar Farm</t>
  </si>
  <si>
    <t>Q00078</t>
  </si>
  <si>
    <t>Bullyard Solar Farm</t>
  </si>
  <si>
    <t>EnerTECH PV Australia Pty Ltd</t>
  </si>
  <si>
    <t>Bungaban Wind Farm</t>
  </si>
  <si>
    <t xml:space="preserve"> Windlab Developments Pty Ltd</t>
  </si>
  <si>
    <t>Q00049</t>
  </si>
  <si>
    <t>Bungala BESS</t>
  </si>
  <si>
    <t>S00019</t>
  </si>
  <si>
    <t>Bungala One Operations Pty Ltd as trustee for the Bungala One Operations Trust</t>
  </si>
  <si>
    <t>Bungala Three Solar Power Plant</t>
  </si>
  <si>
    <t>Reach Solar Management Co</t>
  </si>
  <si>
    <t>Bungala Two Operations Pty Ltd as trustee for the Bungala Two Operations Trust</t>
  </si>
  <si>
    <t>Bungama Solar</t>
  </si>
  <si>
    <t>Bungama Project (Solar) Operations Pty Ltd</t>
  </si>
  <si>
    <t>S00004</t>
  </si>
  <si>
    <t>Bunkers Hill Pumped Hydro</t>
  </si>
  <si>
    <t>Pacific Hydro</t>
  </si>
  <si>
    <t>Q00071</t>
  </si>
  <si>
    <t>Bunkers Hill Wind Farm</t>
  </si>
  <si>
    <t>Bunurong 260 kW Solar PV Bangholme</t>
  </si>
  <si>
    <t>Burdekin Solar Farm - KCI</t>
  </si>
  <si>
    <t>Burdekin Solar Farm Pty Ltd</t>
  </si>
  <si>
    <t>Q00035</t>
  </si>
  <si>
    <t>Buronga BESS - Storage - KCI</t>
  </si>
  <si>
    <t>BESS Clyde North Pty Ltd</t>
  </si>
  <si>
    <t>N00105</t>
  </si>
  <si>
    <t>Burrawong Wind Farm</t>
  </si>
  <si>
    <t>Windlab Development Pty Ltd</t>
  </si>
  <si>
    <t>25.00 - 100.00</t>
  </si>
  <si>
    <t>N00089</t>
  </si>
  <si>
    <t>Burrendong</t>
  </si>
  <si>
    <t>BDONGHYD</t>
  </si>
  <si>
    <t>Burrendong Wind Farm</t>
  </si>
  <si>
    <t>Burrinjuck</t>
  </si>
  <si>
    <t>GSP Energy Pty Ltd</t>
  </si>
  <si>
    <t>BURRIN</t>
  </si>
  <si>
    <t>Butlers Gorge</t>
  </si>
  <si>
    <t>BUTLERSG</t>
  </si>
  <si>
    <t>Callide B</t>
  </si>
  <si>
    <t>CS Energy</t>
  </si>
  <si>
    <t>CALL_B_1</t>
  </si>
  <si>
    <t>CALL_B_2</t>
  </si>
  <si>
    <t>Turbine - Steam Super Critical</t>
  </si>
  <si>
    <t>CPP_3</t>
  </si>
  <si>
    <t>CPP_4</t>
  </si>
  <si>
    <t>Callide Power Station BESS</t>
  </si>
  <si>
    <t>Q00092</t>
  </si>
  <si>
    <t>Callide Power Station Solar Farm</t>
  </si>
  <si>
    <t>Callide Wind Farm - KCI</t>
  </si>
  <si>
    <t xml:space="preserve"> DP Energy Pty Ltd</t>
  </si>
  <si>
    <t>Q00016</t>
  </si>
  <si>
    <t>Caloundra Renewable Energy Facility</t>
  </si>
  <si>
    <t>Calvale BESS</t>
  </si>
  <si>
    <t>Lightsource BP</t>
  </si>
  <si>
    <t>Q00094</t>
  </si>
  <si>
    <t>Calvale Solar Farm</t>
  </si>
  <si>
    <t>Campbells Forest Solar Farm</t>
  </si>
  <si>
    <t>4067 Pyramid Development Pty Ltd</t>
  </si>
  <si>
    <t>Canunda</t>
  </si>
  <si>
    <t>Canunda Power Pty Ltd</t>
  </si>
  <si>
    <t>CNUNDAWF</t>
  </si>
  <si>
    <t>Cape Winds Offshore Wind Farm</t>
  </si>
  <si>
    <t>NeuGen Technology P/L</t>
  </si>
  <si>
    <t>V00101</t>
  </si>
  <si>
    <t>Capital 2 Wind Farm</t>
  </si>
  <si>
    <t>Capital Wind Farm 2 Pty Ltd</t>
  </si>
  <si>
    <t>70.40 - 134.40</t>
  </si>
  <si>
    <t>N00085</t>
  </si>
  <si>
    <t xml:space="preserve"> Neoen Australia Pty Ltd     </t>
  </si>
  <si>
    <t>CBESS1</t>
  </si>
  <si>
    <t>N00025</t>
  </si>
  <si>
    <t>IBERDROLA AUSTRALIA HOLDINGS PTY LIMITED</t>
  </si>
  <si>
    <t>CESF1</t>
  </si>
  <si>
    <t>Capital Wind Farm</t>
  </si>
  <si>
    <t>Renewable Power Ventures Pty Ltd</t>
  </si>
  <si>
    <t>CAPTL_WF</t>
  </si>
  <si>
    <t>Captains Mountain Wind Farm</t>
  </si>
  <si>
    <t>vestas_NR</t>
  </si>
  <si>
    <t>Q00046</t>
  </si>
  <si>
    <t>Carag Solar Farm</t>
  </si>
  <si>
    <t>Cardinia Creek Mini-Hydro</t>
  </si>
  <si>
    <t>CARINA WEST H2E</t>
  </si>
  <si>
    <t>Renewable Biomass or Waste - Bagasse</t>
  </si>
  <si>
    <t>Carisbrook Solar Farm</t>
  </si>
  <si>
    <t>235.60 - 250.80</t>
  </si>
  <si>
    <t>Carwarp BESS</t>
  </si>
  <si>
    <t>Canadian Solar</t>
  </si>
  <si>
    <t>Carwarp Solar Farm - Stage I</t>
  </si>
  <si>
    <t>Canadian Solar (Australia) Pty Ltd</t>
  </si>
  <si>
    <t>Carwarp Solar Farm - Stage II</t>
  </si>
  <si>
    <t>Catagunya / Liapootah / Wayatinah</t>
  </si>
  <si>
    <t>LI_WY_CA</t>
  </si>
  <si>
    <t>Cathedral Rocks</t>
  </si>
  <si>
    <t>JV Cathedral Rock Investments Pty Ltd  - Acciona Energy Australia Global Pty Ltd and EnergyAustralia Pty Ltd</t>
  </si>
  <si>
    <t>CATHROCK</t>
  </si>
  <si>
    <t>Cedar Meats Solar Geelong</t>
  </si>
  <si>
    <t>Cedar Meats</t>
  </si>
  <si>
    <t>Cellars Hill BESS</t>
  </si>
  <si>
    <t>The Trustee for Equis Wind (Australia) Cellars Hill Asset Trust</t>
  </si>
  <si>
    <t>T00027</t>
  </si>
  <si>
    <t>Cellars Hill Wind Farm</t>
  </si>
  <si>
    <t>Q00022</t>
  </si>
  <si>
    <t>Central West Pumped Hydro</t>
  </si>
  <si>
    <t xml:space="preserve"> ATCO Australia Pumped Hydro Pty Ltd</t>
  </si>
  <si>
    <t>N00054</t>
  </si>
  <si>
    <t>Cethana</t>
  </si>
  <si>
    <t>CETHANA</t>
  </si>
  <si>
    <t>Cethana Pumped Hydro Option</t>
  </si>
  <si>
    <t>T00001</t>
  </si>
  <si>
    <t>CHMLBESS</t>
  </si>
  <si>
    <t>S00006</t>
  </si>
  <si>
    <t>Challicum Hills</t>
  </si>
  <si>
    <t>Pacific Hydro Challicum Hills Pty Ltd</t>
  </si>
  <si>
    <t>Chalumbin Wind Farm</t>
  </si>
  <si>
    <t>Chances Plain Solar Farm</t>
  </si>
  <si>
    <t>Chepstowe Wind Farm - VIC</t>
  </si>
  <si>
    <t>Chepstowe Wind Farm Pty Ltd</t>
  </si>
  <si>
    <t>CHPSTWF1</t>
  </si>
  <si>
    <t>Childers Solar Pty Ltd as trustee for the Childers Solar Trust</t>
  </si>
  <si>
    <t>Chillamurra</t>
  </si>
  <si>
    <t>Chillamurra Solar Farm</t>
  </si>
  <si>
    <t>Chillamurra Solar Pty Ltd</t>
  </si>
  <si>
    <t>Chinchilla Solar Farm</t>
  </si>
  <si>
    <t>First Solar Australia Pty Ltd</t>
  </si>
  <si>
    <t>Chipping Norton Waste to Energy</t>
  </si>
  <si>
    <t>Benedict Indistries P/L</t>
  </si>
  <si>
    <t>Churchill Abattoir</t>
  </si>
  <si>
    <t>CLARESF1</t>
  </si>
  <si>
    <t>Clarke Creek Wind and Solar Farm - Solar</t>
  </si>
  <si>
    <t>Squadron Energy</t>
  </si>
  <si>
    <t>Clayton</t>
  </si>
  <si>
    <t>CLAYTON</t>
  </si>
  <si>
    <t>CleanCo Wind Farm - KCI</t>
  </si>
  <si>
    <t xml:space="preserve"> ACCIONA Energy Australia Global Pty Ltd</t>
  </si>
  <si>
    <t>Q00005</t>
  </si>
  <si>
    <t>Clements Gap - BESS</t>
  </si>
  <si>
    <t>Pacific Hydro Clements Gap Pty Ltd</t>
  </si>
  <si>
    <t>S00020</t>
  </si>
  <si>
    <t>Clements Gap Wind Farm</t>
  </si>
  <si>
    <t>CLEMGPWF</t>
  </si>
  <si>
    <t>Clover</t>
  </si>
  <si>
    <t>CLOVER</t>
  </si>
  <si>
    <t>Club Merrylands</t>
  </si>
  <si>
    <t>Cluny</t>
  </si>
  <si>
    <t>CLUNY</t>
  </si>
  <si>
    <t>Codrington Wind Farm</t>
  </si>
  <si>
    <t>Energy Pacific (Vic) Pty Ltd</t>
  </si>
  <si>
    <t>CODRNGTON</t>
  </si>
  <si>
    <t>Cohuna Solar Farm Pty Ltd as trustee for the Cohuna Solar Farm Trust</t>
  </si>
  <si>
    <t>Coleambally BESS</t>
  </si>
  <si>
    <t xml:space="preserve">Coleambally BESS Trust </t>
  </si>
  <si>
    <t>N00024</t>
  </si>
  <si>
    <t>COLEASF1</t>
  </si>
  <si>
    <t>Collinsville Coal Fired Power Station Project - KCI</t>
  </si>
  <si>
    <t xml:space="preserve"> Shine Energy</t>
  </si>
  <si>
    <t>Q00017</t>
  </si>
  <si>
    <t>Collinsville Green Energy Hub</t>
  </si>
  <si>
    <t xml:space="preserve">COLLINSVILLE GREEN ENERGY HUB PTY LTD </t>
  </si>
  <si>
    <t>Collinsville North Battery Project</t>
  </si>
  <si>
    <t>CSPVPS1</t>
  </si>
  <si>
    <t>Colongra</t>
  </si>
  <si>
    <t>CG1</t>
  </si>
  <si>
    <t>CG2</t>
  </si>
  <si>
    <t>CG3</t>
  </si>
  <si>
    <t>CG4</t>
  </si>
  <si>
    <t>COLUMSF1</t>
  </si>
  <si>
    <t>Condamine A</t>
  </si>
  <si>
    <t>QGC Sales QLD Pty Ltd</t>
  </si>
  <si>
    <t>Turbine - CCGT</t>
  </si>
  <si>
    <t>CPSA</t>
  </si>
  <si>
    <t>Condong</t>
  </si>
  <si>
    <t>CONDONG1</t>
  </si>
  <si>
    <t>Cooba Solar Farm - KCI</t>
  </si>
  <si>
    <t xml:space="preserve"> Venn Artibit Group Pty Ltd</t>
  </si>
  <si>
    <t>V00058</t>
  </si>
  <si>
    <t>Cooma Solar Farm</t>
  </si>
  <si>
    <t>BE PRO CM pty ltd</t>
  </si>
  <si>
    <t>Cooma Solar Farm (Lightsource)</t>
  </si>
  <si>
    <t xml:space="preserve"> Lightsource Development Services Australia Pty Ltd</t>
  </si>
  <si>
    <t>N00009</t>
  </si>
  <si>
    <t>Coonooer Bridge Wind Farm Pty Ltd</t>
  </si>
  <si>
    <t>Coopers Co-gen</t>
  </si>
  <si>
    <t>Copeton</t>
  </si>
  <si>
    <t>COPTNHYD</t>
  </si>
  <si>
    <t>Coppabella Wind Farm</t>
  </si>
  <si>
    <t>Coppabella Wind Farm Pty Ltd</t>
  </si>
  <si>
    <t>N00029</t>
  </si>
  <si>
    <t>Copping Renewable Energy Facility</t>
  </si>
  <si>
    <t>Corio</t>
  </si>
  <si>
    <t>CORIO</t>
  </si>
  <si>
    <t>Cranbourne BESS (Macquarie)</t>
  </si>
  <si>
    <t xml:space="preserve"> Macquarie Corporate Holdings Pty Ltd</t>
  </si>
  <si>
    <t>V00035</t>
  </si>
  <si>
    <t>Cranbourne BESS (Maoneng)</t>
  </si>
  <si>
    <t>Maoneng Australia Pty Ltd</t>
  </si>
  <si>
    <t>V00014</t>
  </si>
  <si>
    <t>Crookwell</t>
  </si>
  <si>
    <t>CROOKWF2</t>
  </si>
  <si>
    <t>N00041</t>
  </si>
  <si>
    <t>Cross Roads Energy Solar Farm - KCI</t>
  </si>
  <si>
    <t xml:space="preserve"> Crossroads Energy Pty Ltd</t>
  </si>
  <si>
    <t>Q00011</t>
  </si>
  <si>
    <t>Crown Melbourne</t>
  </si>
  <si>
    <t>Crown Resorts</t>
  </si>
  <si>
    <t>Crown Ge</t>
  </si>
  <si>
    <t>Cullerin Range Wind Farm</t>
  </si>
  <si>
    <t>Cullerin Range Wind Farm Pty Ltd</t>
  </si>
  <si>
    <t>CULLRGWF</t>
  </si>
  <si>
    <t>Dalby Solar Farm</t>
  </si>
  <si>
    <t>Dalby Asset Trust</t>
  </si>
  <si>
    <t>Dalrymple BESS</t>
  </si>
  <si>
    <t>ElectraNet</t>
  </si>
  <si>
    <t>DALNTH01</t>
  </si>
  <si>
    <t>Dalvui BESS</t>
  </si>
  <si>
    <t>V00022</t>
  </si>
  <si>
    <t>Darling Downs</t>
  </si>
  <si>
    <t>DDPS1</t>
  </si>
  <si>
    <t>Darling Downs Battery</t>
  </si>
  <si>
    <t>BORAL</t>
  </si>
  <si>
    <t>Q00031</t>
  </si>
  <si>
    <t>DDSF1</t>
  </si>
  <si>
    <t>DPESS Pty Ltd</t>
  </si>
  <si>
    <t>DPNTBG1</t>
  </si>
  <si>
    <t>N00021</t>
  </si>
  <si>
    <t>Darlington Wind Farm - GPG</t>
  </si>
  <si>
    <t>globalpower-generation_NR</t>
  </si>
  <si>
    <t>Daroobalgie Solar Farm</t>
  </si>
  <si>
    <t>Pacific Hydro Australia Developments Pty Ltd</t>
  </si>
  <si>
    <t>80.00 - 100.00</t>
  </si>
  <si>
    <t>N00033</t>
  </si>
  <si>
    <t>Dartmouth</t>
  </si>
  <si>
    <t>DARTM1</t>
  </si>
  <si>
    <t>DAYDSF1</t>
  </si>
  <si>
    <t>De Bortoli Wines</t>
  </si>
  <si>
    <t>Delburn Wind Farm</t>
  </si>
  <si>
    <t>Delburn Wind Farm Pty Ltd</t>
  </si>
  <si>
    <t>204.60 - 217.80</t>
  </si>
  <si>
    <t>Deniliquin BESS - Storage - KCI</t>
  </si>
  <si>
    <t>Enervest Pty Ltd</t>
  </si>
  <si>
    <t>N00107</t>
  </si>
  <si>
    <t>Derby Solar Farm</t>
  </si>
  <si>
    <t>Derwent Valley Wind Farm</t>
  </si>
  <si>
    <t xml:space="preserve"> West Coast Renewable Energy</t>
  </si>
  <si>
    <t>T00012</t>
  </si>
  <si>
    <t>Devils Gate</t>
  </si>
  <si>
    <t>DEVILS_G</t>
  </si>
  <si>
    <t>DHL6 Solar Horsley Park</t>
  </si>
  <si>
    <t>Dinawan Energy Hub</t>
  </si>
  <si>
    <t>Spark Renewables Pty Ltd</t>
  </si>
  <si>
    <t>264.00 - 396.00</t>
  </si>
  <si>
    <t>444.00 - 666.00</t>
  </si>
  <si>
    <t>200.00 - 400.00</t>
  </si>
  <si>
    <t>530.00 - 848.00</t>
  </si>
  <si>
    <t>760.00 - 1216.00</t>
  </si>
  <si>
    <t>Dingo Solar Farm</t>
  </si>
  <si>
    <t>ESCO Pacific</t>
  </si>
  <si>
    <t>Direk BESS</t>
  </si>
  <si>
    <t>Gransolar</t>
  </si>
  <si>
    <t>Drayton's Family Wines Solar</t>
  </si>
  <si>
    <t>Dry Creek BESS - KCI</t>
  </si>
  <si>
    <t xml:space="preserve"> International Power (Energy) Pty Ltd</t>
  </si>
  <si>
    <t>S00030</t>
  </si>
  <si>
    <t>Dry Creek GT</t>
  </si>
  <si>
    <t>Synergen Power Pty Ltd</t>
  </si>
  <si>
    <t>DRYCGT1</t>
  </si>
  <si>
    <t>DRYCGT2</t>
  </si>
  <si>
    <t>DRYCGT3</t>
  </si>
  <si>
    <t>Drysdale</t>
  </si>
  <si>
    <t>Dulacca Solar</t>
  </si>
  <si>
    <t>Dulacca Energy Project Co Pty Ltd</t>
  </si>
  <si>
    <t>DULAWF1</t>
  </si>
  <si>
    <t>Dumaresq Solar Farm</t>
  </si>
  <si>
    <t>Dumaresq Solar Farm Pty Limited</t>
  </si>
  <si>
    <t>N00005</t>
  </si>
  <si>
    <t>Dunblane Solar Pty Ltd</t>
  </si>
  <si>
    <t>DUNDWF2</t>
  </si>
  <si>
    <t>DUNDWF3</t>
  </si>
  <si>
    <t>Dunedoo Solar Farm</t>
  </si>
  <si>
    <t>ib vogt GmbH / Sun Spot 4</t>
  </si>
  <si>
    <t xml:space="preserve">Dungowan 3,000 MWH PHES   </t>
  </si>
  <si>
    <t>Dungowan Pumped Hydro Pty Ltd</t>
  </si>
  <si>
    <t>N00075</t>
  </si>
  <si>
    <t>Dunmore BESS</t>
  </si>
  <si>
    <t>Samsung C&amp;T</t>
  </si>
  <si>
    <t>Q00089</t>
  </si>
  <si>
    <t>Dunmore Solar Farm</t>
  </si>
  <si>
    <t>Dunmore Solar PV</t>
  </si>
  <si>
    <t>Samsung C&amp;T Renewable Energy Australia Pty, Ltd</t>
  </si>
  <si>
    <t>Dysart Solar Farm RED</t>
  </si>
  <si>
    <t>Earthpower Technologies Sydney</t>
  </si>
  <si>
    <t>Eastern Creek</t>
  </si>
  <si>
    <t>EASTCRK</t>
  </si>
  <si>
    <t>Eastern Creek 2 Gas Utilisation Facility</t>
  </si>
  <si>
    <t xml:space="preserve">Eastern Rise Offshore Wind </t>
  </si>
  <si>
    <t>Eastern Rise OWP Project Pty Ltd</t>
  </si>
  <si>
    <t>Eden Offshore Wind Farm</t>
  </si>
  <si>
    <t>OceanEx Energy</t>
  </si>
  <si>
    <t>EDENVSF1</t>
  </si>
  <si>
    <t>Eildon</t>
  </si>
  <si>
    <t>EILDON1</t>
  </si>
  <si>
    <t>EILDON2</t>
  </si>
  <si>
    <t>Eildon Pondage Power Station (EPPS)</t>
  </si>
  <si>
    <t>Pacific Hydro Investments Pty Ltd</t>
  </si>
  <si>
    <t>EILDON3</t>
  </si>
  <si>
    <t>EIWA Bundaberg Solar Farm</t>
  </si>
  <si>
    <t>EIWA Bundaberg Solar Pty Ltd</t>
  </si>
  <si>
    <t>Elaine Solar Farm &amp; BESS Hybrid - KCI</t>
  </si>
  <si>
    <t xml:space="preserve"> Elgin Energy Pty Ltd</t>
  </si>
  <si>
    <t>V00080</t>
  </si>
  <si>
    <t>EMERASF1</t>
  </si>
  <si>
    <t>Emeroo BESS</t>
  </si>
  <si>
    <t>40.04 - 61.46</t>
  </si>
  <si>
    <t>S00026</t>
  </si>
  <si>
    <t>Epworth Hospital - Geelong - Waurn Ponds</t>
  </si>
  <si>
    <t>ER01</t>
  </si>
  <si>
    <t>In Service - Announced Withdrawal (Permanent)</t>
  </si>
  <si>
    <t>ER02</t>
  </si>
  <si>
    <t>ER03</t>
  </si>
  <si>
    <t>ER04</t>
  </si>
  <si>
    <t>Eraring Big Battery</t>
  </si>
  <si>
    <t>Origin Energy Electricity Limited</t>
  </si>
  <si>
    <t>N00043</t>
  </si>
  <si>
    <t>Eurimbula Hybrid Facility - Battery Storage</t>
  </si>
  <si>
    <t>unitedgreen_NR</t>
  </si>
  <si>
    <t>Q00100</t>
  </si>
  <si>
    <t>Eurimbula Solar Farm</t>
  </si>
  <si>
    <t>Unitedgreen_NR</t>
  </si>
  <si>
    <t>502.33 - 607.75</t>
  </si>
  <si>
    <t>Euston Wind Farm - KCI</t>
  </si>
  <si>
    <t>Balranald Wind Farm Pty Ltd</t>
  </si>
  <si>
    <t>N00098</t>
  </si>
  <si>
    <t>Exmoor</t>
  </si>
  <si>
    <t>Acciona Energy</t>
  </si>
  <si>
    <t>Ferguson South Wind Farm</t>
  </si>
  <si>
    <t>Ferguson Wind Farm Pty Ltd</t>
  </si>
  <si>
    <t>Ferguson Wind Farm</t>
  </si>
  <si>
    <t>FNWF1</t>
  </si>
  <si>
    <t>Fiery Creek Wind Farm</t>
  </si>
  <si>
    <t>Q00084</t>
  </si>
  <si>
    <t>Fisher</t>
  </si>
  <si>
    <t>FISHER</t>
  </si>
  <si>
    <t>Flavorite Marketing</t>
  </si>
  <si>
    <t>Flyers Creek Wind Farm</t>
  </si>
  <si>
    <t>Flyers Creek Wind Farm Pty Ltd</t>
  </si>
  <si>
    <t>Forbes Solar Farm</t>
  </si>
  <si>
    <t xml:space="preserve"> Forbes Solar Farm Pty Ltd</t>
  </si>
  <si>
    <t>N00060</t>
  </si>
  <si>
    <t xml:space="preserve">Forest Glen Solar Farm </t>
  </si>
  <si>
    <t>X-Elio Roma Hub Solar Farm Pty Ltd</t>
  </si>
  <si>
    <t>Forest Wind</t>
  </si>
  <si>
    <t>CleanSight P/L</t>
  </si>
  <si>
    <t>Q00074</t>
  </si>
  <si>
    <t>Forsayth Wind Farm</t>
  </si>
  <si>
    <t>Forsayth Wind Farm Pty Ltd</t>
  </si>
  <si>
    <t>75.00 - 165.00</t>
  </si>
  <si>
    <t>Fosterville SF and BESS</t>
  </si>
  <si>
    <t>FRV Services Australia</t>
  </si>
  <si>
    <t>FTVBESS</t>
  </si>
  <si>
    <t>V00073</t>
  </si>
  <si>
    <t>FTVPV</t>
  </si>
  <si>
    <t>FPC Green Energy</t>
  </si>
  <si>
    <t xml:space="preserve"> FPC 30 Limited as Trustee for FPC Green Fund Trust </t>
  </si>
  <si>
    <t>Renewable Biomass or Waste - Wood</t>
  </si>
  <si>
    <t>Fraser Coast Community Solar Farm</t>
  </si>
  <si>
    <t>Wide Bay Water Corporation</t>
  </si>
  <si>
    <t>Fraser Coast Solar Park</t>
  </si>
  <si>
    <t>FRASER COAST SOLAR PARK PTY LTD</t>
  </si>
  <si>
    <t>Q00002</t>
  </si>
  <si>
    <t>Fulham Solar Farm</t>
  </si>
  <si>
    <t>Fulham Solar Farm Pty Ltd</t>
  </si>
  <si>
    <t>GESS ProjectCo</t>
  </si>
  <si>
    <t>GANNBG1</t>
  </si>
  <si>
    <t>Gannawarra Solar Farm Pty Ltd</t>
  </si>
  <si>
    <t>GANNSF1</t>
  </si>
  <si>
    <t>Gayndah Wind Farm</t>
  </si>
  <si>
    <t>Mainstream Renewable Power Australia Pty Ltd</t>
  </si>
  <si>
    <t>George Town Battery System</t>
  </si>
  <si>
    <t>T00016</t>
  </si>
  <si>
    <t>George Town Wind Farm</t>
  </si>
  <si>
    <t xml:space="preserve"> West Coast Renewables</t>
  </si>
  <si>
    <t>T00008</t>
  </si>
  <si>
    <t>GEP - NMLLY1</t>
  </si>
  <si>
    <t>GEP Developments PtyLtd</t>
  </si>
  <si>
    <t>GEP - NWNG2</t>
  </si>
  <si>
    <t>GEP Developments Pty Ltd</t>
  </si>
  <si>
    <t>GEP - QRNB1</t>
  </si>
  <si>
    <t>GEP - SRBE1</t>
  </si>
  <si>
    <t>GEP - TNTH1</t>
  </si>
  <si>
    <t>GEP - TNTH2</t>
  </si>
  <si>
    <t>GEP - VAGL1</t>
  </si>
  <si>
    <t>GEP - VBGL1</t>
  </si>
  <si>
    <t>GEP - VPTL2</t>
  </si>
  <si>
    <t>GEP - VSIR3</t>
  </si>
  <si>
    <t>V00090</t>
  </si>
  <si>
    <t>GEP - VSIR4</t>
  </si>
  <si>
    <t>Geranium Plains Solar and BESS</t>
  </si>
  <si>
    <t xml:space="preserve"> Risen Energy (Australia) Pty Ltd</t>
  </si>
  <si>
    <t>S00018</t>
  </si>
  <si>
    <t>German Creek</t>
  </si>
  <si>
    <t>EDL CSM Qld Pty Ltd</t>
  </si>
  <si>
    <t>GERMCRK</t>
  </si>
  <si>
    <t>Gidginbung</t>
  </si>
  <si>
    <t>Epho</t>
  </si>
  <si>
    <t>Gippsland A&amp;B - Wind - KCI</t>
  </si>
  <si>
    <t>Orsted</t>
  </si>
  <si>
    <t>V00098</t>
  </si>
  <si>
    <t>Gippsland C - Wind - KCI</t>
  </si>
  <si>
    <t>V00099</t>
  </si>
  <si>
    <t>Girgarre Solar Farm</t>
  </si>
  <si>
    <t>Giragarre Solar Farm Pty Ltd as trustee for Giragarre Solar Farm Trust</t>
  </si>
  <si>
    <t>GGSF</t>
  </si>
  <si>
    <t>Gladstone</t>
  </si>
  <si>
    <t>Gladstone Power Station Participants</t>
  </si>
  <si>
    <t>GSTONE1</t>
  </si>
  <si>
    <t>GSTONE2</t>
  </si>
  <si>
    <t>GSTONE3</t>
  </si>
  <si>
    <t>GSTONE4</t>
  </si>
  <si>
    <t>GSTONE5</t>
  </si>
  <si>
    <t>GSTONE6</t>
  </si>
  <si>
    <t>Glenbawn</t>
  </si>
  <si>
    <t>Glenbrae BESS</t>
  </si>
  <si>
    <t>Acenergy</t>
  </si>
  <si>
    <t>V00065</t>
  </si>
  <si>
    <t>Glenellen Solar Farm</t>
  </si>
  <si>
    <t xml:space="preserve"> Glenellen Solar Farm Pty Ltd</t>
  </si>
  <si>
    <t>N00012</t>
  </si>
  <si>
    <t>Glenmaggie Hydro</t>
  </si>
  <si>
    <t>GLENMAG1</t>
  </si>
  <si>
    <t>Glennies Creek</t>
  </si>
  <si>
    <t>EDL OCI Pty Ltd</t>
  </si>
  <si>
    <t>Glenorchy</t>
  </si>
  <si>
    <t>Sustainable Energy Infrastructure Trust</t>
  </si>
  <si>
    <t>Glenorchy Renewable Energy Facility</t>
  </si>
  <si>
    <t>Glenrowan BESS - Storage - KCI</t>
  </si>
  <si>
    <t>Envervest Pty Ltd</t>
  </si>
  <si>
    <t>V00092</t>
  </si>
  <si>
    <t>Glenrowan West Solar Farm</t>
  </si>
  <si>
    <t>V00033</t>
  </si>
  <si>
    <t>Goat Hill Pumped Hydro</t>
  </si>
  <si>
    <t>Altura Group</t>
  </si>
  <si>
    <t>V00061</t>
  </si>
  <si>
    <t>Golden Plains Wind Farm West</t>
  </si>
  <si>
    <t>WestWind Energy</t>
  </si>
  <si>
    <t>V00004</t>
  </si>
  <si>
    <t>Goldwind battery</t>
  </si>
  <si>
    <t>Goldwind</t>
  </si>
  <si>
    <t>Goldwind reciprocating engine</t>
  </si>
  <si>
    <t>Goorambat East Solar Farm</t>
  </si>
  <si>
    <t>GESF1</t>
  </si>
  <si>
    <t>0.17 - 348.60</t>
  </si>
  <si>
    <t>Gordon</t>
  </si>
  <si>
    <t>GORDON</t>
  </si>
  <si>
    <t>Goulburn Bioenergy</t>
  </si>
  <si>
    <t>SM Project Company Pty Ltd as trustee for SM Project Trust</t>
  </si>
  <si>
    <t>Goulburn River BESS</t>
  </si>
  <si>
    <t>N00052</t>
  </si>
  <si>
    <t>Goulburn River SF</t>
  </si>
  <si>
    <t>N00051</t>
  </si>
  <si>
    <t>Goyder South Hub - BESS</t>
  </si>
  <si>
    <t>S00003</t>
  </si>
  <si>
    <t>Grange Avenue</t>
  </si>
  <si>
    <t>GRANGEAV</t>
  </si>
  <si>
    <t>Granite Hills Wind Farm</t>
  </si>
  <si>
    <t>Akuo Energy</t>
  </si>
  <si>
    <t>Granville Harbour Operations Pty Ltd as trustee for Granville Harbour Operations Trust</t>
  </si>
  <si>
    <t>GRANWF1</t>
  </si>
  <si>
    <t>Great Eastern Offshore Wind - KCI</t>
  </si>
  <si>
    <t>GIG Australian Offshore Wind Energy Holdings Pty Ltd</t>
  </si>
  <si>
    <t>V00100</t>
  </si>
  <si>
    <t>Great Western Battery Project</t>
  </si>
  <si>
    <t>NEOEN Australia</t>
  </si>
  <si>
    <t>N00032</t>
  </si>
  <si>
    <t>Greater Gippsland Offshore Wind Project</t>
  </si>
  <si>
    <t>Greater Gippsland OWP Project Pty Ltd</t>
  </si>
  <si>
    <t>V00051</t>
  </si>
  <si>
    <t>Greater Southern Offshore Wind - KCI</t>
  </si>
  <si>
    <t xml:space="preserve"> Greater Southern Offshore Wind Farm Project Co Pty Ltd</t>
  </si>
  <si>
    <t>V00082</t>
  </si>
  <si>
    <t>Greenbank BESS</t>
  </si>
  <si>
    <t>Q00045</t>
  </si>
  <si>
    <t>Gregadoo Solar Farm</t>
  </si>
  <si>
    <t>Gregadoo Solar Farm Pty Ltd</t>
  </si>
  <si>
    <t>N00028</t>
  </si>
  <si>
    <t>Griffith Solar Farm Pty Ltd</t>
  </si>
  <si>
    <t>GRIFSF1</t>
  </si>
  <si>
    <t>EDL Projects Australia Pty Ltd</t>
  </si>
  <si>
    <t>Grosvenor 2 Waste Coal Mine Gas Power Station</t>
  </si>
  <si>
    <t>Group Linen - Maryborough</t>
  </si>
  <si>
    <t>Group Linen - Prince Charles</t>
  </si>
  <si>
    <t>Guildford Wind Farm</t>
  </si>
  <si>
    <t>New Gullen Range Wind Farm Pty Ltd</t>
  </si>
  <si>
    <t>GULLRSF1</t>
  </si>
  <si>
    <t>GULLRWF1</t>
  </si>
  <si>
    <t xml:space="preserve">Gullen Range Wind Farm 2   </t>
  </si>
  <si>
    <t>Gundary Solar Farm - KCI</t>
  </si>
  <si>
    <t>N00081</t>
  </si>
  <si>
    <t>Gunnedah BESS</t>
  </si>
  <si>
    <t xml:space="preserve"> Gunnedah Battery Subco Pty Ltd</t>
  </si>
  <si>
    <t>N00088</t>
  </si>
  <si>
    <t>Gunnedah SF Pty Ltd atf Gunnedah Asset Trust</t>
  </si>
  <si>
    <t>GNNDHSF1</t>
  </si>
  <si>
    <t>Gunning Solar Farm (Canadian)</t>
  </si>
  <si>
    <t xml:space="preserve"> Canadian Solar</t>
  </si>
  <si>
    <t>238.00 - 294.00</t>
  </si>
  <si>
    <t>N00045</t>
  </si>
  <si>
    <t>Gunning Wind Farm</t>
  </si>
  <si>
    <t>Gunning Wind Energy Developments</t>
  </si>
  <si>
    <t>GUNNING1</t>
  </si>
  <si>
    <t>Gunsynd Solar Farm</t>
  </si>
  <si>
    <t>ARP</t>
  </si>
  <si>
    <t>Guthega</t>
  </si>
  <si>
    <t>GUTHEGA</t>
  </si>
  <si>
    <t>GV Community Energy</t>
  </si>
  <si>
    <t>Hallam Road</t>
  </si>
  <si>
    <t>HALAMRD1</t>
  </si>
  <si>
    <t>Brown Hill North Pty Ltd</t>
  </si>
  <si>
    <t>NBHWF1</t>
  </si>
  <si>
    <t>Hallett 5 The Bluff WF</t>
  </si>
  <si>
    <t>Eurus Energy</t>
  </si>
  <si>
    <t>BLUFF1</t>
  </si>
  <si>
    <t>Palisade Investment Partner Limited</t>
  </si>
  <si>
    <t>HALLWF1</t>
  </si>
  <si>
    <t>Hallett Stage 2 Hallett Hill</t>
  </si>
  <si>
    <t>Infrastructure Capital Group Limited</t>
  </si>
  <si>
    <t>HALLWF2</t>
  </si>
  <si>
    <t>Halys to Chinchilla DCA Battery - KCI</t>
  </si>
  <si>
    <t xml:space="preserve"> UGL Pty Ltd</t>
  </si>
  <si>
    <t>Q00019</t>
  </si>
  <si>
    <t>Hamilton Solar Farm Pty Ltd</t>
  </si>
  <si>
    <t>HAMISF1</t>
  </si>
  <si>
    <t>Harlin Solar Farm</t>
  </si>
  <si>
    <t>Harlin Solar Pty Ltd</t>
  </si>
  <si>
    <t>Q00026</t>
  </si>
  <si>
    <t>Harrami Wind Farm</t>
  </si>
  <si>
    <t>Mainstream</t>
  </si>
  <si>
    <t>Q00096</t>
  </si>
  <si>
    <t>Hastings Generation Site</t>
  </si>
  <si>
    <t>Esso Australia Pty Ltd and BHP Petroleum (Bass Strait) Pty Ltd</t>
  </si>
  <si>
    <t>Fossil - N/A</t>
  </si>
  <si>
    <t>Haughton BESS</t>
  </si>
  <si>
    <t>Haughton Solar Farm Stage 2</t>
  </si>
  <si>
    <t>Pacific Hydro Australia Pty Ltd</t>
  </si>
  <si>
    <t>Q00030</t>
  </si>
  <si>
    <t>Haunted Gully BESS - KCI</t>
  </si>
  <si>
    <t>V00053</t>
  </si>
  <si>
    <t>Hawkesdale BESS - Storage - KCI</t>
  </si>
  <si>
    <t>V00091</t>
  </si>
  <si>
    <t>V00031</t>
  </si>
  <si>
    <t>Hay Sun Farm</t>
  </si>
  <si>
    <t>Overland Sun Farming Pty Ltd</t>
  </si>
  <si>
    <t>Hazeldean BESS - Storage - KCI</t>
  </si>
  <si>
    <t>Q00062</t>
  </si>
  <si>
    <t>V00007</t>
  </si>
  <si>
    <t>Hazelwood North Solar Farm - KCI</t>
  </si>
  <si>
    <t>Manthos Investments Pty Ltd</t>
  </si>
  <si>
    <t>V00095</t>
  </si>
  <si>
    <t>Heathgate Resources Beverley mine - BESS</t>
  </si>
  <si>
    <t>SunSHIFT</t>
  </si>
  <si>
    <t>Hellyer Wind Farm</t>
  </si>
  <si>
    <t>Herries Range Wind Farm</t>
  </si>
  <si>
    <t>Acciona Energy Global Australia</t>
  </si>
  <si>
    <t>Hexham</t>
  </si>
  <si>
    <t>Wind Prospect WA Pty Ltd</t>
  </si>
  <si>
    <t>High Road</t>
  </si>
  <si>
    <t>66.60 - 84.60</t>
  </si>
  <si>
    <t>Highbury Pumped Hydro Energy Storage</t>
  </si>
  <si>
    <t>Hills of Gold Wind Farm</t>
  </si>
  <si>
    <t>Wind Energy Partners</t>
  </si>
  <si>
    <t>Hobart</t>
  </si>
  <si>
    <t xml:space="preserve">SUSTAINABLE ENERGY INFRASTRUCTURE </t>
  </si>
  <si>
    <t>Hobart Show Grounds BESS</t>
  </si>
  <si>
    <t>Gravitas</t>
  </si>
  <si>
    <t>T00030</t>
  </si>
  <si>
    <t>HWF 1 Pty Ltd</t>
  </si>
  <si>
    <t>HDWF1</t>
  </si>
  <si>
    <t>HWF 2 Pty Ltd</t>
  </si>
  <si>
    <t>HDWF2</t>
  </si>
  <si>
    <t>HWF 3 Pty Ltd</t>
  </si>
  <si>
    <t>HDWF3</t>
  </si>
  <si>
    <t>Horsham Solar Farm</t>
  </si>
  <si>
    <t>V00027</t>
  </si>
  <si>
    <t>Hughenden Solar Pty Ltd as Trustee for Hughenden Solar Trust</t>
  </si>
  <si>
    <t>HUGSF1</t>
  </si>
  <si>
    <t>Hume BESS</t>
  </si>
  <si>
    <t>Hume Dam NSW</t>
  </si>
  <si>
    <t>GSPOWER</t>
  </si>
  <si>
    <t>HUMENSW</t>
  </si>
  <si>
    <t>Hume Dam VIC</t>
  </si>
  <si>
    <t>HUMEV</t>
  </si>
  <si>
    <t>Hunter Coast Offshore Wind</t>
  </si>
  <si>
    <t>Energy Estate</t>
  </si>
  <si>
    <t>N00079</t>
  </si>
  <si>
    <t>Hunter EconomicZone</t>
  </si>
  <si>
    <t>HYMIVC06 Belgrave-Hallam Rd Micro Hydro</t>
  </si>
  <si>
    <t>South East Water Corporation</t>
  </si>
  <si>
    <t>HLMSEW01</t>
  </si>
  <si>
    <t>Ilford Green Energy Hub</t>
  </si>
  <si>
    <t>Illawarra Offshore Wind Farm</t>
  </si>
  <si>
    <t>Inkerman Mill</t>
  </si>
  <si>
    <t>Wilmar Sugar Australia Limited</t>
  </si>
  <si>
    <t>Innes Park Solar Farm</t>
  </si>
  <si>
    <t>Inverleigh Solar Farm</t>
  </si>
  <si>
    <t>Inverleigh Wind Farm</t>
  </si>
  <si>
    <t>91.50 - 102.00</t>
  </si>
  <si>
    <t>Invicta Mill</t>
  </si>
  <si>
    <t>Haughton Sugar Company Pty Limited</t>
  </si>
  <si>
    <t>Isaac Wind Farm - KCI</t>
  </si>
  <si>
    <t xml:space="preserve"> Isaac Wind and Solar Energy Pty Ltd</t>
  </si>
  <si>
    <t>Q00044</t>
  </si>
  <si>
    <t>ISIS Central Sugar Mill Co-generation Plant</t>
  </si>
  <si>
    <t>Jacks Gully</t>
  </si>
  <si>
    <t>JGULLY</t>
  </si>
  <si>
    <t>Jeeralang A</t>
  </si>
  <si>
    <t>EnergyAustralia Ecogen Py Ltd</t>
  </si>
  <si>
    <t>JLA01</t>
  </si>
  <si>
    <t>JLA02</t>
  </si>
  <si>
    <t>JLA03</t>
  </si>
  <si>
    <t>JLA04</t>
  </si>
  <si>
    <t>Jeeralang B</t>
  </si>
  <si>
    <t>JLB01</t>
  </si>
  <si>
    <t>JLB02</t>
  </si>
  <si>
    <t>JLB03</t>
  </si>
  <si>
    <t>Jeremiah WF</t>
  </si>
  <si>
    <t xml:space="preserve"> Jeremiah Wind Farm Pty Ltd</t>
  </si>
  <si>
    <t>N00068</t>
  </si>
  <si>
    <t>Jessica Way Truganina Solar</t>
  </si>
  <si>
    <t>Jindabyne</t>
  </si>
  <si>
    <t>JNDABNE1</t>
  </si>
  <si>
    <t>Jindera BESS - Storage - KCI</t>
  </si>
  <si>
    <t>BESS Atlantic</t>
  </si>
  <si>
    <t>N00106</t>
  </si>
  <si>
    <t>JL King &amp; Co 150kW- Solar-</t>
  </si>
  <si>
    <t>Joel BESS</t>
  </si>
  <si>
    <t>V00076</t>
  </si>
  <si>
    <t>John Butters</t>
  </si>
  <si>
    <t>JBUTTERS</t>
  </si>
  <si>
    <t>Jounama</t>
  </si>
  <si>
    <t>JOUNAMA1</t>
  </si>
  <si>
    <t>Kaban Wind Farm</t>
  </si>
  <si>
    <t>Kaban Wind Farm Pty Ltd as trustee for Kaban Wind Farm Trust</t>
  </si>
  <si>
    <t>KABANWF1</t>
  </si>
  <si>
    <t>Kalamia Mill</t>
  </si>
  <si>
    <t>Kangaroo Hills BESS</t>
  </si>
  <si>
    <t>walchaenergy_NR</t>
  </si>
  <si>
    <t>Kangaroo Hills Wind Farm</t>
  </si>
  <si>
    <t>150.00 - 155.00</t>
  </si>
  <si>
    <t>Kanowna Solar Farm</t>
  </si>
  <si>
    <t>Kanowna Solar Pty Ltd</t>
  </si>
  <si>
    <t>Iraak Sun Farm Pty Ltd</t>
  </si>
  <si>
    <t>KARSF1</t>
  </si>
  <si>
    <t>Kareeya</t>
  </si>
  <si>
    <t>KAREEYA1</t>
  </si>
  <si>
    <t>KAREEYA2</t>
  </si>
  <si>
    <t>KAREEYA3</t>
  </si>
  <si>
    <t>KAREEYA4</t>
  </si>
  <si>
    <t>Kareeya 5</t>
  </si>
  <si>
    <t>KAREEYA5</t>
  </si>
  <si>
    <t>Kariboe Wind Farm</t>
  </si>
  <si>
    <t>Kariboe Wind Farm Pty Ltd</t>
  </si>
  <si>
    <t>Q00047</t>
  </si>
  <si>
    <t>Keepit</t>
  </si>
  <si>
    <t>KEEPIT</t>
  </si>
  <si>
    <t>Kelsey Creek Solar Farm</t>
  </si>
  <si>
    <t>BayWa r.e. Solar Project Pty Ltd</t>
  </si>
  <si>
    <t>5.00 - 600.00</t>
  </si>
  <si>
    <t>Kerang BESS</t>
  </si>
  <si>
    <t>Kerang Bess Pty Ltd</t>
  </si>
  <si>
    <t>Kerang Hybrid</t>
  </si>
  <si>
    <t>Kerang Power Pty Ltd</t>
  </si>
  <si>
    <t>Kerang Solar Farm</t>
  </si>
  <si>
    <t>V00005</t>
  </si>
  <si>
    <t>Kerang Solar Farm Green Switch</t>
  </si>
  <si>
    <t>Kerang Solar Plant Pty Ltd</t>
  </si>
  <si>
    <t>Kerrs Creek Wind Farm</t>
  </si>
  <si>
    <t xml:space="preserve"> RES Australia Pty Ltd</t>
  </si>
  <si>
    <t>N00049</t>
  </si>
  <si>
    <t>Kiamal Solar Farm - Stage 2</t>
  </si>
  <si>
    <t>KSF2 Project Nominees Pty Ltd ATF KSF2 Project Trust</t>
  </si>
  <si>
    <t>Kiata ProjectCo Pty Ltd atf Kiata Project Trust</t>
  </si>
  <si>
    <t>KiataWF1</t>
  </si>
  <si>
    <t>Kidston Solar Project Phase One 50MW</t>
  </si>
  <si>
    <t>KSP1</t>
  </si>
  <si>
    <t>Kidston Solar Project Phase Two 270MW</t>
  </si>
  <si>
    <t>Kidston Stage 3 Wind Project</t>
  </si>
  <si>
    <t xml:space="preserve">Kidston Wind Farm </t>
  </si>
  <si>
    <t xml:space="preserve"> Kidston (Wind Farm) Pty Ltd</t>
  </si>
  <si>
    <t>Q00043</t>
  </si>
  <si>
    <t>Kingaroy Solar Farm</t>
  </si>
  <si>
    <t>Kingaroy Operationsco Pty Ltd</t>
  </si>
  <si>
    <t>Kingfisher Solar Storage - Solar</t>
  </si>
  <si>
    <t>Kingfisher Solar Storage - Storage</t>
  </si>
  <si>
    <t>Kingscote Power Station</t>
  </si>
  <si>
    <t>SA Power Networks</t>
  </si>
  <si>
    <t>Koberinga Solar Farm</t>
  </si>
  <si>
    <t>Kogan Creek</t>
  </si>
  <si>
    <t>KPP_1</t>
  </si>
  <si>
    <t>V00079</t>
  </si>
  <si>
    <t>Kumbarilla Renewable Energy Park (K-REP)</t>
  </si>
  <si>
    <t>Elecseed Pty Ltd</t>
  </si>
  <si>
    <t>Q00001</t>
  </si>
  <si>
    <t>Kurri Kurri Battery</t>
  </si>
  <si>
    <t>CEP Energy</t>
  </si>
  <si>
    <t>Committed¹</t>
  </si>
  <si>
    <t>LADBROK1</t>
  </si>
  <si>
    <t>LADBROK2</t>
  </si>
  <si>
    <t>Lake Bonney 1 Wind Farm</t>
  </si>
  <si>
    <t>Lake Bonney Wind Power Pty Ltd</t>
  </si>
  <si>
    <t>LKBONNY1</t>
  </si>
  <si>
    <t>Lake Bonney 2 Wind Farm</t>
  </si>
  <si>
    <t>LKBONNY2</t>
  </si>
  <si>
    <t>Lake Bonney 3 Wind Farm</t>
  </si>
  <si>
    <t>LKBONNY3</t>
  </si>
  <si>
    <t xml:space="preserve">Lake Bonney BESS Pty Limited </t>
  </si>
  <si>
    <t>Lake Echo</t>
  </si>
  <si>
    <t>LK_ECHO</t>
  </si>
  <si>
    <t>Lake Lyell Pumped Hydro</t>
  </si>
  <si>
    <t>N00092</t>
  </si>
  <si>
    <t>Lake Margaret</t>
  </si>
  <si>
    <t>Seqwater</t>
  </si>
  <si>
    <t>Lakeland Solar and Storage</t>
  </si>
  <si>
    <t>Lakeland Solar and Storage Pty Limited</t>
  </si>
  <si>
    <t>Lakeland Wind Farm</t>
  </si>
  <si>
    <t>Lakeland Wind Farm Pty Ltd</t>
  </si>
  <si>
    <t>Latitude Solar Farm</t>
  </si>
  <si>
    <t>Kentucky Solar Pty Ltd</t>
  </si>
  <si>
    <t>Latrobe Solar Farm</t>
  </si>
  <si>
    <t>V00009</t>
  </si>
  <si>
    <t>LaTrobe Valley BESS</t>
  </si>
  <si>
    <t>V00040</t>
  </si>
  <si>
    <t>Laverton North</t>
  </si>
  <si>
    <t>LNGS1</t>
  </si>
  <si>
    <t>LNGS2</t>
  </si>
  <si>
    <t>Leigh Creek Energy Project</t>
  </si>
  <si>
    <t>Leigh Creek Energy</t>
  </si>
  <si>
    <t>Lemonthyme / Wilmot</t>
  </si>
  <si>
    <t>LEM_WIL</t>
  </si>
  <si>
    <t>Leonards Hill</t>
  </si>
  <si>
    <t>Hepburn Community Wind Park Co-operative Limited</t>
  </si>
  <si>
    <t>Liddell BESS</t>
  </si>
  <si>
    <t>Limondale BESS</t>
  </si>
  <si>
    <t xml:space="preserve"> RWE Renewables Australia Pty Ltd</t>
  </si>
  <si>
    <t>N00094</t>
  </si>
  <si>
    <t>LIMONSF1</t>
  </si>
  <si>
    <t>S00007</t>
  </si>
  <si>
    <t>Lincoln Gap Wind Farm stage 3</t>
  </si>
  <si>
    <t>Nexif RATCH Energy Australia Pty Ltd</t>
  </si>
  <si>
    <t>S00005</t>
  </si>
  <si>
    <t>Lionsgate Battery</t>
  </si>
  <si>
    <t>Lismore BESS</t>
  </si>
  <si>
    <t xml:space="preserve"> Maoneng Australia Pty Ltd</t>
  </si>
  <si>
    <t>N00037</t>
  </si>
  <si>
    <t>Little River BESS</t>
  </si>
  <si>
    <t>V00075</t>
  </si>
  <si>
    <t>Little River Solar Farm - KCI</t>
  </si>
  <si>
    <t xml:space="preserve"> Clean Technology Partners</t>
  </si>
  <si>
    <t>V00008</t>
  </si>
  <si>
    <t>Liverpool Range Wind Farm</t>
  </si>
  <si>
    <t>Liverpool Range Wind Farm Pty Ltd</t>
  </si>
  <si>
    <t>Llewellyn Motors</t>
  </si>
  <si>
    <t>Llewellyn Land Pty Ltd ATF Llewellyn Land Unit Trust</t>
  </si>
  <si>
    <t>LMCC - Works Depot Power Station</t>
  </si>
  <si>
    <t>Lockyer BESS - KCI</t>
  </si>
  <si>
    <t xml:space="preserve"> Lockyer Energy Management Pty</t>
  </si>
  <si>
    <t>Q00042</t>
  </si>
  <si>
    <t>Lockyer Valley Energy Project</t>
  </si>
  <si>
    <t>Quinbrook Asset Management as Trustee for The Australian Clean Power Trust</t>
  </si>
  <si>
    <t>87.00 - 117.00</t>
  </si>
  <si>
    <t>Longford Gas Plant</t>
  </si>
  <si>
    <t>LONGFORD</t>
  </si>
  <si>
    <t>Longreach Asset Company</t>
  </si>
  <si>
    <t>LRSF1</t>
  </si>
  <si>
    <t>Lonsdale</t>
  </si>
  <si>
    <t>Lumo Generation SA Pty Ltd</t>
  </si>
  <si>
    <t>LONSDALE</t>
  </si>
  <si>
    <t>Lotus Creek Wind Farm</t>
  </si>
  <si>
    <t>Lovely Banks Renewable Energy Hub - KCI</t>
  </si>
  <si>
    <t xml:space="preserve"> Syncline Energy Pty Ltd</t>
  </si>
  <si>
    <t>V00002</t>
  </si>
  <si>
    <t>Low Head Wind Farm - Stage 1</t>
  </si>
  <si>
    <t>Equis Wind (Australia) Projects (LHWF1) Pty Ltd as trustee for the Equis Wind (Australia) LHWF1 Asset Trust</t>
  </si>
  <si>
    <t>T00020</t>
  </si>
  <si>
    <t>Lower Lake Margaret</t>
  </si>
  <si>
    <t>Lower Wonga BESS</t>
  </si>
  <si>
    <t>Equis Energy (Australia) Projects (Ngumi 7) Pty Ltd as trustee for the Equis Energy(Australia) Ngumi 7 Asset Trust</t>
  </si>
  <si>
    <t>Q00029</t>
  </si>
  <si>
    <t>Lower Wonga Solar Farm - KCI</t>
  </si>
  <si>
    <t xml:space="preserve"> Lightsource BP</t>
  </si>
  <si>
    <t>Q00052</t>
  </si>
  <si>
    <t>Fossil - Brown Coal</t>
  </si>
  <si>
    <t>LYA1</t>
  </si>
  <si>
    <t>LYA3</t>
  </si>
  <si>
    <t>LYA4</t>
  </si>
  <si>
    <t>LOYYB2</t>
  </si>
  <si>
    <t>Lucas Heights 2</t>
  </si>
  <si>
    <t>LUCAS2S2</t>
  </si>
  <si>
    <t>Lucas Heights I</t>
  </si>
  <si>
    <t>LYA BESS</t>
  </si>
  <si>
    <t>LOYYANGA</t>
  </si>
  <si>
    <t>V00038</t>
  </si>
  <si>
    <t>Macarthur Wind Farm Pty Ltd and Meridian Wind Macarthur Pty Ltd</t>
  </si>
  <si>
    <t>MACARTH1</t>
  </si>
  <si>
    <t>486.00 - 923.40</t>
  </si>
  <si>
    <t>Q00006</t>
  </si>
  <si>
    <t>Mackintosh</t>
  </si>
  <si>
    <t>MACKNTSH</t>
  </si>
  <si>
    <t>Macknade Mill</t>
  </si>
  <si>
    <t>Wilmar Sugar Australia LImited</t>
  </si>
  <si>
    <t>Mallee Wind Farm</t>
  </si>
  <si>
    <t>Mallee Wind Farm - Storage - KCI</t>
  </si>
  <si>
    <t>N00102</t>
  </si>
  <si>
    <t>Manildra Solar Farm</t>
  </si>
  <si>
    <t>Manildra Prop Pty Ltd as trustee for the Manildra Asset Trust</t>
  </si>
  <si>
    <t>MANSLR1</t>
  </si>
  <si>
    <t>S00010</t>
  </si>
  <si>
    <t>S00011</t>
  </si>
  <si>
    <t>Mannum BESS</t>
  </si>
  <si>
    <t>S00016</t>
  </si>
  <si>
    <t>Mannum Stage 2 SubCo Pty Ltd as trustee for the Mannum Stage 2 Unit Trust</t>
  </si>
  <si>
    <t>Mansfield Solar Farm - Solar - KCI</t>
  </si>
  <si>
    <t xml:space="preserve"> Biscon Energy Australia Pty Ltd</t>
  </si>
  <si>
    <t>V00036</t>
  </si>
  <si>
    <t>Mansfield Solar Farm - Storage - KCI</t>
  </si>
  <si>
    <t xml:space="preserve"> Maoneng Australia </t>
  </si>
  <si>
    <t>Maroona Wind Farm</t>
  </si>
  <si>
    <t>Myamba Developments Pty Ltd</t>
  </si>
  <si>
    <t>Marulan - OCGT/CCGT</t>
  </si>
  <si>
    <t>EnergyAustralia Marulan Pty Ltd</t>
  </si>
  <si>
    <t>Turbine - Other</t>
  </si>
  <si>
    <t>250.00 - 350.00</t>
  </si>
  <si>
    <t>250.00 - 450.00</t>
  </si>
  <si>
    <t>Maryborough Mill</t>
  </si>
  <si>
    <t>Maryvale Solar Farm</t>
  </si>
  <si>
    <t>Wirsol Energy</t>
  </si>
  <si>
    <t>Mates Gully Solar Farm</t>
  </si>
  <si>
    <t>sparkrenewables_NR</t>
  </si>
  <si>
    <t>132.00 - 165.00</t>
  </si>
  <si>
    <t>Matthew Flinders College Senior</t>
  </si>
  <si>
    <t>Matthew Flinders Anglican College</t>
  </si>
  <si>
    <t>Maxwell Downs Solar Farm - KCI</t>
  </si>
  <si>
    <t>X-Elio Holbrook Pty Ltd</t>
  </si>
  <si>
    <t>N00096</t>
  </si>
  <si>
    <t>Maxwell Solar Farm</t>
  </si>
  <si>
    <t>Malabar Coal</t>
  </si>
  <si>
    <t>McMahons Reef Solar Farm</t>
  </si>
  <si>
    <t>N00110</t>
  </si>
  <si>
    <t>McNamee Partners</t>
  </si>
  <si>
    <t>McNamee Partners Pty Ltd</t>
  </si>
  <si>
    <t>McRobies Gully Renewable Energy Facility</t>
  </si>
  <si>
    <t>Meadow Creek Solar Farm - KCI</t>
  </si>
  <si>
    <t xml:space="preserve"> Clean Technologies Partners</t>
  </si>
  <si>
    <t>V00057</t>
  </si>
  <si>
    <t>Meadowbank</t>
  </si>
  <si>
    <t>MEADOWBK</t>
  </si>
  <si>
    <t>Melbourne Renewable Energy Hub</t>
  </si>
  <si>
    <t>MREH Pty Ltd as trustee for MREH Asset Trust</t>
  </si>
  <si>
    <t>V00001</t>
  </si>
  <si>
    <t>Melbourne Solar Farm - KCI</t>
  </si>
  <si>
    <t xml:space="preserve"> Emergent Technologies</t>
  </si>
  <si>
    <t>V00024</t>
  </si>
  <si>
    <t>Meredith Wind Farm - KCI</t>
  </si>
  <si>
    <t xml:space="preserve"> Acciona Energy Global Australia</t>
  </si>
  <si>
    <t>V00020</t>
  </si>
  <si>
    <t>Merino Solar Farm</t>
  </si>
  <si>
    <t>Merino Solar Farm Pty Ltd as trustee for Merino Solar Farm Trust</t>
  </si>
  <si>
    <t>N00084</t>
  </si>
  <si>
    <t>Merriwa Solar Farm</t>
  </si>
  <si>
    <t xml:space="preserve"> Midgar Solar Project Pty Ltd</t>
  </si>
  <si>
    <t>N00072</t>
  </si>
  <si>
    <t>Merriwa Solar Farm - BESS</t>
  </si>
  <si>
    <t>METZSF1</t>
  </si>
  <si>
    <t>Mica Creek Solar Farm</t>
  </si>
  <si>
    <t>APA Group</t>
  </si>
  <si>
    <t>Middleback Ranges Pumped Hydro</t>
  </si>
  <si>
    <t>Zen Energy</t>
  </si>
  <si>
    <t>Middlebrook Solar Farm</t>
  </si>
  <si>
    <t>Middlebrook Solar Farm Pty Ltd as trustee for MSF Project Trust</t>
  </si>
  <si>
    <t>Middlemount Solar Farm</t>
  </si>
  <si>
    <t>MIDDLSF1</t>
  </si>
  <si>
    <t>Midland Highway Orrvale</t>
  </si>
  <si>
    <t>Midlands Hydro</t>
  </si>
  <si>
    <t>Miles Solar Project</t>
  </si>
  <si>
    <t>Q00093</t>
  </si>
  <si>
    <t>Millmerran BESS - Storage</t>
  </si>
  <si>
    <t>Millmerran Power Partners</t>
  </si>
  <si>
    <t>Q00061</t>
  </si>
  <si>
    <t>Millmerran Power Plant</t>
  </si>
  <si>
    <t>MPP_1</t>
  </si>
  <si>
    <t>MPP_2</t>
  </si>
  <si>
    <t>Millmerran Wind Farm</t>
  </si>
  <si>
    <t>Mintaro GT</t>
  </si>
  <si>
    <t>MINTARO</t>
  </si>
  <si>
    <t>Mirani Solar Farm</t>
  </si>
  <si>
    <t>Moah Creek Wind Farm</t>
  </si>
  <si>
    <t>Res Australia</t>
  </si>
  <si>
    <t>Q00040</t>
  </si>
  <si>
    <t>Moama Solar Farm</t>
  </si>
  <si>
    <t>Moama Operationsco Pty Ltd as trustee for Moama Operations Trust</t>
  </si>
  <si>
    <t>Mokoan Solar Farm</t>
  </si>
  <si>
    <t>Lightsource Australia SPV 1 Pty Ltd</t>
  </si>
  <si>
    <t>Molong Operations co Pty Ltd ATF Molong Operations Trust</t>
  </si>
  <si>
    <t>Molong System Strength Battery Pilot</t>
  </si>
  <si>
    <t xml:space="preserve"> The Trustee for Transgrid Services Trust</t>
  </si>
  <si>
    <t>N00074</t>
  </si>
  <si>
    <t>Monaro Solar Farm - KCI</t>
  </si>
  <si>
    <t xml:space="preserve"> Terrain Solar Pty Ltd</t>
  </si>
  <si>
    <t>N00036</t>
  </si>
  <si>
    <t>Monash BESS</t>
  </si>
  <si>
    <t>Progressive Green Pty Ltd</t>
  </si>
  <si>
    <t>V00045</t>
  </si>
  <si>
    <t>Monash Solar Farm - KCI</t>
  </si>
  <si>
    <t xml:space="preserve"> 1265 Warnecke Rd Pty Ltd</t>
  </si>
  <si>
    <t>S00001</t>
  </si>
  <si>
    <t>Moonah Solar Farm - KCI</t>
  </si>
  <si>
    <t>V00056</t>
  </si>
  <si>
    <t>Moonlight Range Wind Farm</t>
  </si>
  <si>
    <t>Brookfield</t>
  </si>
  <si>
    <t>Moorambilla Solar Farm</t>
  </si>
  <si>
    <t>Moorambilla Solar Pty Ltd</t>
  </si>
  <si>
    <t>Moorebank Logistics Park Project</t>
  </si>
  <si>
    <t>Energy Bay Fund Management</t>
  </si>
  <si>
    <t>N00087</t>
  </si>
  <si>
    <t>Moranbah Generation Project</t>
  </si>
  <si>
    <t>Moranbah North</t>
  </si>
  <si>
    <t>MBAHNTH</t>
  </si>
  <si>
    <t>Moranbah Workers Solar</t>
  </si>
  <si>
    <t>Moree Solar Farm Pty Ltd</t>
  </si>
  <si>
    <t>MOREESF1</t>
  </si>
  <si>
    <t>Morgan Battery</t>
  </si>
  <si>
    <t>Mornington BESS</t>
  </si>
  <si>
    <t xml:space="preserve"> Maoneng Australia Pty Ltd </t>
  </si>
  <si>
    <t>V00003</t>
  </si>
  <si>
    <t>Mornington Waste Disposal Facility</t>
  </si>
  <si>
    <t>MORNW</t>
  </si>
  <si>
    <t>MORTLK11</t>
  </si>
  <si>
    <t>Mortlake Battery</t>
  </si>
  <si>
    <t>V00018</t>
  </si>
  <si>
    <t>V00077</t>
  </si>
  <si>
    <t>MRTLSWF1</t>
  </si>
  <si>
    <t>Mortons Lane Windfarm Pty Ltd</t>
  </si>
  <si>
    <t>MLWF1</t>
  </si>
  <si>
    <t>Morwell Battery Energy System</t>
  </si>
  <si>
    <t>V00012</t>
  </si>
  <si>
    <t>Morwell Solar</t>
  </si>
  <si>
    <t>Ratch Australia Corporation</t>
  </si>
  <si>
    <t>66.00 - 82.50</t>
  </si>
  <si>
    <t>MEWF1</t>
  </si>
  <si>
    <t>Mount Fyans</t>
  </si>
  <si>
    <t>Woolnorth Wind Farm Holding</t>
  </si>
  <si>
    <t>340.00 - 459.00</t>
  </si>
  <si>
    <t>Mount Hopeful Wind Farm</t>
  </si>
  <si>
    <t>Mount Majura</t>
  </si>
  <si>
    <t>Mount Majura Solar Holdings Pty Ltd</t>
  </si>
  <si>
    <t>Mount Sheridan Plaza</t>
  </si>
  <si>
    <t>Mount Walsh Wind Farm</t>
  </si>
  <si>
    <t>Q00103</t>
  </si>
  <si>
    <t>Mount Waverley Mini Hydro</t>
  </si>
  <si>
    <t>Mt Challenger BESS</t>
  </si>
  <si>
    <t>Mt Challenger Solar Farm</t>
  </si>
  <si>
    <t>Mt Challenger Wind Farm</t>
  </si>
  <si>
    <t>Mt Cotton Biomass Cogeneration Power Station</t>
  </si>
  <si>
    <t>Darwalla Milling Co Pty Ltd</t>
  </si>
  <si>
    <t>Mt Fox BESS - ARENA</t>
  </si>
  <si>
    <t>Tag Energy</t>
  </si>
  <si>
    <t>Mt Fox Energy Park - KCI</t>
  </si>
  <si>
    <t xml:space="preserve"> Mount Fox Energy Park Pty Ltd</t>
  </si>
  <si>
    <t>Q00008</t>
  </si>
  <si>
    <t>Mt Mercer Windfarm Pty Ltd</t>
  </si>
  <si>
    <t>MERCER01</t>
  </si>
  <si>
    <t>Mt Millar Wind Farm</t>
  </si>
  <si>
    <t>MT MILLAR WIND FARM PTY LTD</t>
  </si>
  <si>
    <t>MTMILLAR</t>
  </si>
  <si>
    <t>MP2</t>
  </si>
  <si>
    <t>Mt Piper BESS</t>
  </si>
  <si>
    <t>Energy Australia Development Pty Ltd</t>
  </si>
  <si>
    <t>Mt Rawdon Pumped Hydro Energy Storage Project - KCI</t>
  </si>
  <si>
    <t xml:space="preserve"> ICA Partners Pty Ltd</t>
  </si>
  <si>
    <t>Q00015</t>
  </si>
  <si>
    <t>Mt Stuart</t>
  </si>
  <si>
    <t>Origin Energy Mt Stuart</t>
  </si>
  <si>
    <t>MSTUART1</t>
  </si>
  <si>
    <t>MSTUART2</t>
  </si>
  <si>
    <t>MSTUART3</t>
  </si>
  <si>
    <t>Mulgrave Central Mill</t>
  </si>
  <si>
    <t>Mulwala Solar Farm</t>
  </si>
  <si>
    <t>Mulwala Solar Farm Pty Ltd</t>
  </si>
  <si>
    <t>MUWAWF1</t>
  </si>
  <si>
    <t>Murray 1</t>
  </si>
  <si>
    <t>MURRAY</t>
  </si>
  <si>
    <t>Murray 2</t>
  </si>
  <si>
    <t>Murrurundi Wind Farm</t>
  </si>
  <si>
    <t>N00112</t>
  </si>
  <si>
    <t>Musselroe Wind Farm Pty Ltd</t>
  </si>
  <si>
    <t>MUSSELR1</t>
  </si>
  <si>
    <t xml:space="preserve">Muswellbrook Pumped Hydro </t>
  </si>
  <si>
    <t>250.00 - 500.00</t>
  </si>
  <si>
    <t>Naring Solar Farm</t>
  </si>
  <si>
    <t>Lightsource</t>
  </si>
  <si>
    <t>Naroghid</t>
  </si>
  <si>
    <t>Alinta Energy Retail Sales Pty Ltd</t>
  </si>
  <si>
    <t>Narrabri Solar Farm</t>
  </si>
  <si>
    <t xml:space="preserve"> Narrabri Power Pty Ltd</t>
  </si>
  <si>
    <t>N00059</t>
  </si>
  <si>
    <t>Narrabri South Solar Farm</t>
  </si>
  <si>
    <t>Narromine Solar Farm</t>
  </si>
  <si>
    <t>Dubbo Solar Hub Pty Ltd</t>
  </si>
  <si>
    <t>NASF1</t>
  </si>
  <si>
    <t>NAWMA Balefill Site Uleybury</t>
  </si>
  <si>
    <t>LMS Energy</t>
  </si>
  <si>
    <t>Nevertire Solar Pty Ltd as Trustee for the Nevertire Solar Trust</t>
  </si>
  <si>
    <t>NEWENSF1</t>
  </si>
  <si>
    <t>N00030</t>
  </si>
  <si>
    <t>Newcastle Gas Peaker</t>
  </si>
  <si>
    <t>Newcastle Offshore Wind</t>
  </si>
  <si>
    <t>Newcastle Offshore Wind Energy Pty Ltd</t>
  </si>
  <si>
    <t>Newhaven College</t>
  </si>
  <si>
    <t>NPS</t>
  </si>
  <si>
    <t xml:space="preserve">Nine Network Willoughby    </t>
  </si>
  <si>
    <t>TCN Channel Nine Pty Ltd</t>
  </si>
  <si>
    <t>NINEWIL1</t>
  </si>
  <si>
    <t>Normanton Solar Farm</t>
  </si>
  <si>
    <t>North East Wind - KCI</t>
  </si>
  <si>
    <t>ACEN North East Tasmania Pty Ltd</t>
  </si>
  <si>
    <t>T00022</t>
  </si>
  <si>
    <t>North Qld Bio-Energy Plant</t>
  </si>
  <si>
    <t>North Queensland Bio-Energy Corporation Limited</t>
  </si>
  <si>
    <t>4.00 - 40.00</t>
  </si>
  <si>
    <t>11.00 - 110.00</t>
  </si>
  <si>
    <t>North West Bend Substation Solar</t>
  </si>
  <si>
    <t xml:space="preserve"> North West Bend Solar Project Pty Ltd</t>
  </si>
  <si>
    <t>S00014</t>
  </si>
  <si>
    <t>Northern Midlands Solar Farm - KCI</t>
  </si>
  <si>
    <t>Connorville Estates Pty Ltd</t>
  </si>
  <si>
    <t>T00021</t>
  </si>
  <si>
    <t>Nottingham Park Solar Farm - KCI</t>
  </si>
  <si>
    <t>NPSF Renewables Pty Ltd</t>
  </si>
  <si>
    <t>N00097</t>
  </si>
  <si>
    <t>Novocastrian Offshore Wind Farm</t>
  </si>
  <si>
    <t>Nowingi Solar Storage - Solar</t>
  </si>
  <si>
    <t>Nowingi Solar Storage - Storage</t>
  </si>
  <si>
    <t>NSW Diverse Battery</t>
  </si>
  <si>
    <t>NSW Energy Cluster</t>
  </si>
  <si>
    <t>NSW Gas Peaker</t>
  </si>
  <si>
    <t>NUMURSF1</t>
  </si>
  <si>
    <t>NUMURSF2</t>
  </si>
  <si>
    <t>Nyaninyuk Wind Farm</t>
  </si>
  <si>
    <t>NYNGAN1</t>
  </si>
  <si>
    <t>OAKEY1</t>
  </si>
  <si>
    <t>OAKEY2</t>
  </si>
  <si>
    <t>Oakey Solar Farm</t>
  </si>
  <si>
    <t>Oakey1 Asset Co Pty Ltd</t>
  </si>
  <si>
    <t>OAKEYSF1</t>
  </si>
  <si>
    <t>Oaklands Hill Wind Farm</t>
  </si>
  <si>
    <t>Oaklands Hill Wind farm pty ltd</t>
  </si>
  <si>
    <t>OAKLAND1</t>
  </si>
  <si>
    <t>Oaky Creek</t>
  </si>
  <si>
    <t>OAKYCREK</t>
  </si>
  <si>
    <t>EDL OCI PTY LTD</t>
  </si>
  <si>
    <t>OAKY2</t>
  </si>
  <si>
    <t>Wellington Battery ProjectCo Pty Ltd in its capacity as trustee for the Wellington Battery Project Trust</t>
  </si>
  <si>
    <t>ORANA</t>
  </si>
  <si>
    <t>Orange Grove Sun Farm</t>
  </si>
  <si>
    <t>N00095</t>
  </si>
  <si>
    <t>Oven Mountain Pumped Storage</t>
  </si>
  <si>
    <t>Oxley Solar Farm</t>
  </si>
  <si>
    <t>Oxley Solar Development Pty Ltd</t>
  </si>
  <si>
    <t>Paling Yards Wind Farm</t>
  </si>
  <si>
    <t>Paling Yards Development Pty Ltd</t>
  </si>
  <si>
    <t>N00001</t>
  </si>
  <si>
    <t>Pallamana Solar Farm</t>
  </si>
  <si>
    <t>Palmerston Battery Energy Storage System - Akaysha</t>
  </si>
  <si>
    <t xml:space="preserve"> Akaysha Energy Pty Ltd</t>
  </si>
  <si>
    <t>T00014</t>
  </si>
  <si>
    <t>Palmerston Big Battery</t>
  </si>
  <si>
    <t xml:space="preserve"> Victorian Big Battery Pty Ltd</t>
  </si>
  <si>
    <t>T00013</t>
  </si>
  <si>
    <t>Paloona</t>
  </si>
  <si>
    <t>PALOONA</t>
  </si>
  <si>
    <t>Panorama BESS</t>
  </si>
  <si>
    <t xml:space="preserve"> PANORAMA BESS SUBCO PTY LTD as trustee for the PANORAMA BESS UNIT TRUST</t>
  </si>
  <si>
    <t>N00093</t>
  </si>
  <si>
    <t>Para Substation/Gould Creek BESS</t>
  </si>
  <si>
    <t>S00013</t>
  </si>
  <si>
    <t>Parkes Shire Council STP</t>
  </si>
  <si>
    <t>Parkes Shire Council WTP</t>
  </si>
  <si>
    <t>Parkes Solar Farm Pty Ltd</t>
  </si>
  <si>
    <t>PARSF1</t>
  </si>
  <si>
    <t>PPCCGT</t>
  </si>
  <si>
    <t>Penfield BESS</t>
  </si>
  <si>
    <t>BESS PENFIELD PTY LTD</t>
  </si>
  <si>
    <t>Peninsula Solar Farm</t>
  </si>
  <si>
    <t>Penrith RSL Solar</t>
  </si>
  <si>
    <t>Peterborough Solar Farm</t>
  </si>
  <si>
    <t>Renew Power Group Pty Ltd</t>
  </si>
  <si>
    <t>Mondo Power</t>
  </si>
  <si>
    <t>Photon Energy Leeton</t>
  </si>
  <si>
    <t>Piambong Wind Farm Pty Ltd</t>
  </si>
  <si>
    <t>N00090</t>
  </si>
  <si>
    <t>Pindari</t>
  </si>
  <si>
    <t>PINDARI</t>
  </si>
  <si>
    <t>Pine Lodge BESS</t>
  </si>
  <si>
    <t>V00063</t>
  </si>
  <si>
    <t>Pinnacles BESS - Storage - KCI</t>
  </si>
  <si>
    <t>Q00057</t>
  </si>
  <si>
    <t>Pioneer Sugar Mill</t>
  </si>
  <si>
    <t>Pioneer Sugar Mills P/L</t>
  </si>
  <si>
    <t>Pioneer-Burdekin Pumped Hydro Energy Storage</t>
  </si>
  <si>
    <t>Plane Creek Mill</t>
  </si>
  <si>
    <t>Planet Ark Power and Schneider Electric - PV and Battery Microgrid</t>
  </si>
  <si>
    <t>Planet Ark Power and Schneider Electric</t>
  </si>
  <si>
    <t>Playford Battery</t>
  </si>
  <si>
    <t>CFG</t>
  </si>
  <si>
    <t>Poatina</t>
  </si>
  <si>
    <t>POAT110</t>
  </si>
  <si>
    <t>POAT220</t>
  </si>
  <si>
    <t>PAREPS1</t>
  </si>
  <si>
    <t>S00025</t>
  </si>
  <si>
    <t>PAREPW1</t>
  </si>
  <si>
    <t>Port Kembla Power Station</t>
  </si>
  <si>
    <t xml:space="preserve"> Australian Industrial Power</t>
  </si>
  <si>
    <t>N00031</t>
  </si>
  <si>
    <t>Port Latta Wind Farm</t>
  </si>
  <si>
    <t>Oz Green Energy I Pty Ltd</t>
  </si>
  <si>
    <t>T00006</t>
  </si>
  <si>
    <t>Port Lincoln GT</t>
  </si>
  <si>
    <t>POR01</t>
  </si>
  <si>
    <t>POR03</t>
  </si>
  <si>
    <t>Port Pirie Solar Farm - KCI</t>
  </si>
  <si>
    <t xml:space="preserve"> Trafigura Hydrogen Australia</t>
  </si>
  <si>
    <t>S00024</t>
  </si>
  <si>
    <t>Port Stanvac 1</t>
  </si>
  <si>
    <t>PTSTAN1</t>
  </si>
  <si>
    <t>Portland Wind Farm</t>
  </si>
  <si>
    <t>Pacific Hydro Portland Wind Farm Pty Ltd</t>
  </si>
  <si>
    <t>PORTWF</t>
  </si>
  <si>
    <t>Portland Wind Farm - KCI</t>
  </si>
  <si>
    <t xml:space="preserve"> Vic Offshore Windfarm Pty Ltd</t>
  </si>
  <si>
    <t>V00081</t>
  </si>
  <si>
    <t>Prairie Solar Farm</t>
  </si>
  <si>
    <t>100.00 - 250.00</t>
  </si>
  <si>
    <t>Prairie WF &amp; Wongalee WF</t>
  </si>
  <si>
    <t>Prairie Wind Farm Pty Ltd</t>
  </si>
  <si>
    <t>700.00 - 800.00</t>
  </si>
  <si>
    <t>1050.00 - 1200.00</t>
  </si>
  <si>
    <t>Proserpine</t>
  </si>
  <si>
    <t>Wimar Sugar Proserpine Pty Ltd</t>
  </si>
  <si>
    <t>Proten - Farm 60</t>
  </si>
  <si>
    <t>Proten - Farm 61</t>
  </si>
  <si>
    <t>Proten - Farm 74</t>
  </si>
  <si>
    <t>Proten - Farm 75 - 79</t>
  </si>
  <si>
    <t>SUSTAINABLE ENERGY INFRASTRUCTURE</t>
  </si>
  <si>
    <t>QPS1</t>
  </si>
  <si>
    <t>QPS2</t>
  </si>
  <si>
    <t>QPS3</t>
  </si>
  <si>
    <t>QPS4</t>
  </si>
  <si>
    <t>QPS5</t>
  </si>
  <si>
    <t xml:space="preserve"> Global Power Generation Australia Pty Ltd </t>
  </si>
  <si>
    <t>QBYNBG1</t>
  </si>
  <si>
    <t>N00010</t>
  </si>
  <si>
    <t>Quorn Park Hybrid</t>
  </si>
  <si>
    <t>QPBESS</t>
  </si>
  <si>
    <t>23.44 - 27.60</t>
  </si>
  <si>
    <t>QPSF</t>
  </si>
  <si>
    <t>87.12 - 96.80</t>
  </si>
  <si>
    <t>Racecourse Mill</t>
  </si>
  <si>
    <t>Mackay Sugar Ltd</t>
  </si>
  <si>
    <t>Raglan Solar Farm</t>
  </si>
  <si>
    <t>Q00014</t>
  </si>
  <si>
    <t>Rangemore BESS</t>
  </si>
  <si>
    <t>Rangemore Solar Farm</t>
  </si>
  <si>
    <t>Rangemore Wind Farm</t>
  </si>
  <si>
    <t>Q00068</t>
  </si>
  <si>
    <t>Rangoon Wind Farm</t>
  </si>
  <si>
    <t>Meridian Energy Australia</t>
  </si>
  <si>
    <t>Red Cliffs Solar &amp; BESS - KCI</t>
  </si>
  <si>
    <t>Red Cliffs Power Pty td</t>
  </si>
  <si>
    <t>V00055</t>
  </si>
  <si>
    <t>Redbank</t>
  </si>
  <si>
    <t>Verdant Earth Technologies Limited</t>
  </si>
  <si>
    <t>Renewable Biomass or Waste - Wood Waste</t>
  </si>
  <si>
    <t>REDBANK1</t>
  </si>
  <si>
    <t>128.00 - 151.00</t>
  </si>
  <si>
    <t>Redmud Green Energy 10</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</si>
  <si>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</si>
  <si>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</si>
  <si>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</si>
  <si>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</si>
  <si>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</si>
  <si>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</si>
  <si>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</si>
  <si>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</si>
  <si>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</si>
  <si>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</si>
  <si>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Reece</t>
  </si>
  <si>
    <t>REECE1</t>
  </si>
  <si>
    <t>REECE2</t>
  </si>
  <si>
    <t>Reedy Creek</t>
  </si>
  <si>
    <t>Reeves Plains OCGT - stage 1</t>
  </si>
  <si>
    <t>Alinta Energy Reeves Plains Pty Ltd</t>
  </si>
  <si>
    <t>Reeves Plains OCGT - stage 2</t>
  </si>
  <si>
    <t>Remount Power Station</t>
  </si>
  <si>
    <t>REMOUNT</t>
  </si>
  <si>
    <t>Renewable Power Australia Limited</t>
  </si>
  <si>
    <t>Renewable Power Australia Limited as Trustee for FPC Green Fund Trust</t>
  </si>
  <si>
    <t>RPCG</t>
  </si>
  <si>
    <t>Repulse</t>
  </si>
  <si>
    <t>REPULSE</t>
  </si>
  <si>
    <t>Revesby Workers Club</t>
  </si>
  <si>
    <t>REWASTE WOLLERT</t>
  </si>
  <si>
    <t>Richmond Valley Solar Farm</t>
  </si>
  <si>
    <t xml:space="preserve">ARK ENERGY CORPORATION PTY LTD </t>
  </si>
  <si>
    <t>Ridgey Creek BESS</t>
  </si>
  <si>
    <t xml:space="preserve"> Ridgey Creek BESS Pty Ltd</t>
  </si>
  <si>
    <t>N00076</t>
  </si>
  <si>
    <t>Rifle Butts Wind Farm </t>
  </si>
  <si>
    <t>NewEn</t>
  </si>
  <si>
    <t>RESS1G</t>
  </si>
  <si>
    <t>RESS 2 Pty Ltd</t>
  </si>
  <si>
    <t>RIVNBG2</t>
  </si>
  <si>
    <t>Riverland Solar Storage - Solar</t>
  </si>
  <si>
    <t>Riverland Solar Storage - Storage</t>
  </si>
  <si>
    <t>Riverside BESS - Storage - KCI</t>
  </si>
  <si>
    <t>V00093</t>
  </si>
  <si>
    <t>RMGE94</t>
  </si>
  <si>
    <t>The Trustee for Dale Calderbank Investment Trust &amp; The Trustee for Mark Yates Family Trust</t>
  </si>
  <si>
    <t>Robbins Island Wind Farm</t>
  </si>
  <si>
    <t>ACEN Robbins Island PTY LTD</t>
  </si>
  <si>
    <t>T00019</t>
  </si>
  <si>
    <t>Rochedale B</t>
  </si>
  <si>
    <t>Rolleston Solar Farm</t>
  </si>
  <si>
    <t>Roma</t>
  </si>
  <si>
    <t>ROMA_7</t>
  </si>
  <si>
    <t>ROMA_8</t>
  </si>
  <si>
    <t>Rosedale SF</t>
  </si>
  <si>
    <t>N00040</t>
  </si>
  <si>
    <t>Ross River Operations Pty Ltd as the Trustee for the Ross River Operations Trust</t>
  </si>
  <si>
    <t>RRSF1</t>
  </si>
  <si>
    <t>Rowallan</t>
  </si>
  <si>
    <t>ROWALLAN</t>
  </si>
  <si>
    <t>Rowallan Pumped Hydro Option</t>
  </si>
  <si>
    <t>T00002</t>
  </si>
  <si>
    <t>Royalla Asset Pty Ltd ATF Royalla Asset Trust</t>
  </si>
  <si>
    <t>ROYALLA1</t>
  </si>
  <si>
    <t>Rubicon Mountain Streams</t>
  </si>
  <si>
    <t>RUBICON</t>
  </si>
  <si>
    <t>Ruby Hills North BESS</t>
  </si>
  <si>
    <t>240.00 - 248.00</t>
  </si>
  <si>
    <t xml:space="preserve">Ruby Hills North Wind Farm </t>
  </si>
  <si>
    <t>168.00 - 173.60</t>
  </si>
  <si>
    <t>72.00 - 74.40</t>
  </si>
  <si>
    <t>Ruby Hills South BESS</t>
  </si>
  <si>
    <t>Ruby Hills South Wind Farm</t>
  </si>
  <si>
    <t>480.00 - 496.00</t>
  </si>
  <si>
    <t>Adani Rugby Run Pty Ltd</t>
  </si>
  <si>
    <t>RUGBYR1</t>
  </si>
  <si>
    <t>V00019</t>
  </si>
  <si>
    <t>N00046</t>
  </si>
  <si>
    <t>SA Aquatic &amp; Leasure Centre</t>
  </si>
  <si>
    <t>SALE HOSPITAL - SOLAR</t>
  </si>
  <si>
    <t>Salisbury BESS</t>
  </si>
  <si>
    <t xml:space="preserve">Salisbury West Solar 450MW   </t>
  </si>
  <si>
    <t>Salt Creek Wind Farm Pty Ltd</t>
  </si>
  <si>
    <t>SALTCRK1</t>
  </si>
  <si>
    <t>Sandigo Solar Farm</t>
  </si>
  <si>
    <t>N00022</t>
  </si>
  <si>
    <t>Sapphire Solar Farm</t>
  </si>
  <si>
    <t>Sapphire Solar Farm Pty Ltd</t>
  </si>
  <si>
    <t>100.00 - 200.00</t>
  </si>
  <si>
    <t>Sapphire Wind Farm</t>
  </si>
  <si>
    <t>SWF1 Operations Holdings Pty Ltd as trustee for SWF1 Hold Trust</t>
  </si>
  <si>
    <t>SAPHWF1</t>
  </si>
  <si>
    <t>SCS Shepparton</t>
  </si>
  <si>
    <t>Seacliff Mini Hydro</t>
  </si>
  <si>
    <t>Hydro - Other</t>
  </si>
  <si>
    <t>Seadragon offshore wind project</t>
  </si>
  <si>
    <t>Flotation Energy Pty Ltd</t>
  </si>
  <si>
    <t>Seaford Renewable Energy Facility</t>
  </si>
  <si>
    <t>Sebastopol Asset Co Pty Ltd ATF Sebastopol Asset Trust</t>
  </si>
  <si>
    <t>SEBSF1</t>
  </si>
  <si>
    <t>Seymour Wind Farm - KCI</t>
  </si>
  <si>
    <t xml:space="preserve"> Fera Australia Pty Ltd</t>
  </si>
  <si>
    <t>V00062</t>
  </si>
  <si>
    <t>Shamic Sheetmetal</t>
  </si>
  <si>
    <t>Shepparton</t>
  </si>
  <si>
    <t>Shepparton Wastewater Treatment Facility</t>
  </si>
  <si>
    <t>Diamond Energy Pty Ltd</t>
  </si>
  <si>
    <t>Shoalhaven</t>
  </si>
  <si>
    <t>SHGEN</t>
  </si>
  <si>
    <t>N00104</t>
  </si>
  <si>
    <t>Shoalhaven Starches Cogeneration Plant</t>
  </si>
  <si>
    <t>Shoalhaven Starches Pty Ltd</t>
  </si>
  <si>
    <t>Silver City Energy Storage</t>
  </si>
  <si>
    <t>A-CAES NSW PTY LTD</t>
  </si>
  <si>
    <t>Storage - Other</t>
  </si>
  <si>
    <t>PARF Company 8 Pty Ltd as trustee for the Silverton Project Trust</t>
  </si>
  <si>
    <t>STWF1</t>
  </si>
  <si>
    <t>SIPS Staypylton Industrial Power Station</t>
  </si>
  <si>
    <t>SITHE01</t>
  </si>
  <si>
    <t>SITHE04</t>
  </si>
  <si>
    <t>Smoky Creek Solar Farm</t>
  </si>
  <si>
    <t>Q00075</t>
  </si>
  <si>
    <t>Snowtown North Solar Farm</t>
  </si>
  <si>
    <t>Snowtown North Solar Farm - BESS</t>
  </si>
  <si>
    <t>Snowtown S2 Wind Farm</t>
  </si>
  <si>
    <t>Snowtown Wind Farm Stage 2 Pty Ltd</t>
  </si>
  <si>
    <t>SNOWNTH1</t>
  </si>
  <si>
    <t>SNOWSTH1</t>
  </si>
  <si>
    <t>Snowtown Wind Farm</t>
  </si>
  <si>
    <t>Snowtown Wind Farm Pty Ltd</t>
  </si>
  <si>
    <t>SNOWTWN1</t>
  </si>
  <si>
    <t>Snowy 2.0.</t>
  </si>
  <si>
    <t>Snuggery</t>
  </si>
  <si>
    <t>SNUG1</t>
  </si>
  <si>
    <t>SNUGNL1</t>
  </si>
  <si>
    <t>Somerset Dam</t>
  </si>
  <si>
    <t>AGLSOM</t>
  </si>
  <si>
    <t>South East BESS - Storage - KCI</t>
  </si>
  <si>
    <t>Equis Energy (Australia) Projects (Ngumi 8) Pty Ltd as trustee for the Equis Energy(Australia) Ngumi 8 Asset Trust</t>
  </si>
  <si>
    <t>S00033</t>
  </si>
  <si>
    <t>South Johnstone Mill (expansion)</t>
  </si>
  <si>
    <t>South Keswick Solar Farm</t>
  </si>
  <si>
    <t>SKSF1</t>
  </si>
  <si>
    <t>South Morang Battery Energy Storage System</t>
  </si>
  <si>
    <t>V00010</t>
  </si>
  <si>
    <t>South Pacific Offshore Wind Project</t>
  </si>
  <si>
    <t>South Pacific OWP Project Pty Ltd</t>
  </si>
  <si>
    <t>1575.00 - 1601.25</t>
  </si>
  <si>
    <t>N00080</t>
  </si>
  <si>
    <t>South Pine BESS - KCI</t>
  </si>
  <si>
    <t xml:space="preserve"> Neon Australia Pty Ltd</t>
  </si>
  <si>
    <t>Q00037</t>
  </si>
  <si>
    <t>Southbank Institute of Technology Unit 1 Plant</t>
  </si>
  <si>
    <t>Southbank Institute of Technology</t>
  </si>
  <si>
    <t>STHBKTEC</t>
  </si>
  <si>
    <t>Southern Renewable Energy Zone BESS</t>
  </si>
  <si>
    <t>Southern Winds Offshore Wind</t>
  </si>
  <si>
    <t>Southern Winds OWP Project Pty Ltd</t>
  </si>
  <si>
    <t>V00084</t>
  </si>
  <si>
    <t>Specimen Hill BESS - Storage - KCI</t>
  </si>
  <si>
    <t>Q00059</t>
  </si>
  <si>
    <t>Specimen Hill Wind Farm</t>
  </si>
  <si>
    <t>Springdale Solar Farm</t>
  </si>
  <si>
    <t>Renew Estate</t>
  </si>
  <si>
    <t xml:space="preserve">Springlands Wind Farm </t>
  </si>
  <si>
    <t xml:space="preserve"> Ratch Australia</t>
  </si>
  <si>
    <t>Q00038</t>
  </si>
  <si>
    <t>Springvale</t>
  </si>
  <si>
    <t>SRI/Mirabou (Braemar) BESS - KCI</t>
  </si>
  <si>
    <t xml:space="preserve"> Miraabou Energy Ltd</t>
  </si>
  <si>
    <t>Q00053</t>
  </si>
  <si>
    <t>SSE Whyalla Solar Farm</t>
  </si>
  <si>
    <t>SSE Australia Pty Ltd</t>
  </si>
  <si>
    <t xml:space="preserve">St George Leagues Club    </t>
  </si>
  <si>
    <t>St George Leagues Club Limited</t>
  </si>
  <si>
    <t>St Patrick's College Launceston</t>
  </si>
  <si>
    <t>St Patricks Plains Wind Farm</t>
  </si>
  <si>
    <t>St Ursula's College Yeppoon</t>
  </si>
  <si>
    <t>Stanhope BESS Project</t>
  </si>
  <si>
    <t>Globird Energy Pty Ltd</t>
  </si>
  <si>
    <t>Stanwell</t>
  </si>
  <si>
    <t>STAN-1</t>
  </si>
  <si>
    <t>STAN-2</t>
  </si>
  <si>
    <t>STAN-3</t>
  </si>
  <si>
    <t>STAN-4</t>
  </si>
  <si>
    <t>Stanwell Power Station BESS</t>
  </si>
  <si>
    <t>Q00023</t>
  </si>
  <si>
    <t>Stapylton Renewable Energy Facility</t>
  </si>
  <si>
    <t>Star of the South Wind Farm</t>
  </si>
  <si>
    <t>Star of the South Wind Farm Pty Ltd as trustee for the Star of the South Trust</t>
  </si>
  <si>
    <t>SOTS1</t>
  </si>
  <si>
    <t>V00044</t>
  </si>
  <si>
    <t>Starfish Hill</t>
  </si>
  <si>
    <t>STARHLWF</t>
  </si>
  <si>
    <t>Stockland Development Wetherill Park</t>
  </si>
  <si>
    <t>Stonehaven Gas Turbines - KCI</t>
  </si>
  <si>
    <t xml:space="preserve"> APA Power Holdings Pty Ltd</t>
  </si>
  <si>
    <t>V00029</t>
  </si>
  <si>
    <t>Stoney Creek BESS</t>
  </si>
  <si>
    <t>N00108</t>
  </si>
  <si>
    <t>Stony Creek Wind Farm</t>
  </si>
  <si>
    <t>Greenleaf Renewable</t>
  </si>
  <si>
    <t>Q00098</t>
  </si>
  <si>
    <t>N00017</t>
  </si>
  <si>
    <t>Summerfield BESS - KCI</t>
  </si>
  <si>
    <t xml:space="preserve"> CI SUMMERFIELD BESS PTY LTD AS TRUSTEE FOR THE CI SUMMERFIELD BESS TRUST</t>
  </si>
  <si>
    <t>S00022</t>
  </si>
  <si>
    <t>Summerhill</t>
  </si>
  <si>
    <t>Summerhill Solar Farm</t>
  </si>
  <si>
    <t>Newcastle Council</t>
  </si>
  <si>
    <t>Summerville Solar Farm</t>
  </si>
  <si>
    <t>ESCO Pacific Holdings</t>
  </si>
  <si>
    <t>4.20 - 90.00</t>
  </si>
  <si>
    <t>N00064</t>
  </si>
  <si>
    <t>Sun Metals Corporation Solar Farm</t>
  </si>
  <si>
    <t>Sun Metals Corporation Pty Ltd</t>
  </si>
  <si>
    <t>SMCSF1</t>
  </si>
  <si>
    <t>Sundown SF(Canadian Solar)</t>
  </si>
  <si>
    <t>N00048</t>
  </si>
  <si>
    <t>Sundown Solar Farm</t>
  </si>
  <si>
    <t>CWP Renewables Pty Ltd</t>
  </si>
  <si>
    <t>Sunraysia BESS</t>
  </si>
  <si>
    <t>Sunshine Coast Regional Council</t>
  </si>
  <si>
    <t>Sunshine Energy Solar Farm</t>
  </si>
  <si>
    <t>Sunshine Energy</t>
  </si>
  <si>
    <t>Sunshine State Solar Farm and BESS</t>
  </si>
  <si>
    <t>Suntop SF Pty Ltd As Trustee For The Suntop Asset</t>
  </si>
  <si>
    <t>SUNTPSF1</t>
  </si>
  <si>
    <t>Supernode Project</t>
  </si>
  <si>
    <t>Quinbrook Asset Management as Trustee for The Australian Clean Power Trust 2A</t>
  </si>
  <si>
    <t>Susan River Solar Pty Ltd as trustee for the Susan River Solar Trust</t>
  </si>
  <si>
    <t>Swan Hill Solar Farm 1 Unit 1</t>
  </si>
  <si>
    <t>Solar Powerstations Victoria Pty Ltd</t>
  </si>
  <si>
    <t>Swan Hill Solar Farm 2 Unit 1</t>
  </si>
  <si>
    <t>Swanbank BESS</t>
  </si>
  <si>
    <t>Q00065</t>
  </si>
  <si>
    <t>SWAN_E</t>
  </si>
  <si>
    <t>Swanbank JV</t>
  </si>
  <si>
    <t>Symex</t>
  </si>
  <si>
    <t>Symex Holding Ltd</t>
  </si>
  <si>
    <t>Tabulam BESS</t>
  </si>
  <si>
    <t>Elgin Energy Pty Ltd</t>
  </si>
  <si>
    <t>N00117</t>
  </si>
  <si>
    <t>Tabulam Solar Farm</t>
  </si>
  <si>
    <t>Tahmoor</t>
  </si>
  <si>
    <t>EDL TT Pty Ltd</t>
  </si>
  <si>
    <t>TAHMOOR</t>
  </si>
  <si>
    <t>TBSF1</t>
  </si>
  <si>
    <t>TB2BG1</t>
  </si>
  <si>
    <t>S00023</t>
  </si>
  <si>
    <t>TB2SF1</t>
  </si>
  <si>
    <t>Tailem Bend Stage 3</t>
  </si>
  <si>
    <t>TALWA1</t>
  </si>
  <si>
    <t>Tallawarra B</t>
  </si>
  <si>
    <t xml:space="preserve">EnergyAustralia Tallawarra Pty Ltd </t>
  </si>
  <si>
    <t>TALWB1</t>
  </si>
  <si>
    <t>TVPP104</t>
  </si>
  <si>
    <t>Tamworth BESS</t>
  </si>
  <si>
    <t xml:space="preserve"> The Trustee for Equis Energy (Ausralia) Ngumi 4 Asset Trust</t>
  </si>
  <si>
    <t>N00058</t>
  </si>
  <si>
    <t>Tamworth BESS - Gmr Energy</t>
  </si>
  <si>
    <t>N00016</t>
  </si>
  <si>
    <t>Tangkam BESS - KCI</t>
  </si>
  <si>
    <t xml:space="preserve"> Atria Energy Ltd</t>
  </si>
  <si>
    <t>Q00054</t>
  </si>
  <si>
    <t>Tara Springs Wind Farm</t>
  </si>
  <si>
    <t>N00003</t>
  </si>
  <si>
    <t>TARALGA1</t>
  </si>
  <si>
    <t>Tarong</t>
  </si>
  <si>
    <t>TARONG#1</t>
  </si>
  <si>
    <t>TARONG#2</t>
  </si>
  <si>
    <t>TARONG#3</t>
  </si>
  <si>
    <t>TARONG#4</t>
  </si>
  <si>
    <t>Tarong BESS</t>
  </si>
  <si>
    <t>Q00081</t>
  </si>
  <si>
    <t>Tarong GT</t>
  </si>
  <si>
    <t>Fossil - Fuel Oil</t>
  </si>
  <si>
    <t>Tarong North</t>
  </si>
  <si>
    <t>TNPS1</t>
  </si>
  <si>
    <t>Tarong West Wind Farm (Ironleaf)</t>
  </si>
  <si>
    <t>Res Australia Pty Ltd</t>
  </si>
  <si>
    <t>Q00009</t>
  </si>
  <si>
    <t>Taronga Western Plains Zoo</t>
  </si>
  <si>
    <t>Tarraleah</t>
  </si>
  <si>
    <t>TARRALEA</t>
  </si>
  <si>
    <t>Tarraleah Redevelopment</t>
  </si>
  <si>
    <t>T00018</t>
  </si>
  <si>
    <t>Tarrone BESS - Storage - KCI</t>
  </si>
  <si>
    <t>V00088</t>
  </si>
  <si>
    <t>Tarrone GT</t>
  </si>
  <si>
    <t>500.00 - 600.00</t>
  </si>
  <si>
    <t>Tarrone Wind Farm</t>
  </si>
  <si>
    <t>Tatiara Meats</t>
  </si>
  <si>
    <t>TATIARA1</t>
  </si>
  <si>
    <t>Tatura Biomass Generator</t>
  </si>
  <si>
    <t>S00017</t>
  </si>
  <si>
    <t>N00027</t>
  </si>
  <si>
    <t xml:space="preserve">Terang Battery Energy Storage System </t>
  </si>
  <si>
    <t>Acenergy Pty Ltd</t>
  </si>
  <si>
    <t>V00006</t>
  </si>
  <si>
    <t>Terang BESS</t>
  </si>
  <si>
    <t>frv_NR</t>
  </si>
  <si>
    <t>TRGBESS</t>
  </si>
  <si>
    <t>Terminal Storage Mini Hydro</t>
  </si>
  <si>
    <t>TERMSTOR</t>
  </si>
  <si>
    <t>Territory Battery</t>
  </si>
  <si>
    <t xml:space="preserve"> Neoen Australia Pty Ltd</t>
  </si>
  <si>
    <t>0.50 - 200.00</t>
  </si>
  <si>
    <t>N00086</t>
  </si>
  <si>
    <t>The Drop</t>
  </si>
  <si>
    <t>THEDROP1</t>
  </si>
  <si>
    <t>The Solar River Project - Stage 1</t>
  </si>
  <si>
    <t>The Solar River Project Pty Ltd</t>
  </si>
  <si>
    <t>The Solar River Project - Stage 2</t>
  </si>
  <si>
    <t>Theodore Solar Farm</t>
  </si>
  <si>
    <t>Thomastown Terminal Station - KCI</t>
  </si>
  <si>
    <t xml:space="preserve"> Mondo Power Pty Ltd</t>
  </si>
  <si>
    <t>V00078</t>
  </si>
  <si>
    <t>Thunderbolt Wind Farm</t>
  </si>
  <si>
    <t>5.00 - 192.00</t>
  </si>
  <si>
    <t>N00066</t>
  </si>
  <si>
    <t>Ti Tree Bioenergy</t>
  </si>
  <si>
    <t>TITREE</t>
  </si>
  <si>
    <t>Tieri Solar Farm</t>
  </si>
  <si>
    <t>FRV Service Australia Pty Ltd</t>
  </si>
  <si>
    <t>TieriBESS1</t>
  </si>
  <si>
    <t>TieriSF001</t>
  </si>
  <si>
    <t>Tilbuster Solar Farm</t>
  </si>
  <si>
    <t>N00015</t>
  </si>
  <si>
    <t>Timboon West Wind Farm</t>
  </si>
  <si>
    <t>Timboon West Wind Farm Pty Ltd</t>
  </si>
  <si>
    <t>TIMWEST</t>
  </si>
  <si>
    <t>Todae Solar - DHP 1MW</t>
  </si>
  <si>
    <t>Todae Solar – La Trobe University Bendigo</t>
  </si>
  <si>
    <t>Todae Solar – La Trobe University Wodonga</t>
  </si>
  <si>
    <t>Todae Solar - Nillumbik</t>
  </si>
  <si>
    <t xml:space="preserve">Todae Solar CSU </t>
  </si>
  <si>
    <t>Todae Solar PE - Llandilo</t>
  </si>
  <si>
    <t>Todae Solar- PF Minchinbury</t>
  </si>
  <si>
    <t>Todae Solar SV - Eltham</t>
  </si>
  <si>
    <t>Todae Solar SV - Holy Spirit Northside</t>
  </si>
  <si>
    <t>Todae Solar SV - Mater Clinic</t>
  </si>
  <si>
    <t>Todae Solar SV - Mater Hospital</t>
  </si>
  <si>
    <t>Todae Solar SV - Mitchelton</t>
  </si>
  <si>
    <t>Todae Solar SV - Private Brisbane</t>
  </si>
  <si>
    <t>Todae Solar SV - Toowoomba</t>
  </si>
  <si>
    <t>Todae Solar SV Lourdes</t>
  </si>
  <si>
    <t>Tods Corner</t>
  </si>
  <si>
    <t>Tomago BESS</t>
  </si>
  <si>
    <t>N00109</t>
  </si>
  <si>
    <t>Tong Park - Agricultural Waste</t>
  </si>
  <si>
    <t>Toora</t>
  </si>
  <si>
    <t>TOORAWF</t>
  </si>
  <si>
    <t>Toowoomba Pumped Storage Project</t>
  </si>
  <si>
    <t>Q00072</t>
  </si>
  <si>
    <t>TORRA3</t>
  </si>
  <si>
    <t>TORRB2</t>
  </si>
  <si>
    <t>TORRB3</t>
  </si>
  <si>
    <t>TORRB4</t>
  </si>
  <si>
    <t>TIBG1 / TIPL1</t>
  </si>
  <si>
    <t>S00008</t>
  </si>
  <si>
    <t>Tower</t>
  </si>
  <si>
    <t>TOWER</t>
  </si>
  <si>
    <t>Townsville Power Station.</t>
  </si>
  <si>
    <t>RATCH-Australia</t>
  </si>
  <si>
    <t>YABULU</t>
  </si>
  <si>
    <t>YABULU2</t>
  </si>
  <si>
    <t>Trevallyn</t>
  </si>
  <si>
    <t>TREVALLN</t>
  </si>
  <si>
    <t>Triabunna Wind Farm</t>
  </si>
  <si>
    <t>T00007</t>
  </si>
  <si>
    <t>Tribute</t>
  </si>
  <si>
    <t>TRIBUTE</t>
  </si>
  <si>
    <t>Tribute Pumped Hydro Option</t>
  </si>
  <si>
    <t>T00003</t>
  </si>
  <si>
    <t>Tumuruu BESS</t>
  </si>
  <si>
    <t>Austraiian Solar</t>
  </si>
  <si>
    <t>Q00099</t>
  </si>
  <si>
    <t>Tumuruu Solar Farm</t>
  </si>
  <si>
    <t>Tumut 3</t>
  </si>
  <si>
    <t>TUMUT3</t>
  </si>
  <si>
    <t>Tumut Pulp and Paper Mill</t>
  </si>
  <si>
    <t>Visy</t>
  </si>
  <si>
    <t>Tungatinah</t>
  </si>
  <si>
    <t>TUNGATIN</t>
  </si>
  <si>
    <t>Twin Creek Wind Farm</t>
  </si>
  <si>
    <t>151.20 - 277.20</t>
  </si>
  <si>
    <t>Ulinda Park ProjectCo Pty Ltd in its capacity as trustee for the Ulinda Park Project Trust</t>
  </si>
  <si>
    <t>ULBESS</t>
  </si>
  <si>
    <t>Ulladulla Offshore Wind Farm</t>
  </si>
  <si>
    <t>UniSA Solar project</t>
  </si>
  <si>
    <t>University of South Australia</t>
  </si>
  <si>
    <t>University of Melbourne Archives Brunswick</t>
  </si>
  <si>
    <t>University of Melbourne McCoy Carlton</t>
  </si>
  <si>
    <t>University of Melbourne Performing Arts Centre Southbank</t>
  </si>
  <si>
    <t>University of Melbourne Peter Hall Parkville</t>
  </si>
  <si>
    <t>University of Melbourne Sports Centre Parkville</t>
  </si>
  <si>
    <t>University of Melbourne The Spot Carlton</t>
  </si>
  <si>
    <t>University of Southern Queensland Toowoomba</t>
  </si>
  <si>
    <t>Q00039</t>
  </si>
  <si>
    <t>UBWF1</t>
  </si>
  <si>
    <t>Upper Calliope Solar Farm (side A)</t>
  </si>
  <si>
    <t>European Energy S/A</t>
  </si>
  <si>
    <t>Q00095</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</si>
  <si>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</si>
  <si>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</si>
  <si>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</si>
  <si>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</si>
  <si>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</si>
  <si>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</si>
  <si>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</si>
  <si>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</si>
  <si>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</si>
  <si>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</si>
  <si>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</si>
  <si>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VP5</t>
  </si>
  <si>
    <t>VP6</t>
  </si>
  <si>
    <t>Vales Point Solar</t>
  </si>
  <si>
    <t>Valley Power</t>
  </si>
  <si>
    <t>VPGS1</t>
  </si>
  <si>
    <t>VPGS2</t>
  </si>
  <si>
    <t>VPGS3</t>
  </si>
  <si>
    <t>VPGS4</t>
  </si>
  <si>
    <t>VPGS5</t>
  </si>
  <si>
    <t>VPGS6</t>
  </si>
  <si>
    <t>Vast Solar1 Pty Ltd - KCI</t>
  </si>
  <si>
    <t xml:space="preserve"> Vast Solar 1 Pty Ltd</t>
  </si>
  <si>
    <t>S00027</t>
  </si>
  <si>
    <t>Vast Solar1 Pty Ltd - Thermal - KCI</t>
  </si>
  <si>
    <t>Vawdrey Manufacturing</t>
  </si>
  <si>
    <t>Victoria Mill</t>
  </si>
  <si>
    <t>Sucrogen (Herbet) Pty Ltd</t>
  </si>
  <si>
    <t>Victorian Big Battery 2</t>
  </si>
  <si>
    <t>V00094</t>
  </si>
  <si>
    <t>Vulcan Yatala</t>
  </si>
  <si>
    <t>Wagga North Solar Farm BESS</t>
  </si>
  <si>
    <t xml:space="preserve"> Wagga Wagga Operationsco Pty Ltd as trustee for the Wagga Wagga Operations Trust</t>
  </si>
  <si>
    <t>N00062</t>
  </si>
  <si>
    <t>Walcha Energy Project - Kangaroo Hills Wind Farm</t>
  </si>
  <si>
    <t>Walcha Energy Project - St Leonards Wind Farm</t>
  </si>
  <si>
    <t>WLWLSF1</t>
  </si>
  <si>
    <t>N00018</t>
  </si>
  <si>
    <t>WLWLSF2</t>
  </si>
  <si>
    <t>Wallaroo Solar Farm</t>
  </si>
  <si>
    <t>New Energy development and Univergy Solar Joint venture (SPV) Wallaroo Solar Farm Pty Ltd</t>
  </si>
  <si>
    <t>N00004</t>
  </si>
  <si>
    <t>Wallerawang 9 BESS</t>
  </si>
  <si>
    <t>Greenspot Wallerawang Pty Ltd as trustee for the Greenspot Wallerawang Unit Trust</t>
  </si>
  <si>
    <t>1.00 - 500.00</t>
  </si>
  <si>
    <t>N00035</t>
  </si>
  <si>
    <t>Q00028</t>
  </si>
  <si>
    <t>WANDBG1</t>
  </si>
  <si>
    <t>Q00007</t>
  </si>
  <si>
    <t>Wandoan South Solar Stage 2</t>
  </si>
  <si>
    <t>Wangaratta Solar Farm</t>
  </si>
  <si>
    <t>Wangaratta Solar Farm Pty Ltd</t>
  </si>
  <si>
    <t>Wantirna Mini Hydro</t>
  </si>
  <si>
    <t>N00091</t>
  </si>
  <si>
    <t>Warracknabeal Wind Farm</t>
  </si>
  <si>
    <t>WestWind Energy Pty Ltd</t>
  </si>
  <si>
    <t>1240.00 - 1500.00</t>
  </si>
  <si>
    <t>WARWSF1</t>
  </si>
  <si>
    <t>WARWSF2</t>
  </si>
  <si>
    <t>Waterloo Wind Farm</t>
  </si>
  <si>
    <t>Waterloo Windfarm Pty Ltd</t>
  </si>
  <si>
    <t>WATERLWF</t>
  </si>
  <si>
    <t>Watta Wella Power Station</t>
  </si>
  <si>
    <t>V00034</t>
  </si>
  <si>
    <t>Wattle Point</t>
  </si>
  <si>
    <t>WPWF</t>
  </si>
  <si>
    <t>Waubra</t>
  </si>
  <si>
    <t>Pyrenees Wind Energy Developments</t>
  </si>
  <si>
    <t>WAUBRAWF</t>
  </si>
  <si>
    <t>Waubra North Wind Farm - KCI</t>
  </si>
  <si>
    <t>V00046</t>
  </si>
  <si>
    <t>Wellington BESS</t>
  </si>
  <si>
    <t xml:space="preserve"> AMPYR Australia Pty Ltd</t>
  </si>
  <si>
    <t>N00055</t>
  </si>
  <si>
    <t>Wellington North BESS - KCI</t>
  </si>
  <si>
    <t>N00050</t>
  </si>
  <si>
    <t>Wellington North Solar Farm</t>
  </si>
  <si>
    <t>198.00 - 300.00</t>
  </si>
  <si>
    <t>Wellington North Solar Farm (Lightsource)</t>
  </si>
  <si>
    <t>Wellington North Solar Farm Pty Ltd</t>
  </si>
  <si>
    <t>WELNSF1</t>
  </si>
  <si>
    <t>N00047</t>
  </si>
  <si>
    <t>WKIEWA1</t>
  </si>
  <si>
    <t>WKIEWA2</t>
  </si>
  <si>
    <t>West Mokoan Solar Farm</t>
  </si>
  <si>
    <t>West Nowra Landfill Gas Power Generation Facility</t>
  </si>
  <si>
    <t>Nowra Council</t>
  </si>
  <si>
    <t>WSTWYSF1</t>
  </si>
  <si>
    <t>Western Downs Gas Peaking Plant - KCI</t>
  </si>
  <si>
    <t xml:space="preserve"> PowerGen P51 Pty Ltd</t>
  </si>
  <si>
    <t>Q00033</t>
  </si>
  <si>
    <t>Western Plains Wind Farm</t>
  </si>
  <si>
    <t>36.92 - 50.40</t>
  </si>
  <si>
    <t>Western Suburbs Leagues Club - Campbelltown, NSW</t>
  </si>
  <si>
    <t>WESTCBT1</t>
  </si>
  <si>
    <t>Western Sydney Energy &amp; Resource Recovery Centre</t>
  </si>
  <si>
    <t xml:space="preserve"> Western Sydney Energy &amp; Resource Recovery Centre </t>
  </si>
  <si>
    <t>N00042</t>
  </si>
  <si>
    <t>Whaleback Ridge Wind Farm - KCI</t>
  </si>
  <si>
    <t>West Coast Renewables Energy Pty Ltd</t>
  </si>
  <si>
    <t>T00023</t>
  </si>
  <si>
    <t>White Rock Wind Farm Pty Ltd</t>
  </si>
  <si>
    <t>WRSF1</t>
  </si>
  <si>
    <t>White Rock Wind Farm - Stage 1</t>
  </si>
  <si>
    <t>CECEP Wind Power Australia Pty Ltd</t>
  </si>
  <si>
    <t>WRWF1</t>
  </si>
  <si>
    <t>White Rock Wind Farm - Stage 2</t>
  </si>
  <si>
    <t>N00011</t>
  </si>
  <si>
    <t>Whitsunday Solar Farm Pty Ltd</t>
  </si>
  <si>
    <t>WHITSF1</t>
  </si>
  <si>
    <t>Whitwood Road</t>
  </si>
  <si>
    <t>WHIT1</t>
  </si>
  <si>
    <t>Whyalla</t>
  </si>
  <si>
    <t>Adani</t>
  </si>
  <si>
    <t>Whyalla BESS - KCI</t>
  </si>
  <si>
    <t xml:space="preserve"> BESS Kalkallo Pty Ltd</t>
  </si>
  <si>
    <t>S00029</t>
  </si>
  <si>
    <t>Wilga Park Power Station A</t>
  </si>
  <si>
    <t>Santos</t>
  </si>
  <si>
    <t>Willatook</t>
  </si>
  <si>
    <t>V00050</t>
  </si>
  <si>
    <t>Willavale BESS</t>
  </si>
  <si>
    <t>Willavale Solar Farm</t>
  </si>
  <si>
    <t>William Hovel</t>
  </si>
  <si>
    <t>WILLHOV1</t>
  </si>
  <si>
    <t>OneSun Capital 10MW Operting Pty Ltd</t>
  </si>
  <si>
    <t>Willowvale Solar Farm - KCI</t>
  </si>
  <si>
    <t>V00097</t>
  </si>
  <si>
    <t>Wimmera Plains Wind Farm - KCI</t>
  </si>
  <si>
    <t xml:space="preserve"> Wimmera Plains Energy Facility Pty Ltd</t>
  </si>
  <si>
    <t>V00059</t>
  </si>
  <si>
    <t>Winchelsea Gas Turbines - KCI</t>
  </si>
  <si>
    <t>V00028</t>
  </si>
  <si>
    <t>Windy Hill</t>
  </si>
  <si>
    <t>WHILL1</t>
  </si>
  <si>
    <t>Wingfield 1</t>
  </si>
  <si>
    <t>Wingfield 2</t>
  </si>
  <si>
    <t>Winterbourne Wind Farm</t>
  </si>
  <si>
    <t>WinterbourneWind Pty Ltd</t>
  </si>
  <si>
    <t>Winton Energy Reserve 1</t>
  </si>
  <si>
    <t>Lochard Energy</t>
  </si>
  <si>
    <t>V00041</t>
  </si>
  <si>
    <t>Wivenhoe</t>
  </si>
  <si>
    <t>W/HOE#1</t>
  </si>
  <si>
    <t>W/HOE#2</t>
  </si>
  <si>
    <t>Wodonga Solar Farm</t>
  </si>
  <si>
    <t xml:space="preserve">Wodonga Solar Power </t>
  </si>
  <si>
    <t>WOLARSF1</t>
  </si>
  <si>
    <t>Wollert</t>
  </si>
  <si>
    <t>Wollert Gas Turbine - KCI</t>
  </si>
  <si>
    <t>V00023</t>
  </si>
  <si>
    <t>Wonthaggi Wind Farm</t>
  </si>
  <si>
    <t>Vision Super Pty Ltd</t>
  </si>
  <si>
    <t>WONWP</t>
  </si>
  <si>
    <t>Woodland BESS</t>
  </si>
  <si>
    <t xml:space="preserve"> Risen Energy (Australia) Pty Ltd </t>
  </si>
  <si>
    <t>N00053</t>
  </si>
  <si>
    <t>Woodlawn Bioreactor Energy Generation</t>
  </si>
  <si>
    <t>Veolia Environmental Services Aust P/L</t>
  </si>
  <si>
    <t>WDLNGN01</t>
  </si>
  <si>
    <t>Woodlawn Wind Farm</t>
  </si>
  <si>
    <t>Woodlawn Wind Pty Ltd</t>
  </si>
  <si>
    <t>WOODLWN1</t>
  </si>
  <si>
    <t>Woolcock Centre</t>
  </si>
  <si>
    <t>Woolnorth Studland Bay / Bluff Point</t>
  </si>
  <si>
    <t>Woolnorth Wind Farm Finance Pty Ltd</t>
  </si>
  <si>
    <t>WOOLNTH1</t>
  </si>
  <si>
    <t>WOOLGSF1</t>
  </si>
  <si>
    <t>Woolsthorpe Wind Farm</t>
  </si>
  <si>
    <t>Woolsthorpe Wind Farm Pty Ltd</t>
  </si>
  <si>
    <t>Woy Woy Renewable Energy Facility</t>
  </si>
  <si>
    <t>Sun Spot 3 Pty Ltd</t>
  </si>
  <si>
    <t>WUNUSF1</t>
  </si>
  <si>
    <t>Wyalong Solar Farm Pty Ltd as the trustee for the Wyalong Solar Farm Unit Trust</t>
  </si>
  <si>
    <t>WYASF1</t>
  </si>
  <si>
    <t>Wyangala A</t>
  </si>
  <si>
    <t>Hydro Power Pty Ltd</t>
  </si>
  <si>
    <t>WYANGALA</t>
  </si>
  <si>
    <t>Wyangala B</t>
  </si>
  <si>
    <t>WYANGALB</t>
  </si>
  <si>
    <t>Wyndham Renewable Energy Facility</t>
  </si>
  <si>
    <t>WYNDW</t>
  </si>
  <si>
    <t>Wyong</t>
  </si>
  <si>
    <t>X-Elio - Sixteen Mile SF BESS</t>
  </si>
  <si>
    <t>X-ELIO AUSTRALIA PTY LTD</t>
  </si>
  <si>
    <t>Q00060</t>
  </si>
  <si>
    <t>Yabulu BESS</t>
  </si>
  <si>
    <t>Yabulu BESS Pty Ltd</t>
  </si>
  <si>
    <t>Yabulu Solar Farm</t>
  </si>
  <si>
    <t>Yabulu Solar Farm Pty Ltd</t>
  </si>
  <si>
    <t>Q00034</t>
  </si>
  <si>
    <t>Yallourn W</t>
  </si>
  <si>
    <t>EnergyAustralia Yallourn Pty Ltd</t>
  </si>
  <si>
    <t>YWPS1</t>
  </si>
  <si>
    <t>YWPS2</t>
  </si>
  <si>
    <t>YWPS3</t>
  </si>
  <si>
    <t>YWPS4</t>
  </si>
  <si>
    <t>Yaloak South Wind Farm</t>
  </si>
  <si>
    <t>Pacific Hydro Yaloak South Pty Ltd</t>
  </si>
  <si>
    <t>Yalumba Winery Solar system (Angaston)</t>
  </si>
  <si>
    <t>Yalumba Winery Solar system (Oxford Landing)</t>
  </si>
  <si>
    <t>Yambuk</t>
  </si>
  <si>
    <t>YAMBUKWF</t>
  </si>
  <si>
    <t>Yanco Delta Wind Farm</t>
  </si>
  <si>
    <t>Yanco Delta Wind Farm Pty Ltd</t>
  </si>
  <si>
    <t>Yanco Delta Wind Farm Stage 1 - Battery - KCI</t>
  </si>
  <si>
    <t>Virya Energy Pty Ltd</t>
  </si>
  <si>
    <t>N00099</t>
  </si>
  <si>
    <t>Yarrabee Solar Power Project</t>
  </si>
  <si>
    <t>Yarrawonga</t>
  </si>
  <si>
    <t>Yarwun 1</t>
  </si>
  <si>
    <t>RTA Yarwun Pty Ltd</t>
  </si>
  <si>
    <t>YARWUN_1</t>
  </si>
  <si>
    <t>Yass Solar Farm - KCI</t>
  </si>
  <si>
    <t xml:space="preserve"> Tetris Energy Pty Ltd</t>
  </si>
  <si>
    <t>N00013</t>
  </si>
  <si>
    <t>Yawong Wind Farm</t>
  </si>
  <si>
    <t>Yawong Wind Farm Pty Ltd</t>
  </si>
  <si>
    <t>YAWWF1</t>
  </si>
  <si>
    <t>Yorke Peninsula Wind Farm</t>
  </si>
  <si>
    <t>Senvion Australia</t>
  </si>
  <si>
    <t>Zilzie Winery Solar System</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</si>
  <si>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</si>
  <si>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</si>
  <si>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</si>
  <si>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</si>
  <si>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Kurri Kurri OCGT - Unit Status - Reflects the Commonwealth Government commitment to construct the Kurri Kurri OCGT project.</t>
  </si>
  <si>
    <t>Winter 2023</t>
  </si>
  <si>
    <t>Summer Typical 2023-24</t>
  </si>
  <si>
    <t>Summer Peak 2023-24</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</si>
  <si>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</si>
  <si>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</si>
  <si>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</si>
  <si>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</si>
  <si>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</si>
  <si>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</si>
  <si>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</si>
  <si>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</si>
  <si>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</si>
  <si>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</si>
  <si>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</si>
  <si>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</si>
  <si>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</si>
  <si>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</si>
  <si>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</si>
  <si>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</si>
  <si>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</si>
  <si>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</si>
  <si>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</si>
  <si>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</si>
  <si>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</si>
  <si>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</si>
  <si>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</si>
  <si>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</si>
  <si>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</si>
  <si>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</si>
  <si>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</si>
  <si>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AVLSF1</t>
  </si>
  <si>
    <t>Unknown</t>
  </si>
  <si>
    <t>*Please note Summer Typical capacities are not collected for Tasmanian generators, instead Summer Peak capacities apply throughout summer.</t>
  </si>
  <si>
    <t>Previous Site Name</t>
  </si>
  <si>
    <t>Updated Site Name</t>
  </si>
  <si>
    <t>Effective from Publication Date</t>
  </si>
  <si>
    <t>Gulgong Solar</t>
  </si>
  <si>
    <t>Bellambi Heights Renewable</t>
  </si>
  <si>
    <t>Kennedy Energy Park - Phase 2 - Wind</t>
  </si>
  <si>
    <t>Prairie WF &amp; Wongalee Wind Farm</t>
  </si>
  <si>
    <t>Low Head Wind Farm II</t>
  </si>
  <si>
    <t>Melbourne Renewables Energy Complex</t>
  </si>
  <si>
    <t>Barwon Solar &amp; BESS</t>
  </si>
  <si>
    <t>Melton Renewable Energy Hub</t>
  </si>
  <si>
    <t>Rollingstone Solar Farm</t>
  </si>
  <si>
    <t>Southern Ocean</t>
  </si>
  <si>
    <t>Wagga Wagga Renewable Project</t>
  </si>
  <si>
    <t>Wollongong Offshore Wind</t>
  </si>
  <si>
    <t>South Pacific</t>
  </si>
  <si>
    <t>Darlington Point BESS</t>
  </si>
  <si>
    <t>Terang Battery Energy Storage System (Tilt Renewables)</t>
  </si>
  <si>
    <t>YES Sunlands</t>
  </si>
  <si>
    <t>Queanbeyan Battery</t>
  </si>
  <si>
    <t>Kentucky Solar Farm</t>
  </si>
  <si>
    <t>Bolivar Power Stataion</t>
  </si>
  <si>
    <t>Bouldercombe Battery</t>
  </si>
  <si>
    <t>Deer Park Battery Energy Storage System</t>
  </si>
  <si>
    <t>Jeeralang battery</t>
  </si>
  <si>
    <t>Nhill Wind Farm</t>
  </si>
  <si>
    <t>Bulli Creek Solar Farm – Stage 1/Bulli Creek Solar Farm – Future Stages</t>
  </si>
  <si>
    <t>Guunedah Solar Farm</t>
  </si>
  <si>
    <t>Channel Nine - Willoughby, NSW</t>
  </si>
  <si>
    <t>Nine Network Willoughby</t>
  </si>
  <si>
    <t>Ferguson North Wind Farm</t>
  </si>
  <si>
    <t>Gilgandara Solar Farm</t>
  </si>
  <si>
    <t>Walcha Energy Project - Salisbury BESS</t>
  </si>
  <si>
    <t>Walcha Energy Project - Salisbury East Solar</t>
  </si>
  <si>
    <t>Walcha Energy Project - Salisbury West Solar</t>
  </si>
  <si>
    <t>Salisbury West Solar 350MW</t>
  </si>
  <si>
    <t>Walcha Energy Project Storage - Dungowan PHES</t>
  </si>
  <si>
    <t>Dungowan 3,000 MWH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</si>
  <si>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</si>
  <si>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</si>
  <si>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</si>
  <si>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</si>
  <si>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</si>
  <si>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</si>
  <si>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</si>
  <si>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</si>
  <si>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</si>
  <si>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</si>
  <si>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</si>
  <si>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</si>
  <si>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</si>
  <si>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</si>
  <si>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</si>
  <si>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</si>
  <si>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</si>
  <si>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</si>
  <si>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</si>
  <si>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</si>
  <si>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</si>
  <si>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</si>
  <si>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</si>
  <si>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</si>
  <si>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</si>
  <si>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</si>
  <si>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</si>
  <si>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</si>
  <si>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</si>
  <si>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</si>
  <si>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</si>
  <si>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Hallet Repower</t>
  </si>
  <si>
    <t>Hallet GT</t>
  </si>
  <si>
    <t>Hume NSW</t>
  </si>
  <si>
    <t>Hume VIC</t>
  </si>
  <si>
    <t>Inverleigh Storage</t>
  </si>
  <si>
    <t>Inverleigh Wind Farm Storage</t>
  </si>
  <si>
    <t>Keyneton</t>
  </si>
  <si>
    <t>Limondale Solar Plant 1</t>
  </si>
  <si>
    <t>Limondale Solar Plant 2</t>
  </si>
  <si>
    <t>Mallee Solar Park</t>
  </si>
  <si>
    <t>McIntyre</t>
  </si>
  <si>
    <t xml:space="preserve">MacIntyre Wind Farm </t>
  </si>
  <si>
    <t>Mortlake expansion</t>
  </si>
  <si>
    <t>Mortlake South</t>
  </si>
  <si>
    <t>Mt Gellibrand</t>
  </si>
  <si>
    <t>Quarantine expansion</t>
  </si>
  <si>
    <t>Spencer Gulf Pumped Storage Hydro</t>
  </si>
  <si>
    <t>St George Leagues Club</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</si>
  <si>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</si>
  <si>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</si>
  <si>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</si>
  <si>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</si>
  <si>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</si>
  <si>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</si>
  <si>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</si>
  <si>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</si>
  <si>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Anticipated Upgrade</t>
  </si>
  <si>
    <t>Pacific Green Energy Park – Portland</t>
  </si>
  <si>
    <t>Pacific Green</t>
  </si>
  <si>
    <t>Williamsdale BESS</t>
  </si>
  <si>
    <t>EKU Energy</t>
  </si>
  <si>
    <t>Elaine BESS</t>
  </si>
  <si>
    <t>Brendale BESS</t>
  </si>
  <si>
    <t>Vineyard BESS</t>
  </si>
  <si>
    <t>Myrtle Creek Solar Farm</t>
  </si>
  <si>
    <t xml:space="preserve">Terrain Solar Pty Ltd </t>
  </si>
  <si>
    <t>Maules Creek Solar Farm</t>
  </si>
  <si>
    <t>Maules Creek BESS</t>
  </si>
  <si>
    <t>Bullawah Wind Farm – Stage 1</t>
  </si>
  <si>
    <t>Bullawah Wind Farm Pty Ltd</t>
  </si>
  <si>
    <t xml:space="preserve">Muswellbrook PRO BESS </t>
  </si>
  <si>
    <t>Penso Power Australia P/L</t>
  </si>
  <si>
    <t>Phoenix Pumped Hydro Project</t>
  </si>
  <si>
    <t>ACEN Phoenix Pty Ltd</t>
  </si>
  <si>
    <t>Burrawong Wind Farm – Stage 2</t>
  </si>
  <si>
    <t>Windlab Developments Pty Ltd</t>
  </si>
  <si>
    <t>Burrawong BESS – Stage 2</t>
  </si>
  <si>
    <t>Romani Solar Farm</t>
  </si>
  <si>
    <t>Samsung C&amp;T Renewable Energy Australia Pty Ltd</t>
  </si>
  <si>
    <t>Romani BESS</t>
  </si>
  <si>
    <t>Jindera Solar Farm</t>
  </si>
  <si>
    <t>Jindera Solar Farm Pty Ltd</t>
  </si>
  <si>
    <t>Cimitiere Plains Solar Farm</t>
  </si>
  <si>
    <t>Sun Spot 9 Pty Ltd</t>
  </si>
  <si>
    <t>Wesley Vale Solar Farm</t>
  </si>
  <si>
    <t>Climate Capital Pty Ltd</t>
  </si>
  <si>
    <t>Blue Mackerel North Off Shore Wind Farm</t>
  </si>
  <si>
    <t>Arup Australia Pty Ltd</t>
  </si>
  <si>
    <t>Golden Plains BESS</t>
  </si>
  <si>
    <t>Tag Energy Australia P/L</t>
  </si>
  <si>
    <t>West Mokoan BESS</t>
  </si>
  <si>
    <t>Seaspray Off Shore Wind Farm</t>
  </si>
  <si>
    <t>BayWa r.e. Australia Offshore Wind Projects 3 Pty Ltd</t>
  </si>
  <si>
    <t>Deal 1 (West) Off Shore Wind Farm</t>
  </si>
  <si>
    <t>BayWa r.e. Australia Offshore Wind Projects 1 Pty Ltd</t>
  </si>
  <si>
    <t>Morgan Solar</t>
  </si>
  <si>
    <t>Green Gold</t>
  </si>
  <si>
    <t>Robertstown Solar Farm</t>
  </si>
  <si>
    <t>AMP</t>
  </si>
  <si>
    <t>Solar River Solar And BESS Project</t>
  </si>
  <si>
    <t>Zen Energy Retail Pty Ltd</t>
  </si>
  <si>
    <t>Bundey Energy Hub Battery Energy Storage A</t>
  </si>
  <si>
    <t>Bundey Energy Hub P/L</t>
  </si>
  <si>
    <t>Mobilong BESS</t>
  </si>
  <si>
    <t>EW Technology Australia Pty Ltd</t>
  </si>
  <si>
    <t>VS1 Solar Farm</t>
  </si>
  <si>
    <t>Vast Solar 1 Pty Ltd</t>
  </si>
  <si>
    <t>Solar Thermal - Central collector</t>
  </si>
  <si>
    <t>Mount Larcom (Site A) Solar Farm</t>
  </si>
  <si>
    <t>Lake Awoonga (Site B) Solar Farm</t>
  </si>
  <si>
    <t>Woodstock BESS</t>
  </si>
  <si>
    <t>Madeline Downs BESS</t>
  </si>
  <si>
    <t>Wurdong BESS</t>
  </si>
  <si>
    <t>Wooderson Solar Farm</t>
  </si>
  <si>
    <t>Hopeland Solar Farm (Ulinda Park)</t>
  </si>
  <si>
    <t>Renewable Energy Partners</t>
  </si>
  <si>
    <t>Sunshine State Solar Farm and BESS (Rollingstone)</t>
  </si>
  <si>
    <t>Rollingstone Solar Farm Pty Ltd</t>
  </si>
  <si>
    <t>CQH2 Phase 1 - HPF</t>
  </si>
  <si>
    <t>Punchs Creek (Millmerran) Solar Farm</t>
  </si>
  <si>
    <t>Skylab</t>
  </si>
  <si>
    <t>Boomer Green Energy Hub</t>
  </si>
  <si>
    <t>Brigalow GT (Kogan Creek GT)</t>
  </si>
  <si>
    <t>Columboola BESS</t>
  </si>
  <si>
    <t>Columboola BESS Nominees Pty Ltd</t>
  </si>
  <si>
    <t>Queensland Renewable Park</t>
  </si>
  <si>
    <t>EEW Eco Energy World Pty Ltd</t>
  </si>
  <si>
    <t>Gurambilbarra Energy Hub</t>
  </si>
  <si>
    <t>365 Future Energy</t>
  </si>
  <si>
    <t>Pacific Green Energy Park - Limestone Coast North</t>
  </si>
  <si>
    <t>Pacific Green Energy Park - Limestone Coast West</t>
  </si>
  <si>
    <t>Deal 2 (East) Off Shore Wind Farm</t>
  </si>
  <si>
    <t>BayWa r.e. Australia Offshore Wind Projects 2 Pty Ltd</t>
  </si>
  <si>
    <t>Hume Bess (ARIF)</t>
  </si>
  <si>
    <t>The Trustee for the ARIF Hume BESS Holdings Trust</t>
  </si>
  <si>
    <t>Goorambat BESS (Lighthouse)</t>
  </si>
  <si>
    <t>Burrawong Wind Farm – Stage 1</t>
  </si>
  <si>
    <t>Burrawong Wind Farm BESS – Stage 1</t>
  </si>
  <si>
    <t>N00118</t>
  </si>
  <si>
    <t>N00120</t>
  </si>
  <si>
    <t>N00121</t>
  </si>
  <si>
    <t>N00122</t>
  </si>
  <si>
    <t>N00124</t>
  </si>
  <si>
    <t>N00125</t>
  </si>
  <si>
    <t>N00129</t>
  </si>
  <si>
    <t>N00130</t>
  </si>
  <si>
    <t>N00132</t>
  </si>
  <si>
    <t>T00026</t>
  </si>
  <si>
    <t>T00031</t>
  </si>
  <si>
    <t>V00102</t>
  </si>
  <si>
    <t>V00104</t>
  </si>
  <si>
    <t>V00105</t>
  </si>
  <si>
    <t>V00106</t>
  </si>
  <si>
    <t>V00107</t>
  </si>
  <si>
    <t>S00037</t>
  </si>
  <si>
    <t>S00038</t>
  </si>
  <si>
    <t>S00041</t>
  </si>
  <si>
    <t>S00042</t>
  </si>
  <si>
    <t>S00043</t>
  </si>
  <si>
    <t>S00046</t>
  </si>
  <si>
    <t>Q00114</t>
  </si>
  <si>
    <t>Q00112</t>
  </si>
  <si>
    <t>Q00111</t>
  </si>
  <si>
    <t>Q00110</t>
  </si>
  <si>
    <t>Q00109</t>
  </si>
  <si>
    <t>Q00108</t>
  </si>
  <si>
    <t>Q00107</t>
  </si>
  <si>
    <t>Q00105</t>
  </si>
  <si>
    <t>Q00091</t>
  </si>
  <si>
    <t>Q00083</t>
  </si>
  <si>
    <t>Q00116</t>
  </si>
  <si>
    <t>Q00097</t>
  </si>
  <si>
    <t>Q00102</t>
  </si>
  <si>
    <t>S00045</t>
  </si>
  <si>
    <t>V00108</t>
  </si>
  <si>
    <t>N00128</t>
  </si>
  <si>
    <t>V00074</t>
  </si>
  <si>
    <t>N00127</t>
  </si>
  <si>
    <t>V00085</t>
  </si>
  <si>
    <t>T00024</t>
  </si>
  <si>
    <t>N00123</t>
  </si>
  <si>
    <t>Q00013</t>
  </si>
  <si>
    <t>N00061</t>
  </si>
  <si>
    <t>N00065</t>
  </si>
  <si>
    <t>Q00012</t>
  </si>
  <si>
    <t>Q00032</t>
  </si>
  <si>
    <t>N00119</t>
  </si>
  <si>
    <t>T00005</t>
  </si>
  <si>
    <t>T00004</t>
  </si>
  <si>
    <t>N00115</t>
  </si>
  <si>
    <t>Q00079</t>
  </si>
  <si>
    <t>N00071</t>
  </si>
  <si>
    <t>Q00106</t>
  </si>
  <si>
    <t>V00103</t>
  </si>
  <si>
    <t>Q00082</t>
  </si>
  <si>
    <t>N00113</t>
  </si>
  <si>
    <t>N00007</t>
  </si>
  <si>
    <t>N00116</t>
  </si>
  <si>
    <t>N00131</t>
  </si>
  <si>
    <t>N00133</t>
  </si>
  <si>
    <t>Q00067</t>
  </si>
  <si>
    <t>T00015</t>
  </si>
  <si>
    <t>Q00087</t>
  </si>
  <si>
    <t>N00073</t>
  </si>
  <si>
    <t>N00006</t>
  </si>
  <si>
    <t>Q00027</t>
  </si>
  <si>
    <t>T00011</t>
  </si>
  <si>
    <t>N00126</t>
  </si>
  <si>
    <t>Q00003</t>
  </si>
  <si>
    <t>Q00115</t>
  </si>
  <si>
    <t>Q00113</t>
  </si>
  <si>
    <t>S &amp; SS</t>
  </si>
  <si>
    <t>Delta Electricity have advised that Vales Point technical life has been reassessed to be 2033. The closure date will be subject to market conditions and related commercial considerations</t>
  </si>
  <si>
    <t>Karara Wind Farm</t>
  </si>
  <si>
    <t>Borumba Pumped Hydro</t>
  </si>
  <si>
    <t>Scheduled and semi-scheduled generation projects that are sufficiently progressed towards meeting at least three of the five commitment criteria are assigned a commitment status classification of anticipated for ISP purposes.  If a generation information survey has not been submitted by the project proponent in the previous six months the project will no longer be classified as anticipated.</t>
  </si>
  <si>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</si>
  <si>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Project Commissioning dates delayed in accordance with recent SnowyHydro project update media announcement. Specific unit commissioning schedule to be confirmed</t>
  </si>
  <si>
    <t>Mannum 2 Solar Farm</t>
  </si>
  <si>
    <t>Epic</t>
  </si>
  <si>
    <t>Projects (Survey Ids : 2423 &amp; 2424) discontinued, dupllicaated with project with Survey Id : 2410</t>
  </si>
  <si>
    <t>Successful completion / sign-off of the earliest Hold Point Test that is ≥ 30% capacity.
Note: This will be confirmed by AEMO Network Development.</t>
  </si>
  <si>
    <t>Waratah Super Battery is considered as part of a transmission project. See the Transmission Augmentation Information page on its commitment status and timing.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</si>
</sst>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_-* #,##0_-;\-* #,##0_-;_-* &quot;-&quot;??_-;_-@_-"/>
    <numFmt numFmtId="165" formatCode="_-* #,##0.0_-;\-* #,##0.0_-;_-* &quot;-&quot;??_-;_-@_-"/>
    <numFmt numFmtId="166" formatCode="mmm\ yyyy"/>
    <numFmt numFmtId="167" formatCode="dd/mm/yyyy"/>
    <numFmt numFmtId="168" formatCode="dd/mm/yyyy\ hh:mm:ss"/>
    <numFmt numFmtId="169" formatCode="dd\-mmm\-yyyy"/>
    <numFmt numFmtId="170" formatCode="dd\-mm\-yyyy"/>
  </numFmts>
  <fonts count="62">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8"/>
      <color rgb="FFA2CC86"/>
      <name val="Arial Narrow"/>
      <family val="2"/>
    </font>
    <font>
      <b/>
      <sz val="10"/>
      <color theme="1"/>
      <name val="Calibri"/>
      <family val="2"/>
      <scheme val="minor"/>
    </font>
    <font>
      <sz val="8"/>
      <color rgb="FF000000"/>
      <name val="Arial"/>
      <family val="2"/>
    </font>
    <font>
      <sz val="8"/>
      <color rgb="FFFFFFFF"/>
      <name val="Arial"/>
      <family val="2"/>
    </font>
    <font>
      <sz val="8"/>
      <color rgb="FFFFFFFF"/>
      <name val="Arial"/>
    </font>
    <font>
      <sz val="8"/>
      <color theme="1"/>
      <name val="Arial"/>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2">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s>
  <cellStyleXfs count="27">
    <xf numFmtId="0" fontId="0" fillId="0" borderId="0"/>
    <xf numFmtId="0" fontId="4" fillId="0" borderId="0" applyNumberFormat="0" applyFill="0" applyBorder="0" applyAlignment="0" applyProtection="0"/>
    <xf numFmtId="0" fontId="9" fillId="0" borderId="0"/>
    <xf numFmtId="43"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43" fontId="20" fillId="0" borderId="0" applyFont="0" applyFill="0" applyBorder="0" applyAlignment="0" applyProtection="0"/>
    <xf numFmtId="0" fontId="52" fillId="0" borderId="0"/>
    <xf numFmtId="0" fontId="53" fillId="25" borderId="0" applyNumberFormat="0" applyBorder="0" applyAlignment="0" applyProtection="0"/>
    <xf numFmtId="0" fontId="54" fillId="24" borderId="0" applyNumberFormat="0" applyBorder="0" applyAlignment="0" applyProtection="0"/>
    <xf numFmtId="0" fontId="52" fillId="0" borderId="0"/>
    <xf numFmtId="165" fontId="52" fillId="0" borderId="38" applyNumberFormat="0" applyAlignment="0">
      <alignment horizontal="center"/>
    </xf>
    <xf numFmtId="165" fontId="52"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5" fillId="0" borderId="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55"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cellStyleXfs>
  <cellXfs count="313">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0" fillId="15" borderId="0" xfId="0" applyFill="1" applyAlignment="1">
      <alignment horizontal="left" wrapText="1"/>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33"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6" fillId="15" borderId="0" xfId="2" applyFont="1" applyFill="1"/>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4" fontId="23" fillId="7" borderId="9" xfId="3" applyNumberFormat="1" applyFont="1" applyFill="1" applyBorder="1" applyAlignment="1" applyProtection="1">
      <alignment horizontal="center" vertical="center"/>
    </xf>
    <xf numFmtId="164"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22" fillId="0" borderId="0" xfId="0" applyFont="1" applyAlignment="1">
      <alignment horizontal="left" vertical="center" wrapText="1"/>
    </xf>
    <xf numFmtId="165" fontId="23" fillId="0" borderId="0" xfId="3" applyNumberFormat="1" applyFont="1" applyFill="1" applyBorder="1" applyAlignment="1" applyProtection="1">
      <alignment horizontal="left" vertical="center"/>
    </xf>
    <xf numFmtId="0" fontId="1" fillId="0" borderId="0" xfId="0" applyFont="1" applyProtection="1">
      <protection locked="0"/>
    </xf>
    <xf numFmtId="0" fontId="33" fillId="13" borderId="22" xfId="0" applyFont="1" applyFill="1" applyBorder="1" applyAlignment="1">
      <alignment horizontal="left" vertical="top" wrapText="1"/>
    </xf>
    <xf numFmtId="0" fontId="33" fillId="13" borderId="24" xfId="0" applyFont="1" applyFill="1" applyBorder="1" applyAlignment="1">
      <alignment horizontal="left" vertical="top" wrapText="1"/>
    </xf>
    <xf numFmtId="165" fontId="23" fillId="0" borderId="0" xfId="3" applyNumberFormat="1" applyFont="1" applyFill="1" applyBorder="1" applyAlignment="1" applyProtection="1">
      <alignment horizontal="left" vertical="center" wrapText="1"/>
    </xf>
    <xf numFmtId="0" fontId="18" fillId="23" borderId="43" xfId="2" applyFont="1" applyFill="1" applyBorder="1" applyAlignment="1">
      <alignment horizontal="center" vertical="center" wrapText="1"/>
    </xf>
    <xf numFmtId="0" fontId="51"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165" fontId="23" fillId="0" borderId="0" xfId="3" applyNumberFormat="1" applyFont="1" applyAlignment="1">
      <alignment horizontal="left" vertical="center"/>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horizontal="left" vertical="center" indent="5"/>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5"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15" fontId="23" fillId="0" borderId="0" xfId="3" applyNumberFormat="1" applyFont="1" applyFill="1" applyBorder="1" applyAlignment="1">
      <alignment horizontal="center" vertical="center"/>
    </xf>
    <xf numFmtId="15" fontId="1" fillId="0" borderId="17" xfId="0" applyNumberFormat="1" applyFont="1" applyBorder="1" applyAlignment="1" applyProtection="1">
      <alignment horizontal="center"/>
      <protection locked="0"/>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4" fontId="0" fillId="2" borderId="0" xfId="0" applyNumberFormat="1" applyFill="1" applyProtection="1">
      <protection locked="0"/>
    </xf>
    <xf numFmtId="164" fontId="0" fillId="2" borderId="0" xfId="0" quotePrefix="1" applyNumberFormat="1" applyFill="1" applyProtection="1">
      <protection locked="0"/>
    </xf>
    <xf numFmtId="166" fontId="0" fillId="0" borderId="0" xfId="0" applyNumberFormat="1" applyProtection="1">
      <protection locked="0"/>
    </xf>
    <xf numFmtId="166"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4" fontId="23" fillId="8" borderId="9" xfId="3" applyNumberFormat="1" applyFont="1" applyFill="1" applyBorder="1" applyAlignment="1">
      <alignment horizontal="center" vertical="center"/>
    </xf>
    <xf numFmtId="164"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5" fontId="16" fillId="5" borderId="24"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165" fontId="22" fillId="4" borderId="22" xfId="3" applyNumberFormat="1" applyFont="1" applyFill="1" applyBorder="1" applyAlignment="1">
      <alignment horizontal="left" vertical="top" wrapText="1"/>
    </xf>
    <xf numFmtId="165" fontId="23" fillId="10" borderId="22" xfId="26" applyNumberFormat="1" applyFont="1" applyFill="1" applyBorder="1" applyAlignment="1" applyProtection="1">
      <alignment horizontal="left" vertical="top"/>
    </xf>
    <xf numFmtId="0" fontId="23" fillId="9" borderId="22" xfId="0" applyFont="1" applyFill="1" applyBorder="1" applyAlignment="1">
      <alignment horizontal="left" vertical="top"/>
    </xf>
    <xf numFmtId="0" fontId="22" fillId="4" borderId="22" xfId="0" applyFont="1" applyFill="1" applyBorder="1" applyAlignment="1">
      <alignment horizontal="left" vertical="top" wrapText="1"/>
    </xf>
    <xf numFmtId="0" fontId="23" fillId="9" borderId="22" xfId="26" applyNumberFormat="1" applyFont="1" applyFill="1" applyBorder="1" applyAlignment="1" applyProtection="1">
      <alignment horizontal="left" vertical="top"/>
    </xf>
    <xf numFmtId="0" fontId="22" fillId="4" borderId="60" xfId="0" applyFont="1" applyFill="1" applyBorder="1" applyAlignment="1">
      <alignment horizontal="left" vertical="top" wrapText="1"/>
    </xf>
    <xf numFmtId="0" fontId="23" fillId="10" borderId="61" xfId="0" applyFont="1" applyFill="1" applyBorder="1" applyAlignment="1">
      <alignment vertical="top" wrapText="1"/>
    </xf>
    <xf numFmtId="0" fontId="23" fillId="10" borderId="23" xfId="0" applyFont="1" applyFill="1" applyBorder="1" applyAlignment="1">
      <alignment vertical="top" wrapText="1"/>
    </xf>
    <xf numFmtId="165" fontId="23" fillId="10" borderId="61" xfId="26" applyNumberFormat="1" applyFont="1" applyFill="1" applyBorder="1" applyAlignment="1" applyProtection="1">
      <alignment vertical="top"/>
    </xf>
    <xf numFmtId="0" fontId="22" fillId="4" borderId="60" xfId="26" applyNumberFormat="1" applyFont="1" applyFill="1" applyBorder="1" applyAlignment="1" applyProtection="1">
      <alignment horizontal="left" vertical="top" wrapText="1"/>
    </xf>
    <xf numFmtId="2" fontId="23" fillId="9" borderId="22" xfId="0" applyNumberFormat="1" applyFont="1" applyFill="1" applyBorder="1" applyAlignment="1">
      <alignment horizontal="right" vertical="top"/>
    </xf>
    <xf numFmtId="2" fontId="23" fillId="10" borderId="22" xfId="26" applyNumberFormat="1" applyFont="1" applyFill="1" applyBorder="1" applyAlignment="1" applyProtection="1">
      <alignment horizontal="right" vertical="top"/>
    </xf>
    <xf numFmtId="2" fontId="23" fillId="10" borderId="22" xfId="26" applyNumberFormat="1" applyFont="1" applyFill="1" applyBorder="1" applyAlignment="1" applyProtection="1">
      <alignment horizontal="right" vertical="top" wrapText="1"/>
    </xf>
    <xf numFmtId="2" fontId="23" fillId="9" borderId="22" xfId="26" applyNumberFormat="1" applyFont="1" applyFill="1" applyBorder="1" applyAlignment="1" applyProtection="1">
      <alignment horizontal="right" vertical="top"/>
    </xf>
    <xf numFmtId="1" fontId="23" fillId="9" borderId="22" xfId="0" applyNumberFormat="1" applyFont="1" applyFill="1" applyBorder="1" applyAlignment="1">
      <alignment horizontal="right" vertical="top"/>
    </xf>
    <xf numFmtId="1" fontId="23" fillId="9" borderId="22" xfId="26" applyNumberFormat="1" applyFont="1" applyFill="1" applyBorder="1" applyAlignment="1" applyProtection="1">
      <alignment horizontal="right" vertical="top"/>
    </xf>
    <xf numFmtId="166" fontId="23" fillId="10" borderId="22" xfId="26" applyNumberFormat="1" applyFont="1" applyFill="1" applyBorder="1" applyAlignment="1" applyProtection="1">
      <alignment horizontal="left" vertical="top"/>
    </xf>
    <xf numFmtId="165" fontId="23" fillId="10" borderId="22" xfId="26" applyNumberFormat="1" applyFont="1" applyFill="1" applyBorder="1" applyAlignment="1" applyProtection="1">
      <alignment horizontal="left" vertical="top" wrapText="1"/>
    </xf>
    <xf numFmtId="166" fontId="23" fillId="10" borderId="22" xfId="26" applyNumberFormat="1" applyFont="1" applyFill="1" applyBorder="1" applyAlignment="1">
      <alignment horizontal="left" vertical="top"/>
    </xf>
    <xf numFmtId="169"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4" fontId="23" fillId="9" borderId="22" xfId="26" applyNumberFormat="1" applyFont="1" applyFill="1" applyBorder="1" applyAlignment="1" applyProtection="1">
      <alignment horizontal="left" vertical="top"/>
    </xf>
    <xf numFmtId="168" fontId="23" fillId="9" borderId="22" xfId="0" applyNumberFormat="1" applyFont="1" applyFill="1" applyBorder="1" applyAlignment="1">
      <alignment horizontal="left" vertical="top"/>
    </xf>
    <xf numFmtId="168" fontId="23" fillId="9" borderId="22" xfId="26" applyNumberFormat="1" applyFont="1" applyFill="1" applyBorder="1" applyAlignment="1" applyProtection="1">
      <alignment horizontal="center" vertical="top"/>
    </xf>
    <xf numFmtId="166" fontId="23" fillId="10" borderId="22" xfId="26" quotePrefix="1" applyNumberFormat="1" applyFont="1" applyFill="1" applyBorder="1" applyAlignment="1" applyProtection="1">
      <alignment horizontal="left" vertical="top"/>
    </xf>
    <xf numFmtId="166" fontId="23" fillId="9" borderId="22" xfId="0" applyNumberFormat="1" applyFont="1" applyFill="1" applyBorder="1" applyAlignment="1">
      <alignment horizontal="left" vertical="top"/>
    </xf>
    <xf numFmtId="166" fontId="23" fillId="9" borderId="22" xfId="26" applyNumberFormat="1" applyFont="1" applyFill="1" applyBorder="1" applyAlignment="1" applyProtection="1">
      <alignment horizontal="left" vertical="top"/>
    </xf>
    <xf numFmtId="170" fontId="23" fillId="10" borderId="22" xfId="26" applyNumberFormat="1" applyFont="1" applyFill="1" applyBorder="1" applyAlignment="1" applyProtection="1">
      <alignment horizontal="left" vertical="top"/>
    </xf>
    <xf numFmtId="170" fontId="23" fillId="10" borderId="0" xfId="26" applyNumberFormat="1" applyFont="1" applyFill="1" applyBorder="1" applyAlignment="1" applyProtection="1">
      <alignment horizontal="left" vertical="top"/>
    </xf>
    <xf numFmtId="170" fontId="23" fillId="10" borderId="22" xfId="26" applyNumberFormat="1" applyFont="1" applyFill="1" applyBorder="1" applyAlignment="1" applyProtection="1">
      <alignment horizontal="center" vertical="top"/>
    </xf>
    <xf numFmtId="170" fontId="23" fillId="10" borderId="22" xfId="0" applyNumberFormat="1" applyFont="1" applyFill="1" applyBorder="1" applyAlignment="1">
      <alignment horizontal="left" vertical="top"/>
    </xf>
    <xf numFmtId="49" fontId="23" fillId="10" borderId="22" xfId="26" applyNumberFormat="1" applyFont="1" applyFill="1" applyBorder="1" applyAlignment="1" applyProtection="1">
      <alignment horizontal="left" vertical="top" wrapText="1"/>
    </xf>
    <xf numFmtId="165" fontId="23" fillId="10" borderId="23" xfId="26" applyNumberFormat="1" applyFont="1" applyFill="1" applyBorder="1" applyAlignment="1">
      <alignment horizontal="center" vertical="top"/>
    </xf>
    <xf numFmtId="165" fontId="23" fillId="9" borderId="22" xfId="26" applyNumberFormat="1" applyFont="1" applyFill="1" applyBorder="1" applyAlignment="1">
      <alignment horizontal="left" vertical="top"/>
    </xf>
    <xf numFmtId="165" fontId="23" fillId="9" borderId="22" xfId="26" applyNumberFormat="1" applyFont="1" applyFill="1" applyBorder="1" applyAlignment="1">
      <alignment horizontal="center" vertical="top"/>
    </xf>
    <xf numFmtId="1" fontId="1" fillId="27" borderId="22" xfId="4" applyNumberFormat="1" applyFont="1" applyFill="1" applyBorder="1" applyAlignment="1">
      <alignment horizontal="right" vertical="top"/>
    </xf>
    <xf numFmtId="1" fontId="1" fillId="28" borderId="22" xfId="6" applyNumberFormat="1" applyFont="1" applyFill="1" applyBorder="1" applyAlignment="1">
      <alignment horizontal="right" vertical="top"/>
    </xf>
    <xf numFmtId="1" fontId="1" fillId="23" borderId="59" xfId="5" applyNumberFormat="1" applyFont="1" applyFill="1" applyBorder="1" applyAlignment="1">
      <alignment horizontal="right" vertical="top"/>
    </xf>
    <xf numFmtId="166" fontId="23" fillId="9" borderId="22" xfId="26" applyNumberFormat="1" applyFont="1" applyFill="1" applyBorder="1" applyAlignment="1" applyProtection="1">
      <alignment horizontal="center" vertical="top"/>
    </xf>
    <xf numFmtId="165" fontId="23" fillId="10" borderId="22" xfId="26" applyNumberFormat="1" applyFont="1" applyFill="1" applyBorder="1" applyAlignment="1">
      <alignment horizontal="center" vertical="top"/>
    </xf>
    <xf numFmtId="165" fontId="23" fillId="10" borderId="23" xfId="26" applyNumberFormat="1" applyFont="1" applyFill="1" applyBorder="1" applyAlignment="1">
      <alignment horizontal="left" vertical="top"/>
    </xf>
    <xf numFmtId="165" fontId="23" fillId="10" borderId="22" xfId="26" applyNumberFormat="1" applyFont="1" applyFill="1" applyBorder="1" applyAlignment="1">
      <alignment horizontal="left" vertical="top"/>
    </xf>
    <xf numFmtId="166" fontId="23" fillId="9" borderId="22" xfId="26" applyNumberFormat="1" applyFont="1" applyFill="1" applyBorder="1" applyAlignment="1">
      <alignment horizontal="center" vertical="top"/>
    </xf>
    <xf numFmtId="2" fontId="23" fillId="10" borderId="22" xfId="26" applyNumberFormat="1" applyFont="1" applyFill="1" applyBorder="1" applyAlignment="1">
      <alignment vertical="center"/>
    </xf>
    <xf numFmtId="2" fontId="23" fillId="9" borderId="22" xfId="26" applyNumberFormat="1" applyFont="1" applyFill="1" applyBorder="1" applyAlignment="1">
      <alignment vertical="center"/>
    </xf>
    <xf numFmtId="1" fontId="23" fillId="9" borderId="22" xfId="26" applyNumberFormat="1" applyFont="1" applyFill="1" applyBorder="1" applyAlignment="1">
      <alignment vertical="top"/>
    </xf>
    <xf numFmtId="169" fontId="23" fillId="9" borderId="22" xfId="26" applyNumberFormat="1" applyFont="1" applyFill="1" applyBorder="1" applyAlignment="1">
      <alignment horizontal="center" vertical="top"/>
    </xf>
    <xf numFmtId="165" fontId="23" fillId="9" borderId="22" xfId="26" applyNumberFormat="1" applyFont="1" applyFill="1" applyBorder="1" applyAlignment="1">
      <alignment horizontal="left" vertical="top" wrapText="1"/>
    </xf>
    <xf numFmtId="167"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0" fontId="56" fillId="31" borderId="0" xfId="0" applyFont="1" applyFill="1" applyAlignment="1">
      <alignment wrapText="1"/>
    </xf>
    <xf numFmtId="1" fontId="23" fillId="9" borderId="22" xfId="0" applyNumberFormat="1" applyFont="1" applyFill="1" applyBorder="1" applyAlignment="1">
      <alignment vertical="top"/>
    </xf>
    <xf numFmtId="1" fontId="23" fillId="9" borderId="22" xfId="26" applyNumberFormat="1" applyFont="1" applyFill="1" applyBorder="1" applyAlignment="1" applyProtection="1">
      <alignment vertical="top"/>
    </xf>
    <xf numFmtId="165" fontId="16" fillId="5" borderId="22" xfId="0" applyNumberFormat="1" applyFont="1" applyFill="1" applyBorder="1" applyAlignment="1">
      <alignment horizontal="center" vertical="top" wrapText="1"/>
    </xf>
    <xf numFmtId="165"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7" fillId="0" borderId="0" xfId="0" applyFont="1" applyAlignment="1" applyProtection="1">
      <alignment horizontal="center" wrapText="1"/>
      <protection locked="0"/>
    </xf>
    <xf numFmtId="0" fontId="58" fillId="10" borderId="23" xfId="0" applyFont="1" applyFill="1" applyBorder="1" applyAlignment="1">
      <alignment vertical="top" wrapText="1"/>
    </xf>
    <xf numFmtId="0" fontId="58" fillId="9" borderId="22" xfId="0" applyFont="1" applyFill="1" applyBorder="1" applyAlignment="1">
      <alignment horizontal="left" vertical="top"/>
    </xf>
    <xf numFmtId="0" fontId="59" fillId="4" borderId="22" xfId="0" applyFont="1" applyFill="1" applyBorder="1" applyAlignment="1">
      <alignment horizontal="left" vertical="top" wrapText="1"/>
    </xf>
    <xf numFmtId="165" fontId="58" fillId="10" borderId="22" xfId="26" applyNumberFormat="1" applyFont="1" applyFill="1" applyBorder="1" applyAlignment="1">
      <alignment horizontal="left" vertical="top"/>
    </xf>
    <xf numFmtId="0" fontId="58" fillId="9" borderId="22" xfId="26" applyNumberFormat="1" applyFont="1" applyFill="1" applyBorder="1" applyAlignment="1">
      <alignment horizontal="left" vertical="top"/>
    </xf>
    <xf numFmtId="1" fontId="58" fillId="9" borderId="22" xfId="26" applyNumberFormat="1" applyFont="1" applyFill="1" applyBorder="1" applyAlignment="1">
      <alignment vertical="top"/>
    </xf>
    <xf numFmtId="2" fontId="58" fillId="10" borderId="22" xfId="26" applyNumberFormat="1" applyFont="1" applyFill="1" applyBorder="1" applyAlignment="1">
      <alignment horizontal="right" vertical="top"/>
    </xf>
    <xf numFmtId="2" fontId="58" fillId="9" borderId="22" xfId="26" applyNumberFormat="1" applyFont="1" applyFill="1" applyBorder="1" applyAlignment="1">
      <alignment horizontal="right" vertical="top"/>
    </xf>
    <xf numFmtId="2" fontId="58" fillId="10" borderId="22" xfId="26" applyNumberFormat="1" applyFont="1" applyFill="1" applyBorder="1" applyAlignment="1">
      <alignment horizontal="right" vertical="top" wrapText="1"/>
    </xf>
    <xf numFmtId="2" fontId="58" fillId="9" borderId="22" xfId="0" applyNumberFormat="1" applyFont="1" applyFill="1" applyBorder="1" applyAlignment="1">
      <alignment horizontal="right" vertical="top"/>
    </xf>
    <xf numFmtId="165" fontId="58" fillId="10" borderId="22" xfId="26" applyNumberFormat="1" applyFont="1" applyFill="1" applyBorder="1" applyAlignment="1">
      <alignment horizontal="left" vertical="top" wrapText="1"/>
    </xf>
    <xf numFmtId="166" fontId="58" fillId="10" borderId="22" xfId="26" applyNumberFormat="1" applyFont="1" applyFill="1" applyBorder="1" applyAlignment="1">
      <alignment horizontal="left" vertical="top"/>
    </xf>
    <xf numFmtId="1" fontId="58" fillId="9" borderId="22" xfId="26" applyNumberFormat="1" applyFont="1" applyFill="1" applyBorder="1" applyAlignment="1">
      <alignment horizontal="right" vertical="top"/>
    </xf>
    <xf numFmtId="169" fontId="58" fillId="10" borderId="22" xfId="26" applyNumberFormat="1" applyFont="1" applyFill="1" applyBorder="1" applyAlignment="1">
      <alignment horizontal="left" vertical="top"/>
    </xf>
    <xf numFmtId="14" fontId="58" fillId="9" borderId="22" xfId="26" applyNumberFormat="1" applyFont="1" applyFill="1" applyBorder="1" applyAlignment="1">
      <alignment horizontal="left" vertical="top"/>
    </xf>
    <xf numFmtId="166" fontId="58" fillId="9" borderId="22" xfId="26" applyNumberFormat="1" applyFont="1" applyFill="1" applyBorder="1" applyAlignment="1">
      <alignment horizontal="left" vertical="top"/>
    </xf>
    <xf numFmtId="170" fontId="58" fillId="10" borderId="22" xfId="26" applyNumberFormat="1" applyFont="1" applyFill="1" applyBorder="1" applyAlignment="1">
      <alignment horizontal="left" vertical="top"/>
    </xf>
    <xf numFmtId="0" fontId="58" fillId="10" borderId="61" xfId="0" applyFont="1" applyFill="1" applyBorder="1" applyAlignment="1">
      <alignment vertical="top" wrapText="1"/>
    </xf>
    <xf numFmtId="0" fontId="59" fillId="4" borderId="60" xfId="0" applyFont="1" applyFill="1" applyBorder="1" applyAlignment="1">
      <alignment horizontal="left" vertical="top" wrapText="1"/>
    </xf>
    <xf numFmtId="14" fontId="23" fillId="9" borderId="0" xfId="0" applyNumberFormat="1" applyFont="1" applyFill="1" applyBorder="1" applyAlignment="1">
      <alignment horizontal="left" vertical="top"/>
    </xf>
    <xf numFmtId="166" fontId="23" fillId="9" borderId="0" xfId="0" applyNumberFormat="1" applyFont="1" applyFill="1" applyBorder="1" applyAlignment="1">
      <alignment horizontal="left" vertical="top"/>
    </xf>
    <xf numFmtId="0" fontId="60" fillId="0" borderId="0" xfId="0" applyFont="1" applyProtection="1">
      <protection locked="0"/>
    </xf>
    <xf numFmtId="0" fontId="61" fillId="0" borderId="0" xfId="0" applyFont="1" applyProtection="1">
      <protection locked="0"/>
    </xf>
    <xf numFmtId="15" fontId="61" fillId="0" borderId="0" xfId="0" applyNumberFormat="1" applyFont="1" applyAlignment="1" applyProtection="1">
      <alignment horizontal="center"/>
      <protection locked="0"/>
    </xf>
    <xf numFmtId="0" fontId="0" fillId="15" borderId="0" xfId="0" applyFill="1" applyAlignment="1" applyProtection="1">
      <alignment vertical="center"/>
      <protection locked="0"/>
    </xf>
    <xf numFmtId="0" fontId="0" fillId="15" borderId="0" xfId="0" applyFill="1" applyProtection="1">
      <protection locked="0"/>
    </xf>
    <xf numFmtId="0" fontId="0" fillId="15" borderId="0" xfId="0" applyFill="1" applyAlignment="1" applyProtection="1">
      <alignment horizontal="left"/>
      <protection locked="0"/>
    </xf>
    <xf numFmtId="0" fontId="0" fillId="15" borderId="0" xfId="0" applyFill="1" applyAlignment="1" applyProtection="1">
      <alignment wrapText="1"/>
      <protection locked="0"/>
    </xf>
    <xf numFmtId="166" fontId="0" fillId="15" borderId="0" xfId="0" applyNumberFormat="1" applyFill="1" applyProtection="1">
      <protection locked="0"/>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6" fillId="3" borderId="7" xfId="2" applyFont="1" applyFill="1" applyBorder="1" applyAlignment="1">
      <alignment horizontal="left" vertical="center"/>
    </xf>
    <xf numFmtId="0" fontId="16" fillId="3" borderId="0" xfId="2" applyFont="1" applyFill="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6" fillId="3" borderId="56" xfId="2" applyFont="1" applyFill="1" applyBorder="1" applyAlignment="1">
      <alignment horizontal="left" vertical="center"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8" fillId="9" borderId="13" xfId="2" applyFont="1" applyFill="1" applyBorder="1" applyAlignment="1">
      <alignment horizontal="left" vertical="top" wrapText="1"/>
    </xf>
    <xf numFmtId="0" fontId="1" fillId="10" borderId="51" xfId="0" applyFont="1" applyFill="1" applyBorder="1" applyAlignment="1">
      <alignment horizontal="left" vertical="top"/>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7">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717">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72" formatCode="0_ ;\-0\ "/>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6" formatCode="mmm\ yyyy"/>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center"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5" tint="0.59999389629810485"/>
        </patternFill>
      </fill>
      <alignment horizontal="right" vertical="top" textRotation="0" wrapText="0" indent="0" justifyLastLine="0" shrinkToFit="0" readingOrder="0"/>
      <border diagonalUp="0" diagonalDown="0">
        <left style="thin">
          <color theme="0"/>
        </left>
        <right style="thick">
          <color theme="0"/>
        </right>
        <top/>
        <bottom/>
        <vertical/>
        <horizontal/>
      </border>
      <protection locked="1" hidden="0"/>
    </dxf>
    <dxf>
      <font>
        <strike val="0"/>
        <outline val="0"/>
        <shadow val="0"/>
        <u val="none"/>
        <vertAlign val="baseline"/>
        <sz val="8"/>
        <color theme="1"/>
        <name val="Calibri"/>
        <family val="2"/>
        <scheme val="minor"/>
      </font>
      <numFmt numFmtId="164" formatCode="_-* #,##0_-;\-* #,##0_-;_-* &quot;-&quot;??_-;_-@_-"/>
      <fill>
        <patternFill patternType="solid">
          <fgColor indexed="64"/>
          <bgColor theme="5"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theme="1"/>
        <name val="Calibri"/>
        <family val="2"/>
        <scheme val="minor"/>
      </font>
      <numFmt numFmtId="164" formatCode="_-* #,##0_-;\-* #,##0_-;_-* &quot;-&quot;??_-;_-@_-"/>
      <fill>
        <patternFill patternType="solid">
          <fgColor indexed="64"/>
          <bgColor theme="8" tint="0.79998168889431442"/>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sz val="8"/>
        <color rgb="FF000000"/>
        <name val="Arial"/>
        <family val="2"/>
        <scheme val="none"/>
      </font>
      <fill>
        <patternFill patternType="solid">
          <fgColor rgb="FF000000"/>
          <bgColor rgb="FFE7E3DC"/>
        </patternFill>
      </fill>
      <alignment horizontal="center" vertical="top" textRotation="0" wrapText="0" indent="0" justifyLastLine="0" shrinkToFit="0" readingOrder="0"/>
      <protection locked="1" hidden="0"/>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ill>
        <patternFill>
          <bgColor theme="0" tint="-0.14996795556505021"/>
        </patternFill>
      </fill>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rgb="FF006600"/>
      </font>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border>
    </dxf>
    <dxf>
      <font>
        <color auto="1"/>
      </font>
      <border>
        <top style="thin">
          <color theme="0" tint="-0.24994659260841701"/>
        </top>
      </border>
    </dxf>
    <dxf>
      <border>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b val="0"/>
        <i val="0"/>
        <strike val="0"/>
        <condense val="0"/>
        <extend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30" formatCode="@"/>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3" formatCode="#,##0"/>
      <fill>
        <patternFill patternType="solid">
          <fgColor indexed="64"/>
          <bgColor rgb="FFF9F8F6"/>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righ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165" formatCode="_-* #,##0.0_-;\-* #,##0.0_-;_-* &quot;-&quot;??_-;_-@_-"/>
      <fill>
        <patternFill patternType="solid">
          <fgColor indexed="64"/>
          <bgColor rgb="FF948671"/>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1"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bottom/>
      </border>
    </dxf>
    <dxf>
      <font>
        <b val="0"/>
        <i val="0"/>
        <strike val="0"/>
        <outline val="0"/>
        <shadow val="0"/>
        <u val="none"/>
        <vertAlign val="baseline"/>
        <sz val="8"/>
        <color rgb="FF000000"/>
        <name val="Arial"/>
        <family val="2"/>
        <scheme val="none"/>
      </font>
      <fill>
        <patternFill patternType="solid">
          <fgColor indexed="64"/>
          <bgColor rgb="FFE7E3DC"/>
        </patternFill>
      </fill>
      <alignment horizontal="left" vertical="top" textRotation="0" wrapText="0" indent="0" justifyLastLine="0" shrinkToFit="0" readingOrder="0"/>
      <protection locked="1" hidden="0"/>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ill>
        <patternFill>
          <bgColor theme="0" tint="-0.14996795556505021"/>
        </patternFill>
      </fill>
    </dxf>
    <dxf>
      <fill>
        <patternFill>
          <bgColor rgb="FFFFD5D5"/>
        </patternFill>
      </fill>
    </dxf>
    <dxf>
      <font>
        <color theme="0" tint="-0.24994659260841701"/>
      </font>
      <border>
        <top/>
        <vertical/>
        <horizontal/>
      </border>
    </dxf>
    <dxf>
      <font>
        <color rgb="FF006600"/>
      </font>
    </dxf>
    <dxf>
      <border>
        <top style="thin">
          <color theme="0" tint="-0.499984740745262"/>
        </top>
        <vertical/>
        <horizontal/>
      </border>
    </dxf>
    <dxf>
      <border>
        <top style="thin">
          <color theme="0" tint="-0.24994659260841701"/>
        </top>
        <vertical/>
        <horizontal/>
      </border>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border>
        <top style="thin">
          <color theme="0" tint="-0.499984740745262"/>
        </top>
        <vertical/>
        <horizontal/>
      </border>
    </dxf>
    <dxf>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border>
        <top style="thin">
          <color theme="0" tint="-0.499984740745262"/>
        </top>
        <vertical/>
        <horizontal/>
      </border>
    </dxf>
    <dxf>
      <font>
        <color theme="0" tint="-0.24994659260841701"/>
      </font>
      <border>
        <top/>
        <vertical/>
        <horizontal/>
      </border>
    </dxf>
    <dxf>
      <font>
        <color rgb="FF006600"/>
      </font>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numFmt numFmtId="3" formatCode="#,##0"/>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theme="0"/>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rgb="FFFFFFFF"/>
        </left>
        <right style="medium">
          <color rgb="FFFFFFFF"/>
        </right>
        <top style="medium">
          <color rgb="FFFFFFFF"/>
        </top>
        <bottom style="medium">
          <color rgb="FFFFFFFF"/>
        </bottom>
      </border>
    </dxf>
    <dxf>
      <border>
        <bottom style="medium">
          <color rgb="FFFFFFFF"/>
        </bottom>
      </border>
    </dxf>
    <dxf>
      <font>
        <b/>
        <strike val="0"/>
        <outline val="0"/>
        <shadow val="0"/>
        <u val="none"/>
        <vertAlign val="baseline"/>
        <sz val="9"/>
        <color theme="1"/>
        <name val="Arial"/>
        <family val="2"/>
        <scheme val="none"/>
      </font>
      <fill>
        <patternFill patternType="solid">
          <fgColor indexed="64"/>
          <bgColor rgb="FFFFC222"/>
        </patternFill>
      </fill>
      <alignment horizontal="left" vertical="top" textRotation="0" wrapText="1" indent="0" justifyLastLine="0" shrinkToFit="0" readingOrder="0"/>
      <border diagonalUp="0" diagonalDown="0">
        <left style="thin">
          <color theme="0"/>
        </left>
        <right style="thin">
          <color theme="0"/>
        </right>
        <vertical style="thin">
          <color theme="0"/>
        </vertical>
      </border>
      <protection locked="1" hidden="0"/>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tint="-0.24994659260841701"/>
      </font>
    </dxf>
    <dxf>
      <font>
        <b/>
        <i val="0"/>
      </font>
      <border>
        <vertical/>
        <horizontal/>
      </border>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font>
        <color theme="0" tint="-0.24994659260841701"/>
      </font>
      <border>
        <top/>
      </border>
    </dxf>
    <dxf>
      <border>
        <top style="thin">
          <color auto="1"/>
        </top>
        <vertical/>
        <horizontal/>
      </border>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716"/>
      <tableStyleElement type="headerRow" dxfId="715"/>
    </tableStyle>
    <tableStyle name="ReportNote" pivot="0" count="2" xr9:uid="{BFEE8439-B524-418A-8FDA-700D9052D6A1}">
      <tableStyleElement type="wholeTable" dxfId="714"/>
      <tableStyleElement type="headerRow" dxfId="713"/>
    </tableStyle>
  </tableStyles>
  <colors>
    <mruColors>
      <color rgb="FF0000FF"/>
      <color rgb="FF00FFFF"/>
      <color rgb="FFFF00FF"/>
      <color rgb="FF00FF00"/>
      <color rgb="FFFFFFFF"/>
      <color rgb="FFFFFFCC"/>
      <color rgb="FFE7E3D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18375</c:v>
                </c:pt>
                <c:pt idx="1">
                  <c:v>2779.6699999999996</c:v>
                </c:pt>
                <c:pt idx="2">
                  <c:v>6837.2899999999991</c:v>
                </c:pt>
                <c:pt idx="3">
                  <c:v>767.00000000000011</c:v>
                </c:pt>
                <c:pt idx="4">
                  <c:v>8145.0300000000043</c:v>
                </c:pt>
                <c:pt idx="5">
                  <c:v>9198.3599999999988</c:v>
                </c:pt>
                <c:pt idx="6">
                  <c:v>7643.12</c:v>
                </c:pt>
                <c:pt idx="7">
                  <c:v>0</c:v>
                </c:pt>
                <c:pt idx="8">
                  <c:v>1011.26</c:v>
                </c:pt>
                <c:pt idx="9">
                  <c:v>103.5</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2880</c:v>
                </c:pt>
                <c:pt idx="1">
                  <c:v>0</c:v>
                </c:pt>
                <c:pt idx="2">
                  <c:v>0</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1070</c:v>
                </c:pt>
                <c:pt idx="3">
                  <c:v>0</c:v>
                </c:pt>
                <c:pt idx="4">
                  <c:v>2372.9500000000003</c:v>
                </c:pt>
                <c:pt idx="5">
                  <c:v>2536.4899999999998</c:v>
                </c:pt>
                <c:pt idx="6">
                  <c:v>2290</c:v>
                </c:pt>
                <c:pt idx="7">
                  <c:v>0</c:v>
                </c:pt>
                <c:pt idx="8">
                  <c:v>1592.07</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0</c:v>
                </c:pt>
                <c:pt idx="3">
                  <c:v>0</c:v>
                </c:pt>
                <c:pt idx="4">
                  <c:v>1100.23</c:v>
                </c:pt>
                <c:pt idx="5">
                  <c:v>1775.74</c:v>
                </c:pt>
                <c:pt idx="6">
                  <c:v>1998</c:v>
                </c:pt>
                <c:pt idx="7">
                  <c:v>0</c:v>
                </c:pt>
                <c:pt idx="8">
                  <c:v>3381.24</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2463.85</c:v>
                </c:pt>
                <c:pt idx="3">
                  <c:v>1829.6</c:v>
                </c:pt>
                <c:pt idx="4">
                  <c:v>43324.23000000001</c:v>
                </c:pt>
                <c:pt idx="5">
                  <c:v>130046.15000000002</c:v>
                </c:pt>
                <c:pt idx="6">
                  <c:v>15971</c:v>
                </c:pt>
                <c:pt idx="7">
                  <c:v>261</c:v>
                </c:pt>
                <c:pt idx="8">
                  <c:v>47766.79</c:v>
                </c:pt>
                <c:pt idx="9">
                  <c:v>4874</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30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1500</c:v>
                </c:pt>
                <c:pt idx="1">
                  <c:v>0</c:v>
                </c:pt>
                <c:pt idx="2">
                  <c:v>0</c:v>
                </c:pt>
                <c:pt idx="3">
                  <c:v>120</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00C943-3912-487D-92FC-F6F7208C6155}" name="ChangeLogNotes4" displayName="ChangeLogNotes4" ref="A5:H852" totalsRowShown="0" headerRowDxfId="678" headerRowBorderDxfId="677" tableBorderDxfId="676" headerRowCellStyle="Normal 2 2">
  <autoFilter ref="A5:H852" xr:uid="{4F00C943-3912-487D-92FC-F6F7208C6155}"/>
  <sortState xmlns:xlrd2="http://schemas.microsoft.com/office/spreadsheetml/2017/richdata2" ref="A6:H852">
    <sortCondition descending="1" ref="A6:A852"/>
    <sortCondition ref="B6:B852"/>
    <sortCondition ref="D6:D852"/>
  </sortState>
  <tableColumns count="8">
    <tableColumn id="1" xr3:uid="{A6EC7014-3E84-4D72-AC78-593983771C9D}" name="Publication Date" dataDxfId="675" dataCellStyle="Normal 2 2"/>
    <tableColumn id="2" xr3:uid="{75545105-4F11-4900-BDE6-E670A3DB3700}" name="Region" dataDxfId="674" dataCellStyle="Normal 2 2"/>
    <tableColumn id="8" xr3:uid="{8ED98562-7291-4E85-81CF-1527F6B94F27}" name="Type of Change" dataDxfId="673" dataCellStyle="Normal 2 2"/>
    <tableColumn id="3" xr3:uid="{26810FE6-8572-4932-9E2F-5F83263032B8}" name="Site" dataDxfId="672" dataCellStyle="Normal 2 2"/>
    <tableColumn id="4" xr3:uid="{9864B781-DF0E-4978-91A2-7E7BB324B96E}" name="Owner" dataDxfId="671" dataCellStyle="Normal 2 2"/>
    <tableColumn id="6" xr3:uid="{26BDF761-1C9F-496B-86DF-C955207D0020}" name="DUID(s)" dataDxfId="670" dataCellStyle="Normal 2 2"/>
    <tableColumn id="5" xr3:uid="{BB4F6D3F-2AEF-4B18-BE04-52053F6C13EA}" name="Note" dataDxfId="669" dataCellStyle="Normal 2 2"/>
    <tableColumn id="7" xr3:uid="{E0F73B9D-B1FF-4245-AA5A-A905CAFE50FD}" name="Effective Date" dataDxfId="668"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7E30AA-47F5-4093-8F7B-819C3D4106F8}" name="ConsolidatedUnits2" displayName="ConsolidatedUnits2" ref="A2:Y1417" totalsRowShown="0" headerRowDxfId="356" dataDxfId="355" tableBorderDxfId="354" dataCellStyle="Comma">
  <autoFilter ref="A2:Y1417" xr:uid="{9C7E30AA-47F5-4093-8F7B-819C3D4106F8}"/>
  <sortState xmlns:xlrd2="http://schemas.microsoft.com/office/spreadsheetml/2017/richdata2" ref="A3:Y1417">
    <sortCondition ref="C3:C1417"/>
    <sortCondition ref="V3:V1417"/>
    <sortCondition ref="G3:G1417"/>
    <sortCondition ref="B3:B1417"/>
    <sortCondition descending="1" ref="H3:H1417"/>
    <sortCondition descending="1" ref="K3:K1417"/>
    <sortCondition descending="1" ref="L3:L1417"/>
  </sortState>
  <tableColumns count="25">
    <tableColumn id="18" xr3:uid="{87FBEF56-F12D-4B50-814B-101383758D13}" name="Region" dataDxfId="353"/>
    <tableColumn id="3" xr3:uid="{B67A95DC-2AB2-4D86-8D70-9F7DB415CE99}" name="Asset Type" dataDxfId="352" dataCellStyle="Comma"/>
    <tableColumn id="50" xr3:uid="{9205A5F1-90C8-47CF-9243-CD78B2F53FE8}" name="Site Name" dataDxfId="351"/>
    <tableColumn id="2" xr3:uid="{B1BBDE95-EFFC-4C1A-8F5C-0E41E047710B}" name="Owner" dataDxfId="350"/>
    <tableColumn id="4" xr3:uid="{9986A455-B072-47B7-AA61-767EF9182DF0}" name="Technology Type" dataDxfId="349" dataCellStyle="Comma"/>
    <tableColumn id="5" xr3:uid="{10D9D41E-D897-43D3-99C7-C76DE10F9CFB}" name="Fuel Type" dataDxfId="348" dataCellStyle="Comma"/>
    <tableColumn id="6" xr3:uid="{F085BC99-0A8F-450E-8AC9-2B91DE930978}" name="DUID" dataDxfId="347" dataCellStyle="Comma"/>
    <tableColumn id="7" xr3:uid="{A2B9677C-9006-43C8-B7A9-29028E64187F}" name="Number of Units" dataDxfId="346" dataCellStyle="Comma"/>
    <tableColumn id="8" xr3:uid="{A2CBFBD7-B579-4264-9D89-130440A3321E}" name="Lower Nameplate Capacity (MW)" dataDxfId="345" dataCellStyle="Comma"/>
    <tableColumn id="9" xr3:uid="{1AFD8339-410F-4ED9-B6CB-8D3C5583604E}" name="Upper Nameplate Capacity (MW)" dataDxfId="344" dataCellStyle="Comma"/>
    <tableColumn id="10" xr3:uid="{54795FDC-DAF1-4E08-9C19-7B5EC26E9235}" name="Aggregated Lower Nameplate Capacity (MW)" dataDxfId="343" dataCellStyle="Comma"/>
    <tableColumn id="11" xr3:uid="{18418EFC-2008-44B9-89EA-9215913B694B}" name="Aggregated Upper Nameplate Capacity (MW)" dataDxfId="342" dataCellStyle="Comma"/>
    <tableColumn id="1" xr3:uid="{A83DF05F-5726-440A-A91F-F7E96DAF5172}" name="Nameplate Capacity (MW)" dataDxfId="341" dataCellStyle="Comma"/>
    <tableColumn id="12" xr3:uid="{7DCE210A-47E9-457E-B99B-455E6D0F6951}" name="Storage Capacity (MWh)" dataDxfId="340"/>
    <tableColumn id="13" xr3:uid="{5C19ADAE-6510-4DB2-9C84-7DFF1723E372}" name="Unit Status" dataDxfId="339" dataCellStyle="Comma"/>
    <tableColumn id="14" xr3:uid="{2CE2ABF0-9098-467A-8486-4361F066FA63}" name="Dispatch Type" dataDxfId="338"/>
    <tableColumn id="15" xr3:uid="{5D349083-187B-41A6-A63A-EDBEF69EF242}" name="Full Commercial Use Date" dataDxfId="337" dataCellStyle="Comma"/>
    <tableColumn id="16" xr3:uid="{4B685754-B85B-41CE-AB83-644265FDB6AE}" name="Expected Closure Year" dataDxfId="336"/>
    <tableColumn id="17" xr3:uid="{7678A7C6-ACCE-451C-B244-758F82DA0003}" name="Closure Date" dataDxfId="335" dataCellStyle="Comma"/>
    <tableColumn id="19" xr3:uid="{596B73D1-E800-4D9B-AA8D-7013500CE50E}" name="Status Bucket Summary" dataDxfId="334" dataCellStyle="Comma"/>
    <tableColumn id="20" xr3:uid="{F5C38D22-5FCB-4F92-B326-753811476E62}" name="Fuel Bucket Summary" dataDxfId="333" dataCellStyle="Comma"/>
    <tableColumn id="43" xr3:uid="{A0EDDBA3-2EEB-4C92-AFB3-833712A6A139}" name="SurveyId" dataDxfId="332" dataCellStyle="Comma"/>
    <tableColumn id="21" xr3:uid="{2858A843-02BC-4799-9502-86A2F881F751}" name="AEMO KCI Id" dataDxfId="331" dataCellStyle="Comma"/>
    <tableColumn id="23" xr3:uid="{E4E11E41-2BA2-4919-A285-A24258F4B206}" name="Survey Last Requested" dataDxfId="330" dataCellStyle="Comma"/>
    <tableColumn id="22" xr3:uid="{E5869C8B-1788-4B0D-809E-DC02515AE4D2}" name="Survey Version DateTime" dataDxfId="329" dataCellStyle="Comma"/>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2:AW378" totalsRowShown="0" headerRowDxfId="137" dataDxfId="136" tableBorderDxfId="135" dataCellStyle="Comma">
  <autoFilter ref="A2:AW378" xr:uid="{636CE6F8-71B5-42CE-A899-E7D82AB96C57}"/>
  <sortState xmlns:xlrd2="http://schemas.microsoft.com/office/spreadsheetml/2017/richdata2" ref="A2:AW378">
    <sortCondition ref="C3:C378"/>
    <sortCondition ref="AW3:AW378"/>
    <sortCondition ref="D3:D378"/>
    <sortCondition ref="B3:B378"/>
    <sortCondition descending="1" ref="AL3:AL378"/>
    <sortCondition descending="1" ref="AM3:AM378"/>
    <sortCondition descending="1" ref="AN3:AN378"/>
  </sortState>
  <tableColumns count="49">
    <tableColumn id="18" xr3:uid="{88C920A0-2C29-4D58-8ECF-0EF308CEC5B5}" name="Region" dataDxfId="134" dataCellStyle="Comma"/>
    <tableColumn id="3" xr3:uid="{B578F4AA-EFCE-41FB-A3F4-27B532C7F248}" name="Asset Type" dataDxfId="133" dataCellStyle="Comma"/>
    <tableColumn id="1" xr3:uid="{EB027C97-C3C6-4DF5-A43B-241A0B0C1AB9}" name="Site Name" dataDxfId="132" dataCellStyle="Comma"/>
    <tableColumn id="6" xr3:uid="{3EF55092-9C64-420E-AD08-35C4E2660202}" name="DUID" dataDxfId="131" dataCellStyle="Comma"/>
    <tableColumn id="9" xr3:uid="{0948CDF5-456A-4544-A0E4-E4D3B594D47F}" name="Winter 2023" dataDxfId="130" dataCellStyle="20% - Accent2"/>
    <tableColumn id="51" xr3:uid="{87DC433C-CFB7-4B3E-82C8-F3B8C007E888}" name="Summer Typical 2023-24" dataDxfId="129" dataCellStyle="40% - Accent2"/>
    <tableColumn id="21" xr3:uid="{C099C9A0-B130-432B-9BD8-F8E924740F15}" name="Summer Peak 2023-24" dataDxfId="128" dataCellStyle="20% - Accent5"/>
    <tableColumn id="22" xr3:uid="{7BCDF964-3E76-4D2F-9312-CA5B836CC8B2}" name="Winter 2024" dataDxfId="127" dataCellStyle="20% - Accent2"/>
    <tableColumn id="50" xr3:uid="{49AE3D15-624C-42F0-A036-6D113F6A3D15}" name="Summer Typical 2024-25" dataDxfId="126" dataCellStyle="40% - Accent2"/>
    <tableColumn id="23" xr3:uid="{62A21FD5-79B1-4CD9-879C-BDC6BD593CC7}" name="Summer Peak 2024-25" dataDxfId="125" dataCellStyle="20% - Accent5"/>
    <tableColumn id="24" xr3:uid="{B0D1197C-EA1F-4245-AA9C-A1B945F6D233}" name="Winter 2025" dataDxfId="124" dataCellStyle="20% - Accent2"/>
    <tableColumn id="49" xr3:uid="{37F4C5F5-9576-4579-90E0-845EE7AA2868}" name="Summer Typical 2025-26" dataDxfId="123" dataCellStyle="40% - Accent2"/>
    <tableColumn id="25" xr3:uid="{10069996-36C3-4B0B-AB6E-C3FE1C01B5EA}" name="Summer Peak 2025-26" dataDxfId="122" dataCellStyle="20% - Accent5"/>
    <tableColumn id="26" xr3:uid="{95138370-BB17-4D48-A9EF-3175CA85F99B}" name="Winter 2026" dataDxfId="121" dataCellStyle="20% - Accent2"/>
    <tableColumn id="48" xr3:uid="{A9D47922-5BD7-448C-857E-732A2E3309AF}" name="Summer Typical 2026-27" dataDxfId="120" dataCellStyle="40% - Accent2"/>
    <tableColumn id="27" xr3:uid="{6F2BF23B-591B-40BC-AF77-1E939171A27E}" name="Summer Peak 2026-27" dataDxfId="119" dataCellStyle="20% - Accent5"/>
    <tableColumn id="28" xr3:uid="{E8B6CFC7-D44D-42E1-8BFE-D3313A71656F}" name="Winter 2027" dataDxfId="118" dataCellStyle="20% - Accent2"/>
    <tableColumn id="47" xr3:uid="{5E944D36-04C8-40E5-B025-6B6A6EDE2F02}" name="Summer Typical 2027-28" dataDxfId="117" dataCellStyle="40% - Accent2"/>
    <tableColumn id="29" xr3:uid="{0833DD91-50C5-4E70-B342-70AC11BFE88D}" name="Summer Peak 2027-28" dataDxfId="116" dataCellStyle="20% - Accent5"/>
    <tableColumn id="30" xr3:uid="{AE8271D8-1C77-44C8-AB77-59ADCE2D6FA5}" name="Winter 2028" dataDxfId="115" dataCellStyle="20% - Accent2"/>
    <tableColumn id="44" xr3:uid="{2924A905-7093-4CE1-86D9-38C5868995C0}" name="Summer Typical 2028-29" dataDxfId="114" dataCellStyle="40% - Accent2"/>
    <tableColumn id="31" xr3:uid="{9EE2BC79-FC70-45FA-B88C-57FB348CBC3D}" name="Summer Peak 2028-29" dataDxfId="113" dataCellStyle="20% - Accent5"/>
    <tableColumn id="32" xr3:uid="{7D4FBC17-D885-4825-8492-2433483940C5}" name="Winter 2029" dataDxfId="112" dataCellStyle="20% - Accent2"/>
    <tableColumn id="42" xr3:uid="{841729AF-3B50-42E1-B670-83EC0FF3BAE3}" name="Summer Typical 2029-30" dataDxfId="111" dataCellStyle="40% - Accent2"/>
    <tableColumn id="33" xr3:uid="{6820A8A8-4A56-43A7-A2BC-FE0507DD5468}" name="Summer Peak 2029-30" dataDxfId="110" dataCellStyle="20% - Accent5"/>
    <tableColumn id="34" xr3:uid="{0EC5B4D7-907D-4124-B67D-CFF52BE02D78}" name="Winter 2030" dataDxfId="109" dataCellStyle="20% - Accent2"/>
    <tableColumn id="41" xr3:uid="{5B45BBB3-1CC7-4216-8D4C-34AB40AB2C4F}" name="Summer Typical 2030-31" dataDxfId="108" dataCellStyle="40% - Accent2"/>
    <tableColumn id="35" xr3:uid="{1EF9015D-420D-4F8C-8B7D-80B66B3C3CA4}" name="Summer Peak 2030-31" dataDxfId="107" dataCellStyle="20% - Accent5"/>
    <tableColumn id="36" xr3:uid="{F7BCB152-4B04-4BCB-9008-7ABC34E13ABF}" name="Winter 2031" dataDxfId="106" dataCellStyle="20% - Accent2"/>
    <tableColumn id="40" xr3:uid="{F5521565-83D5-41F4-BB40-758E33F73C04}" name="Summer Typical 2031-32" dataDxfId="105" dataCellStyle="40% - Accent2"/>
    <tableColumn id="37" xr3:uid="{5696D860-833D-4CAF-B748-6EEF8B091058}" name="Summer Peak 2031-32" dataDxfId="104" dataCellStyle="20% - Accent5"/>
    <tableColumn id="38" xr3:uid="{CE7FC884-419B-48F9-B9B1-C4C77EED54A4}" name="Winter 2032" dataDxfId="103" dataCellStyle="20% - Accent2"/>
    <tableColumn id="52" xr3:uid="{2ED98C4D-EB38-48D2-8AA7-8C1CF6E3A2C7}" name="Summer Typical 2032-33" dataDxfId="102" dataCellStyle="40% - Accent2"/>
    <tableColumn id="8" xr3:uid="{B753A38C-4919-4006-88A1-AB04323EE929}" name="Summer Peak 2032-33" dataDxfId="101" dataCellStyle="20% - Accent5"/>
    <tableColumn id="2" xr3:uid="{02FE4B29-B800-48D0-9174-422595E1EA8D}" name="Owner" dataDxfId="100" dataCellStyle="Comma"/>
    <tableColumn id="4" xr3:uid="{E7226910-DC83-46BF-912F-95B8AD51AD4F}" name="Technology Type" dataDxfId="99" dataCellStyle="Comma"/>
    <tableColumn id="5" xr3:uid="{0FB0728C-4C79-4E98-9DFC-95F24CB611B3}" name="Fuel Type" dataDxfId="98" dataCellStyle="Comma"/>
    <tableColumn id="7" xr3:uid="{DE10C90D-D4F1-4EC8-A82A-AEAB8218A1D7}" name="Number of Units" dataDxfId="97" dataCellStyle="Comma"/>
    <tableColumn id="10" xr3:uid="{D3150F9E-5F69-4B55-B220-C2BBE75FD2F2}" name="Aggregated Lower Nameplate Capacity (MW)" dataDxfId="96" dataCellStyle="Comma 6"/>
    <tableColumn id="11" xr3:uid="{061C6E50-5B1D-4B19-B6CD-4F158A19F372}" name="Aggregated Upper Nameplate Capacity (MW)" dataDxfId="95" dataCellStyle="Comma"/>
    <tableColumn id="12" xr3:uid="{3EEE201E-CC4B-41CC-9C02-90C887C9386B}" name="Storage Capacity (MWh)" dataDxfId="94" dataCellStyle="Comma"/>
    <tableColumn id="13" xr3:uid="{35288427-A17D-49F7-9F86-03BECF91A4AE}" name="Unit Status" dataDxfId="93" dataCellStyle="Comma"/>
    <tableColumn id="14" xr3:uid="{85229FCA-1A1F-4AD2-AFB0-9356665EBA79}" name="Dispatch Type" dataDxfId="92" dataCellStyle="Comma"/>
    <tableColumn id="15" xr3:uid="{2D05C170-8386-401D-A18D-055F48C5A95E}" name="Full Commercial Use Date" dataDxfId="91" dataCellStyle="Comma"/>
    <tableColumn id="16" xr3:uid="{8993975B-3D04-4985-B6AA-9774B7FF8A35}" name="Expected Closure Year" dataDxfId="90" dataCellStyle="Comma"/>
    <tableColumn id="17" xr3:uid="{59478631-A446-4B8F-AF2D-2AD5B02332BF}" name="Closure Date" dataDxfId="89" dataCellStyle="Comma"/>
    <tableColumn id="19" xr3:uid="{26D7E13C-DEEE-4D37-8DD7-E9F639323D91}" name="Status Bucket Summary" dataDxfId="88" dataCellStyle="Comma"/>
    <tableColumn id="20" xr3:uid="{5EC8EFB8-7A21-4F20-A906-03BEBA8A8AA2}" name="Fuel Bucket Summary" dataDxfId="87" dataCellStyle="Comma"/>
    <tableColumn id="43" xr3:uid="{9AB30C66-D597-451F-92B8-9A7BEB20745C}" name="SurveyId" dataDxfId="86"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4"/>
  <sheetViews>
    <sheetView tabSelected="1" workbookViewId="0"/>
  </sheetViews>
  <sheetFormatPr defaultColWidth="9.453125" defaultRowHeight="14.5"/>
  <cols>
    <col min="1" max="1" width="1.453125" style="65" customWidth="1"/>
    <col min="2" max="2" width="2.453125" style="65" customWidth="1"/>
    <col min="3" max="3" width="27.453125" style="65" customWidth="1"/>
    <col min="4" max="14" width="8.453125" style="65" customWidth="1"/>
    <col min="15" max="15" width="1.453125" style="65" customWidth="1"/>
    <col min="16" max="16384" width="9.453125" style="65"/>
  </cols>
  <sheetData>
    <row r="1" spans="1:15" s="20" customFormat="1" ht="19">
      <c r="A1" s="66"/>
      <c r="B1" s="67" t="s">
        <v>0</v>
      </c>
      <c r="C1" s="66"/>
      <c r="D1" s="66"/>
      <c r="E1" s="66"/>
      <c r="F1" s="66"/>
      <c r="G1" s="68"/>
      <c r="H1" s="66"/>
      <c r="I1" s="66"/>
      <c r="J1" s="66"/>
      <c r="K1" s="66"/>
      <c r="L1" s="66"/>
      <c r="M1" s="66"/>
      <c r="N1" s="66"/>
      <c r="O1" s="63"/>
    </row>
    <row r="2" spans="1:15" s="20" customFormat="1" ht="14">
      <c r="A2" s="66"/>
      <c r="B2" s="69" t="s">
        <v>1</v>
      </c>
      <c r="C2" s="66"/>
      <c r="D2" s="66"/>
      <c r="E2" s="66"/>
      <c r="F2" s="66"/>
      <c r="G2" s="68"/>
      <c r="H2" s="66"/>
      <c r="I2" s="66"/>
      <c r="J2" s="66"/>
      <c r="K2" s="66"/>
      <c r="L2" s="69"/>
      <c r="M2" s="69"/>
      <c r="N2" s="69"/>
      <c r="O2" s="63"/>
    </row>
    <row r="3" spans="1:15" ht="15" thickBot="1">
      <c r="A3" s="70"/>
      <c r="B3" s="70"/>
      <c r="C3" s="71"/>
      <c r="D3" s="71"/>
      <c r="E3" s="71"/>
      <c r="F3" s="71"/>
      <c r="G3" s="71"/>
      <c r="H3" s="71"/>
      <c r="I3" s="71"/>
      <c r="J3" s="71"/>
      <c r="K3" s="71"/>
      <c r="L3" s="71"/>
      <c r="M3" s="71"/>
      <c r="N3" s="71"/>
      <c r="O3" s="64"/>
    </row>
    <row r="4" spans="1:15" ht="15" thickTop="1">
      <c r="A4" s="71"/>
      <c r="B4" s="72" t="s">
        <v>2</v>
      </c>
      <c r="C4" s="73"/>
      <c r="D4" s="73"/>
      <c r="E4" s="73"/>
      <c r="F4" s="73"/>
      <c r="G4" s="73"/>
      <c r="H4" s="73"/>
      <c r="I4" s="73"/>
      <c r="J4" s="73"/>
      <c r="K4" s="73"/>
      <c r="L4" s="73"/>
      <c r="M4" s="73"/>
      <c r="N4" s="74"/>
      <c r="O4" s="64"/>
    </row>
    <row r="5" spans="1:15">
      <c r="A5" s="71"/>
      <c r="B5" s="75" t="s">
        <v>3</v>
      </c>
      <c r="C5" s="4"/>
      <c r="D5" s="4"/>
      <c r="E5" s="4"/>
      <c r="F5" s="4"/>
      <c r="G5" s="4"/>
      <c r="H5" s="4"/>
      <c r="I5" s="4"/>
      <c r="J5" s="4"/>
      <c r="K5" s="4"/>
      <c r="L5" s="4"/>
      <c r="M5" s="4"/>
      <c r="N5" s="76"/>
      <c r="O5" s="64"/>
    </row>
    <row r="6" spans="1:15">
      <c r="A6" s="71"/>
      <c r="B6" s="75" t="s">
        <v>4</v>
      </c>
      <c r="C6" s="4"/>
      <c r="D6" s="4"/>
      <c r="E6" s="4"/>
      <c r="F6" s="4"/>
      <c r="G6" s="4"/>
      <c r="H6" s="4"/>
      <c r="I6" s="4"/>
      <c r="J6" s="4"/>
      <c r="K6" s="4"/>
      <c r="L6" s="4"/>
      <c r="M6" s="4"/>
      <c r="N6" s="76"/>
      <c r="O6" s="64"/>
    </row>
    <row r="7" spans="1:15" ht="15" thickBot="1">
      <c r="A7" s="71"/>
      <c r="B7" s="113" t="s">
        <v>5</v>
      </c>
      <c r="C7" s="77"/>
      <c r="D7" s="77"/>
      <c r="E7" s="77"/>
      <c r="F7" s="77"/>
      <c r="G7" s="77"/>
      <c r="H7" s="77"/>
      <c r="I7" s="77"/>
      <c r="J7" s="77"/>
      <c r="K7" s="77"/>
      <c r="L7" s="77"/>
      <c r="M7" s="77"/>
      <c r="N7" s="78"/>
      <c r="O7" s="64"/>
    </row>
    <row r="8" spans="1:15" ht="15" thickTop="1">
      <c r="A8" s="71"/>
      <c r="B8" s="79"/>
      <c r="C8" s="71"/>
      <c r="D8" s="79"/>
      <c r="E8" s="79"/>
      <c r="F8" s="79"/>
      <c r="G8" s="79"/>
      <c r="H8" s="79"/>
      <c r="I8" s="79"/>
      <c r="J8" s="79"/>
      <c r="K8" s="71"/>
      <c r="L8" s="71"/>
      <c r="M8" s="71"/>
      <c r="N8" s="71"/>
      <c r="O8" s="64"/>
    </row>
    <row r="9" spans="1:15" ht="6" customHeight="1">
      <c r="A9" s="71"/>
      <c r="B9" s="80"/>
      <c r="C9" s="71"/>
      <c r="D9" s="71"/>
      <c r="E9" s="71"/>
      <c r="F9" s="71"/>
      <c r="G9" s="71"/>
      <c r="H9" s="71"/>
      <c r="I9" s="71"/>
      <c r="J9" s="71"/>
      <c r="K9" s="71"/>
      <c r="L9" s="71"/>
      <c r="M9" s="71"/>
      <c r="N9" s="71"/>
      <c r="O9" s="64"/>
    </row>
    <row r="10" spans="1:15" ht="19.5" customHeight="1">
      <c r="A10" s="71"/>
      <c r="B10" s="71"/>
      <c r="C10" s="81" t="s">
        <v>6</v>
      </c>
      <c r="D10" s="71"/>
      <c r="E10" s="71"/>
      <c r="F10" s="71"/>
      <c r="G10" s="71"/>
      <c r="H10" s="82"/>
      <c r="I10" s="71"/>
      <c r="J10" s="71"/>
      <c r="K10" s="71"/>
      <c r="L10" s="71"/>
      <c r="M10" s="71"/>
      <c r="N10" s="71"/>
      <c r="O10" s="64"/>
    </row>
    <row r="11" spans="1:15" ht="18.75" customHeight="1">
      <c r="A11" s="71"/>
      <c r="B11" s="71"/>
      <c r="C11" s="1" t="s">
        <v>7</v>
      </c>
      <c r="D11" s="71"/>
      <c r="E11" s="71"/>
      <c r="F11" s="71"/>
      <c r="G11" s="71"/>
      <c r="H11" s="82"/>
      <c r="I11" s="71"/>
      <c r="J11" s="71"/>
      <c r="K11" s="71"/>
      <c r="L11" s="71"/>
      <c r="M11" s="71"/>
      <c r="N11" s="71"/>
      <c r="O11" s="64"/>
    </row>
    <row r="12" spans="1:15" ht="19.5" customHeight="1">
      <c r="A12" s="71"/>
      <c r="B12" s="71"/>
      <c r="C12" s="81" t="s">
        <v>8</v>
      </c>
      <c r="D12" s="71"/>
      <c r="E12" s="71"/>
      <c r="F12" s="71"/>
      <c r="G12" s="71"/>
      <c r="H12" s="82"/>
      <c r="I12" s="71"/>
      <c r="J12" s="71"/>
      <c r="K12" s="71"/>
      <c r="L12" s="71"/>
      <c r="M12" s="71"/>
      <c r="N12" s="71"/>
      <c r="O12" s="64"/>
    </row>
    <row r="13" spans="1:15" ht="18.75" customHeight="1">
      <c r="A13" s="71"/>
      <c r="B13" s="71"/>
      <c r="C13" s="1" t="s">
        <v>3996</v>
      </c>
      <c r="D13" s="71"/>
      <c r="E13" s="71"/>
      <c r="F13" s="71"/>
      <c r="G13" s="71"/>
      <c r="H13" s="71"/>
      <c r="I13" s="71"/>
      <c r="J13" s="71"/>
      <c r="K13" s="71"/>
      <c r="L13" s="71"/>
      <c r="M13" s="71"/>
      <c r="N13" s="71"/>
      <c r="O13" s="64"/>
    </row>
    <row r="14" spans="1:15" ht="7.5" customHeight="1">
      <c r="A14" s="71"/>
      <c r="B14" s="71"/>
      <c r="C14" s="71"/>
      <c r="D14" s="71"/>
      <c r="E14" s="71"/>
      <c r="F14" s="71"/>
      <c r="G14" s="71"/>
      <c r="H14" s="71"/>
      <c r="I14" s="71"/>
      <c r="J14" s="71"/>
      <c r="K14" s="71"/>
      <c r="L14" s="71"/>
      <c r="M14" s="71"/>
      <c r="N14" s="71"/>
      <c r="O14" s="64"/>
    </row>
    <row r="15" spans="1:15" ht="18.75" customHeight="1">
      <c r="A15" s="71"/>
      <c r="B15" s="83" t="str">
        <f>"Summary Chart:  "&amp;$C$11&amp;" "&amp;IF($C$13="S","Scheduled",IF($C$13="SS","Semi-scheduled",IF($C$13="NS","Non-scheduled",IF($C$13="S &amp; SS","Scheduled &amp; Semi-scheduled","Scheduled, Semi-scheduled &amp; Non-scheduled"))))&amp;" Generation (MW) - Existing and New Developments by Fuel-Technology Category"</f>
        <v>Summary Chart:  NEM Scheduled &amp; Semi-scheduled Generation (MW) - Existing and New Developments by Fuel-Technology Category</v>
      </c>
      <c r="C15" s="71"/>
      <c r="D15" s="71"/>
      <c r="E15" s="71"/>
      <c r="F15" s="71"/>
      <c r="G15" s="71"/>
      <c r="H15" s="71"/>
      <c r="I15" s="71"/>
      <c r="J15" s="71"/>
      <c r="K15" s="71"/>
      <c r="L15" s="71"/>
      <c r="M15" s="71"/>
      <c r="N15" s="71"/>
      <c r="O15" s="64"/>
    </row>
    <row r="16" spans="1:15">
      <c r="A16" s="71"/>
      <c r="B16" s="71"/>
      <c r="C16" s="71"/>
      <c r="D16" s="71"/>
      <c r="E16" s="71"/>
      <c r="F16" s="71"/>
      <c r="G16" s="71"/>
      <c r="H16" s="71"/>
      <c r="I16" s="71"/>
      <c r="J16" s="71"/>
      <c r="K16" s="71"/>
      <c r="L16" s="71"/>
      <c r="M16" s="71"/>
      <c r="N16" s="71"/>
      <c r="O16" s="64"/>
    </row>
    <row r="17" spans="1:15">
      <c r="A17" s="71"/>
      <c r="B17" s="71"/>
      <c r="C17" s="71"/>
      <c r="D17" s="71"/>
      <c r="E17" s="71"/>
      <c r="F17" s="71"/>
      <c r="G17" s="71"/>
      <c r="H17" s="71"/>
      <c r="I17" s="71"/>
      <c r="J17" s="71"/>
      <c r="K17" s="71"/>
      <c r="L17" s="71"/>
      <c r="M17" s="71"/>
      <c r="N17" s="71"/>
      <c r="O17" s="64"/>
    </row>
    <row r="18" spans="1:15">
      <c r="A18" s="71"/>
      <c r="B18" s="71"/>
      <c r="C18" s="71"/>
      <c r="D18" s="71"/>
      <c r="E18" s="71"/>
      <c r="F18" s="71"/>
      <c r="G18" s="71"/>
      <c r="H18" s="71"/>
      <c r="I18" s="71"/>
      <c r="J18" s="71"/>
      <c r="K18" s="71"/>
      <c r="L18" s="71"/>
      <c r="M18" s="71"/>
      <c r="N18" s="71"/>
      <c r="O18" s="64"/>
    </row>
    <row r="19" spans="1:15">
      <c r="A19" s="71"/>
      <c r="B19" s="71"/>
      <c r="C19" s="71"/>
      <c r="D19" s="71"/>
      <c r="E19" s="71"/>
      <c r="F19" s="71"/>
      <c r="G19" s="71"/>
      <c r="H19" s="71"/>
      <c r="I19" s="71"/>
      <c r="J19" s="71"/>
      <c r="K19" s="71"/>
      <c r="L19" s="71"/>
      <c r="M19" s="71"/>
      <c r="N19" s="71"/>
      <c r="O19" s="64"/>
    </row>
    <row r="20" spans="1:15">
      <c r="A20" s="71"/>
      <c r="B20" s="71"/>
      <c r="C20" s="71"/>
      <c r="D20" s="71"/>
      <c r="E20" s="71"/>
      <c r="F20" s="71"/>
      <c r="G20" s="71"/>
      <c r="H20" s="71"/>
      <c r="I20" s="71"/>
      <c r="J20" s="71"/>
      <c r="K20" s="71"/>
      <c r="L20" s="71"/>
      <c r="M20" s="71"/>
      <c r="N20" s="71"/>
      <c r="O20" s="64"/>
    </row>
    <row r="21" spans="1:15">
      <c r="A21" s="71"/>
      <c r="B21" s="71"/>
      <c r="C21" s="71"/>
      <c r="D21" s="71"/>
      <c r="E21" s="71"/>
      <c r="F21" s="71"/>
      <c r="G21" s="71"/>
      <c r="H21" s="71"/>
      <c r="I21" s="71"/>
      <c r="J21" s="71"/>
      <c r="K21" s="71"/>
      <c r="L21" s="71"/>
      <c r="M21" s="71"/>
      <c r="N21" s="71"/>
      <c r="O21" s="64"/>
    </row>
    <row r="22" spans="1:15">
      <c r="A22" s="71"/>
      <c r="B22" s="71"/>
      <c r="C22" s="71"/>
      <c r="D22" s="71"/>
      <c r="E22" s="71"/>
      <c r="F22" s="71"/>
      <c r="G22" s="71"/>
      <c r="H22" s="71"/>
      <c r="I22" s="71"/>
      <c r="J22" s="71"/>
      <c r="K22" s="71"/>
      <c r="L22" s="71"/>
      <c r="M22" s="71"/>
      <c r="N22" s="71"/>
      <c r="O22" s="64"/>
    </row>
    <row r="23" spans="1:15">
      <c r="A23" s="71"/>
      <c r="B23" s="71"/>
      <c r="C23" s="71"/>
      <c r="D23" s="71"/>
      <c r="E23" s="71"/>
      <c r="F23" s="71"/>
      <c r="G23" s="71"/>
      <c r="H23" s="71"/>
      <c r="I23" s="71"/>
      <c r="J23" s="71"/>
      <c r="K23" s="71"/>
      <c r="L23" s="71"/>
      <c r="M23" s="71"/>
      <c r="N23" s="71"/>
      <c r="O23" s="64"/>
    </row>
    <row r="24" spans="1:15">
      <c r="A24" s="71"/>
      <c r="B24" s="71"/>
      <c r="C24" s="71"/>
      <c r="D24" s="71"/>
      <c r="E24" s="71"/>
      <c r="F24" s="71"/>
      <c r="G24" s="71"/>
      <c r="H24" s="71"/>
      <c r="I24" s="71"/>
      <c r="J24" s="71"/>
      <c r="K24" s="71"/>
      <c r="L24" s="71"/>
      <c r="M24" s="71"/>
      <c r="N24" s="71"/>
      <c r="O24" s="64"/>
    </row>
    <row r="25" spans="1:15">
      <c r="A25" s="71"/>
      <c r="B25" s="71"/>
      <c r="C25" s="71"/>
      <c r="D25" s="71"/>
      <c r="E25" s="71"/>
      <c r="F25" s="71"/>
      <c r="G25" s="71"/>
      <c r="H25" s="71"/>
      <c r="I25" s="71"/>
      <c r="J25" s="71"/>
      <c r="K25" s="71"/>
      <c r="L25" s="71"/>
      <c r="M25" s="71"/>
      <c r="N25" s="71"/>
      <c r="O25" s="64"/>
    </row>
    <row r="26" spans="1:15">
      <c r="A26" s="71"/>
      <c r="B26" s="71"/>
      <c r="C26" s="71"/>
      <c r="D26" s="71"/>
      <c r="E26" s="71"/>
      <c r="F26" s="71"/>
      <c r="G26" s="71"/>
      <c r="H26" s="71"/>
      <c r="I26" s="71"/>
      <c r="J26" s="71"/>
      <c r="K26" s="71"/>
      <c r="L26" s="71"/>
      <c r="M26" s="71"/>
      <c r="N26" s="71"/>
      <c r="O26" s="64"/>
    </row>
    <row r="27" spans="1:15">
      <c r="A27" s="71"/>
      <c r="B27" s="71"/>
      <c r="C27" s="71"/>
      <c r="D27" s="71"/>
      <c r="E27" s="71"/>
      <c r="F27" s="71"/>
      <c r="G27" s="71"/>
      <c r="H27" s="71"/>
      <c r="I27" s="71"/>
      <c r="J27" s="71"/>
      <c r="K27" s="71"/>
      <c r="L27" s="71"/>
      <c r="M27" s="71"/>
      <c r="N27" s="71"/>
      <c r="O27" s="64"/>
    </row>
    <row r="28" spans="1:15">
      <c r="A28" s="71"/>
      <c r="B28" s="71"/>
      <c r="C28" s="71"/>
      <c r="D28" s="71"/>
      <c r="E28" s="71"/>
      <c r="F28" s="71"/>
      <c r="G28" s="71"/>
      <c r="H28" s="71"/>
      <c r="I28" s="71"/>
      <c r="J28" s="71"/>
      <c r="K28" s="71"/>
      <c r="L28" s="71"/>
      <c r="M28" s="71"/>
      <c r="N28" s="71"/>
      <c r="O28" s="64"/>
    </row>
    <row r="29" spans="1:15">
      <c r="A29" s="71"/>
      <c r="B29" s="71"/>
      <c r="C29" s="71"/>
      <c r="D29" s="71"/>
      <c r="E29" s="71"/>
      <c r="F29" s="71"/>
      <c r="G29" s="71"/>
      <c r="H29" s="71"/>
      <c r="I29" s="71"/>
      <c r="J29" s="71"/>
      <c r="K29" s="71"/>
      <c r="L29" s="71"/>
      <c r="M29" s="71"/>
      <c r="N29" s="71"/>
      <c r="O29" s="64"/>
    </row>
    <row r="30" spans="1:15">
      <c r="A30" s="71"/>
      <c r="B30" s="71"/>
      <c r="C30" s="71"/>
      <c r="D30" s="71"/>
      <c r="E30" s="71"/>
      <c r="F30" s="71"/>
      <c r="G30" s="71"/>
      <c r="H30" s="71"/>
      <c r="I30" s="71"/>
      <c r="J30" s="71"/>
      <c r="K30" s="71"/>
      <c r="L30" s="71"/>
      <c r="M30" s="71"/>
      <c r="N30" s="71"/>
      <c r="O30" s="64"/>
    </row>
    <row r="31" spans="1:15">
      <c r="A31" s="71"/>
      <c r="B31" s="71"/>
      <c r="C31" s="71"/>
      <c r="D31" s="71"/>
      <c r="E31" s="71"/>
      <c r="F31" s="71"/>
      <c r="G31" s="71"/>
      <c r="H31" s="71"/>
      <c r="I31" s="71"/>
      <c r="J31" s="71"/>
      <c r="K31" s="71"/>
      <c r="L31" s="71"/>
      <c r="M31" s="71"/>
      <c r="N31" s="71"/>
      <c r="O31" s="64"/>
    </row>
    <row r="32" spans="1:15">
      <c r="A32" s="71"/>
      <c r="B32" s="71"/>
      <c r="C32" s="71"/>
      <c r="D32" s="71"/>
      <c r="E32" s="71"/>
      <c r="F32" s="71"/>
      <c r="G32" s="71"/>
      <c r="H32" s="71"/>
      <c r="I32" s="71"/>
      <c r="J32" s="71"/>
      <c r="K32" s="71"/>
      <c r="L32" s="71"/>
      <c r="M32" s="71"/>
      <c r="N32" s="71"/>
      <c r="O32" s="64"/>
    </row>
    <row r="33" spans="1:25">
      <c r="A33" s="71"/>
      <c r="B33" s="71"/>
      <c r="C33" s="71"/>
      <c r="D33" s="71"/>
      <c r="E33" s="71"/>
      <c r="F33" s="71"/>
      <c r="G33" s="71"/>
      <c r="H33" s="71"/>
      <c r="I33" s="71"/>
      <c r="J33" s="71"/>
      <c r="K33" s="71"/>
      <c r="L33" s="71"/>
      <c r="M33" s="71"/>
      <c r="N33" s="71"/>
      <c r="O33" s="64"/>
    </row>
    <row r="34" spans="1:25">
      <c r="A34" s="71"/>
      <c r="B34" s="71"/>
      <c r="C34" s="71"/>
      <c r="D34" s="71"/>
      <c r="E34" s="71"/>
      <c r="F34" s="71"/>
      <c r="G34" s="71"/>
      <c r="H34" s="71"/>
      <c r="I34" s="71"/>
      <c r="J34" s="71"/>
      <c r="K34" s="71"/>
      <c r="L34" s="71"/>
      <c r="M34" s="71"/>
      <c r="N34" s="71"/>
      <c r="O34" s="64"/>
    </row>
    <row r="35" spans="1:25">
      <c r="A35" s="71"/>
      <c r="B35" s="71"/>
      <c r="C35" s="71"/>
      <c r="D35" s="71"/>
      <c r="E35" s="71"/>
      <c r="F35" s="71"/>
      <c r="G35" s="71"/>
      <c r="H35" s="71"/>
      <c r="I35" s="71"/>
      <c r="J35" s="71"/>
      <c r="K35" s="71"/>
      <c r="L35" s="71"/>
      <c r="M35" s="71"/>
      <c r="N35" s="71"/>
      <c r="O35" s="64"/>
    </row>
    <row r="36" spans="1:25">
      <c r="A36" s="71"/>
      <c r="B36" s="71"/>
      <c r="C36" s="71"/>
      <c r="D36" s="71"/>
      <c r="E36" s="71"/>
      <c r="F36" s="71"/>
      <c r="G36" s="71"/>
      <c r="H36" s="71"/>
      <c r="I36" s="71"/>
      <c r="J36" s="71"/>
      <c r="K36" s="71"/>
      <c r="L36" s="71"/>
      <c r="M36" s="71"/>
      <c r="N36" s="71"/>
      <c r="O36" s="64"/>
    </row>
    <row r="37" spans="1:25" ht="18.75" customHeight="1" thickBot="1">
      <c r="A37" s="71"/>
      <c r="B37" s="83" t="str">
        <f>"Summary Table:  "&amp;$C$11&amp;" "&amp;IF($C$13="S","Scheduled",IF($C$13="SS","Semi-scheduled",IF($C$13="NS","Non-scheduled",IF($C$13="S &amp; SS","Scheduled &amp; Semi-scheduled","Scheduled, Semi-scheduled &amp; Non-scheduled"))))&amp;" Generation (MW) - Existing and New Developments by Fuel-Technology Category"</f>
        <v>Summary Table:  NEM Scheduled &amp; Semi-scheduled Generation (MW) - Existing and New Developments by Fuel-Technology Category</v>
      </c>
      <c r="C37" s="71"/>
      <c r="D37" s="71"/>
      <c r="E37" s="71"/>
      <c r="F37" s="71"/>
      <c r="G37" s="71"/>
      <c r="H37" s="71"/>
      <c r="I37" s="71"/>
      <c r="J37" s="71"/>
      <c r="K37" s="71"/>
      <c r="L37" s="71"/>
      <c r="M37" s="71"/>
      <c r="N37" s="71"/>
      <c r="O37" s="64"/>
    </row>
    <row r="38" spans="1:25" ht="25.5" customHeight="1" thickBot="1">
      <c r="A38" s="71"/>
      <c r="B38" s="71"/>
      <c r="C38" s="84"/>
      <c r="D38" s="249" t="s">
        <v>9</v>
      </c>
      <c r="E38" s="250"/>
      <c r="F38" s="250"/>
      <c r="G38" s="250"/>
      <c r="H38" s="250"/>
      <c r="I38" s="250"/>
      <c r="J38" s="250"/>
      <c r="K38" s="250"/>
      <c r="L38" s="250"/>
      <c r="M38" s="250"/>
      <c r="N38" s="251"/>
      <c r="O38" s="64"/>
    </row>
    <row r="39" spans="1:25" ht="25.5" customHeight="1" thickBot="1">
      <c r="A39" s="71"/>
      <c r="B39" s="85"/>
      <c r="C39" s="86" t="s">
        <v>10</v>
      </c>
      <c r="D39" s="87" t="s">
        <v>11</v>
      </c>
      <c r="E39" s="87" t="s">
        <v>12</v>
      </c>
      <c r="F39" s="87" t="s">
        <v>13</v>
      </c>
      <c r="G39" s="87" t="s">
        <v>14</v>
      </c>
      <c r="H39" s="87" t="s">
        <v>15</v>
      </c>
      <c r="I39" s="87" t="s">
        <v>16</v>
      </c>
      <c r="J39" s="87" t="s">
        <v>17</v>
      </c>
      <c r="K39" s="87" t="s">
        <v>18</v>
      </c>
      <c r="L39" s="87" t="s">
        <v>19</v>
      </c>
      <c r="M39" s="87" t="s">
        <v>20</v>
      </c>
      <c r="N39" s="87" t="s">
        <v>21</v>
      </c>
      <c r="O39" s="64"/>
    </row>
    <row r="40" spans="1:25" ht="15" thickBot="1">
      <c r="A40" s="71"/>
      <c r="B40" s="88"/>
      <c r="C40" s="89" t="s">
        <v>22</v>
      </c>
      <c r="D40" s="90">
        <f t="shared" ref="D40:M40" si="0">D41+D42</f>
        <v>21255</v>
      </c>
      <c r="E40" s="91">
        <f t="shared" si="0"/>
        <v>2779.6699999999996</v>
      </c>
      <c r="F40" s="90">
        <f t="shared" si="0"/>
        <v>6837.2899999999991</v>
      </c>
      <c r="G40" s="91">
        <f t="shared" si="0"/>
        <v>1567</v>
      </c>
      <c r="H40" s="90">
        <f t="shared" si="0"/>
        <v>8145.0300000000043</v>
      </c>
      <c r="I40" s="91">
        <f>I41+I42</f>
        <v>9198.3599999999988</v>
      </c>
      <c r="J40" s="90">
        <f t="shared" si="0"/>
        <v>7643.12</v>
      </c>
      <c r="K40" s="91">
        <f t="shared" si="0"/>
        <v>0</v>
      </c>
      <c r="L40" s="90">
        <f t="shared" si="0"/>
        <v>1011.26</v>
      </c>
      <c r="M40" s="91">
        <f t="shared" si="0"/>
        <v>103.5</v>
      </c>
      <c r="N40" s="90">
        <f t="shared" ref="N40:N47" si="1">SUM(D40:M40)</f>
        <v>58540.23000000001</v>
      </c>
      <c r="O40" s="64"/>
      <c r="P40" s="148"/>
      <c r="Q40" s="149"/>
      <c r="R40" s="148"/>
      <c r="S40" s="148"/>
      <c r="T40" s="148"/>
      <c r="U40" s="148"/>
      <c r="V40" s="148"/>
      <c r="W40" s="148"/>
      <c r="X40" s="148"/>
      <c r="Y40" s="148"/>
    </row>
    <row r="41" spans="1:25" ht="15" thickBot="1">
      <c r="A41" s="71"/>
      <c r="B41" s="92"/>
      <c r="C41" s="93" t="s">
        <v>23</v>
      </c>
      <c r="D41" s="90"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2880</v>
      </c>
      <c r="E41" s="154"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0</v>
      </c>
      <c r="F41" s="155"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0</v>
      </c>
      <c r="G41" s="154"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55"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54"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55"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54"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55"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54"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90">
        <f t="shared" si="1"/>
        <v>3680</v>
      </c>
      <c r="O41" s="64"/>
      <c r="P41" s="148"/>
      <c r="Q41" s="148"/>
      <c r="R41" s="148"/>
      <c r="S41" s="148"/>
      <c r="T41" s="148"/>
      <c r="U41" s="148"/>
      <c r="V41" s="148"/>
      <c r="W41" s="148"/>
      <c r="X41" s="148"/>
      <c r="Y41" s="148"/>
    </row>
    <row r="42" spans="1:25" ht="23.15" customHeight="1" thickBot="1">
      <c r="A42" s="71"/>
      <c r="B42" s="94"/>
      <c r="C42" s="93" t="s">
        <v>24</v>
      </c>
      <c r="D42" s="90"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18375</v>
      </c>
      <c r="E42" s="154"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2779.6699999999996</v>
      </c>
      <c r="F42" s="155"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6837.2899999999991</v>
      </c>
      <c r="G42" s="154"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767.00000000000011</v>
      </c>
      <c r="H42" s="155"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8145.0300000000043</v>
      </c>
      <c r="I42" s="154"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9198.3599999999988</v>
      </c>
      <c r="J42" s="155"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7643.12</v>
      </c>
      <c r="K42" s="154"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0</v>
      </c>
      <c r="L42" s="155"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1011.26</v>
      </c>
      <c r="M42" s="154"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103.5</v>
      </c>
      <c r="N42" s="90">
        <f>SUM(D42:M42)</f>
        <v>54860.23000000001</v>
      </c>
      <c r="O42" s="64"/>
      <c r="P42" s="148"/>
      <c r="Q42" s="148"/>
      <c r="R42" s="148"/>
      <c r="S42" s="148"/>
      <c r="T42" s="148"/>
      <c r="U42" s="148"/>
      <c r="V42" s="148"/>
      <c r="W42" s="148"/>
      <c r="X42" s="148"/>
      <c r="Y42" s="148"/>
    </row>
    <row r="43" spans="1:25" ht="15" thickBot="1">
      <c r="A43" s="71"/>
      <c r="B43" s="95"/>
      <c r="C43" s="93" t="s">
        <v>25</v>
      </c>
      <c r="D43" s="90"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30</v>
      </c>
      <c r="E43" s="154"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55"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54"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55"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54"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55"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54"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55"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54"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90">
        <f t="shared" si="1"/>
        <v>30</v>
      </c>
      <c r="O43" s="64"/>
      <c r="P43" s="148"/>
      <c r="Q43" s="148"/>
      <c r="R43" s="148"/>
      <c r="S43" s="148"/>
      <c r="T43" s="148"/>
      <c r="U43" s="148"/>
      <c r="V43" s="148"/>
      <c r="W43" s="148"/>
      <c r="X43" s="148"/>
      <c r="Y43" s="148"/>
    </row>
    <row r="44" spans="1:25" ht="15" thickBot="1">
      <c r="A44" s="71"/>
      <c r="B44" s="146"/>
      <c r="C44" s="93" t="s">
        <v>26</v>
      </c>
      <c r="D44" s="90"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54"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55"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1070</v>
      </c>
      <c r="G44" s="154"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55"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2372.9500000000003</v>
      </c>
      <c r="I44" s="154"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2536.4899999999998</v>
      </c>
      <c r="J44" s="155"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2290</v>
      </c>
      <c r="K44" s="154"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55"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1592.07</v>
      </c>
      <c r="M44" s="154"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90">
        <f t="shared" si="1"/>
        <v>9861.51</v>
      </c>
      <c r="O44" s="64"/>
      <c r="P44" s="148"/>
      <c r="Q44" s="148"/>
      <c r="R44" s="148"/>
      <c r="S44" s="148"/>
      <c r="T44" s="148"/>
      <c r="U44" s="148"/>
      <c r="V44" s="148"/>
      <c r="W44" s="148"/>
      <c r="X44" s="148"/>
      <c r="Y44" s="148"/>
    </row>
    <row r="45" spans="1:25" ht="15" thickBot="1">
      <c r="A45" s="71"/>
      <c r="B45" s="145"/>
      <c r="C45" s="93" t="s">
        <v>27</v>
      </c>
      <c r="D45" s="90"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54"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55"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0</v>
      </c>
      <c r="G45" s="154"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55"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1100.23</v>
      </c>
      <c r="I45" s="154"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1775.74</v>
      </c>
      <c r="J45" s="155"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1998</v>
      </c>
      <c r="K45" s="154"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55"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3381.24</v>
      </c>
      <c r="M45" s="154"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90">
        <f t="shared" ref="N45" si="2">SUM(D45:M45)</f>
        <v>8255.2099999999991</v>
      </c>
      <c r="O45" s="64"/>
      <c r="P45" s="148"/>
      <c r="Q45" s="148"/>
      <c r="R45" s="148"/>
      <c r="S45" s="148"/>
      <c r="T45" s="148"/>
      <c r="U45" s="148"/>
      <c r="V45" s="148"/>
      <c r="W45" s="148"/>
      <c r="X45" s="148"/>
      <c r="Y45" s="148"/>
    </row>
    <row r="46" spans="1:25" ht="15" thickBot="1">
      <c r="A46" s="71"/>
      <c r="B46" s="96"/>
      <c r="C46" s="93" t="s">
        <v>28</v>
      </c>
      <c r="D46" s="90"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154"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55"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2463.85</v>
      </c>
      <c r="G46" s="154"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1829.6</v>
      </c>
      <c r="H46" s="155"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43324.23000000001</v>
      </c>
      <c r="I46" s="154"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130046.15000000002</v>
      </c>
      <c r="J46" s="155"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15971</v>
      </c>
      <c r="K46" s="154"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261</v>
      </c>
      <c r="L46" s="155"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47766.79</v>
      </c>
      <c r="M46" s="154"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4874</v>
      </c>
      <c r="N46" s="90">
        <f>SUM(D46:M46)</f>
        <v>247733.62000000002</v>
      </c>
      <c r="O46" s="64"/>
      <c r="P46" s="148"/>
      <c r="Q46" s="148"/>
      <c r="R46" s="148"/>
      <c r="S46" s="148"/>
      <c r="T46" s="148"/>
      <c r="U46" s="148"/>
      <c r="V46" s="148"/>
      <c r="W46" s="148"/>
      <c r="X46" s="148"/>
      <c r="Y46" s="148"/>
    </row>
    <row r="47" spans="1:25" ht="15" thickBot="1">
      <c r="A47" s="71"/>
      <c r="B47" s="97"/>
      <c r="C47" s="93" t="s">
        <v>29</v>
      </c>
      <c r="D47" s="90"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1500</v>
      </c>
      <c r="E47" s="154"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55"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54"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120</v>
      </c>
      <c r="H47" s="155"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54"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55"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54"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55"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54"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90">
        <f t="shared" si="1"/>
        <v>1620</v>
      </c>
      <c r="O47" s="64"/>
      <c r="P47" s="148"/>
      <c r="Q47" s="148"/>
      <c r="R47" s="148"/>
      <c r="S47" s="148"/>
      <c r="T47" s="148"/>
      <c r="U47" s="148"/>
      <c r="V47" s="148"/>
      <c r="W47" s="148"/>
      <c r="X47" s="148"/>
      <c r="Y47" s="148"/>
    </row>
    <row r="48" spans="1:25" ht="18.75" customHeight="1">
      <c r="A48" s="71"/>
      <c r="B48" s="71"/>
      <c r="C48" s="98" t="s">
        <v>30</v>
      </c>
      <c r="D48" s="99"/>
      <c r="E48" s="99"/>
      <c r="F48" s="99"/>
      <c r="G48" s="99"/>
      <c r="H48" s="99"/>
      <c r="I48" s="99"/>
      <c r="J48" s="99"/>
      <c r="K48" s="99"/>
      <c r="L48" s="99"/>
      <c r="M48" s="99"/>
      <c r="N48" s="71"/>
      <c r="O48" s="64"/>
    </row>
    <row r="49" spans="1:15" ht="13.4" customHeight="1">
      <c r="A49" s="71"/>
      <c r="B49" s="71"/>
      <c r="C49" s="100" t="s">
        <v>31</v>
      </c>
      <c r="D49" s="101"/>
      <c r="E49" s="101"/>
      <c r="F49" s="101"/>
      <c r="G49" s="101"/>
      <c r="H49" s="101"/>
      <c r="I49" s="101"/>
      <c r="J49" s="101"/>
      <c r="K49" s="101"/>
      <c r="L49" s="101"/>
      <c r="M49" s="71"/>
      <c r="N49" s="71"/>
      <c r="O49" s="64"/>
    </row>
    <row r="50" spans="1:15" ht="13.4" customHeight="1">
      <c r="A50" s="71"/>
      <c r="B50" s="71"/>
      <c r="C50" s="100" t="s">
        <v>32</v>
      </c>
      <c r="D50" s="71"/>
      <c r="E50" s="71"/>
      <c r="F50" s="71"/>
      <c r="G50" s="71"/>
      <c r="H50" s="71"/>
      <c r="I50" s="71"/>
      <c r="J50" s="71"/>
      <c r="K50" s="71"/>
      <c r="L50" s="71"/>
      <c r="M50" s="71"/>
      <c r="N50" s="71"/>
      <c r="O50" s="64"/>
    </row>
    <row r="51" spans="1:15" ht="13.4" customHeight="1">
      <c r="A51" s="71"/>
      <c r="B51" s="71"/>
      <c r="C51" s="100" t="s">
        <v>33</v>
      </c>
      <c r="D51" s="71"/>
      <c r="E51" s="71"/>
      <c r="F51" s="71"/>
      <c r="G51" s="71"/>
      <c r="H51" s="71"/>
      <c r="I51" s="71"/>
      <c r="J51" s="71"/>
      <c r="K51" s="71"/>
      <c r="L51" s="71"/>
      <c r="M51" s="71"/>
      <c r="N51" s="71"/>
      <c r="O51" s="64"/>
    </row>
    <row r="52" spans="1:15">
      <c r="A52" s="71"/>
      <c r="B52" s="71"/>
      <c r="C52" s="100" t="s">
        <v>34</v>
      </c>
      <c r="D52" s="71"/>
      <c r="E52" s="71"/>
      <c r="F52" s="71"/>
      <c r="G52" s="71"/>
      <c r="H52" s="71"/>
      <c r="I52" s="71"/>
      <c r="J52" s="71"/>
      <c r="K52" s="71"/>
      <c r="L52" s="71"/>
      <c r="M52" s="71"/>
      <c r="N52" s="71"/>
      <c r="O52" s="64"/>
    </row>
    <row r="53" spans="1:15">
      <c r="A53" s="71"/>
      <c r="B53" s="71"/>
      <c r="C53" s="100" t="s">
        <v>35</v>
      </c>
      <c r="D53" s="71"/>
      <c r="E53" s="71"/>
      <c r="F53" s="71"/>
      <c r="G53" s="71"/>
      <c r="H53" s="71"/>
      <c r="I53" s="71"/>
      <c r="J53" s="71"/>
      <c r="K53" s="71"/>
      <c r="L53" s="71"/>
      <c r="M53" s="71"/>
      <c r="N53" s="71"/>
      <c r="O53" s="64"/>
    </row>
    <row r="54" spans="1:15">
      <c r="A54" s="71"/>
      <c r="B54" s="71"/>
      <c r="C54" s="71"/>
      <c r="D54" s="71"/>
      <c r="E54" s="71"/>
      <c r="F54" s="71"/>
      <c r="G54" s="71"/>
      <c r="H54" s="71"/>
      <c r="I54" s="71"/>
      <c r="J54" s="71"/>
      <c r="K54" s="71"/>
      <c r="L54" s="71"/>
      <c r="M54" s="71"/>
      <c r="N54" s="71"/>
      <c r="O54" s="64"/>
    </row>
  </sheetData>
  <sheetProtection algorithmName="SHA-512" hashValue="oyLTOoW7aAyC4s1SF08ntHGxeez3a/7p4jTjNWv8fXNo2cVRfDznondrsVOcAVWAFhH8v2wOJTejXAot7N/Mqg==" saltValue="eVLCJbRwnySNV6ScQWKSBA==" spinCount="100000" sheet="1" formatColumns="0" formatRows="0"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96B4-2373-4A7E-B887-B952D8F41327}">
  <sheetPr codeName="Sheet3">
    <pageSetUpPr fitToPage="1"/>
  </sheetPr>
  <dimension ref="A1:H852"/>
  <sheetViews>
    <sheetView zoomScaleNormal="100" workbookViewId="0"/>
  </sheetViews>
  <sheetFormatPr defaultColWidth="9.453125" defaultRowHeight="14.5"/>
  <cols>
    <col min="1" max="1" width="12.54296875" customWidth="1"/>
    <col min="2" max="2" width="10.453125" customWidth="1"/>
    <col min="3" max="3" width="17.54296875" bestFit="1" customWidth="1"/>
    <col min="4" max="4" width="48.90625" bestFit="1" customWidth="1"/>
    <col min="5" max="5" width="31.453125" bestFit="1" customWidth="1"/>
    <col min="6" max="6" width="21.6328125" customWidth="1"/>
    <col min="7" max="7" width="71.453125" customWidth="1"/>
    <col min="8" max="8" width="10.453125" customWidth="1"/>
  </cols>
  <sheetData>
    <row r="1" spans="1:8" s="24" customFormat="1" ht="19">
      <c r="A1" s="24" t="str">
        <f>" Change Log"</f>
        <v xml:space="preserve"> Change Log</v>
      </c>
    </row>
    <row r="2" spans="1:8">
      <c r="A2" s="102" t="s">
        <v>36</v>
      </c>
      <c r="B2" s="23"/>
      <c r="C2" s="23"/>
      <c r="D2" s="23"/>
      <c r="E2" s="23"/>
      <c r="F2" s="62"/>
      <c r="G2" s="62"/>
      <c r="H2" s="23"/>
    </row>
    <row r="3" spans="1:8">
      <c r="A3" s="102" t="s">
        <v>37</v>
      </c>
      <c r="B3" s="23"/>
      <c r="C3" s="23"/>
      <c r="D3" s="23"/>
      <c r="E3" s="23"/>
      <c r="F3" s="62"/>
      <c r="G3" s="23"/>
      <c r="H3" s="23"/>
    </row>
    <row r="4" spans="1:8">
      <c r="A4" s="102"/>
      <c r="B4" s="23"/>
      <c r="C4" s="23"/>
      <c r="D4" s="23"/>
      <c r="E4" s="23"/>
      <c r="F4" s="62"/>
      <c r="G4" s="23"/>
      <c r="H4" s="23"/>
    </row>
    <row r="5" spans="1:8" ht="23">
      <c r="A5" s="109" t="s">
        <v>38</v>
      </c>
      <c r="B5" s="109" t="s">
        <v>6</v>
      </c>
      <c r="C5" s="109" t="s">
        <v>39</v>
      </c>
      <c r="D5" s="109" t="s">
        <v>40</v>
      </c>
      <c r="E5" s="109" t="s">
        <v>41</v>
      </c>
      <c r="F5" s="109" t="s">
        <v>42</v>
      </c>
      <c r="G5" s="109" t="s">
        <v>43</v>
      </c>
      <c r="H5" s="110" t="s">
        <v>44</v>
      </c>
    </row>
    <row r="6" spans="1:8" ht="20">
      <c r="A6" s="208">
        <v>45120</v>
      </c>
      <c r="B6" s="209" t="s">
        <v>45</v>
      </c>
      <c r="C6" s="210" t="s">
        <v>46</v>
      </c>
      <c r="D6" s="213" t="s">
        <v>47</v>
      </c>
      <c r="E6" s="211" t="s">
        <v>48</v>
      </c>
      <c r="F6" s="211" t="s">
        <v>49</v>
      </c>
      <c r="G6" s="211" t="s">
        <v>50</v>
      </c>
      <c r="H6" s="212">
        <v>45120</v>
      </c>
    </row>
    <row r="7" spans="1:8">
      <c r="A7" s="208">
        <v>45120</v>
      </c>
      <c r="B7" s="209" t="s">
        <v>45</v>
      </c>
      <c r="C7" s="210" t="s">
        <v>51</v>
      </c>
      <c r="D7" s="213" t="s">
        <v>52</v>
      </c>
      <c r="E7" s="211" t="s">
        <v>53</v>
      </c>
      <c r="F7" s="211" t="s">
        <v>54</v>
      </c>
      <c r="G7" s="211" t="s">
        <v>55</v>
      </c>
      <c r="H7" s="212">
        <v>45120</v>
      </c>
    </row>
    <row r="8" spans="1:8">
      <c r="A8" s="208">
        <v>45120</v>
      </c>
      <c r="B8" s="209" t="s">
        <v>45</v>
      </c>
      <c r="C8" s="210" t="s">
        <v>51</v>
      </c>
      <c r="D8" s="213" t="s">
        <v>52</v>
      </c>
      <c r="E8" s="211" t="s">
        <v>53</v>
      </c>
      <c r="F8" s="211" t="s">
        <v>56</v>
      </c>
      <c r="G8" s="211" t="s">
        <v>55</v>
      </c>
      <c r="H8" s="212">
        <v>45120</v>
      </c>
    </row>
    <row r="9" spans="1:8">
      <c r="A9" s="208">
        <v>45120</v>
      </c>
      <c r="B9" s="209" t="s">
        <v>45</v>
      </c>
      <c r="C9" s="210" t="s">
        <v>51</v>
      </c>
      <c r="D9" s="213" t="s">
        <v>52</v>
      </c>
      <c r="E9" s="211" t="s">
        <v>53</v>
      </c>
      <c r="F9" s="211" t="s">
        <v>57</v>
      </c>
      <c r="G9" s="211" t="s">
        <v>55</v>
      </c>
      <c r="H9" s="212">
        <v>45120</v>
      </c>
    </row>
    <row r="10" spans="1:8">
      <c r="A10" s="208">
        <v>45120</v>
      </c>
      <c r="B10" s="209" t="s">
        <v>45</v>
      </c>
      <c r="C10" s="210" t="s">
        <v>46</v>
      </c>
      <c r="D10" s="213" t="s">
        <v>58</v>
      </c>
      <c r="E10" s="211" t="s">
        <v>59</v>
      </c>
      <c r="F10" s="211"/>
      <c r="G10" s="211" t="s">
        <v>60</v>
      </c>
      <c r="H10" s="212">
        <v>45120</v>
      </c>
    </row>
    <row r="11" spans="1:8">
      <c r="A11" s="208">
        <v>45120</v>
      </c>
      <c r="B11" s="209" t="s">
        <v>45</v>
      </c>
      <c r="C11" s="210" t="s">
        <v>51</v>
      </c>
      <c r="D11" s="213" t="s">
        <v>61</v>
      </c>
      <c r="E11" s="211" t="s">
        <v>62</v>
      </c>
      <c r="F11" s="211"/>
      <c r="G11" s="211" t="s">
        <v>63</v>
      </c>
      <c r="H11" s="212">
        <v>45120</v>
      </c>
    </row>
    <row r="12" spans="1:8">
      <c r="A12" s="208">
        <v>45120</v>
      </c>
      <c r="B12" s="209" t="s">
        <v>45</v>
      </c>
      <c r="C12" s="210" t="s">
        <v>46</v>
      </c>
      <c r="D12" s="213" t="s">
        <v>64</v>
      </c>
      <c r="E12" s="211" t="s">
        <v>65</v>
      </c>
      <c r="F12" s="211"/>
      <c r="G12" s="211" t="s">
        <v>66</v>
      </c>
      <c r="H12" s="212">
        <v>45120</v>
      </c>
    </row>
    <row r="13" spans="1:8" ht="20">
      <c r="A13" s="208">
        <v>45120</v>
      </c>
      <c r="B13" s="209" t="s">
        <v>45</v>
      </c>
      <c r="C13" s="210" t="s">
        <v>51</v>
      </c>
      <c r="D13" s="213" t="s">
        <v>67</v>
      </c>
      <c r="E13" s="211" t="s">
        <v>68</v>
      </c>
      <c r="F13" s="211" t="s">
        <v>69</v>
      </c>
      <c r="G13" s="211" t="s">
        <v>3997</v>
      </c>
      <c r="H13" s="212">
        <v>45120</v>
      </c>
    </row>
    <row r="14" spans="1:8">
      <c r="A14" s="208">
        <v>45120</v>
      </c>
      <c r="B14" s="209" t="s">
        <v>45</v>
      </c>
      <c r="C14" s="210" t="s">
        <v>46</v>
      </c>
      <c r="D14" s="213" t="s">
        <v>70</v>
      </c>
      <c r="E14" s="211" t="s">
        <v>71</v>
      </c>
      <c r="F14" s="211" t="s">
        <v>72</v>
      </c>
      <c r="G14" s="211" t="s">
        <v>73</v>
      </c>
      <c r="H14" s="212">
        <v>45120</v>
      </c>
    </row>
    <row r="15" spans="1:8">
      <c r="A15" s="208">
        <v>45120</v>
      </c>
      <c r="B15" s="209" t="s">
        <v>45</v>
      </c>
      <c r="C15" s="210" t="s">
        <v>46</v>
      </c>
      <c r="D15" s="213" t="s">
        <v>74</v>
      </c>
      <c r="E15" s="211" t="s">
        <v>75</v>
      </c>
      <c r="F15" s="211"/>
      <c r="G15" s="211" t="s">
        <v>50</v>
      </c>
      <c r="H15" s="212">
        <v>45120</v>
      </c>
    </row>
    <row r="16" spans="1:8">
      <c r="A16" s="208">
        <v>45120</v>
      </c>
      <c r="B16" s="209" t="s">
        <v>77</v>
      </c>
      <c r="C16" s="210" t="s">
        <v>46</v>
      </c>
      <c r="D16" s="213" t="s">
        <v>3999</v>
      </c>
      <c r="E16" s="211" t="s">
        <v>79</v>
      </c>
      <c r="F16" s="211"/>
      <c r="G16" s="211" t="s">
        <v>60</v>
      </c>
      <c r="H16" s="212">
        <v>45120</v>
      </c>
    </row>
    <row r="17" spans="1:8">
      <c r="A17" s="208">
        <v>45120</v>
      </c>
      <c r="B17" s="209" t="s">
        <v>77</v>
      </c>
      <c r="C17" s="210" t="s">
        <v>46</v>
      </c>
      <c r="D17" s="213" t="s">
        <v>80</v>
      </c>
      <c r="E17" s="211" t="s">
        <v>81</v>
      </c>
      <c r="F17" s="211"/>
      <c r="G17" s="211" t="s">
        <v>60</v>
      </c>
      <c r="H17" s="212">
        <v>45120</v>
      </c>
    </row>
    <row r="18" spans="1:8">
      <c r="A18" s="208">
        <v>45120</v>
      </c>
      <c r="B18" s="209" t="s">
        <v>77</v>
      </c>
      <c r="C18" s="210" t="s">
        <v>46</v>
      </c>
      <c r="D18" s="213" t="s">
        <v>3998</v>
      </c>
      <c r="E18" s="211" t="s">
        <v>83</v>
      </c>
      <c r="F18" s="211"/>
      <c r="G18" s="211" t="s">
        <v>84</v>
      </c>
      <c r="H18" s="212">
        <v>45120</v>
      </c>
    </row>
    <row r="19" spans="1:8" ht="20">
      <c r="A19" s="208">
        <v>45120</v>
      </c>
      <c r="B19" s="209" t="s">
        <v>77</v>
      </c>
      <c r="C19" s="210" t="s">
        <v>46</v>
      </c>
      <c r="D19" s="213" t="s">
        <v>85</v>
      </c>
      <c r="E19" s="211" t="s">
        <v>86</v>
      </c>
      <c r="F19" s="211"/>
      <c r="G19" s="211" t="s">
        <v>87</v>
      </c>
      <c r="H19" s="212">
        <v>45120</v>
      </c>
    </row>
    <row r="20" spans="1:8">
      <c r="A20" s="208">
        <v>45120</v>
      </c>
      <c r="B20" s="209" t="s">
        <v>77</v>
      </c>
      <c r="C20" s="210" t="s">
        <v>46</v>
      </c>
      <c r="D20" s="213" t="s">
        <v>88</v>
      </c>
      <c r="E20" s="211" t="s">
        <v>89</v>
      </c>
      <c r="F20" s="211" t="s">
        <v>90</v>
      </c>
      <c r="G20" s="211" t="s">
        <v>50</v>
      </c>
      <c r="H20" s="212">
        <v>45120</v>
      </c>
    </row>
    <row r="21" spans="1:8">
      <c r="A21" s="208">
        <v>45120</v>
      </c>
      <c r="B21" s="209" t="s">
        <v>91</v>
      </c>
      <c r="C21" s="210" t="s">
        <v>46</v>
      </c>
      <c r="D21" s="213" t="s">
        <v>92</v>
      </c>
      <c r="E21" s="211" t="s">
        <v>93</v>
      </c>
      <c r="F21" s="211"/>
      <c r="G21" s="211" t="s">
        <v>63</v>
      </c>
      <c r="H21" s="212">
        <v>45120</v>
      </c>
    </row>
    <row r="22" spans="1:8" ht="30">
      <c r="A22" s="208">
        <v>45120</v>
      </c>
      <c r="B22" s="209" t="s">
        <v>91</v>
      </c>
      <c r="C22" s="210" t="s">
        <v>46</v>
      </c>
      <c r="D22" s="213" t="s">
        <v>94</v>
      </c>
      <c r="E22" s="211" t="s">
        <v>95</v>
      </c>
      <c r="F22" s="211" t="s">
        <v>96</v>
      </c>
      <c r="G22" s="211" t="s">
        <v>73</v>
      </c>
      <c r="H22" s="212">
        <v>45120</v>
      </c>
    </row>
    <row r="23" spans="1:8">
      <c r="A23" s="208">
        <v>45120</v>
      </c>
      <c r="B23" s="209" t="s">
        <v>91</v>
      </c>
      <c r="C23" s="210" t="s">
        <v>46</v>
      </c>
      <c r="D23" s="213" t="s">
        <v>97</v>
      </c>
      <c r="E23" s="211" t="s">
        <v>98</v>
      </c>
      <c r="F23" s="211"/>
      <c r="G23" s="211" t="s">
        <v>50</v>
      </c>
      <c r="H23" s="212">
        <v>45120</v>
      </c>
    </row>
    <row r="24" spans="1:8">
      <c r="A24" s="208">
        <v>45120</v>
      </c>
      <c r="B24" s="209" t="s">
        <v>91</v>
      </c>
      <c r="C24" s="210" t="s">
        <v>46</v>
      </c>
      <c r="D24" s="213" t="s">
        <v>99</v>
      </c>
      <c r="E24" s="211" t="s">
        <v>100</v>
      </c>
      <c r="F24" s="211"/>
      <c r="G24" s="211" t="s">
        <v>60</v>
      </c>
      <c r="H24" s="212">
        <v>45120</v>
      </c>
    </row>
    <row r="25" spans="1:8" ht="20">
      <c r="A25" s="208">
        <v>45120</v>
      </c>
      <c r="B25" s="209" t="s">
        <v>91</v>
      </c>
      <c r="C25" s="210" t="s">
        <v>46</v>
      </c>
      <c r="D25" s="213" t="s">
        <v>101</v>
      </c>
      <c r="E25" s="211" t="s">
        <v>102</v>
      </c>
      <c r="F25" s="211" t="s">
        <v>103</v>
      </c>
      <c r="G25" s="211" t="s">
        <v>104</v>
      </c>
      <c r="H25" s="212">
        <v>45120</v>
      </c>
    </row>
    <row r="26" spans="1:8">
      <c r="A26" s="208">
        <v>45120</v>
      </c>
      <c r="B26" s="209" t="s">
        <v>105</v>
      </c>
      <c r="C26" s="210" t="s">
        <v>46</v>
      </c>
      <c r="D26" s="213" t="s">
        <v>106</v>
      </c>
      <c r="E26" s="211" t="s">
        <v>107</v>
      </c>
      <c r="F26" s="211"/>
      <c r="G26" s="211" t="s">
        <v>63</v>
      </c>
      <c r="H26" s="212">
        <v>45120</v>
      </c>
    </row>
    <row r="27" spans="1:8">
      <c r="A27" s="208">
        <v>45120</v>
      </c>
      <c r="B27" s="209" t="s">
        <v>105</v>
      </c>
      <c r="C27" s="210" t="s">
        <v>51</v>
      </c>
      <c r="D27" s="213" t="s">
        <v>108</v>
      </c>
      <c r="E27" s="211" t="s">
        <v>109</v>
      </c>
      <c r="F27" s="211"/>
      <c r="G27" s="211" t="s">
        <v>63</v>
      </c>
      <c r="H27" s="212">
        <v>45120</v>
      </c>
    </row>
    <row r="28" spans="1:8">
      <c r="A28" s="208">
        <v>45120</v>
      </c>
      <c r="B28" s="209" t="s">
        <v>110</v>
      </c>
      <c r="C28" s="210" t="s">
        <v>46</v>
      </c>
      <c r="D28" s="213" t="s">
        <v>111</v>
      </c>
      <c r="E28" s="211" t="s">
        <v>112</v>
      </c>
      <c r="F28" s="211" t="s">
        <v>113</v>
      </c>
      <c r="G28" s="211" t="s">
        <v>104</v>
      </c>
      <c r="H28" s="212">
        <v>45120</v>
      </c>
    </row>
    <row r="29" spans="1:8">
      <c r="A29" s="208">
        <v>45120</v>
      </c>
      <c r="B29" s="209" t="s">
        <v>110</v>
      </c>
      <c r="C29" s="210" t="s">
        <v>46</v>
      </c>
      <c r="D29" s="213" t="s">
        <v>114</v>
      </c>
      <c r="E29" s="211" t="s">
        <v>115</v>
      </c>
      <c r="F29" s="211" t="s">
        <v>116</v>
      </c>
      <c r="G29" s="211" t="s">
        <v>50</v>
      </c>
      <c r="H29" s="212">
        <v>45120</v>
      </c>
    </row>
    <row r="30" spans="1:8" ht="20">
      <c r="A30" s="208">
        <v>45120</v>
      </c>
      <c r="B30" s="209" t="s">
        <v>110</v>
      </c>
      <c r="C30" s="210" t="s">
        <v>46</v>
      </c>
      <c r="D30" s="213" t="s">
        <v>117</v>
      </c>
      <c r="E30" s="211" t="s">
        <v>118</v>
      </c>
      <c r="F30" s="211"/>
      <c r="G30" s="211" t="s">
        <v>66</v>
      </c>
      <c r="H30" s="212">
        <v>45120</v>
      </c>
    </row>
    <row r="31" spans="1:8">
      <c r="A31" s="208">
        <v>45120</v>
      </c>
      <c r="B31" s="209" t="s">
        <v>110</v>
      </c>
      <c r="C31" s="210" t="s">
        <v>46</v>
      </c>
      <c r="D31" s="213" t="s">
        <v>119</v>
      </c>
      <c r="E31" s="211" t="s">
        <v>120</v>
      </c>
      <c r="F31" s="211"/>
      <c r="G31" s="211" t="s">
        <v>60</v>
      </c>
      <c r="H31" s="212">
        <v>45120</v>
      </c>
    </row>
    <row r="32" spans="1:8">
      <c r="A32" s="208">
        <v>45120</v>
      </c>
      <c r="B32" s="209" t="s">
        <v>110</v>
      </c>
      <c r="C32" s="210" t="s">
        <v>46</v>
      </c>
      <c r="D32" s="213" t="s">
        <v>121</v>
      </c>
      <c r="E32" s="211" t="s">
        <v>122</v>
      </c>
      <c r="F32" s="211" t="s">
        <v>123</v>
      </c>
      <c r="G32" s="211" t="s">
        <v>124</v>
      </c>
      <c r="H32" s="212">
        <v>45120</v>
      </c>
    </row>
    <row r="33" spans="1:8">
      <c r="A33" s="208">
        <v>45120</v>
      </c>
      <c r="B33" s="209" t="s">
        <v>110</v>
      </c>
      <c r="C33" s="210" t="s">
        <v>46</v>
      </c>
      <c r="D33" s="213" t="s">
        <v>125</v>
      </c>
      <c r="E33" s="211" t="s">
        <v>126</v>
      </c>
      <c r="F33" s="211"/>
      <c r="G33" s="211" t="s">
        <v>63</v>
      </c>
      <c r="H33" s="212">
        <v>45120</v>
      </c>
    </row>
    <row r="34" spans="1:8" ht="20">
      <c r="A34" s="208">
        <v>45120</v>
      </c>
      <c r="B34" s="209" t="s">
        <v>110</v>
      </c>
      <c r="C34" s="210" t="s">
        <v>46</v>
      </c>
      <c r="D34" s="213" t="s">
        <v>127</v>
      </c>
      <c r="E34" s="211" t="s">
        <v>128</v>
      </c>
      <c r="F34" s="211" t="s">
        <v>129</v>
      </c>
      <c r="G34" s="211" t="s">
        <v>104</v>
      </c>
      <c r="H34" s="212">
        <v>45120</v>
      </c>
    </row>
    <row r="35" spans="1:8">
      <c r="A35" s="208">
        <v>45120</v>
      </c>
      <c r="B35" s="209" t="s">
        <v>110</v>
      </c>
      <c r="C35" s="210" t="s">
        <v>46</v>
      </c>
      <c r="D35" s="213" t="s">
        <v>130</v>
      </c>
      <c r="E35" s="211" t="s">
        <v>131</v>
      </c>
      <c r="F35" s="211"/>
      <c r="G35" s="211" t="s">
        <v>66</v>
      </c>
      <c r="H35" s="212">
        <v>45120</v>
      </c>
    </row>
    <row r="36" spans="1:8">
      <c r="A36" s="208">
        <v>45120</v>
      </c>
      <c r="B36" s="209" t="s">
        <v>110</v>
      </c>
      <c r="C36" s="210" t="s">
        <v>46</v>
      </c>
      <c r="D36" s="213" t="s">
        <v>132</v>
      </c>
      <c r="E36" s="211" t="s">
        <v>126</v>
      </c>
      <c r="F36" s="211"/>
      <c r="G36" s="211" t="s">
        <v>63</v>
      </c>
      <c r="H36" s="212">
        <v>45120</v>
      </c>
    </row>
    <row r="37" spans="1:8">
      <c r="A37" s="208">
        <v>45120</v>
      </c>
      <c r="B37" s="209" t="s">
        <v>110</v>
      </c>
      <c r="C37" s="210" t="s">
        <v>46</v>
      </c>
      <c r="D37" s="213" t="s">
        <v>133</v>
      </c>
      <c r="E37" s="211" t="s">
        <v>134</v>
      </c>
      <c r="F37" s="211"/>
      <c r="G37" s="211" t="s">
        <v>60</v>
      </c>
      <c r="H37" s="212">
        <v>45120</v>
      </c>
    </row>
    <row r="38" spans="1:8">
      <c r="A38" s="208">
        <v>45051</v>
      </c>
      <c r="B38" s="209" t="s">
        <v>45</v>
      </c>
      <c r="C38" s="210" t="s">
        <v>51</v>
      </c>
      <c r="D38" s="213" t="s">
        <v>135</v>
      </c>
      <c r="E38" s="211" t="s">
        <v>136</v>
      </c>
      <c r="F38" s="211"/>
      <c r="G38" s="211" t="s">
        <v>137</v>
      </c>
      <c r="H38" s="212">
        <v>45051</v>
      </c>
    </row>
    <row r="39" spans="1:8">
      <c r="A39" s="208">
        <v>45051</v>
      </c>
      <c r="B39" s="209" t="s">
        <v>45</v>
      </c>
      <c r="C39" s="210" t="s">
        <v>51</v>
      </c>
      <c r="D39" s="213" t="s">
        <v>138</v>
      </c>
      <c r="E39" s="211" t="s">
        <v>136</v>
      </c>
      <c r="F39" s="211"/>
      <c r="G39" s="211" t="s">
        <v>137</v>
      </c>
      <c r="H39" s="212">
        <v>45051</v>
      </c>
    </row>
    <row r="40" spans="1:8">
      <c r="A40" s="208">
        <v>45051</v>
      </c>
      <c r="B40" s="209" t="s">
        <v>45</v>
      </c>
      <c r="C40" s="210" t="s">
        <v>51</v>
      </c>
      <c r="D40" s="213" t="s">
        <v>139</v>
      </c>
      <c r="E40" s="211" t="s">
        <v>136</v>
      </c>
      <c r="F40" s="211"/>
      <c r="G40" s="211" t="s">
        <v>140</v>
      </c>
      <c r="H40" s="212">
        <v>45051</v>
      </c>
    </row>
    <row r="41" spans="1:8">
      <c r="A41" s="208">
        <v>45051</v>
      </c>
      <c r="B41" s="209" t="s">
        <v>45</v>
      </c>
      <c r="C41" s="210" t="s">
        <v>51</v>
      </c>
      <c r="D41" s="213" t="s">
        <v>141</v>
      </c>
      <c r="E41" s="211" t="s">
        <v>142</v>
      </c>
      <c r="F41" s="211"/>
      <c r="G41" s="211" t="s">
        <v>230</v>
      </c>
      <c r="H41" s="212">
        <v>45051</v>
      </c>
    </row>
    <row r="42" spans="1:8">
      <c r="A42" s="208">
        <v>45051</v>
      </c>
      <c r="B42" s="209" t="s">
        <v>45</v>
      </c>
      <c r="C42" s="210" t="s">
        <v>46</v>
      </c>
      <c r="D42" s="213" t="s">
        <v>488</v>
      </c>
      <c r="E42" s="211" t="s">
        <v>489</v>
      </c>
      <c r="F42" s="211"/>
      <c r="G42" s="211" t="s">
        <v>104</v>
      </c>
      <c r="H42" s="212">
        <v>45051</v>
      </c>
    </row>
    <row r="43" spans="1:8" ht="20">
      <c r="A43" s="208">
        <v>45051</v>
      </c>
      <c r="B43" s="209" t="s">
        <v>45</v>
      </c>
      <c r="C43" s="210" t="s">
        <v>46</v>
      </c>
      <c r="D43" s="213" t="s">
        <v>47</v>
      </c>
      <c r="E43" s="211" t="s">
        <v>48</v>
      </c>
      <c r="F43" s="211" t="s">
        <v>49</v>
      </c>
      <c r="G43" s="211" t="s">
        <v>104</v>
      </c>
      <c r="H43" s="212">
        <v>45051</v>
      </c>
    </row>
    <row r="44" spans="1:8">
      <c r="A44" s="208">
        <v>45051</v>
      </c>
      <c r="B44" s="209" t="s">
        <v>45</v>
      </c>
      <c r="C44" s="210" t="s">
        <v>51</v>
      </c>
      <c r="D44" s="213" t="s">
        <v>143</v>
      </c>
      <c r="E44" s="211" t="s">
        <v>136</v>
      </c>
      <c r="F44" s="211"/>
      <c r="G44" s="211" t="s">
        <v>137</v>
      </c>
      <c r="H44" s="212">
        <v>45051</v>
      </c>
    </row>
    <row r="45" spans="1:8" ht="20">
      <c r="A45" s="208">
        <v>45051</v>
      </c>
      <c r="B45" s="209" t="s">
        <v>45</v>
      </c>
      <c r="C45" s="210" t="s">
        <v>46</v>
      </c>
      <c r="D45" s="213" t="s">
        <v>147</v>
      </c>
      <c r="E45" s="211" t="s">
        <v>148</v>
      </c>
      <c r="F45" s="211" t="s">
        <v>149</v>
      </c>
      <c r="G45" s="211" t="s">
        <v>66</v>
      </c>
      <c r="H45" s="212">
        <v>45051</v>
      </c>
    </row>
    <row r="46" spans="1:8" ht="20">
      <c r="A46" s="208">
        <v>45051</v>
      </c>
      <c r="B46" s="209" t="s">
        <v>45</v>
      </c>
      <c r="C46" s="210" t="s">
        <v>46</v>
      </c>
      <c r="D46" s="213" t="s">
        <v>318</v>
      </c>
      <c r="E46" s="211" t="s">
        <v>319</v>
      </c>
      <c r="F46" s="211" t="s">
        <v>320</v>
      </c>
      <c r="G46" s="211" t="s">
        <v>104</v>
      </c>
      <c r="H46" s="212">
        <v>45051</v>
      </c>
    </row>
    <row r="47" spans="1:8">
      <c r="A47" s="208">
        <v>45051</v>
      </c>
      <c r="B47" s="209" t="s">
        <v>45</v>
      </c>
      <c r="C47" s="210" t="s">
        <v>51</v>
      </c>
      <c r="D47" s="213" t="s">
        <v>151</v>
      </c>
      <c r="E47" s="211" t="s">
        <v>152</v>
      </c>
      <c r="F47" s="211"/>
      <c r="G47" s="211" t="s">
        <v>137</v>
      </c>
      <c r="H47" s="212">
        <v>45051</v>
      </c>
    </row>
    <row r="48" spans="1:8">
      <c r="A48" s="208">
        <v>45051</v>
      </c>
      <c r="B48" s="209" t="s">
        <v>45</v>
      </c>
      <c r="C48" s="210" t="s">
        <v>46</v>
      </c>
      <c r="D48" s="213" t="s">
        <v>2223</v>
      </c>
      <c r="E48" s="211" t="s">
        <v>2224</v>
      </c>
      <c r="F48" s="211"/>
      <c r="G48" s="211" t="s">
        <v>60</v>
      </c>
      <c r="H48" s="212">
        <v>45044</v>
      </c>
    </row>
    <row r="49" spans="1:8">
      <c r="A49" s="208">
        <v>45051</v>
      </c>
      <c r="B49" s="209" t="s">
        <v>45</v>
      </c>
      <c r="C49" s="210" t="s">
        <v>51</v>
      </c>
      <c r="D49" s="213" t="s">
        <v>153</v>
      </c>
      <c r="E49" s="211" t="s">
        <v>136</v>
      </c>
      <c r="F49" s="211"/>
      <c r="G49" s="211" t="s">
        <v>137</v>
      </c>
      <c r="H49" s="212">
        <v>45051</v>
      </c>
    </row>
    <row r="50" spans="1:8" ht="20">
      <c r="A50" s="208">
        <v>45051</v>
      </c>
      <c r="B50" s="209" t="s">
        <v>45</v>
      </c>
      <c r="C50" s="210" t="s">
        <v>46</v>
      </c>
      <c r="D50" s="213" t="s">
        <v>157</v>
      </c>
      <c r="E50" s="211" t="s">
        <v>158</v>
      </c>
      <c r="F50" s="211" t="s">
        <v>159</v>
      </c>
      <c r="G50" s="211" t="s">
        <v>50</v>
      </c>
      <c r="H50" s="212">
        <v>45051</v>
      </c>
    </row>
    <row r="51" spans="1:8">
      <c r="A51" s="208">
        <v>45051</v>
      </c>
      <c r="B51" s="209" t="s">
        <v>45</v>
      </c>
      <c r="C51" s="210" t="s">
        <v>51</v>
      </c>
      <c r="D51" s="213" t="s">
        <v>161</v>
      </c>
      <c r="E51" s="211" t="s">
        <v>162</v>
      </c>
      <c r="F51" s="211" t="s">
        <v>163</v>
      </c>
      <c r="G51" s="211" t="s">
        <v>137</v>
      </c>
      <c r="H51" s="212">
        <v>45051</v>
      </c>
    </row>
    <row r="52" spans="1:8">
      <c r="A52" s="208">
        <v>45051</v>
      </c>
      <c r="B52" s="209" t="s">
        <v>45</v>
      </c>
      <c r="C52" s="210" t="s">
        <v>51</v>
      </c>
      <c r="D52" s="213" t="s">
        <v>52</v>
      </c>
      <c r="E52" s="211" t="s">
        <v>53</v>
      </c>
      <c r="F52" s="211" t="s">
        <v>164</v>
      </c>
      <c r="G52" s="211" t="s">
        <v>165</v>
      </c>
      <c r="H52" s="212">
        <v>45051</v>
      </c>
    </row>
    <row r="53" spans="1:8">
      <c r="A53" s="208">
        <v>45051</v>
      </c>
      <c r="B53" s="209" t="s">
        <v>45</v>
      </c>
      <c r="C53" s="210" t="s">
        <v>46</v>
      </c>
      <c r="D53" s="213" t="s">
        <v>568</v>
      </c>
      <c r="E53" s="211" t="s">
        <v>65</v>
      </c>
      <c r="F53" s="211" t="s">
        <v>2913</v>
      </c>
      <c r="G53" s="211" t="s">
        <v>104</v>
      </c>
      <c r="H53" s="212">
        <v>45051</v>
      </c>
    </row>
    <row r="54" spans="1:8" ht="20">
      <c r="A54" s="208">
        <v>45051</v>
      </c>
      <c r="B54" s="209" t="s">
        <v>45</v>
      </c>
      <c r="C54" s="210" t="s">
        <v>51</v>
      </c>
      <c r="D54" s="213" t="s">
        <v>166</v>
      </c>
      <c r="E54" s="211" t="s">
        <v>167</v>
      </c>
      <c r="F54" s="211"/>
      <c r="G54" s="211" t="s">
        <v>168</v>
      </c>
      <c r="H54" s="212">
        <v>45051</v>
      </c>
    </row>
    <row r="55" spans="1:8">
      <c r="A55" s="208">
        <v>45051</v>
      </c>
      <c r="B55" s="209" t="s">
        <v>45</v>
      </c>
      <c r="C55" s="210" t="s">
        <v>46</v>
      </c>
      <c r="D55" s="213" t="s">
        <v>333</v>
      </c>
      <c r="E55" s="211" t="s">
        <v>3059</v>
      </c>
      <c r="F55" s="211"/>
      <c r="G55" s="211" t="s">
        <v>104</v>
      </c>
      <c r="H55" s="212">
        <v>45051</v>
      </c>
    </row>
    <row r="56" spans="1:8">
      <c r="A56" s="208">
        <v>45051</v>
      </c>
      <c r="B56" s="209" t="s">
        <v>45</v>
      </c>
      <c r="C56" s="210" t="s">
        <v>51</v>
      </c>
      <c r="D56" s="213" t="s">
        <v>169</v>
      </c>
      <c r="E56" s="211" t="s">
        <v>146</v>
      </c>
      <c r="F56" s="211"/>
      <c r="G56" s="211" t="s">
        <v>170</v>
      </c>
      <c r="H56" s="212">
        <v>45051</v>
      </c>
    </row>
    <row r="57" spans="1:8" ht="20">
      <c r="A57" s="208">
        <v>45051</v>
      </c>
      <c r="B57" s="209" t="s">
        <v>45</v>
      </c>
      <c r="C57" s="210" t="s">
        <v>51</v>
      </c>
      <c r="D57" s="213" t="s">
        <v>804</v>
      </c>
      <c r="E57" s="211" t="s">
        <v>567</v>
      </c>
      <c r="F57" s="211"/>
      <c r="G57" s="211" t="s">
        <v>4002</v>
      </c>
      <c r="H57" s="212">
        <v>45049</v>
      </c>
    </row>
    <row r="58" spans="1:8">
      <c r="A58" s="208">
        <v>45051</v>
      </c>
      <c r="B58" s="209" t="s">
        <v>45</v>
      </c>
      <c r="C58" s="210" t="s">
        <v>51</v>
      </c>
      <c r="D58" s="213" t="s">
        <v>172</v>
      </c>
      <c r="E58" s="211" t="s">
        <v>173</v>
      </c>
      <c r="F58" s="211"/>
      <c r="G58" s="211" t="s">
        <v>140</v>
      </c>
      <c r="H58" s="212">
        <v>45051</v>
      </c>
    </row>
    <row r="59" spans="1:8">
      <c r="A59" s="208">
        <v>45051</v>
      </c>
      <c r="B59" s="209" t="s">
        <v>45</v>
      </c>
      <c r="C59" s="210" t="s">
        <v>51</v>
      </c>
      <c r="D59" s="213" t="s">
        <v>174</v>
      </c>
      <c r="E59" s="211" t="s">
        <v>146</v>
      </c>
      <c r="F59" s="211"/>
      <c r="G59" s="211" t="s">
        <v>170</v>
      </c>
      <c r="H59" s="212">
        <v>45051</v>
      </c>
    </row>
    <row r="60" spans="1:8">
      <c r="A60" s="208">
        <v>45051</v>
      </c>
      <c r="B60" s="209" t="s">
        <v>45</v>
      </c>
      <c r="C60" s="210" t="s">
        <v>46</v>
      </c>
      <c r="D60" s="213" t="s">
        <v>175</v>
      </c>
      <c r="E60" s="211" t="s">
        <v>176</v>
      </c>
      <c r="F60" s="211"/>
      <c r="G60" s="211" t="s">
        <v>60</v>
      </c>
      <c r="H60" s="212">
        <v>45051</v>
      </c>
    </row>
    <row r="61" spans="1:8" ht="20">
      <c r="A61" s="208">
        <v>45051</v>
      </c>
      <c r="B61" s="209" t="s">
        <v>45</v>
      </c>
      <c r="C61" s="210" t="s">
        <v>46</v>
      </c>
      <c r="D61" s="213" t="s">
        <v>340</v>
      </c>
      <c r="E61" s="211" t="s">
        <v>341</v>
      </c>
      <c r="F61" s="211" t="s">
        <v>342</v>
      </c>
      <c r="G61" s="211" t="s">
        <v>104</v>
      </c>
      <c r="H61" s="212">
        <v>45051</v>
      </c>
    </row>
    <row r="62" spans="1:8" ht="30">
      <c r="A62" s="208">
        <v>45051</v>
      </c>
      <c r="B62" s="209" t="s">
        <v>45</v>
      </c>
      <c r="C62" s="210" t="s">
        <v>46</v>
      </c>
      <c r="D62" s="213" t="s">
        <v>177</v>
      </c>
      <c r="E62" s="211" t="s">
        <v>178</v>
      </c>
      <c r="F62" s="211" t="s">
        <v>179</v>
      </c>
      <c r="G62" s="211" t="s">
        <v>180</v>
      </c>
      <c r="H62" s="212">
        <v>45051</v>
      </c>
    </row>
    <row r="63" spans="1:8">
      <c r="A63" s="208">
        <v>45051</v>
      </c>
      <c r="B63" s="209" t="s">
        <v>45</v>
      </c>
      <c r="C63" s="210" t="s">
        <v>46</v>
      </c>
      <c r="D63" s="213" t="s">
        <v>88</v>
      </c>
      <c r="E63" s="211" t="s">
        <v>89</v>
      </c>
      <c r="F63" s="211" t="s">
        <v>3543</v>
      </c>
      <c r="G63" s="211" t="s">
        <v>104</v>
      </c>
      <c r="H63" s="212">
        <v>45051</v>
      </c>
    </row>
    <row r="64" spans="1:8">
      <c r="A64" s="208">
        <v>45051</v>
      </c>
      <c r="B64" s="209" t="s">
        <v>45</v>
      </c>
      <c r="C64" s="210" t="s">
        <v>46</v>
      </c>
      <c r="D64" s="213" t="s">
        <v>88</v>
      </c>
      <c r="E64" s="211" t="s">
        <v>89</v>
      </c>
      <c r="F64" s="211" t="s">
        <v>3544</v>
      </c>
      <c r="G64" s="211" t="s">
        <v>104</v>
      </c>
      <c r="H64" s="212">
        <v>45051</v>
      </c>
    </row>
    <row r="65" spans="1:8">
      <c r="A65" s="208">
        <v>45051</v>
      </c>
      <c r="B65" s="209" t="s">
        <v>45</v>
      </c>
      <c r="C65" s="210" t="s">
        <v>46</v>
      </c>
      <c r="D65" s="213" t="s">
        <v>74</v>
      </c>
      <c r="E65" s="211" t="s">
        <v>75</v>
      </c>
      <c r="F65" s="211"/>
      <c r="G65" s="211" t="s">
        <v>104</v>
      </c>
      <c r="H65" s="212">
        <v>45051</v>
      </c>
    </row>
    <row r="66" spans="1:8">
      <c r="A66" s="208">
        <v>45051</v>
      </c>
      <c r="B66" s="209" t="s">
        <v>45</v>
      </c>
      <c r="C66" s="210" t="s">
        <v>51</v>
      </c>
      <c r="D66" s="213" t="s">
        <v>182</v>
      </c>
      <c r="E66" s="211" t="s">
        <v>183</v>
      </c>
      <c r="F66" s="211"/>
      <c r="G66" s="211" t="s">
        <v>168</v>
      </c>
      <c r="H66" s="212">
        <v>45051</v>
      </c>
    </row>
    <row r="67" spans="1:8">
      <c r="A67" s="208">
        <v>45051</v>
      </c>
      <c r="B67" s="209" t="s">
        <v>77</v>
      </c>
      <c r="C67" s="210" t="s">
        <v>51</v>
      </c>
      <c r="D67" s="213" t="s">
        <v>184</v>
      </c>
      <c r="E67" s="211" t="s">
        <v>185</v>
      </c>
      <c r="F67" s="211"/>
      <c r="G67" s="211" t="s">
        <v>137</v>
      </c>
      <c r="H67" s="212">
        <v>45051</v>
      </c>
    </row>
    <row r="68" spans="1:8">
      <c r="A68" s="208">
        <v>45051</v>
      </c>
      <c r="B68" s="209" t="s">
        <v>77</v>
      </c>
      <c r="C68" s="210" t="s">
        <v>46</v>
      </c>
      <c r="D68" s="213" t="s">
        <v>574</v>
      </c>
      <c r="E68" s="211" t="s">
        <v>160</v>
      </c>
      <c r="F68" s="211"/>
      <c r="G68" s="211" t="s">
        <v>104</v>
      </c>
      <c r="H68" s="212">
        <v>45051</v>
      </c>
    </row>
    <row r="69" spans="1:8">
      <c r="A69" s="208">
        <v>45051</v>
      </c>
      <c r="B69" s="209" t="s">
        <v>77</v>
      </c>
      <c r="C69" s="210" t="s">
        <v>51</v>
      </c>
      <c r="D69" s="213" t="s">
        <v>186</v>
      </c>
      <c r="E69" s="211" t="s">
        <v>187</v>
      </c>
      <c r="F69" s="211" t="s">
        <v>188</v>
      </c>
      <c r="G69" s="211" t="s">
        <v>189</v>
      </c>
      <c r="H69" s="212">
        <v>45051</v>
      </c>
    </row>
    <row r="70" spans="1:8">
      <c r="A70" s="208">
        <v>45051</v>
      </c>
      <c r="B70" s="209" t="s">
        <v>77</v>
      </c>
      <c r="C70" s="210" t="s">
        <v>46</v>
      </c>
      <c r="D70" s="213" t="s">
        <v>190</v>
      </c>
      <c r="E70" s="211" t="s">
        <v>191</v>
      </c>
      <c r="F70" s="211"/>
      <c r="G70" s="211" t="s">
        <v>60</v>
      </c>
      <c r="H70" s="212">
        <v>45051</v>
      </c>
    </row>
    <row r="71" spans="1:8">
      <c r="A71" s="208">
        <v>45051</v>
      </c>
      <c r="B71" s="209" t="s">
        <v>77</v>
      </c>
      <c r="C71" s="210" t="s">
        <v>46</v>
      </c>
      <c r="D71" s="213" t="s">
        <v>578</v>
      </c>
      <c r="E71" s="211" t="s">
        <v>579</v>
      </c>
      <c r="F71" s="211"/>
      <c r="G71" s="211" t="s">
        <v>104</v>
      </c>
      <c r="H71" s="212">
        <v>45051</v>
      </c>
    </row>
    <row r="72" spans="1:8">
      <c r="A72" s="208">
        <v>45051</v>
      </c>
      <c r="B72" s="209" t="s">
        <v>77</v>
      </c>
      <c r="C72" s="210" t="s">
        <v>46</v>
      </c>
      <c r="D72" s="213" t="s">
        <v>192</v>
      </c>
      <c r="E72" s="211" t="s">
        <v>193</v>
      </c>
      <c r="F72" s="211" t="s">
        <v>194</v>
      </c>
      <c r="G72" s="211" t="s">
        <v>50</v>
      </c>
      <c r="H72" s="212">
        <v>45051</v>
      </c>
    </row>
    <row r="73" spans="1:8">
      <c r="A73" s="208">
        <v>45051</v>
      </c>
      <c r="B73" s="209" t="s">
        <v>77</v>
      </c>
      <c r="C73" s="210" t="s">
        <v>46</v>
      </c>
      <c r="D73" s="213" t="s">
        <v>528</v>
      </c>
      <c r="E73" s="211" t="s">
        <v>529</v>
      </c>
      <c r="F73" s="211"/>
      <c r="G73" s="211" t="s">
        <v>104</v>
      </c>
      <c r="H73" s="212">
        <v>45051</v>
      </c>
    </row>
    <row r="74" spans="1:8" ht="20">
      <c r="A74" s="208">
        <v>45051</v>
      </c>
      <c r="B74" s="209" t="s">
        <v>77</v>
      </c>
      <c r="C74" s="210" t="s">
        <v>46</v>
      </c>
      <c r="D74" s="213" t="s">
        <v>2542</v>
      </c>
      <c r="E74" s="211" t="s">
        <v>2543</v>
      </c>
      <c r="F74" s="211" t="s">
        <v>2544</v>
      </c>
      <c r="G74" s="211" t="s">
        <v>104</v>
      </c>
      <c r="H74" s="212">
        <v>45051</v>
      </c>
    </row>
    <row r="75" spans="1:8">
      <c r="A75" s="208">
        <v>45051</v>
      </c>
      <c r="B75" s="209" t="s">
        <v>77</v>
      </c>
      <c r="C75" s="210" t="s">
        <v>46</v>
      </c>
      <c r="D75" s="213" t="s">
        <v>532</v>
      </c>
      <c r="E75" s="211" t="s">
        <v>533</v>
      </c>
      <c r="F75" s="211" t="s">
        <v>534</v>
      </c>
      <c r="G75" s="211" t="s">
        <v>104</v>
      </c>
      <c r="H75" s="212">
        <v>45051</v>
      </c>
    </row>
    <row r="76" spans="1:8">
      <c r="A76" s="208">
        <v>45051</v>
      </c>
      <c r="B76" s="209" t="s">
        <v>77</v>
      </c>
      <c r="C76" s="210" t="s">
        <v>46</v>
      </c>
      <c r="D76" s="213" t="s">
        <v>535</v>
      </c>
      <c r="E76" s="211" t="s">
        <v>536</v>
      </c>
      <c r="F76" s="211" t="s">
        <v>537</v>
      </c>
      <c r="G76" s="211" t="s">
        <v>104</v>
      </c>
      <c r="H76" s="212">
        <v>45051</v>
      </c>
    </row>
    <row r="77" spans="1:8">
      <c r="A77" s="208">
        <v>45051</v>
      </c>
      <c r="B77" s="209" t="s">
        <v>77</v>
      </c>
      <c r="C77" s="210" t="s">
        <v>46</v>
      </c>
      <c r="D77" s="213" t="s">
        <v>538</v>
      </c>
      <c r="E77" s="211" t="s">
        <v>533</v>
      </c>
      <c r="F77" s="211" t="s">
        <v>539</v>
      </c>
      <c r="G77" s="211" t="s">
        <v>104</v>
      </c>
      <c r="H77" s="212">
        <v>45051</v>
      </c>
    </row>
    <row r="78" spans="1:8">
      <c r="A78" s="208">
        <v>45051</v>
      </c>
      <c r="B78" s="209" t="s">
        <v>77</v>
      </c>
      <c r="C78" s="210" t="s">
        <v>51</v>
      </c>
      <c r="D78" s="213" t="s">
        <v>196</v>
      </c>
      <c r="E78" s="211" t="s">
        <v>197</v>
      </c>
      <c r="F78" s="211"/>
      <c r="G78" s="211" t="s">
        <v>198</v>
      </c>
      <c r="H78" s="212">
        <v>45051</v>
      </c>
    </row>
    <row r="79" spans="1:8">
      <c r="A79" s="208">
        <v>45051</v>
      </c>
      <c r="B79" s="209" t="s">
        <v>77</v>
      </c>
      <c r="C79" s="210" t="s">
        <v>46</v>
      </c>
      <c r="D79" s="213" t="s">
        <v>204</v>
      </c>
      <c r="E79" s="211" t="s">
        <v>205</v>
      </c>
      <c r="F79" s="211" t="s">
        <v>206</v>
      </c>
      <c r="G79" s="211" t="s">
        <v>104</v>
      </c>
      <c r="H79" s="212">
        <v>45051</v>
      </c>
    </row>
    <row r="80" spans="1:8">
      <c r="A80" s="208">
        <v>45051</v>
      </c>
      <c r="B80" s="209" t="s">
        <v>77</v>
      </c>
      <c r="C80" s="210" t="s">
        <v>51</v>
      </c>
      <c r="D80" s="213" t="s">
        <v>207</v>
      </c>
      <c r="E80" s="211" t="s">
        <v>208</v>
      </c>
      <c r="F80" s="211" t="s">
        <v>209</v>
      </c>
      <c r="G80" s="211" t="s">
        <v>63</v>
      </c>
      <c r="H80" s="212">
        <v>45051</v>
      </c>
    </row>
    <row r="81" spans="1:8">
      <c r="A81" s="208">
        <v>45051</v>
      </c>
      <c r="B81" s="209" t="s">
        <v>91</v>
      </c>
      <c r="C81" s="210" t="s">
        <v>46</v>
      </c>
      <c r="D81" s="213" t="s">
        <v>210</v>
      </c>
      <c r="E81" s="211" t="s">
        <v>211</v>
      </c>
      <c r="F81" s="211" t="s">
        <v>212</v>
      </c>
      <c r="G81" s="211" t="s">
        <v>213</v>
      </c>
      <c r="H81" s="212">
        <v>45051</v>
      </c>
    </row>
    <row r="82" spans="1:8">
      <c r="A82" s="208">
        <v>45051</v>
      </c>
      <c r="B82" s="209" t="s">
        <v>91</v>
      </c>
      <c r="C82" s="210" t="s">
        <v>46</v>
      </c>
      <c r="D82" s="213" t="s">
        <v>214</v>
      </c>
      <c r="E82" s="211" t="s">
        <v>215</v>
      </c>
      <c r="F82" s="211" t="s">
        <v>216</v>
      </c>
      <c r="G82" s="211" t="s">
        <v>50</v>
      </c>
      <c r="H82" s="212">
        <v>45051</v>
      </c>
    </row>
    <row r="83" spans="1:8">
      <c r="A83" s="208">
        <v>45051</v>
      </c>
      <c r="B83" s="209" t="s">
        <v>91</v>
      </c>
      <c r="C83" s="210" t="s">
        <v>51</v>
      </c>
      <c r="D83" s="213" t="s">
        <v>217</v>
      </c>
      <c r="E83" s="211" t="s">
        <v>218</v>
      </c>
      <c r="F83" s="211"/>
      <c r="G83" s="211" t="s">
        <v>203</v>
      </c>
      <c r="H83" s="212">
        <v>45051</v>
      </c>
    </row>
    <row r="84" spans="1:8" ht="20">
      <c r="A84" s="208">
        <v>45051</v>
      </c>
      <c r="B84" s="209" t="s">
        <v>91</v>
      </c>
      <c r="C84" s="210" t="s">
        <v>51</v>
      </c>
      <c r="D84" s="213" t="s">
        <v>219</v>
      </c>
      <c r="E84" s="211" t="s">
        <v>181</v>
      </c>
      <c r="F84" s="211" t="s">
        <v>220</v>
      </c>
      <c r="G84" s="211" t="s">
        <v>221</v>
      </c>
      <c r="H84" s="212">
        <v>45051</v>
      </c>
    </row>
    <row r="85" spans="1:8" ht="20">
      <c r="A85" s="208">
        <v>45051</v>
      </c>
      <c r="B85" s="209" t="s">
        <v>91</v>
      </c>
      <c r="C85" s="210" t="s">
        <v>51</v>
      </c>
      <c r="D85" s="213" t="s">
        <v>222</v>
      </c>
      <c r="E85" s="211" t="s">
        <v>223</v>
      </c>
      <c r="F85" s="211"/>
      <c r="G85" s="211" t="s">
        <v>140</v>
      </c>
      <c r="H85" s="212">
        <v>45051</v>
      </c>
    </row>
    <row r="86" spans="1:8">
      <c r="A86" s="208">
        <v>45051</v>
      </c>
      <c r="B86" s="209" t="s">
        <v>91</v>
      </c>
      <c r="C86" s="210" t="s">
        <v>51</v>
      </c>
      <c r="D86" s="213" t="s">
        <v>4003</v>
      </c>
      <c r="E86" s="211" t="s">
        <v>4004</v>
      </c>
      <c r="F86" s="211"/>
      <c r="G86" s="211" t="s">
        <v>4005</v>
      </c>
      <c r="H86" s="212">
        <v>45051</v>
      </c>
    </row>
    <row r="87" spans="1:8">
      <c r="A87" s="208">
        <v>45051</v>
      </c>
      <c r="B87" s="209" t="s">
        <v>91</v>
      </c>
      <c r="C87" s="210" t="s">
        <v>46</v>
      </c>
      <c r="D87" s="213" t="s">
        <v>97</v>
      </c>
      <c r="E87" s="211" t="s">
        <v>98</v>
      </c>
      <c r="F87" s="211"/>
      <c r="G87" s="211" t="s">
        <v>104</v>
      </c>
      <c r="H87" s="212">
        <v>45051</v>
      </c>
    </row>
    <row r="88" spans="1:8">
      <c r="A88" s="208">
        <v>45051</v>
      </c>
      <c r="B88" s="209" t="s">
        <v>91</v>
      </c>
      <c r="C88" s="210" t="s">
        <v>46</v>
      </c>
      <c r="D88" s="213" t="s">
        <v>464</v>
      </c>
      <c r="E88" s="211" t="s">
        <v>155</v>
      </c>
      <c r="F88" s="211"/>
      <c r="G88" s="211" t="s">
        <v>104</v>
      </c>
      <c r="H88" s="212">
        <v>45051</v>
      </c>
    </row>
    <row r="89" spans="1:8" ht="20">
      <c r="A89" s="208">
        <v>45051</v>
      </c>
      <c r="B89" s="209" t="s">
        <v>91</v>
      </c>
      <c r="C89" s="210" t="s">
        <v>46</v>
      </c>
      <c r="D89" s="213" t="s">
        <v>101</v>
      </c>
      <c r="E89" s="211" t="s">
        <v>102</v>
      </c>
      <c r="F89" s="211" t="s">
        <v>103</v>
      </c>
      <c r="G89" s="211" t="s">
        <v>180</v>
      </c>
      <c r="H89" s="212">
        <v>45051</v>
      </c>
    </row>
    <row r="90" spans="1:8">
      <c r="A90" s="208">
        <v>45051</v>
      </c>
      <c r="B90" s="209" t="s">
        <v>105</v>
      </c>
      <c r="C90" s="210" t="s">
        <v>51</v>
      </c>
      <c r="D90" s="213" t="s">
        <v>228</v>
      </c>
      <c r="E90" s="211" t="s">
        <v>229</v>
      </c>
      <c r="F90" s="211"/>
      <c r="G90" s="211" t="s">
        <v>230</v>
      </c>
      <c r="H90" s="212">
        <v>45051</v>
      </c>
    </row>
    <row r="91" spans="1:8">
      <c r="A91" s="208">
        <v>45051</v>
      </c>
      <c r="B91" s="209" t="s">
        <v>105</v>
      </c>
      <c r="C91" s="210" t="s">
        <v>51</v>
      </c>
      <c r="D91" s="213" t="s">
        <v>231</v>
      </c>
      <c r="E91" s="211" t="s">
        <v>229</v>
      </c>
      <c r="F91" s="211"/>
      <c r="G91" s="211" t="s">
        <v>230</v>
      </c>
      <c r="H91" s="212">
        <v>45051</v>
      </c>
    </row>
    <row r="92" spans="1:8">
      <c r="A92" s="208">
        <v>45051</v>
      </c>
      <c r="B92" s="209" t="s">
        <v>105</v>
      </c>
      <c r="C92" s="210" t="s">
        <v>51</v>
      </c>
      <c r="D92" s="213" t="s">
        <v>232</v>
      </c>
      <c r="E92" s="211" t="s">
        <v>229</v>
      </c>
      <c r="F92" s="211"/>
      <c r="G92" s="211" t="s">
        <v>230</v>
      </c>
      <c r="H92" s="212">
        <v>45051</v>
      </c>
    </row>
    <row r="93" spans="1:8">
      <c r="A93" s="208">
        <v>45051</v>
      </c>
      <c r="B93" s="209" t="s">
        <v>105</v>
      </c>
      <c r="C93" s="210" t="s">
        <v>51</v>
      </c>
      <c r="D93" s="213" t="s">
        <v>233</v>
      </c>
      <c r="E93" s="211" t="s">
        <v>234</v>
      </c>
      <c r="F93" s="211"/>
      <c r="G93" s="211" t="s">
        <v>235</v>
      </c>
      <c r="H93" s="212">
        <v>45051</v>
      </c>
    </row>
    <row r="94" spans="1:8">
      <c r="A94" s="208">
        <v>45051</v>
      </c>
      <c r="B94" s="209" t="s">
        <v>105</v>
      </c>
      <c r="C94" s="210" t="s">
        <v>51</v>
      </c>
      <c r="D94" s="213" t="s">
        <v>236</v>
      </c>
      <c r="E94" s="211" t="s">
        <v>237</v>
      </c>
      <c r="F94" s="211"/>
      <c r="G94" s="211" t="s">
        <v>63</v>
      </c>
      <c r="H94" s="212">
        <v>45051</v>
      </c>
    </row>
    <row r="95" spans="1:8">
      <c r="A95" s="208">
        <v>45051</v>
      </c>
      <c r="B95" s="209" t="s">
        <v>110</v>
      </c>
      <c r="C95" s="210" t="s">
        <v>51</v>
      </c>
      <c r="D95" s="213" t="s">
        <v>238</v>
      </c>
      <c r="E95" s="211" t="s">
        <v>136</v>
      </c>
      <c r="F95" s="211"/>
      <c r="G95" s="211" t="s">
        <v>137</v>
      </c>
      <c r="H95" s="212">
        <v>45051</v>
      </c>
    </row>
    <row r="96" spans="1:8">
      <c r="A96" s="208">
        <v>45051</v>
      </c>
      <c r="B96" s="209" t="s">
        <v>110</v>
      </c>
      <c r="C96" s="210" t="s">
        <v>51</v>
      </c>
      <c r="D96" s="213" t="s">
        <v>240</v>
      </c>
      <c r="E96" s="211" t="s">
        <v>241</v>
      </c>
      <c r="F96" s="211"/>
      <c r="G96" s="211" t="s">
        <v>63</v>
      </c>
      <c r="H96" s="212">
        <v>45051</v>
      </c>
    </row>
    <row r="97" spans="1:8">
      <c r="A97" s="208">
        <v>45051</v>
      </c>
      <c r="B97" s="209" t="s">
        <v>110</v>
      </c>
      <c r="C97" s="210" t="s">
        <v>51</v>
      </c>
      <c r="D97" s="213" t="s">
        <v>242</v>
      </c>
      <c r="E97" s="211" t="s">
        <v>241</v>
      </c>
      <c r="F97" s="211"/>
      <c r="G97" s="211" t="s">
        <v>137</v>
      </c>
      <c r="H97" s="212">
        <v>45051</v>
      </c>
    </row>
    <row r="98" spans="1:8">
      <c r="A98" s="208">
        <v>45051</v>
      </c>
      <c r="B98" s="209" t="s">
        <v>110</v>
      </c>
      <c r="C98" s="210" t="s">
        <v>46</v>
      </c>
      <c r="D98" s="213" t="s">
        <v>114</v>
      </c>
      <c r="E98" s="211" t="s">
        <v>115</v>
      </c>
      <c r="F98" s="211" t="s">
        <v>116</v>
      </c>
      <c r="G98" s="211" t="s">
        <v>104</v>
      </c>
      <c r="H98" s="212">
        <v>45051</v>
      </c>
    </row>
    <row r="99" spans="1:8">
      <c r="A99" s="208">
        <v>45051</v>
      </c>
      <c r="B99" s="209" t="s">
        <v>110</v>
      </c>
      <c r="C99" s="210" t="s">
        <v>46</v>
      </c>
      <c r="D99" s="213" t="s">
        <v>245</v>
      </c>
      <c r="E99" s="211" t="s">
        <v>246</v>
      </c>
      <c r="F99" s="211"/>
      <c r="G99" s="211" t="s">
        <v>60</v>
      </c>
      <c r="H99" s="212">
        <v>45051</v>
      </c>
    </row>
    <row r="100" spans="1:8">
      <c r="A100" s="208">
        <v>45051</v>
      </c>
      <c r="B100" s="209" t="s">
        <v>110</v>
      </c>
      <c r="C100" s="210" t="s">
        <v>46</v>
      </c>
      <c r="D100" s="213" t="s">
        <v>247</v>
      </c>
      <c r="E100" s="211" t="s">
        <v>248</v>
      </c>
      <c r="F100" s="211"/>
      <c r="G100" s="211" t="s">
        <v>180</v>
      </c>
      <c r="H100" s="212">
        <v>45051</v>
      </c>
    </row>
    <row r="101" spans="1:8">
      <c r="A101" s="208">
        <v>45051</v>
      </c>
      <c r="B101" s="209" t="s">
        <v>110</v>
      </c>
      <c r="C101" s="210" t="s">
        <v>51</v>
      </c>
      <c r="D101" s="213" t="s">
        <v>251</v>
      </c>
      <c r="E101" s="211" t="s">
        <v>142</v>
      </c>
      <c r="F101" s="211"/>
      <c r="G101" s="211" t="s">
        <v>252</v>
      </c>
      <c r="H101" s="212">
        <v>45051</v>
      </c>
    </row>
    <row r="102" spans="1:8">
      <c r="A102" s="208">
        <v>45051</v>
      </c>
      <c r="B102" s="209" t="s">
        <v>110</v>
      </c>
      <c r="C102" s="210" t="s">
        <v>51</v>
      </c>
      <c r="D102" s="213" t="s">
        <v>254</v>
      </c>
      <c r="E102" s="211" t="s">
        <v>255</v>
      </c>
      <c r="F102" s="211"/>
      <c r="G102" s="211" t="s">
        <v>256</v>
      </c>
      <c r="H102" s="212">
        <v>45051</v>
      </c>
    </row>
    <row r="103" spans="1:8">
      <c r="A103" s="208">
        <v>45051</v>
      </c>
      <c r="B103" s="209" t="s">
        <v>110</v>
      </c>
      <c r="C103" s="210" t="s">
        <v>46</v>
      </c>
      <c r="D103" s="213" t="s">
        <v>393</v>
      </c>
      <c r="E103" s="211" t="s">
        <v>394</v>
      </c>
      <c r="F103" s="211"/>
      <c r="G103" s="211" t="s">
        <v>104</v>
      </c>
      <c r="H103" s="212">
        <v>45051</v>
      </c>
    </row>
    <row r="104" spans="1:8">
      <c r="A104" s="208">
        <v>44949</v>
      </c>
      <c r="B104" s="209" t="s">
        <v>45</v>
      </c>
      <c r="C104" s="210" t="s">
        <v>46</v>
      </c>
      <c r="D104" s="213" t="s">
        <v>257</v>
      </c>
      <c r="E104" s="211" t="s">
        <v>258</v>
      </c>
      <c r="F104" s="211" t="s">
        <v>259</v>
      </c>
      <c r="G104" s="211" t="s">
        <v>260</v>
      </c>
      <c r="H104" s="212">
        <v>44949</v>
      </c>
    </row>
    <row r="105" spans="1:8">
      <c r="A105" s="208">
        <v>44949</v>
      </c>
      <c r="B105" s="209" t="s">
        <v>45</v>
      </c>
      <c r="C105" s="210" t="s">
        <v>46</v>
      </c>
      <c r="D105" s="213" t="s">
        <v>261</v>
      </c>
      <c r="E105" s="211" t="s">
        <v>262</v>
      </c>
      <c r="F105" s="211" t="s">
        <v>263</v>
      </c>
      <c r="G105" s="211" t="s">
        <v>76</v>
      </c>
      <c r="H105" s="212">
        <v>44949</v>
      </c>
    </row>
    <row r="106" spans="1:8">
      <c r="A106" s="208">
        <v>44949</v>
      </c>
      <c r="B106" s="209" t="s">
        <v>45</v>
      </c>
      <c r="C106" s="210" t="s">
        <v>46</v>
      </c>
      <c r="D106" s="213" t="s">
        <v>70</v>
      </c>
      <c r="E106" s="211" t="s">
        <v>71</v>
      </c>
      <c r="F106" s="211" t="s">
        <v>72</v>
      </c>
      <c r="G106" s="211" t="s">
        <v>27</v>
      </c>
      <c r="H106" s="212">
        <v>44949</v>
      </c>
    </row>
    <row r="107" spans="1:8">
      <c r="A107" s="208">
        <v>44949</v>
      </c>
      <c r="B107" s="209" t="s">
        <v>45</v>
      </c>
      <c r="C107" s="210" t="s">
        <v>46</v>
      </c>
      <c r="D107" s="213" t="s">
        <v>264</v>
      </c>
      <c r="E107" s="211" t="s">
        <v>265</v>
      </c>
      <c r="F107" s="211" t="s">
        <v>266</v>
      </c>
      <c r="G107" s="211" t="s">
        <v>76</v>
      </c>
      <c r="H107" s="212">
        <v>44949</v>
      </c>
    </row>
    <row r="108" spans="1:8">
      <c r="A108" s="208">
        <v>44949</v>
      </c>
      <c r="B108" s="209" t="s">
        <v>77</v>
      </c>
      <c r="C108" s="210" t="s">
        <v>46</v>
      </c>
      <c r="D108" s="213" t="s">
        <v>267</v>
      </c>
      <c r="E108" s="211" t="s">
        <v>131</v>
      </c>
      <c r="F108" s="211" t="s">
        <v>268</v>
      </c>
      <c r="G108" s="211" t="s">
        <v>76</v>
      </c>
      <c r="H108" s="212">
        <v>44949</v>
      </c>
    </row>
    <row r="109" spans="1:8" ht="20">
      <c r="A109" s="208">
        <v>44949</v>
      </c>
      <c r="B109" s="209" t="s">
        <v>77</v>
      </c>
      <c r="C109" s="210" t="s">
        <v>46</v>
      </c>
      <c r="D109" s="213" t="s">
        <v>269</v>
      </c>
      <c r="E109" s="211" t="s">
        <v>270</v>
      </c>
      <c r="F109" s="211" t="s">
        <v>271</v>
      </c>
      <c r="G109" s="211" t="s">
        <v>76</v>
      </c>
      <c r="H109" s="212">
        <v>44949</v>
      </c>
    </row>
    <row r="110" spans="1:8" ht="20">
      <c r="A110" s="208">
        <v>44949</v>
      </c>
      <c r="B110" s="209" t="s">
        <v>77</v>
      </c>
      <c r="C110" s="210" t="s">
        <v>46</v>
      </c>
      <c r="D110" s="213" t="s">
        <v>272</v>
      </c>
      <c r="E110" s="211" t="s">
        <v>273</v>
      </c>
      <c r="F110" s="211" t="s">
        <v>274</v>
      </c>
      <c r="G110" s="211" t="s">
        <v>76</v>
      </c>
      <c r="H110" s="212">
        <v>44949</v>
      </c>
    </row>
    <row r="111" spans="1:8">
      <c r="A111" s="208">
        <v>44949</v>
      </c>
      <c r="B111" s="209" t="s">
        <v>77</v>
      </c>
      <c r="C111" s="210" t="s">
        <v>46</v>
      </c>
      <c r="D111" s="213" t="s">
        <v>275</v>
      </c>
      <c r="E111" s="211" t="s">
        <v>276</v>
      </c>
      <c r="F111" s="211" t="s">
        <v>277</v>
      </c>
      <c r="G111" s="211" t="s">
        <v>76</v>
      </c>
      <c r="H111" s="212">
        <v>44949</v>
      </c>
    </row>
    <row r="112" spans="1:8">
      <c r="A112" s="208">
        <v>44949</v>
      </c>
      <c r="B112" s="209" t="s">
        <v>77</v>
      </c>
      <c r="C112" s="210" t="s">
        <v>46</v>
      </c>
      <c r="D112" s="213" t="s">
        <v>278</v>
      </c>
      <c r="E112" s="211" t="s">
        <v>279</v>
      </c>
      <c r="F112" s="211" t="s">
        <v>259</v>
      </c>
      <c r="G112" s="211" t="s">
        <v>76</v>
      </c>
      <c r="H112" s="212">
        <v>44949</v>
      </c>
    </row>
    <row r="113" spans="1:8">
      <c r="A113" s="208">
        <v>44949</v>
      </c>
      <c r="B113" s="209" t="s">
        <v>77</v>
      </c>
      <c r="C113" s="210" t="s">
        <v>46</v>
      </c>
      <c r="D113" s="213" t="s">
        <v>280</v>
      </c>
      <c r="E113" s="211" t="s">
        <v>93</v>
      </c>
      <c r="F113" s="211" t="s">
        <v>281</v>
      </c>
      <c r="G113" s="211" t="s">
        <v>27</v>
      </c>
      <c r="H113" s="212">
        <v>44949</v>
      </c>
    </row>
    <row r="114" spans="1:8">
      <c r="A114" s="208">
        <v>44949</v>
      </c>
      <c r="B114" s="209" t="s">
        <v>77</v>
      </c>
      <c r="C114" s="210" t="s">
        <v>51</v>
      </c>
      <c r="D114" s="213" t="s">
        <v>282</v>
      </c>
      <c r="E114" s="211" t="s">
        <v>283</v>
      </c>
      <c r="F114" s="211"/>
      <c r="G114" s="211" t="s">
        <v>63</v>
      </c>
      <c r="H114" s="212">
        <v>44949</v>
      </c>
    </row>
    <row r="115" spans="1:8">
      <c r="A115" s="208">
        <v>44949</v>
      </c>
      <c r="B115" s="209" t="s">
        <v>91</v>
      </c>
      <c r="C115" s="210" t="s">
        <v>46</v>
      </c>
      <c r="D115" s="213" t="s">
        <v>284</v>
      </c>
      <c r="E115" s="211" t="s">
        <v>142</v>
      </c>
      <c r="F115" s="211" t="s">
        <v>259</v>
      </c>
      <c r="G115" s="211" t="s">
        <v>27</v>
      </c>
      <c r="H115" s="212">
        <v>44949</v>
      </c>
    </row>
    <row r="116" spans="1:8">
      <c r="A116" s="208">
        <v>44949</v>
      </c>
      <c r="B116" s="209" t="s">
        <v>91</v>
      </c>
      <c r="C116" s="210" t="s">
        <v>46</v>
      </c>
      <c r="D116" s="213" t="s">
        <v>285</v>
      </c>
      <c r="E116" s="211" t="s">
        <v>142</v>
      </c>
      <c r="F116" s="211" t="s">
        <v>286</v>
      </c>
      <c r="G116" s="211" t="s">
        <v>26</v>
      </c>
      <c r="H116" s="212">
        <v>44949</v>
      </c>
    </row>
    <row r="117" spans="1:8">
      <c r="A117" s="208">
        <v>44949</v>
      </c>
      <c r="B117" s="209" t="s">
        <v>91</v>
      </c>
      <c r="C117" s="210" t="s">
        <v>46</v>
      </c>
      <c r="D117" s="213" t="s">
        <v>287</v>
      </c>
      <c r="E117" s="211" t="s">
        <v>142</v>
      </c>
      <c r="F117" s="211" t="s">
        <v>288</v>
      </c>
      <c r="G117" s="211" t="s">
        <v>26</v>
      </c>
      <c r="H117" s="212">
        <v>44949</v>
      </c>
    </row>
    <row r="118" spans="1:8">
      <c r="A118" s="208">
        <v>44949</v>
      </c>
      <c r="B118" s="209" t="s">
        <v>91</v>
      </c>
      <c r="C118" s="210" t="s">
        <v>46</v>
      </c>
      <c r="D118" s="213" t="s">
        <v>289</v>
      </c>
      <c r="E118" s="211" t="s">
        <v>290</v>
      </c>
      <c r="F118" s="211" t="s">
        <v>291</v>
      </c>
      <c r="G118" s="211" t="s">
        <v>76</v>
      </c>
      <c r="H118" s="212">
        <v>44949</v>
      </c>
    </row>
    <row r="119" spans="1:8">
      <c r="A119" s="208">
        <v>44949</v>
      </c>
      <c r="B119" s="209" t="s">
        <v>91</v>
      </c>
      <c r="C119" s="210" t="s">
        <v>46</v>
      </c>
      <c r="D119" s="213" t="s">
        <v>292</v>
      </c>
      <c r="E119" s="211" t="s">
        <v>293</v>
      </c>
      <c r="F119" s="211" t="s">
        <v>259</v>
      </c>
      <c r="G119" s="211" t="s">
        <v>76</v>
      </c>
      <c r="H119" s="212">
        <v>44949</v>
      </c>
    </row>
    <row r="120" spans="1:8">
      <c r="A120" s="208">
        <v>44949</v>
      </c>
      <c r="B120" s="209" t="s">
        <v>91</v>
      </c>
      <c r="C120" s="210" t="s">
        <v>51</v>
      </c>
      <c r="D120" s="213" t="s">
        <v>294</v>
      </c>
      <c r="E120" s="211" t="s">
        <v>295</v>
      </c>
      <c r="F120" s="211"/>
      <c r="G120" s="211" t="s">
        <v>63</v>
      </c>
      <c r="H120" s="212">
        <v>44949</v>
      </c>
    </row>
    <row r="121" spans="1:8">
      <c r="A121" s="208">
        <v>44949</v>
      </c>
      <c r="B121" s="209" t="s">
        <v>91</v>
      </c>
      <c r="C121" s="210" t="s">
        <v>46</v>
      </c>
      <c r="D121" s="213" t="s">
        <v>296</v>
      </c>
      <c r="E121" s="211" t="s">
        <v>98</v>
      </c>
      <c r="F121" s="211" t="s">
        <v>259</v>
      </c>
      <c r="G121" s="211" t="s">
        <v>76</v>
      </c>
      <c r="H121" s="212">
        <v>44949</v>
      </c>
    </row>
    <row r="122" spans="1:8">
      <c r="A122" s="208">
        <v>44949</v>
      </c>
      <c r="B122" s="209" t="s">
        <v>91</v>
      </c>
      <c r="C122" s="210" t="s">
        <v>46</v>
      </c>
      <c r="D122" s="213" t="s">
        <v>297</v>
      </c>
      <c r="E122" s="211" t="s">
        <v>298</v>
      </c>
      <c r="F122" s="211" t="s">
        <v>299</v>
      </c>
      <c r="G122" s="211" t="s">
        <v>76</v>
      </c>
      <c r="H122" s="212">
        <v>44949</v>
      </c>
    </row>
    <row r="123" spans="1:8" ht="20">
      <c r="A123" s="208">
        <v>44949</v>
      </c>
      <c r="B123" s="209" t="s">
        <v>110</v>
      </c>
      <c r="C123" s="210" t="s">
        <v>46</v>
      </c>
      <c r="D123" s="213" t="s">
        <v>300</v>
      </c>
      <c r="E123" s="211" t="s">
        <v>301</v>
      </c>
      <c r="F123" s="211" t="s">
        <v>302</v>
      </c>
      <c r="G123" s="211" t="s">
        <v>76</v>
      </c>
      <c r="H123" s="212">
        <v>44949</v>
      </c>
    </row>
    <row r="124" spans="1:8">
      <c r="A124" s="208">
        <v>44949</v>
      </c>
      <c r="B124" s="209" t="s">
        <v>110</v>
      </c>
      <c r="C124" s="210" t="s">
        <v>46</v>
      </c>
      <c r="D124" s="213" t="s">
        <v>303</v>
      </c>
      <c r="E124" s="211" t="s">
        <v>249</v>
      </c>
      <c r="F124" s="211"/>
      <c r="G124" s="211" t="s">
        <v>27</v>
      </c>
      <c r="H124" s="212">
        <v>44949</v>
      </c>
    </row>
    <row r="125" spans="1:8">
      <c r="A125" s="208">
        <v>44949</v>
      </c>
      <c r="B125" s="209" t="s">
        <v>110</v>
      </c>
      <c r="C125" s="210" t="s">
        <v>46</v>
      </c>
      <c r="D125" s="213" t="s">
        <v>304</v>
      </c>
      <c r="E125" s="211" t="s">
        <v>305</v>
      </c>
      <c r="F125" s="211" t="s">
        <v>259</v>
      </c>
      <c r="G125" s="211" t="s">
        <v>26</v>
      </c>
      <c r="H125" s="212">
        <v>44949</v>
      </c>
    </row>
    <row r="126" spans="1:8">
      <c r="A126" s="208">
        <v>44949</v>
      </c>
      <c r="B126" s="209" t="s">
        <v>110</v>
      </c>
      <c r="C126" s="210" t="s">
        <v>51</v>
      </c>
      <c r="D126" s="213" t="s">
        <v>306</v>
      </c>
      <c r="E126" s="211" t="s">
        <v>307</v>
      </c>
      <c r="F126" s="211"/>
      <c r="G126" s="211" t="s">
        <v>63</v>
      </c>
      <c r="H126" s="212">
        <v>44949</v>
      </c>
    </row>
    <row r="127" spans="1:8">
      <c r="A127" s="208">
        <v>44949</v>
      </c>
      <c r="B127" s="209" t="s">
        <v>110</v>
      </c>
      <c r="C127" s="210" t="s">
        <v>51</v>
      </c>
      <c r="D127" s="213" t="s">
        <v>308</v>
      </c>
      <c r="E127" s="211" t="s">
        <v>309</v>
      </c>
      <c r="F127" s="211"/>
      <c r="G127" s="211" t="s">
        <v>63</v>
      </c>
      <c r="H127" s="212">
        <v>44949</v>
      </c>
    </row>
    <row r="128" spans="1:8" ht="20">
      <c r="A128" s="208">
        <v>44895</v>
      </c>
      <c r="B128" s="209" t="s">
        <v>91</v>
      </c>
      <c r="C128" s="210" t="s">
        <v>310</v>
      </c>
      <c r="D128" s="213" t="s">
        <v>311</v>
      </c>
      <c r="E128" s="211" t="s">
        <v>312</v>
      </c>
      <c r="F128" s="211" t="s">
        <v>313</v>
      </c>
      <c r="G128" s="211" t="s">
        <v>314</v>
      </c>
      <c r="H128" s="212">
        <v>44890</v>
      </c>
    </row>
    <row r="129" spans="1:8">
      <c r="A129" s="208">
        <v>44865</v>
      </c>
      <c r="B129" s="209" t="s">
        <v>45</v>
      </c>
      <c r="C129" s="210" t="s">
        <v>46</v>
      </c>
      <c r="D129" s="213" t="s">
        <v>315</v>
      </c>
      <c r="E129" s="211" t="s">
        <v>316</v>
      </c>
      <c r="F129" s="211" t="s">
        <v>259</v>
      </c>
      <c r="G129" s="211" t="s">
        <v>317</v>
      </c>
      <c r="H129" s="212">
        <v>44865</v>
      </c>
    </row>
    <row r="130" spans="1:8" ht="20">
      <c r="A130" s="208">
        <v>44865</v>
      </c>
      <c r="B130" s="209" t="s">
        <v>45</v>
      </c>
      <c r="C130" s="210" t="s">
        <v>46</v>
      </c>
      <c r="D130" s="213" t="s">
        <v>318</v>
      </c>
      <c r="E130" s="211" t="s">
        <v>319</v>
      </c>
      <c r="F130" s="211" t="s">
        <v>320</v>
      </c>
      <c r="G130" s="211" t="s">
        <v>76</v>
      </c>
      <c r="H130" s="212">
        <v>44865</v>
      </c>
    </row>
    <row r="131" spans="1:8">
      <c r="A131" s="208">
        <v>44865</v>
      </c>
      <c r="B131" s="209" t="s">
        <v>45</v>
      </c>
      <c r="C131" s="210" t="s">
        <v>46</v>
      </c>
      <c r="D131" s="213" t="s">
        <v>321</v>
      </c>
      <c r="E131" s="211" t="s">
        <v>322</v>
      </c>
      <c r="F131" s="211" t="s">
        <v>259</v>
      </c>
      <c r="G131" s="211" t="s">
        <v>27</v>
      </c>
      <c r="H131" s="212">
        <v>44865</v>
      </c>
    </row>
    <row r="132" spans="1:8">
      <c r="A132" s="208">
        <v>44865</v>
      </c>
      <c r="B132" s="209" t="s">
        <v>45</v>
      </c>
      <c r="C132" s="210" t="s">
        <v>51</v>
      </c>
      <c r="D132" s="213" t="s">
        <v>323</v>
      </c>
      <c r="E132" s="211" t="s">
        <v>324</v>
      </c>
      <c r="F132" s="211"/>
      <c r="G132" s="211" t="s">
        <v>63</v>
      </c>
      <c r="H132" s="212">
        <v>44865</v>
      </c>
    </row>
    <row r="133" spans="1:8">
      <c r="A133" s="208">
        <v>44865</v>
      </c>
      <c r="B133" s="209" t="s">
        <v>45</v>
      </c>
      <c r="C133" s="210" t="s">
        <v>46</v>
      </c>
      <c r="D133" s="213" t="s">
        <v>325</v>
      </c>
      <c r="E133" s="211" t="s">
        <v>326</v>
      </c>
      <c r="F133" s="211" t="s">
        <v>259</v>
      </c>
      <c r="G133" s="211" t="s">
        <v>26</v>
      </c>
      <c r="H133" s="212">
        <v>44865</v>
      </c>
    </row>
    <row r="134" spans="1:8" ht="20">
      <c r="A134" s="208">
        <v>44865</v>
      </c>
      <c r="B134" s="209" t="s">
        <v>45</v>
      </c>
      <c r="C134" s="210" t="s">
        <v>46</v>
      </c>
      <c r="D134" s="213" t="s">
        <v>327</v>
      </c>
      <c r="E134" s="211" t="s">
        <v>328</v>
      </c>
      <c r="F134" s="211" t="s">
        <v>329</v>
      </c>
      <c r="G134" s="211" t="s">
        <v>76</v>
      </c>
      <c r="H134" s="212">
        <v>44865</v>
      </c>
    </row>
    <row r="135" spans="1:8" ht="20">
      <c r="A135" s="208">
        <v>44865</v>
      </c>
      <c r="B135" s="209" t="s">
        <v>45</v>
      </c>
      <c r="C135" s="210" t="s">
        <v>46</v>
      </c>
      <c r="D135" s="213" t="s">
        <v>330</v>
      </c>
      <c r="E135" s="211" t="s">
        <v>331</v>
      </c>
      <c r="F135" s="211" t="s">
        <v>332</v>
      </c>
      <c r="G135" s="211" t="s">
        <v>76</v>
      </c>
      <c r="H135" s="212">
        <v>44865</v>
      </c>
    </row>
    <row r="136" spans="1:8">
      <c r="A136" s="208">
        <v>44865</v>
      </c>
      <c r="B136" s="209" t="s">
        <v>45</v>
      </c>
      <c r="C136" s="210" t="s">
        <v>46</v>
      </c>
      <c r="D136" s="213" t="s">
        <v>333</v>
      </c>
      <c r="E136" s="211" t="s">
        <v>334</v>
      </c>
      <c r="F136" s="211" t="s">
        <v>259</v>
      </c>
      <c r="G136" s="211" t="s">
        <v>26</v>
      </c>
      <c r="H136" s="212">
        <v>44865</v>
      </c>
    </row>
    <row r="137" spans="1:8">
      <c r="A137" s="208">
        <v>44865</v>
      </c>
      <c r="B137" s="209" t="s">
        <v>45</v>
      </c>
      <c r="C137" s="210" t="s">
        <v>46</v>
      </c>
      <c r="D137" s="213" t="s">
        <v>335</v>
      </c>
      <c r="E137" s="211" t="s">
        <v>336</v>
      </c>
      <c r="F137" s="211"/>
      <c r="G137" s="211" t="s">
        <v>27</v>
      </c>
      <c r="H137" s="212">
        <v>44865</v>
      </c>
    </row>
    <row r="138" spans="1:8">
      <c r="A138" s="208">
        <v>44865</v>
      </c>
      <c r="B138" s="209" t="s">
        <v>45</v>
      </c>
      <c r="C138" s="210" t="s">
        <v>46</v>
      </c>
      <c r="D138" s="213" t="s">
        <v>337</v>
      </c>
      <c r="E138" s="211" t="s">
        <v>326</v>
      </c>
      <c r="F138" s="211" t="s">
        <v>259</v>
      </c>
      <c r="G138" s="211" t="s">
        <v>26</v>
      </c>
      <c r="H138" s="212">
        <v>44865</v>
      </c>
    </row>
    <row r="139" spans="1:8">
      <c r="A139" s="208">
        <v>44865</v>
      </c>
      <c r="B139" s="209" t="s">
        <v>45</v>
      </c>
      <c r="C139" s="210" t="s">
        <v>46</v>
      </c>
      <c r="D139" s="213" t="s">
        <v>338</v>
      </c>
      <c r="E139" s="211" t="s">
        <v>326</v>
      </c>
      <c r="F139" s="211" t="s">
        <v>259</v>
      </c>
      <c r="G139" s="211" t="s">
        <v>26</v>
      </c>
      <c r="H139" s="212">
        <v>44865</v>
      </c>
    </row>
    <row r="140" spans="1:8">
      <c r="A140" s="208">
        <v>44865</v>
      </c>
      <c r="B140" s="209" t="s">
        <v>45</v>
      </c>
      <c r="C140" s="210" t="s">
        <v>51</v>
      </c>
      <c r="D140" s="213" t="s">
        <v>339</v>
      </c>
      <c r="E140" s="211" t="s">
        <v>324</v>
      </c>
      <c r="F140" s="211"/>
      <c r="G140" s="211" t="s">
        <v>63</v>
      </c>
      <c r="H140" s="212">
        <v>44865</v>
      </c>
    </row>
    <row r="141" spans="1:8" ht="20">
      <c r="A141" s="208">
        <v>44865</v>
      </c>
      <c r="B141" s="209" t="s">
        <v>45</v>
      </c>
      <c r="C141" s="210" t="s">
        <v>46</v>
      </c>
      <c r="D141" s="213" t="s">
        <v>340</v>
      </c>
      <c r="E141" s="211" t="s">
        <v>341</v>
      </c>
      <c r="F141" s="211" t="s">
        <v>342</v>
      </c>
      <c r="G141" s="211" t="s">
        <v>76</v>
      </c>
      <c r="H141" s="212">
        <v>44865</v>
      </c>
    </row>
    <row r="142" spans="1:8">
      <c r="A142" s="208">
        <v>44865</v>
      </c>
      <c r="B142" s="209" t="s">
        <v>77</v>
      </c>
      <c r="C142" s="210" t="s">
        <v>46</v>
      </c>
      <c r="D142" s="213" t="s">
        <v>343</v>
      </c>
      <c r="E142" s="211" t="s">
        <v>344</v>
      </c>
      <c r="F142" s="211" t="s">
        <v>259</v>
      </c>
      <c r="G142" s="211" t="s">
        <v>27</v>
      </c>
      <c r="H142" s="212">
        <v>44865</v>
      </c>
    </row>
    <row r="143" spans="1:8">
      <c r="A143" s="208">
        <v>44865</v>
      </c>
      <c r="B143" s="209" t="s">
        <v>77</v>
      </c>
      <c r="C143" s="210" t="s">
        <v>51</v>
      </c>
      <c r="D143" s="213" t="s">
        <v>345</v>
      </c>
      <c r="E143" s="211" t="s">
        <v>195</v>
      </c>
      <c r="F143" s="211"/>
      <c r="G143" s="211" t="s">
        <v>63</v>
      </c>
      <c r="H143" s="212">
        <v>44865</v>
      </c>
    </row>
    <row r="144" spans="1:8">
      <c r="A144" s="208">
        <v>44865</v>
      </c>
      <c r="B144" s="209" t="s">
        <v>91</v>
      </c>
      <c r="C144" s="210" t="s">
        <v>46</v>
      </c>
      <c r="D144" s="213" t="s">
        <v>346</v>
      </c>
      <c r="E144" s="211" t="s">
        <v>347</v>
      </c>
      <c r="F144" s="211" t="s">
        <v>348</v>
      </c>
      <c r="G144" s="211" t="s">
        <v>76</v>
      </c>
      <c r="H144" s="212">
        <v>44865</v>
      </c>
    </row>
    <row r="145" spans="1:8">
      <c r="A145" s="208">
        <v>44865</v>
      </c>
      <c r="B145" s="209" t="s">
        <v>91</v>
      </c>
      <c r="C145" s="210" t="s">
        <v>46</v>
      </c>
      <c r="D145" s="213" t="s">
        <v>210</v>
      </c>
      <c r="E145" s="211" t="s">
        <v>211</v>
      </c>
      <c r="F145" s="211" t="s">
        <v>212</v>
      </c>
      <c r="G145" s="211" t="s">
        <v>26</v>
      </c>
      <c r="H145" s="212">
        <v>44865</v>
      </c>
    </row>
    <row r="146" spans="1:8">
      <c r="A146" s="208">
        <v>44865</v>
      </c>
      <c r="B146" s="209" t="s">
        <v>91</v>
      </c>
      <c r="C146" s="210" t="s">
        <v>46</v>
      </c>
      <c r="D146" s="213" t="s">
        <v>349</v>
      </c>
      <c r="E146" s="211" t="s">
        <v>347</v>
      </c>
      <c r="F146" s="211" t="s">
        <v>350</v>
      </c>
      <c r="G146" s="211" t="s">
        <v>76</v>
      </c>
      <c r="H146" s="212">
        <v>44865</v>
      </c>
    </row>
    <row r="147" spans="1:8">
      <c r="A147" s="208">
        <v>44865</v>
      </c>
      <c r="B147" s="209" t="s">
        <v>91</v>
      </c>
      <c r="C147" s="210" t="s">
        <v>46</v>
      </c>
      <c r="D147" s="213" t="s">
        <v>351</v>
      </c>
      <c r="E147" s="211" t="s">
        <v>347</v>
      </c>
      <c r="F147" s="211" t="s">
        <v>352</v>
      </c>
      <c r="G147" s="211" t="s">
        <v>76</v>
      </c>
      <c r="H147" s="212">
        <v>44865</v>
      </c>
    </row>
    <row r="148" spans="1:8" ht="20">
      <c r="A148" s="208">
        <v>44865</v>
      </c>
      <c r="B148" s="209" t="s">
        <v>91</v>
      </c>
      <c r="C148" s="210" t="s">
        <v>46</v>
      </c>
      <c r="D148" s="213" t="s">
        <v>222</v>
      </c>
      <c r="E148" s="211" t="s">
        <v>223</v>
      </c>
      <c r="F148" s="211" t="s">
        <v>259</v>
      </c>
      <c r="G148" s="211" t="s">
        <v>27</v>
      </c>
      <c r="H148" s="212">
        <v>44865</v>
      </c>
    </row>
    <row r="149" spans="1:8">
      <c r="A149" s="208">
        <v>44865</v>
      </c>
      <c r="B149" s="209" t="s">
        <v>91</v>
      </c>
      <c r="C149" s="210" t="s">
        <v>46</v>
      </c>
      <c r="D149" s="213" t="s">
        <v>353</v>
      </c>
      <c r="E149" s="211" t="s">
        <v>347</v>
      </c>
      <c r="F149" s="211" t="s">
        <v>354</v>
      </c>
      <c r="G149" s="211" t="s">
        <v>76</v>
      </c>
      <c r="H149" s="212">
        <v>44865</v>
      </c>
    </row>
    <row r="150" spans="1:8">
      <c r="A150" s="208">
        <v>44865</v>
      </c>
      <c r="B150" s="209" t="s">
        <v>91</v>
      </c>
      <c r="C150" s="210" t="s">
        <v>46</v>
      </c>
      <c r="D150" s="213" t="s">
        <v>355</v>
      </c>
      <c r="E150" s="211" t="s">
        <v>347</v>
      </c>
      <c r="F150" s="211" t="s">
        <v>356</v>
      </c>
      <c r="G150" s="211" t="s">
        <v>76</v>
      </c>
      <c r="H150" s="212">
        <v>44865</v>
      </c>
    </row>
    <row r="151" spans="1:8">
      <c r="A151" s="208">
        <v>44865</v>
      </c>
      <c r="B151" s="209" t="s">
        <v>91</v>
      </c>
      <c r="C151" s="210" t="s">
        <v>46</v>
      </c>
      <c r="D151" s="213" t="s">
        <v>357</v>
      </c>
      <c r="E151" s="211" t="s">
        <v>347</v>
      </c>
      <c r="F151" s="211" t="s">
        <v>358</v>
      </c>
      <c r="G151" s="211" t="s">
        <v>76</v>
      </c>
      <c r="H151" s="212">
        <v>44865</v>
      </c>
    </row>
    <row r="152" spans="1:8">
      <c r="A152" s="208">
        <v>44865</v>
      </c>
      <c r="B152" s="209" t="s">
        <v>91</v>
      </c>
      <c r="C152" s="210" t="s">
        <v>46</v>
      </c>
      <c r="D152" s="213" t="s">
        <v>292</v>
      </c>
      <c r="E152" s="211" t="s">
        <v>293</v>
      </c>
      <c r="F152" s="211" t="s">
        <v>259</v>
      </c>
      <c r="G152" s="211" t="s">
        <v>26</v>
      </c>
      <c r="H152" s="212">
        <v>44865</v>
      </c>
    </row>
    <row r="153" spans="1:8">
      <c r="A153" s="208">
        <v>44865</v>
      </c>
      <c r="B153" s="209" t="s">
        <v>91</v>
      </c>
      <c r="C153" s="210" t="s">
        <v>46</v>
      </c>
      <c r="D153" s="213" t="s">
        <v>359</v>
      </c>
      <c r="E153" s="211" t="s">
        <v>347</v>
      </c>
      <c r="F153" s="211" t="s">
        <v>360</v>
      </c>
      <c r="G153" s="211" t="s">
        <v>76</v>
      </c>
      <c r="H153" s="212">
        <v>44865</v>
      </c>
    </row>
    <row r="154" spans="1:8">
      <c r="A154" s="208">
        <v>44865</v>
      </c>
      <c r="B154" s="209" t="s">
        <v>91</v>
      </c>
      <c r="C154" s="210" t="s">
        <v>46</v>
      </c>
      <c r="D154" s="213" t="s">
        <v>361</v>
      </c>
      <c r="E154" s="211" t="s">
        <v>347</v>
      </c>
      <c r="F154" s="211" t="s">
        <v>362</v>
      </c>
      <c r="G154" s="211" t="s">
        <v>76</v>
      </c>
      <c r="H154" s="212">
        <v>44865</v>
      </c>
    </row>
    <row r="155" spans="1:8">
      <c r="A155" s="208">
        <v>44865</v>
      </c>
      <c r="B155" s="209" t="s">
        <v>91</v>
      </c>
      <c r="C155" s="210" t="s">
        <v>46</v>
      </c>
      <c r="D155" s="213" t="s">
        <v>363</v>
      </c>
      <c r="E155" s="211" t="s">
        <v>347</v>
      </c>
      <c r="F155" s="211" t="s">
        <v>364</v>
      </c>
      <c r="G155" s="211" t="s">
        <v>76</v>
      </c>
      <c r="H155" s="212">
        <v>44865</v>
      </c>
    </row>
    <row r="156" spans="1:8">
      <c r="A156" s="208">
        <v>44865</v>
      </c>
      <c r="B156" s="209" t="s">
        <v>91</v>
      </c>
      <c r="C156" s="210" t="s">
        <v>46</v>
      </c>
      <c r="D156" s="213" t="s">
        <v>365</v>
      </c>
      <c r="E156" s="211" t="s">
        <v>347</v>
      </c>
      <c r="F156" s="211" t="s">
        <v>366</v>
      </c>
      <c r="G156" s="211" t="s">
        <v>76</v>
      </c>
      <c r="H156" s="212">
        <v>44865</v>
      </c>
    </row>
    <row r="157" spans="1:8">
      <c r="A157" s="208">
        <v>44865</v>
      </c>
      <c r="B157" s="209" t="s">
        <v>91</v>
      </c>
      <c r="C157" s="210" t="s">
        <v>46</v>
      </c>
      <c r="D157" s="213" t="s">
        <v>367</v>
      </c>
      <c r="E157" s="211" t="s">
        <v>347</v>
      </c>
      <c r="F157" s="211" t="s">
        <v>368</v>
      </c>
      <c r="G157" s="211" t="s">
        <v>76</v>
      </c>
      <c r="H157" s="212">
        <v>44865</v>
      </c>
    </row>
    <row r="158" spans="1:8">
      <c r="A158" s="208">
        <v>44865</v>
      </c>
      <c r="B158" s="209" t="s">
        <v>91</v>
      </c>
      <c r="C158" s="210" t="s">
        <v>46</v>
      </c>
      <c r="D158" s="213" t="s">
        <v>369</v>
      </c>
      <c r="E158" s="211" t="s">
        <v>155</v>
      </c>
      <c r="F158" s="211" t="s">
        <v>259</v>
      </c>
      <c r="G158" s="211" t="s">
        <v>26</v>
      </c>
      <c r="H158" s="212">
        <v>44865</v>
      </c>
    </row>
    <row r="159" spans="1:8">
      <c r="A159" s="208">
        <v>44865</v>
      </c>
      <c r="B159" s="209" t="s">
        <v>110</v>
      </c>
      <c r="C159" s="210" t="s">
        <v>46</v>
      </c>
      <c r="D159" s="213" t="s">
        <v>370</v>
      </c>
      <c r="E159" s="211" t="s">
        <v>371</v>
      </c>
      <c r="F159" s="211" t="s">
        <v>372</v>
      </c>
      <c r="G159" s="211" t="s">
        <v>76</v>
      </c>
      <c r="H159" s="212">
        <v>44865</v>
      </c>
    </row>
    <row r="160" spans="1:8">
      <c r="A160" s="208">
        <v>44865</v>
      </c>
      <c r="B160" s="209" t="s">
        <v>110</v>
      </c>
      <c r="C160" s="210" t="s">
        <v>46</v>
      </c>
      <c r="D160" s="213" t="s">
        <v>373</v>
      </c>
      <c r="E160" s="211" t="s">
        <v>374</v>
      </c>
      <c r="F160" s="211" t="s">
        <v>259</v>
      </c>
      <c r="G160" s="211" t="s">
        <v>27</v>
      </c>
      <c r="H160" s="212">
        <v>44865</v>
      </c>
    </row>
    <row r="161" spans="1:8">
      <c r="A161" s="208">
        <v>44865</v>
      </c>
      <c r="B161" s="209" t="s">
        <v>110</v>
      </c>
      <c r="C161" s="210" t="s">
        <v>46</v>
      </c>
      <c r="D161" s="213" t="s">
        <v>375</v>
      </c>
      <c r="E161" s="211" t="s">
        <v>376</v>
      </c>
      <c r="F161" s="211" t="s">
        <v>259</v>
      </c>
      <c r="G161" s="211" t="s">
        <v>76</v>
      </c>
      <c r="H161" s="212">
        <v>44865</v>
      </c>
    </row>
    <row r="162" spans="1:8">
      <c r="A162" s="208">
        <v>44865</v>
      </c>
      <c r="B162" s="209" t="s">
        <v>110</v>
      </c>
      <c r="C162" s="210" t="s">
        <v>46</v>
      </c>
      <c r="D162" s="213" t="s">
        <v>247</v>
      </c>
      <c r="E162" s="211" t="s">
        <v>248</v>
      </c>
      <c r="F162" s="211" t="s">
        <v>259</v>
      </c>
      <c r="G162" s="211" t="s">
        <v>27</v>
      </c>
      <c r="H162" s="212">
        <v>44865</v>
      </c>
    </row>
    <row r="163" spans="1:8" ht="20">
      <c r="A163" s="208">
        <v>44865</v>
      </c>
      <c r="B163" s="209" t="s">
        <v>110</v>
      </c>
      <c r="C163" s="210" t="s">
        <v>46</v>
      </c>
      <c r="D163" s="213" t="s">
        <v>117</v>
      </c>
      <c r="E163" s="211" t="s">
        <v>118</v>
      </c>
      <c r="F163" s="211" t="s">
        <v>259</v>
      </c>
      <c r="G163" s="211" t="s">
        <v>27</v>
      </c>
      <c r="H163" s="212">
        <v>44865</v>
      </c>
    </row>
    <row r="164" spans="1:8" ht="20">
      <c r="A164" s="208">
        <v>44865</v>
      </c>
      <c r="B164" s="209" t="s">
        <v>110</v>
      </c>
      <c r="C164" s="210" t="s">
        <v>46</v>
      </c>
      <c r="D164" s="213" t="s">
        <v>377</v>
      </c>
      <c r="E164" s="211" t="s">
        <v>378</v>
      </c>
      <c r="F164" s="211" t="s">
        <v>379</v>
      </c>
      <c r="G164" s="211" t="s">
        <v>26</v>
      </c>
      <c r="H164" s="212">
        <v>44865</v>
      </c>
    </row>
    <row r="165" spans="1:8">
      <c r="A165" s="208">
        <v>44865</v>
      </c>
      <c r="B165" s="209" t="s">
        <v>110</v>
      </c>
      <c r="C165" s="210" t="s">
        <v>51</v>
      </c>
      <c r="D165" s="213" t="s">
        <v>380</v>
      </c>
      <c r="E165" s="211" t="s">
        <v>324</v>
      </c>
      <c r="F165" s="211"/>
      <c r="G165" s="211" t="s">
        <v>63</v>
      </c>
      <c r="H165" s="212">
        <v>44865</v>
      </c>
    </row>
    <row r="166" spans="1:8" ht="20">
      <c r="A166" s="208">
        <v>44865</v>
      </c>
      <c r="B166" s="209" t="s">
        <v>110</v>
      </c>
      <c r="C166" s="210" t="s">
        <v>46</v>
      </c>
      <c r="D166" s="213" t="s">
        <v>381</v>
      </c>
      <c r="E166" s="211" t="s">
        <v>382</v>
      </c>
      <c r="F166" s="211" t="s">
        <v>383</v>
      </c>
      <c r="G166" s="211" t="s">
        <v>76</v>
      </c>
      <c r="H166" s="212">
        <v>44865</v>
      </c>
    </row>
    <row r="167" spans="1:8">
      <c r="A167" s="208">
        <v>44865</v>
      </c>
      <c r="B167" s="209" t="s">
        <v>110</v>
      </c>
      <c r="C167" s="210" t="s">
        <v>51</v>
      </c>
      <c r="D167" s="213" t="s">
        <v>384</v>
      </c>
      <c r="E167" s="211" t="s">
        <v>324</v>
      </c>
      <c r="F167" s="211"/>
      <c r="G167" s="211" t="s">
        <v>63</v>
      </c>
      <c r="H167" s="212">
        <v>44865</v>
      </c>
    </row>
    <row r="168" spans="1:8">
      <c r="A168" s="208">
        <v>44865</v>
      </c>
      <c r="B168" s="209" t="s">
        <v>110</v>
      </c>
      <c r="C168" s="210" t="s">
        <v>46</v>
      </c>
      <c r="D168" s="213" t="s">
        <v>385</v>
      </c>
      <c r="E168" s="211" t="s">
        <v>386</v>
      </c>
      <c r="F168" s="211" t="s">
        <v>259</v>
      </c>
      <c r="G168" s="211" t="s">
        <v>27</v>
      </c>
      <c r="H168" s="212">
        <v>44865</v>
      </c>
    </row>
    <row r="169" spans="1:8">
      <c r="A169" s="208">
        <v>44865</v>
      </c>
      <c r="B169" s="209" t="s">
        <v>110</v>
      </c>
      <c r="C169" s="210" t="s">
        <v>46</v>
      </c>
      <c r="D169" s="213" t="s">
        <v>387</v>
      </c>
      <c r="E169" s="211" t="s">
        <v>388</v>
      </c>
      <c r="F169" s="211" t="s">
        <v>389</v>
      </c>
      <c r="G169" s="211" t="s">
        <v>76</v>
      </c>
      <c r="H169" s="212">
        <v>44865</v>
      </c>
    </row>
    <row r="170" spans="1:8">
      <c r="A170" s="208">
        <v>44865</v>
      </c>
      <c r="B170" s="209" t="s">
        <v>110</v>
      </c>
      <c r="C170" s="210" t="s">
        <v>46</v>
      </c>
      <c r="D170" s="213" t="s">
        <v>390</v>
      </c>
      <c r="E170" s="211" t="s">
        <v>391</v>
      </c>
      <c r="F170" s="211" t="s">
        <v>392</v>
      </c>
      <c r="G170" s="211" t="s">
        <v>76</v>
      </c>
      <c r="H170" s="212">
        <v>44865</v>
      </c>
    </row>
    <row r="171" spans="1:8">
      <c r="A171" s="208">
        <v>44804</v>
      </c>
      <c r="B171" s="209" t="s">
        <v>110</v>
      </c>
      <c r="C171" s="210" t="s">
        <v>46</v>
      </c>
      <c r="D171" s="213" t="s">
        <v>393</v>
      </c>
      <c r="E171" s="211" t="s">
        <v>394</v>
      </c>
      <c r="F171" s="211"/>
      <c r="G171" s="211" t="s">
        <v>26</v>
      </c>
      <c r="H171" s="212">
        <v>44804</v>
      </c>
    </row>
    <row r="172" spans="1:8">
      <c r="A172" s="208">
        <v>44764</v>
      </c>
      <c r="B172" s="209" t="s">
        <v>45</v>
      </c>
      <c r="C172" s="210" t="s">
        <v>46</v>
      </c>
      <c r="D172" s="213" t="s">
        <v>325</v>
      </c>
      <c r="E172" s="211" t="s">
        <v>326</v>
      </c>
      <c r="F172" s="211"/>
      <c r="G172" s="211" t="s">
        <v>27</v>
      </c>
      <c r="H172" s="212">
        <v>44764</v>
      </c>
    </row>
    <row r="173" spans="1:8">
      <c r="A173" s="208">
        <v>44764</v>
      </c>
      <c r="B173" s="209" t="s">
        <v>45</v>
      </c>
      <c r="C173" s="210" t="s">
        <v>46</v>
      </c>
      <c r="D173" s="213" t="s">
        <v>337</v>
      </c>
      <c r="E173" s="211" t="s">
        <v>326</v>
      </c>
      <c r="F173" s="211"/>
      <c r="G173" s="211" t="s">
        <v>27</v>
      </c>
      <c r="H173" s="212">
        <v>44764</v>
      </c>
    </row>
    <row r="174" spans="1:8">
      <c r="A174" s="208">
        <v>44764</v>
      </c>
      <c r="B174" s="209" t="s">
        <v>45</v>
      </c>
      <c r="C174" s="210" t="s">
        <v>46</v>
      </c>
      <c r="D174" s="213" t="s">
        <v>338</v>
      </c>
      <c r="E174" s="211" t="s">
        <v>326</v>
      </c>
      <c r="F174" s="211"/>
      <c r="G174" s="211" t="s">
        <v>27</v>
      </c>
      <c r="H174" s="212">
        <v>44764</v>
      </c>
    </row>
    <row r="175" spans="1:8">
      <c r="A175" s="208">
        <v>44764</v>
      </c>
      <c r="B175" s="209" t="s">
        <v>45</v>
      </c>
      <c r="C175" s="210" t="s">
        <v>51</v>
      </c>
      <c r="D175" s="213" t="s">
        <v>395</v>
      </c>
      <c r="E175" s="211" t="s">
        <v>396</v>
      </c>
      <c r="F175" s="211"/>
      <c r="G175" s="211" t="s">
        <v>63</v>
      </c>
      <c r="H175" s="212">
        <v>44764</v>
      </c>
    </row>
    <row r="176" spans="1:8">
      <c r="A176" s="208">
        <v>44764</v>
      </c>
      <c r="B176" s="209" t="s">
        <v>77</v>
      </c>
      <c r="C176" s="210" t="s">
        <v>46</v>
      </c>
      <c r="D176" s="213" t="s">
        <v>397</v>
      </c>
      <c r="E176" s="211" t="s">
        <v>398</v>
      </c>
      <c r="F176" s="211" t="s">
        <v>399</v>
      </c>
      <c r="G176" s="211" t="s">
        <v>26</v>
      </c>
      <c r="H176" s="212">
        <v>44764</v>
      </c>
    </row>
    <row r="177" spans="1:8">
      <c r="A177" s="208">
        <v>44764</v>
      </c>
      <c r="B177" s="209" t="s">
        <v>77</v>
      </c>
      <c r="C177" s="210" t="s">
        <v>46</v>
      </c>
      <c r="D177" s="213" t="s">
        <v>397</v>
      </c>
      <c r="E177" s="211" t="s">
        <v>398</v>
      </c>
      <c r="F177" s="211" t="s">
        <v>400</v>
      </c>
      <c r="G177" s="211" t="s">
        <v>26</v>
      </c>
      <c r="H177" s="212">
        <v>44764</v>
      </c>
    </row>
    <row r="178" spans="1:8">
      <c r="A178" s="208">
        <v>44764</v>
      </c>
      <c r="B178" s="209" t="s">
        <v>77</v>
      </c>
      <c r="C178" s="210" t="s">
        <v>46</v>
      </c>
      <c r="D178" s="213" t="s">
        <v>267</v>
      </c>
      <c r="E178" s="211" t="s">
        <v>131</v>
      </c>
      <c r="F178" s="211" t="s">
        <v>268</v>
      </c>
      <c r="G178" s="211" t="s">
        <v>401</v>
      </c>
      <c r="H178" s="212">
        <v>44764</v>
      </c>
    </row>
    <row r="179" spans="1:8">
      <c r="A179" s="208">
        <v>44764</v>
      </c>
      <c r="B179" s="209" t="s">
        <v>77</v>
      </c>
      <c r="C179" s="210" t="s">
        <v>46</v>
      </c>
      <c r="D179" s="213" t="s">
        <v>82</v>
      </c>
      <c r="E179" s="211" t="s">
        <v>83</v>
      </c>
      <c r="F179" s="211"/>
      <c r="G179" s="211" t="s">
        <v>27</v>
      </c>
      <c r="H179" s="212">
        <v>44764</v>
      </c>
    </row>
    <row r="180" spans="1:8">
      <c r="A180" s="208">
        <v>44764</v>
      </c>
      <c r="B180" s="209" t="s">
        <v>77</v>
      </c>
      <c r="C180" s="210" t="s">
        <v>51</v>
      </c>
      <c r="D180" s="213" t="s">
        <v>402</v>
      </c>
      <c r="E180" s="211" t="s">
        <v>403</v>
      </c>
      <c r="F180" s="211"/>
      <c r="G180" s="211" t="s">
        <v>63</v>
      </c>
      <c r="H180" s="212">
        <v>44764</v>
      </c>
    </row>
    <row r="181" spans="1:8">
      <c r="A181" s="208">
        <v>44764</v>
      </c>
      <c r="B181" s="209" t="s">
        <v>77</v>
      </c>
      <c r="C181" s="210" t="s">
        <v>51</v>
      </c>
      <c r="D181" s="213" t="s">
        <v>402</v>
      </c>
      <c r="E181" s="211" t="s">
        <v>403</v>
      </c>
      <c r="F181" s="211"/>
      <c r="G181" s="211" t="s">
        <v>63</v>
      </c>
      <c r="H181" s="212">
        <v>44764</v>
      </c>
    </row>
    <row r="182" spans="1:8" ht="20">
      <c r="A182" s="208">
        <v>44764</v>
      </c>
      <c r="B182" s="209" t="s">
        <v>91</v>
      </c>
      <c r="C182" s="210" t="s">
        <v>51</v>
      </c>
      <c r="D182" s="213" t="s">
        <v>404</v>
      </c>
      <c r="E182" s="211" t="s">
        <v>347</v>
      </c>
      <c r="F182" s="211" t="s">
        <v>405</v>
      </c>
      <c r="G182" s="211" t="s">
        <v>406</v>
      </c>
      <c r="H182" s="212">
        <v>44764</v>
      </c>
    </row>
    <row r="183" spans="1:8">
      <c r="A183" s="208">
        <v>44764</v>
      </c>
      <c r="B183" s="209" t="s">
        <v>110</v>
      </c>
      <c r="C183" s="210" t="s">
        <v>46</v>
      </c>
      <c r="D183" s="213" t="s">
        <v>111</v>
      </c>
      <c r="E183" s="211" t="s">
        <v>112</v>
      </c>
      <c r="F183" s="211"/>
      <c r="G183" s="211" t="s">
        <v>26</v>
      </c>
      <c r="H183" s="212">
        <v>44764</v>
      </c>
    </row>
    <row r="184" spans="1:8" ht="20">
      <c r="A184" s="208">
        <v>44764</v>
      </c>
      <c r="B184" s="209" t="s">
        <v>110</v>
      </c>
      <c r="C184" s="210" t="s">
        <v>46</v>
      </c>
      <c r="D184" s="213" t="s">
        <v>407</v>
      </c>
      <c r="E184" s="211" t="s">
        <v>408</v>
      </c>
      <c r="F184" s="211" t="s">
        <v>409</v>
      </c>
      <c r="G184" s="211" t="s">
        <v>76</v>
      </c>
      <c r="H184" s="212">
        <v>44764</v>
      </c>
    </row>
    <row r="185" spans="1:8">
      <c r="A185" s="208">
        <v>44764</v>
      </c>
      <c r="B185" s="209" t="s">
        <v>110</v>
      </c>
      <c r="C185" s="210" t="s">
        <v>51</v>
      </c>
      <c r="D185" s="213" t="s">
        <v>410</v>
      </c>
      <c r="E185" s="211" t="s">
        <v>93</v>
      </c>
      <c r="F185" s="211"/>
      <c r="G185" s="211" t="s">
        <v>63</v>
      </c>
      <c r="H185" s="212">
        <v>44764</v>
      </c>
    </row>
    <row r="186" spans="1:8">
      <c r="A186" s="208">
        <v>44727</v>
      </c>
      <c r="B186" s="209" t="s">
        <v>45</v>
      </c>
      <c r="C186" s="210" t="s">
        <v>51</v>
      </c>
      <c r="D186" s="213" t="s">
        <v>411</v>
      </c>
      <c r="E186" s="211" t="s">
        <v>396</v>
      </c>
      <c r="F186" s="211"/>
      <c r="G186" s="211" t="s">
        <v>412</v>
      </c>
      <c r="H186" s="212">
        <v>44727</v>
      </c>
    </row>
    <row r="187" spans="1:8">
      <c r="A187" s="208">
        <v>44727</v>
      </c>
      <c r="B187" s="209" t="s">
        <v>45</v>
      </c>
      <c r="C187" s="210" t="s">
        <v>46</v>
      </c>
      <c r="D187" s="213" t="s">
        <v>413</v>
      </c>
      <c r="E187" s="211" t="s">
        <v>414</v>
      </c>
      <c r="F187" s="211" t="s">
        <v>415</v>
      </c>
      <c r="G187" s="211" t="s">
        <v>76</v>
      </c>
      <c r="H187" s="212">
        <v>44727</v>
      </c>
    </row>
    <row r="188" spans="1:8">
      <c r="A188" s="208">
        <v>44727</v>
      </c>
      <c r="B188" s="209" t="s">
        <v>45</v>
      </c>
      <c r="C188" s="210" t="s">
        <v>51</v>
      </c>
      <c r="D188" s="213" t="s">
        <v>416</v>
      </c>
      <c r="E188" s="211" t="s">
        <v>136</v>
      </c>
      <c r="F188" s="211"/>
      <c r="G188" s="211" t="s">
        <v>412</v>
      </c>
      <c r="H188" s="212">
        <v>44727</v>
      </c>
    </row>
    <row r="189" spans="1:8">
      <c r="A189" s="208">
        <v>44727</v>
      </c>
      <c r="B189" s="209" t="s">
        <v>45</v>
      </c>
      <c r="C189" s="210" t="s">
        <v>51</v>
      </c>
      <c r="D189" s="213" t="s">
        <v>417</v>
      </c>
      <c r="E189" s="211" t="s">
        <v>418</v>
      </c>
      <c r="F189" s="211"/>
      <c r="G189" s="211" t="s">
        <v>412</v>
      </c>
      <c r="H189" s="212">
        <v>44727</v>
      </c>
    </row>
    <row r="190" spans="1:8">
      <c r="A190" s="208">
        <v>44727</v>
      </c>
      <c r="B190" s="209" t="s">
        <v>45</v>
      </c>
      <c r="C190" s="210" t="s">
        <v>51</v>
      </c>
      <c r="D190" s="213" t="s">
        <v>419</v>
      </c>
      <c r="E190" s="211" t="s">
        <v>420</v>
      </c>
      <c r="F190" s="211"/>
      <c r="G190" s="211" t="s">
        <v>412</v>
      </c>
      <c r="H190" s="212">
        <v>44727</v>
      </c>
    </row>
    <row r="191" spans="1:8">
      <c r="A191" s="208">
        <v>44727</v>
      </c>
      <c r="B191" s="209" t="s">
        <v>77</v>
      </c>
      <c r="C191" s="210" t="s">
        <v>51</v>
      </c>
      <c r="D191" s="213" t="s">
        <v>421</v>
      </c>
      <c r="E191" s="211" t="s">
        <v>155</v>
      </c>
      <c r="F191" s="211"/>
      <c r="G191" s="211" t="s">
        <v>412</v>
      </c>
      <c r="H191" s="212">
        <v>44727</v>
      </c>
    </row>
    <row r="192" spans="1:8">
      <c r="A192" s="208">
        <v>44727</v>
      </c>
      <c r="B192" s="209" t="s">
        <v>77</v>
      </c>
      <c r="C192" s="210" t="s">
        <v>51</v>
      </c>
      <c r="D192" s="213" t="s">
        <v>422</v>
      </c>
      <c r="E192" s="211" t="s">
        <v>423</v>
      </c>
      <c r="F192" s="211"/>
      <c r="G192" s="211" t="s">
        <v>412</v>
      </c>
      <c r="H192" s="212">
        <v>44727</v>
      </c>
    </row>
    <row r="193" spans="1:8">
      <c r="A193" s="208">
        <v>44727</v>
      </c>
      <c r="B193" s="209" t="s">
        <v>77</v>
      </c>
      <c r="C193" s="210" t="s">
        <v>51</v>
      </c>
      <c r="D193" s="213" t="s">
        <v>424</v>
      </c>
      <c r="E193" s="211" t="s">
        <v>195</v>
      </c>
      <c r="F193" s="211"/>
      <c r="G193" s="211" t="s">
        <v>412</v>
      </c>
      <c r="H193" s="212">
        <v>44727</v>
      </c>
    </row>
    <row r="194" spans="1:8">
      <c r="A194" s="208">
        <v>44727</v>
      </c>
      <c r="B194" s="209" t="s">
        <v>77</v>
      </c>
      <c r="C194" s="210" t="s">
        <v>51</v>
      </c>
      <c r="D194" s="213" t="s">
        <v>425</v>
      </c>
      <c r="E194" s="211" t="s">
        <v>403</v>
      </c>
      <c r="F194" s="211"/>
      <c r="G194" s="211" t="s">
        <v>412</v>
      </c>
      <c r="H194" s="212">
        <v>44727</v>
      </c>
    </row>
    <row r="195" spans="1:8">
      <c r="A195" s="208">
        <v>44727</v>
      </c>
      <c r="B195" s="209" t="s">
        <v>77</v>
      </c>
      <c r="C195" s="210" t="s">
        <v>51</v>
      </c>
      <c r="D195" s="213" t="s">
        <v>426</v>
      </c>
      <c r="E195" s="211" t="s">
        <v>403</v>
      </c>
      <c r="F195" s="211" t="s">
        <v>427</v>
      </c>
      <c r="G195" s="211" t="s">
        <v>412</v>
      </c>
      <c r="H195" s="212">
        <v>44727</v>
      </c>
    </row>
    <row r="196" spans="1:8">
      <c r="A196" s="208">
        <v>44727</v>
      </c>
      <c r="B196" s="209" t="s">
        <v>77</v>
      </c>
      <c r="C196" s="210" t="s">
        <v>46</v>
      </c>
      <c r="D196" s="213" t="s">
        <v>428</v>
      </c>
      <c r="E196" s="211" t="s">
        <v>279</v>
      </c>
      <c r="F196" s="211" t="s">
        <v>429</v>
      </c>
      <c r="G196" s="211" t="s">
        <v>26</v>
      </c>
      <c r="H196" s="212">
        <v>44727</v>
      </c>
    </row>
    <row r="197" spans="1:8">
      <c r="A197" s="208">
        <v>44727</v>
      </c>
      <c r="B197" s="209" t="s">
        <v>77</v>
      </c>
      <c r="C197" s="210" t="s">
        <v>51</v>
      </c>
      <c r="D197" s="213" t="s">
        <v>430</v>
      </c>
      <c r="E197" s="211" t="s">
        <v>195</v>
      </c>
      <c r="F197" s="211"/>
      <c r="G197" s="211" t="s">
        <v>412</v>
      </c>
      <c r="H197" s="212">
        <v>44727</v>
      </c>
    </row>
    <row r="198" spans="1:8">
      <c r="A198" s="208">
        <v>44727</v>
      </c>
      <c r="B198" s="209" t="s">
        <v>77</v>
      </c>
      <c r="C198" s="210" t="s">
        <v>51</v>
      </c>
      <c r="D198" s="213" t="s">
        <v>431</v>
      </c>
      <c r="E198" s="211" t="s">
        <v>195</v>
      </c>
      <c r="F198" s="211"/>
      <c r="G198" s="211" t="s">
        <v>412</v>
      </c>
      <c r="H198" s="212">
        <v>44727</v>
      </c>
    </row>
    <row r="199" spans="1:8">
      <c r="A199" s="208">
        <v>44727</v>
      </c>
      <c r="B199" s="209" t="s">
        <v>91</v>
      </c>
      <c r="C199" s="210" t="s">
        <v>46</v>
      </c>
      <c r="D199" s="213" t="s">
        <v>346</v>
      </c>
      <c r="E199" s="211" t="s">
        <v>347</v>
      </c>
      <c r="F199" s="211" t="s">
        <v>432</v>
      </c>
      <c r="G199" s="211" t="s">
        <v>26</v>
      </c>
      <c r="H199" s="212">
        <v>44727</v>
      </c>
    </row>
    <row r="200" spans="1:8">
      <c r="A200" s="208">
        <v>44727</v>
      </c>
      <c r="B200" s="209" t="s">
        <v>91</v>
      </c>
      <c r="C200" s="210" t="s">
        <v>46</v>
      </c>
      <c r="D200" s="213" t="s">
        <v>346</v>
      </c>
      <c r="E200" s="211" t="s">
        <v>347</v>
      </c>
      <c r="F200" s="211" t="s">
        <v>433</v>
      </c>
      <c r="G200" s="211" t="s">
        <v>26</v>
      </c>
      <c r="H200" s="212">
        <v>44727</v>
      </c>
    </row>
    <row r="201" spans="1:8">
      <c r="A201" s="208">
        <v>44727</v>
      </c>
      <c r="B201" s="209" t="s">
        <v>91</v>
      </c>
      <c r="C201" s="210" t="s">
        <v>46</v>
      </c>
      <c r="D201" s="213" t="s">
        <v>346</v>
      </c>
      <c r="E201" s="211" t="s">
        <v>347</v>
      </c>
      <c r="F201" s="211" t="s">
        <v>434</v>
      </c>
      <c r="G201" s="211" t="s">
        <v>26</v>
      </c>
      <c r="H201" s="212">
        <v>44727</v>
      </c>
    </row>
    <row r="202" spans="1:8">
      <c r="A202" s="208">
        <v>44727</v>
      </c>
      <c r="B202" s="209" t="s">
        <v>91</v>
      </c>
      <c r="C202" s="210" t="s">
        <v>46</v>
      </c>
      <c r="D202" s="213" t="s">
        <v>349</v>
      </c>
      <c r="E202" s="211" t="s">
        <v>347</v>
      </c>
      <c r="F202" s="211" t="s">
        <v>435</v>
      </c>
      <c r="G202" s="211" t="s">
        <v>26</v>
      </c>
      <c r="H202" s="212">
        <v>44727</v>
      </c>
    </row>
    <row r="203" spans="1:8">
      <c r="A203" s="208">
        <v>44727</v>
      </c>
      <c r="B203" s="209" t="s">
        <v>91</v>
      </c>
      <c r="C203" s="210" t="s">
        <v>51</v>
      </c>
      <c r="D203" s="213" t="s">
        <v>436</v>
      </c>
      <c r="E203" s="211" t="s">
        <v>312</v>
      </c>
      <c r="F203" s="211"/>
      <c r="G203" s="211" t="s">
        <v>412</v>
      </c>
      <c r="H203" s="212">
        <v>44727</v>
      </c>
    </row>
    <row r="204" spans="1:8">
      <c r="A204" s="208">
        <v>44727</v>
      </c>
      <c r="B204" s="209" t="s">
        <v>91</v>
      </c>
      <c r="C204" s="210" t="s">
        <v>46</v>
      </c>
      <c r="D204" s="213" t="s">
        <v>355</v>
      </c>
      <c r="E204" s="211" t="s">
        <v>347</v>
      </c>
      <c r="F204" s="211" t="s">
        <v>356</v>
      </c>
      <c r="G204" s="211" t="s">
        <v>26</v>
      </c>
      <c r="H204" s="212">
        <v>44727</v>
      </c>
    </row>
    <row r="205" spans="1:8">
      <c r="A205" s="208">
        <v>44727</v>
      </c>
      <c r="B205" s="209" t="s">
        <v>91</v>
      </c>
      <c r="C205" s="210" t="s">
        <v>46</v>
      </c>
      <c r="D205" s="213" t="s">
        <v>357</v>
      </c>
      <c r="E205" s="211" t="s">
        <v>347</v>
      </c>
      <c r="F205" s="211" t="s">
        <v>358</v>
      </c>
      <c r="G205" s="211" t="s">
        <v>317</v>
      </c>
      <c r="H205" s="212">
        <v>44727</v>
      </c>
    </row>
    <row r="206" spans="1:8">
      <c r="A206" s="208">
        <v>44727</v>
      </c>
      <c r="B206" s="209" t="s">
        <v>105</v>
      </c>
      <c r="C206" s="210" t="s">
        <v>51</v>
      </c>
      <c r="D206" s="213" t="s">
        <v>437</v>
      </c>
      <c r="E206" s="211" t="s">
        <v>438</v>
      </c>
      <c r="F206" s="211" t="s">
        <v>439</v>
      </c>
      <c r="G206" s="211" t="s">
        <v>440</v>
      </c>
      <c r="H206" s="212">
        <v>44727</v>
      </c>
    </row>
    <row r="207" spans="1:8">
      <c r="A207" s="208">
        <v>44727</v>
      </c>
      <c r="B207" s="209" t="s">
        <v>110</v>
      </c>
      <c r="C207" s="210" t="s">
        <v>51</v>
      </c>
      <c r="D207" s="213" t="s">
        <v>441</v>
      </c>
      <c r="E207" s="211" t="s">
        <v>442</v>
      </c>
      <c r="F207" s="211"/>
      <c r="G207" s="211" t="s">
        <v>412</v>
      </c>
      <c r="H207" s="212">
        <v>44727</v>
      </c>
    </row>
    <row r="208" spans="1:8" ht="20">
      <c r="A208" s="208">
        <v>44727</v>
      </c>
      <c r="B208" s="209" t="s">
        <v>110</v>
      </c>
      <c r="C208" s="210" t="s">
        <v>46</v>
      </c>
      <c r="D208" s="213" t="s">
        <v>443</v>
      </c>
      <c r="E208" s="211" t="s">
        <v>444</v>
      </c>
      <c r="F208" s="211" t="s">
        <v>445</v>
      </c>
      <c r="G208" s="211" t="s">
        <v>76</v>
      </c>
      <c r="H208" s="212">
        <v>44727</v>
      </c>
    </row>
    <row r="209" spans="1:8">
      <c r="A209" s="208">
        <v>44727</v>
      </c>
      <c r="B209" s="209" t="s">
        <v>110</v>
      </c>
      <c r="C209" s="210" t="s">
        <v>51</v>
      </c>
      <c r="D209" s="213" t="s">
        <v>446</v>
      </c>
      <c r="E209" s="211" t="s">
        <v>447</v>
      </c>
      <c r="F209" s="211"/>
      <c r="G209" s="211" t="s">
        <v>412</v>
      </c>
      <c r="H209" s="212">
        <v>44727</v>
      </c>
    </row>
    <row r="210" spans="1:8">
      <c r="A210" s="208">
        <v>44727</v>
      </c>
      <c r="B210" s="209" t="s">
        <v>110</v>
      </c>
      <c r="C210" s="210" t="s">
        <v>46</v>
      </c>
      <c r="D210" s="213" t="s">
        <v>448</v>
      </c>
      <c r="E210" s="211" t="s">
        <v>449</v>
      </c>
      <c r="F210" s="211" t="s">
        <v>450</v>
      </c>
      <c r="G210" s="211" t="s">
        <v>76</v>
      </c>
      <c r="H210" s="212">
        <v>44727</v>
      </c>
    </row>
    <row r="211" spans="1:8" ht="20">
      <c r="A211" s="208">
        <v>44727</v>
      </c>
      <c r="B211" s="209" t="s">
        <v>110</v>
      </c>
      <c r="C211" s="210" t="s">
        <v>46</v>
      </c>
      <c r="D211" s="213" t="s">
        <v>451</v>
      </c>
      <c r="E211" s="211" t="s">
        <v>452</v>
      </c>
      <c r="F211" s="211" t="s">
        <v>453</v>
      </c>
      <c r="G211" s="211" t="s">
        <v>76</v>
      </c>
      <c r="H211" s="212">
        <v>44727</v>
      </c>
    </row>
    <row r="212" spans="1:8">
      <c r="A212" s="208">
        <v>44712</v>
      </c>
      <c r="B212" s="209" t="s">
        <v>45</v>
      </c>
      <c r="C212" s="210" t="s">
        <v>46</v>
      </c>
      <c r="D212" s="213" t="s">
        <v>454</v>
      </c>
      <c r="E212" s="211" t="s">
        <v>455</v>
      </c>
      <c r="F212" s="211"/>
      <c r="G212" s="211" t="s">
        <v>27</v>
      </c>
      <c r="H212" s="212">
        <v>44712</v>
      </c>
    </row>
    <row r="213" spans="1:8">
      <c r="A213" s="208">
        <v>44712</v>
      </c>
      <c r="B213" s="209" t="s">
        <v>45</v>
      </c>
      <c r="C213" s="210" t="s">
        <v>46</v>
      </c>
      <c r="D213" s="213" t="s">
        <v>74</v>
      </c>
      <c r="E213" s="211" t="s">
        <v>75</v>
      </c>
      <c r="F213" s="211"/>
      <c r="G213" s="211" t="s">
        <v>26</v>
      </c>
      <c r="H213" s="212">
        <v>44712</v>
      </c>
    </row>
    <row r="214" spans="1:8">
      <c r="A214" s="208">
        <v>44712</v>
      </c>
      <c r="B214" s="209" t="s">
        <v>45</v>
      </c>
      <c r="C214" s="210" t="s">
        <v>46</v>
      </c>
      <c r="D214" s="213" t="s">
        <v>182</v>
      </c>
      <c r="E214" s="211" t="s">
        <v>183</v>
      </c>
      <c r="F214" s="211"/>
      <c r="G214" s="211" t="s">
        <v>26</v>
      </c>
      <c r="H214" s="212">
        <v>44712</v>
      </c>
    </row>
    <row r="215" spans="1:8">
      <c r="A215" s="208">
        <v>44712</v>
      </c>
      <c r="B215" s="209" t="s">
        <v>77</v>
      </c>
      <c r="C215" s="210" t="s">
        <v>46</v>
      </c>
      <c r="D215" s="213" t="s">
        <v>456</v>
      </c>
      <c r="E215" s="211" t="s">
        <v>455</v>
      </c>
      <c r="F215" s="211"/>
      <c r="G215" s="211" t="s">
        <v>27</v>
      </c>
      <c r="H215" s="212">
        <v>44712</v>
      </c>
    </row>
    <row r="216" spans="1:8">
      <c r="A216" s="208">
        <v>44712</v>
      </c>
      <c r="B216" s="209" t="s">
        <v>91</v>
      </c>
      <c r="C216" s="210" t="s">
        <v>46</v>
      </c>
      <c r="D216" s="213" t="s">
        <v>349</v>
      </c>
      <c r="E216" s="211" t="s">
        <v>347</v>
      </c>
      <c r="F216" s="211" t="s">
        <v>457</v>
      </c>
      <c r="G216" s="211" t="s">
        <v>26</v>
      </c>
      <c r="H216" s="212">
        <v>44712</v>
      </c>
    </row>
    <row r="217" spans="1:8">
      <c r="A217" s="208">
        <v>44712</v>
      </c>
      <c r="B217" s="209" t="s">
        <v>91</v>
      </c>
      <c r="C217" s="210" t="s">
        <v>46</v>
      </c>
      <c r="D217" s="213" t="s">
        <v>351</v>
      </c>
      <c r="E217" s="211" t="s">
        <v>347</v>
      </c>
      <c r="F217" s="211" t="s">
        <v>458</v>
      </c>
      <c r="G217" s="211" t="s">
        <v>26</v>
      </c>
      <c r="H217" s="212">
        <v>44712</v>
      </c>
    </row>
    <row r="218" spans="1:8">
      <c r="A218" s="208">
        <v>44712</v>
      </c>
      <c r="B218" s="209" t="s">
        <v>91</v>
      </c>
      <c r="C218" s="210" t="s">
        <v>46</v>
      </c>
      <c r="D218" s="213" t="s">
        <v>351</v>
      </c>
      <c r="E218" s="211" t="s">
        <v>347</v>
      </c>
      <c r="F218" s="211" t="s">
        <v>459</v>
      </c>
      <c r="G218" s="211" t="s">
        <v>26</v>
      </c>
      <c r="H218" s="212">
        <v>44712</v>
      </c>
    </row>
    <row r="219" spans="1:8">
      <c r="A219" s="208">
        <v>44712</v>
      </c>
      <c r="B219" s="209" t="s">
        <v>91</v>
      </c>
      <c r="C219" s="210" t="s">
        <v>46</v>
      </c>
      <c r="D219" s="213" t="s">
        <v>353</v>
      </c>
      <c r="E219" s="211" t="s">
        <v>347</v>
      </c>
      <c r="F219" s="211" t="s">
        <v>460</v>
      </c>
      <c r="G219" s="211" t="s">
        <v>26</v>
      </c>
      <c r="H219" s="212">
        <v>44712</v>
      </c>
    </row>
    <row r="220" spans="1:8">
      <c r="A220" s="208">
        <v>44712</v>
      </c>
      <c r="B220" s="209" t="s">
        <v>91</v>
      </c>
      <c r="C220" s="210" t="s">
        <v>46</v>
      </c>
      <c r="D220" s="213" t="s">
        <v>353</v>
      </c>
      <c r="E220" s="211" t="s">
        <v>347</v>
      </c>
      <c r="F220" s="211" t="s">
        <v>461</v>
      </c>
      <c r="G220" s="211" t="s">
        <v>26</v>
      </c>
      <c r="H220" s="212">
        <v>44712</v>
      </c>
    </row>
    <row r="221" spans="1:8">
      <c r="A221" s="208">
        <v>44712</v>
      </c>
      <c r="B221" s="209" t="s">
        <v>91</v>
      </c>
      <c r="C221" s="210" t="s">
        <v>46</v>
      </c>
      <c r="D221" s="213" t="s">
        <v>462</v>
      </c>
      <c r="E221" s="211" t="s">
        <v>290</v>
      </c>
      <c r="F221" s="211" t="s">
        <v>291</v>
      </c>
      <c r="G221" s="211" t="s">
        <v>401</v>
      </c>
      <c r="H221" s="212">
        <v>44712</v>
      </c>
    </row>
    <row r="222" spans="1:8">
      <c r="A222" s="208">
        <v>44712</v>
      </c>
      <c r="B222" s="209" t="s">
        <v>91</v>
      </c>
      <c r="C222" s="210" t="s">
        <v>46</v>
      </c>
      <c r="D222" s="213" t="s">
        <v>297</v>
      </c>
      <c r="E222" s="211" t="s">
        <v>463</v>
      </c>
      <c r="F222" s="211" t="s">
        <v>299</v>
      </c>
      <c r="G222" s="211" t="s">
        <v>401</v>
      </c>
      <c r="H222" s="212">
        <v>44712</v>
      </c>
    </row>
    <row r="223" spans="1:8">
      <c r="A223" s="208">
        <v>44712</v>
      </c>
      <c r="B223" s="209" t="s">
        <v>91</v>
      </c>
      <c r="C223" s="210" t="s">
        <v>46</v>
      </c>
      <c r="D223" s="213" t="s">
        <v>369</v>
      </c>
      <c r="E223" s="211" t="s">
        <v>155</v>
      </c>
      <c r="F223" s="211"/>
      <c r="G223" s="211" t="s">
        <v>27</v>
      </c>
      <c r="H223" s="212">
        <v>44712</v>
      </c>
    </row>
    <row r="224" spans="1:8">
      <c r="A224" s="208">
        <v>44712</v>
      </c>
      <c r="B224" s="209" t="s">
        <v>91</v>
      </c>
      <c r="C224" s="210" t="s">
        <v>46</v>
      </c>
      <c r="D224" s="213" t="s">
        <v>464</v>
      </c>
      <c r="E224" s="211" t="s">
        <v>155</v>
      </c>
      <c r="F224" s="211"/>
      <c r="G224" s="211" t="s">
        <v>26</v>
      </c>
      <c r="H224" s="212">
        <v>44712</v>
      </c>
    </row>
    <row r="225" spans="1:8">
      <c r="A225" s="208">
        <v>44712</v>
      </c>
      <c r="B225" s="209" t="s">
        <v>110</v>
      </c>
      <c r="C225" s="210" t="s">
        <v>46</v>
      </c>
      <c r="D225" s="213" t="s">
        <v>465</v>
      </c>
      <c r="E225" s="211" t="s">
        <v>466</v>
      </c>
      <c r="F225" s="211"/>
      <c r="G225" s="211" t="s">
        <v>27</v>
      </c>
      <c r="H225" s="212">
        <v>44712</v>
      </c>
    </row>
    <row r="226" spans="1:8">
      <c r="A226" s="208">
        <v>44614</v>
      </c>
      <c r="B226" s="209" t="s">
        <v>45</v>
      </c>
      <c r="C226" s="210" t="s">
        <v>310</v>
      </c>
      <c r="D226" s="213" t="s">
        <v>467</v>
      </c>
      <c r="E226" s="211" t="s">
        <v>468</v>
      </c>
      <c r="F226" s="211" t="s">
        <v>469</v>
      </c>
      <c r="G226" s="211" t="s">
        <v>470</v>
      </c>
      <c r="H226" s="212">
        <v>44614</v>
      </c>
    </row>
    <row r="227" spans="1:8">
      <c r="A227" s="208">
        <v>44614</v>
      </c>
      <c r="B227" s="209" t="s">
        <v>45</v>
      </c>
      <c r="C227" s="210" t="s">
        <v>471</v>
      </c>
      <c r="D227" s="213" t="s">
        <v>472</v>
      </c>
      <c r="E227" s="211" t="s">
        <v>473</v>
      </c>
      <c r="F227" s="211" t="s">
        <v>474</v>
      </c>
      <c r="G227" s="211" t="s">
        <v>475</v>
      </c>
      <c r="H227" s="212">
        <v>44614</v>
      </c>
    </row>
    <row r="228" spans="1:8">
      <c r="A228" s="208">
        <v>44614</v>
      </c>
      <c r="B228" s="209" t="s">
        <v>45</v>
      </c>
      <c r="C228" s="210" t="s">
        <v>476</v>
      </c>
      <c r="D228" s="213" t="s">
        <v>477</v>
      </c>
      <c r="E228" s="211" t="s">
        <v>478</v>
      </c>
      <c r="F228" s="211"/>
      <c r="G228" s="211" t="s">
        <v>479</v>
      </c>
      <c r="H228" s="212">
        <v>44614</v>
      </c>
    </row>
    <row r="229" spans="1:8">
      <c r="A229" s="208">
        <v>44614</v>
      </c>
      <c r="B229" s="209" t="s">
        <v>45</v>
      </c>
      <c r="C229" s="210" t="s">
        <v>46</v>
      </c>
      <c r="D229" s="213" t="s">
        <v>480</v>
      </c>
      <c r="E229" s="211" t="s">
        <v>481</v>
      </c>
      <c r="F229" s="211"/>
      <c r="G229" s="211" t="s">
        <v>317</v>
      </c>
      <c r="H229" s="212">
        <v>44614</v>
      </c>
    </row>
    <row r="230" spans="1:8">
      <c r="A230" s="208">
        <v>44614</v>
      </c>
      <c r="B230" s="209" t="s">
        <v>110</v>
      </c>
      <c r="C230" s="210" t="s">
        <v>310</v>
      </c>
      <c r="D230" s="213" t="s">
        <v>121</v>
      </c>
      <c r="E230" s="211" t="s">
        <v>482</v>
      </c>
      <c r="F230" s="211" t="s">
        <v>483</v>
      </c>
      <c r="G230" s="211" t="s">
        <v>484</v>
      </c>
      <c r="H230" s="212">
        <v>44614</v>
      </c>
    </row>
    <row r="231" spans="1:8">
      <c r="A231" s="208">
        <v>44600</v>
      </c>
      <c r="B231" s="209" t="s">
        <v>110</v>
      </c>
      <c r="C231" s="210" t="s">
        <v>46</v>
      </c>
      <c r="D231" s="213" t="s">
        <v>485</v>
      </c>
      <c r="E231" s="211" t="s">
        <v>486</v>
      </c>
      <c r="F231" s="211" t="s">
        <v>487</v>
      </c>
      <c r="G231" s="211" t="s">
        <v>76</v>
      </c>
      <c r="H231" s="212">
        <v>44600</v>
      </c>
    </row>
    <row r="232" spans="1:8">
      <c r="A232" s="208">
        <v>44582</v>
      </c>
      <c r="B232" s="209" t="s">
        <v>45</v>
      </c>
      <c r="C232" s="210" t="s">
        <v>46</v>
      </c>
      <c r="D232" s="213" t="s">
        <v>488</v>
      </c>
      <c r="E232" s="211" t="s">
        <v>489</v>
      </c>
      <c r="F232" s="211"/>
      <c r="G232" s="211" t="s">
        <v>26</v>
      </c>
      <c r="H232" s="212">
        <v>44582</v>
      </c>
    </row>
    <row r="233" spans="1:8" ht="20">
      <c r="A233" s="208">
        <v>44582</v>
      </c>
      <c r="B233" s="209" t="s">
        <v>45</v>
      </c>
      <c r="C233" s="210" t="s">
        <v>51</v>
      </c>
      <c r="D233" s="213" t="s">
        <v>490</v>
      </c>
      <c r="E233" s="211" t="s">
        <v>491</v>
      </c>
      <c r="F233" s="211" t="s">
        <v>492</v>
      </c>
      <c r="G233" s="211" t="s">
        <v>493</v>
      </c>
      <c r="H233" s="212">
        <v>44582</v>
      </c>
    </row>
    <row r="234" spans="1:8" ht="20">
      <c r="A234" s="208">
        <v>44582</v>
      </c>
      <c r="B234" s="209" t="s">
        <v>45</v>
      </c>
      <c r="C234" s="210" t="s">
        <v>46</v>
      </c>
      <c r="D234" s="213" t="s">
        <v>494</v>
      </c>
      <c r="E234" s="211" t="s">
        <v>495</v>
      </c>
      <c r="F234" s="211" t="s">
        <v>496</v>
      </c>
      <c r="G234" s="211" t="s">
        <v>76</v>
      </c>
      <c r="H234" s="212">
        <v>44582</v>
      </c>
    </row>
    <row r="235" spans="1:8" ht="22">
      <c r="A235" s="208">
        <v>44582</v>
      </c>
      <c r="B235" s="209" t="s">
        <v>45</v>
      </c>
      <c r="C235" s="210" t="s">
        <v>46</v>
      </c>
      <c r="D235" s="213" t="s">
        <v>497</v>
      </c>
      <c r="E235" s="211" t="s">
        <v>158</v>
      </c>
      <c r="F235" s="211" t="s">
        <v>159</v>
      </c>
      <c r="G235" s="211" t="s">
        <v>401</v>
      </c>
      <c r="H235" s="212">
        <v>44582</v>
      </c>
    </row>
    <row r="236" spans="1:8">
      <c r="A236" s="208">
        <v>44582</v>
      </c>
      <c r="B236" s="209" t="s">
        <v>45</v>
      </c>
      <c r="C236" s="210" t="s">
        <v>46</v>
      </c>
      <c r="D236" s="213" t="s">
        <v>161</v>
      </c>
      <c r="E236" s="211" t="s">
        <v>162</v>
      </c>
      <c r="F236" s="211" t="s">
        <v>163</v>
      </c>
      <c r="G236" s="211" t="s">
        <v>29</v>
      </c>
      <c r="H236" s="212">
        <v>44582</v>
      </c>
    </row>
    <row r="237" spans="1:8">
      <c r="A237" s="208">
        <v>44582</v>
      </c>
      <c r="B237" s="209" t="s">
        <v>45</v>
      </c>
      <c r="C237" s="210" t="s">
        <v>46</v>
      </c>
      <c r="D237" s="213" t="s">
        <v>335</v>
      </c>
      <c r="E237" s="211" t="s">
        <v>336</v>
      </c>
      <c r="F237" s="211"/>
      <c r="G237" s="211" t="s">
        <v>27</v>
      </c>
      <c r="H237" s="212">
        <v>44582</v>
      </c>
    </row>
    <row r="238" spans="1:8" ht="20">
      <c r="A238" s="208">
        <v>44582</v>
      </c>
      <c r="B238" s="209" t="s">
        <v>45</v>
      </c>
      <c r="C238" s="210" t="s">
        <v>46</v>
      </c>
      <c r="D238" s="213" t="s">
        <v>340</v>
      </c>
      <c r="E238" s="211" t="s">
        <v>341</v>
      </c>
      <c r="F238" s="211" t="s">
        <v>342</v>
      </c>
      <c r="G238" s="211" t="s">
        <v>498</v>
      </c>
      <c r="H238" s="212">
        <v>44582</v>
      </c>
    </row>
    <row r="239" spans="1:8">
      <c r="A239" s="208">
        <v>44582</v>
      </c>
      <c r="B239" s="209" t="s">
        <v>45</v>
      </c>
      <c r="C239" s="210" t="s">
        <v>46</v>
      </c>
      <c r="D239" s="213" t="s">
        <v>261</v>
      </c>
      <c r="E239" s="211" t="s">
        <v>262</v>
      </c>
      <c r="F239" s="211" t="s">
        <v>263</v>
      </c>
      <c r="G239" s="211" t="s">
        <v>401</v>
      </c>
      <c r="H239" s="212">
        <v>44582</v>
      </c>
    </row>
    <row r="240" spans="1:8">
      <c r="A240" s="208">
        <v>44582</v>
      </c>
      <c r="B240" s="209" t="s">
        <v>45</v>
      </c>
      <c r="C240" s="210" t="s">
        <v>51</v>
      </c>
      <c r="D240" s="213" t="s">
        <v>499</v>
      </c>
      <c r="E240" s="211" t="s">
        <v>500</v>
      </c>
      <c r="F240" s="211" t="s">
        <v>501</v>
      </c>
      <c r="G240" s="211" t="s">
        <v>502</v>
      </c>
      <c r="H240" s="212">
        <v>44582</v>
      </c>
    </row>
    <row r="241" spans="1:8">
      <c r="A241" s="208">
        <v>44582</v>
      </c>
      <c r="B241" s="209" t="s">
        <v>45</v>
      </c>
      <c r="C241" s="210" t="s">
        <v>46</v>
      </c>
      <c r="D241" s="213" t="s">
        <v>503</v>
      </c>
      <c r="E241" s="211" t="s">
        <v>504</v>
      </c>
      <c r="F241" s="211"/>
      <c r="G241" s="211" t="s">
        <v>26</v>
      </c>
      <c r="H241" s="212">
        <v>44582</v>
      </c>
    </row>
    <row r="242" spans="1:8" ht="20">
      <c r="A242" s="208">
        <v>44582</v>
      </c>
      <c r="B242" s="209" t="s">
        <v>77</v>
      </c>
      <c r="C242" s="210" t="s">
        <v>46</v>
      </c>
      <c r="D242" s="213" t="s">
        <v>505</v>
      </c>
      <c r="E242" s="211" t="s">
        <v>506</v>
      </c>
      <c r="F242" s="211"/>
      <c r="G242" s="211" t="s">
        <v>27</v>
      </c>
      <c r="H242" s="212">
        <v>44582</v>
      </c>
    </row>
    <row r="243" spans="1:8">
      <c r="A243" s="208">
        <v>44582</v>
      </c>
      <c r="B243" s="209" t="s">
        <v>91</v>
      </c>
      <c r="C243" s="210" t="s">
        <v>46</v>
      </c>
      <c r="D243" s="213" t="s">
        <v>346</v>
      </c>
      <c r="E243" s="211" t="s">
        <v>347</v>
      </c>
      <c r="F243" s="211" t="s">
        <v>434</v>
      </c>
      <c r="G243" s="211" t="s">
        <v>317</v>
      </c>
      <c r="H243" s="212">
        <v>44582</v>
      </c>
    </row>
    <row r="244" spans="1:8">
      <c r="A244" s="208">
        <v>44582</v>
      </c>
      <c r="B244" s="209" t="s">
        <v>91</v>
      </c>
      <c r="C244" s="210" t="s">
        <v>46</v>
      </c>
      <c r="D244" s="213" t="s">
        <v>349</v>
      </c>
      <c r="E244" s="211" t="s">
        <v>347</v>
      </c>
      <c r="F244" s="211" t="s">
        <v>435</v>
      </c>
      <c r="G244" s="211" t="s">
        <v>317</v>
      </c>
      <c r="H244" s="212">
        <v>44582</v>
      </c>
    </row>
    <row r="245" spans="1:8">
      <c r="A245" s="208">
        <v>44582</v>
      </c>
      <c r="B245" s="209" t="s">
        <v>91</v>
      </c>
      <c r="C245" s="210" t="s">
        <v>46</v>
      </c>
      <c r="D245" s="213" t="s">
        <v>355</v>
      </c>
      <c r="E245" s="211" t="s">
        <v>347</v>
      </c>
      <c r="F245" s="211" t="s">
        <v>356</v>
      </c>
      <c r="G245" s="211" t="s">
        <v>317</v>
      </c>
      <c r="H245" s="212">
        <v>44582</v>
      </c>
    </row>
    <row r="246" spans="1:8">
      <c r="A246" s="208">
        <v>44582</v>
      </c>
      <c r="B246" s="209" t="s">
        <v>91</v>
      </c>
      <c r="C246" s="210" t="s">
        <v>46</v>
      </c>
      <c r="D246" s="213" t="s">
        <v>404</v>
      </c>
      <c r="E246" s="211" t="s">
        <v>347</v>
      </c>
      <c r="F246" s="211" t="s">
        <v>405</v>
      </c>
      <c r="G246" s="211" t="s">
        <v>317</v>
      </c>
      <c r="H246" s="212">
        <v>44582</v>
      </c>
    </row>
    <row r="247" spans="1:8">
      <c r="A247" s="208">
        <v>44582</v>
      </c>
      <c r="B247" s="209" t="s">
        <v>91</v>
      </c>
      <c r="C247" s="210" t="s">
        <v>46</v>
      </c>
      <c r="D247" s="213" t="s">
        <v>367</v>
      </c>
      <c r="E247" s="211" t="s">
        <v>347</v>
      </c>
      <c r="F247" s="211" t="s">
        <v>368</v>
      </c>
      <c r="G247" s="211" t="s">
        <v>317</v>
      </c>
      <c r="H247" s="212">
        <v>44582</v>
      </c>
    </row>
    <row r="248" spans="1:8">
      <c r="A248" s="208">
        <v>44582</v>
      </c>
      <c r="B248" s="209" t="s">
        <v>91</v>
      </c>
      <c r="C248" s="210" t="s">
        <v>46</v>
      </c>
      <c r="D248" s="213" t="s">
        <v>97</v>
      </c>
      <c r="E248" s="211" t="s">
        <v>98</v>
      </c>
      <c r="F248" s="211"/>
      <c r="G248" s="211" t="s">
        <v>26</v>
      </c>
      <c r="H248" s="212">
        <v>44582</v>
      </c>
    </row>
    <row r="249" spans="1:8">
      <c r="A249" s="208">
        <v>44582</v>
      </c>
      <c r="B249" s="209" t="s">
        <v>91</v>
      </c>
      <c r="C249" s="210" t="s">
        <v>46</v>
      </c>
      <c r="D249" s="213" t="s">
        <v>296</v>
      </c>
      <c r="E249" s="211" t="s">
        <v>98</v>
      </c>
      <c r="F249" s="211"/>
      <c r="G249" s="211" t="s">
        <v>26</v>
      </c>
      <c r="H249" s="212">
        <v>44582</v>
      </c>
    </row>
    <row r="250" spans="1:8">
      <c r="A250" s="208">
        <v>44582</v>
      </c>
      <c r="B250" s="209" t="s">
        <v>91</v>
      </c>
      <c r="C250" s="210" t="s">
        <v>46</v>
      </c>
      <c r="D250" s="213" t="s">
        <v>507</v>
      </c>
      <c r="E250" s="211" t="s">
        <v>508</v>
      </c>
      <c r="F250" s="211"/>
      <c r="G250" s="211" t="s">
        <v>27</v>
      </c>
      <c r="H250" s="212">
        <v>44582</v>
      </c>
    </row>
    <row r="251" spans="1:8">
      <c r="A251" s="208">
        <v>44582</v>
      </c>
      <c r="B251" s="209" t="s">
        <v>110</v>
      </c>
      <c r="C251" s="210" t="s">
        <v>46</v>
      </c>
      <c r="D251" s="213" t="s">
        <v>509</v>
      </c>
      <c r="E251" s="211" t="s">
        <v>510</v>
      </c>
      <c r="F251" s="211"/>
      <c r="G251" s="211" t="s">
        <v>76</v>
      </c>
      <c r="H251" s="212">
        <v>44582</v>
      </c>
    </row>
    <row r="252" spans="1:8">
      <c r="A252" s="208">
        <v>44582</v>
      </c>
      <c r="B252" s="209" t="s">
        <v>110</v>
      </c>
      <c r="C252" s="210" t="s">
        <v>46</v>
      </c>
      <c r="D252" s="213" t="s">
        <v>511</v>
      </c>
      <c r="E252" s="211" t="s">
        <v>512</v>
      </c>
      <c r="F252" s="211" t="s">
        <v>513</v>
      </c>
      <c r="G252" s="211" t="s">
        <v>76</v>
      </c>
      <c r="H252" s="212">
        <v>44582</v>
      </c>
    </row>
    <row r="253" spans="1:8">
      <c r="A253" s="208">
        <v>44530</v>
      </c>
      <c r="B253" s="209" t="s">
        <v>91</v>
      </c>
      <c r="C253" s="210" t="s">
        <v>46</v>
      </c>
      <c r="D253" s="213" t="s">
        <v>297</v>
      </c>
      <c r="E253" s="211" t="s">
        <v>463</v>
      </c>
      <c r="F253" s="211" t="s">
        <v>259</v>
      </c>
      <c r="G253" s="211" t="s">
        <v>26</v>
      </c>
      <c r="H253" s="212">
        <v>44530</v>
      </c>
    </row>
    <row r="254" spans="1:8">
      <c r="A254" s="208">
        <v>44484</v>
      </c>
      <c r="B254" s="209" t="s">
        <v>45</v>
      </c>
      <c r="C254" s="210" t="s">
        <v>46</v>
      </c>
      <c r="D254" s="213" t="s">
        <v>488</v>
      </c>
      <c r="E254" s="211" t="s">
        <v>514</v>
      </c>
      <c r="F254" s="211" t="s">
        <v>259</v>
      </c>
      <c r="G254" s="211" t="s">
        <v>27</v>
      </c>
      <c r="H254" s="212">
        <v>44484</v>
      </c>
    </row>
    <row r="255" spans="1:8">
      <c r="A255" s="208">
        <v>44484</v>
      </c>
      <c r="B255" s="209" t="s">
        <v>45</v>
      </c>
      <c r="C255" s="210" t="s">
        <v>46</v>
      </c>
      <c r="D255" s="213" t="s">
        <v>515</v>
      </c>
      <c r="E255" s="211" t="s">
        <v>442</v>
      </c>
      <c r="F255" s="211" t="s">
        <v>516</v>
      </c>
      <c r="G255" s="211" t="s">
        <v>76</v>
      </c>
      <c r="H255" s="212">
        <v>44484</v>
      </c>
    </row>
    <row r="256" spans="1:8">
      <c r="A256" s="208">
        <v>44484</v>
      </c>
      <c r="B256" s="209" t="s">
        <v>45</v>
      </c>
      <c r="C256" s="210" t="s">
        <v>51</v>
      </c>
      <c r="D256" s="213" t="s">
        <v>517</v>
      </c>
      <c r="E256" s="211" t="s">
        <v>518</v>
      </c>
      <c r="F256" s="211"/>
      <c r="G256" s="211" t="s">
        <v>412</v>
      </c>
      <c r="H256" s="212">
        <v>44484</v>
      </c>
    </row>
    <row r="257" spans="1:8">
      <c r="A257" s="208">
        <v>44484</v>
      </c>
      <c r="B257" s="209" t="s">
        <v>45</v>
      </c>
      <c r="C257" s="210" t="s">
        <v>46</v>
      </c>
      <c r="D257" s="213" t="s">
        <v>327</v>
      </c>
      <c r="E257" s="211" t="s">
        <v>519</v>
      </c>
      <c r="F257" s="211" t="s">
        <v>259</v>
      </c>
      <c r="G257" s="211" t="s">
        <v>26</v>
      </c>
      <c r="H257" s="212">
        <v>44484</v>
      </c>
    </row>
    <row r="258" spans="1:8">
      <c r="A258" s="208">
        <v>44484</v>
      </c>
      <c r="B258" s="209" t="s">
        <v>45</v>
      </c>
      <c r="C258" s="210" t="s">
        <v>46</v>
      </c>
      <c r="D258" s="213" t="s">
        <v>413</v>
      </c>
      <c r="E258" s="211" t="s">
        <v>414</v>
      </c>
      <c r="F258" s="211" t="s">
        <v>415</v>
      </c>
      <c r="G258" s="211" t="s">
        <v>401</v>
      </c>
      <c r="H258" s="212">
        <v>44484</v>
      </c>
    </row>
    <row r="259" spans="1:8" ht="20">
      <c r="A259" s="208">
        <v>44484</v>
      </c>
      <c r="B259" s="209" t="s">
        <v>45</v>
      </c>
      <c r="C259" s="210" t="s">
        <v>51</v>
      </c>
      <c r="D259" s="213" t="s">
        <v>52</v>
      </c>
      <c r="E259" s="211" t="s">
        <v>53</v>
      </c>
      <c r="F259" s="211" t="s">
        <v>520</v>
      </c>
      <c r="G259" s="211" t="s">
        <v>521</v>
      </c>
      <c r="H259" s="212">
        <v>44484</v>
      </c>
    </row>
    <row r="260" spans="1:8">
      <c r="A260" s="208">
        <v>44484</v>
      </c>
      <c r="B260" s="209" t="s">
        <v>45</v>
      </c>
      <c r="C260" s="210" t="s">
        <v>46</v>
      </c>
      <c r="D260" s="213" t="s">
        <v>522</v>
      </c>
      <c r="E260" s="211" t="s">
        <v>523</v>
      </c>
      <c r="F260" s="211" t="s">
        <v>259</v>
      </c>
      <c r="G260" s="211" t="s">
        <v>26</v>
      </c>
      <c r="H260" s="212">
        <v>44484</v>
      </c>
    </row>
    <row r="261" spans="1:8" ht="20">
      <c r="A261" s="208">
        <v>44484</v>
      </c>
      <c r="B261" s="209" t="s">
        <v>45</v>
      </c>
      <c r="C261" s="210" t="s">
        <v>46</v>
      </c>
      <c r="D261" s="213" t="s">
        <v>340</v>
      </c>
      <c r="E261" s="211" t="s">
        <v>341</v>
      </c>
      <c r="F261" s="211" t="s">
        <v>259</v>
      </c>
      <c r="G261" s="211" t="s">
        <v>27</v>
      </c>
      <c r="H261" s="212">
        <v>44484</v>
      </c>
    </row>
    <row r="262" spans="1:8" ht="30">
      <c r="A262" s="208">
        <v>44484</v>
      </c>
      <c r="B262" s="209" t="s">
        <v>45</v>
      </c>
      <c r="C262" s="210" t="s">
        <v>46</v>
      </c>
      <c r="D262" s="213" t="s">
        <v>177</v>
      </c>
      <c r="E262" s="211" t="s">
        <v>178</v>
      </c>
      <c r="F262" s="211" t="s">
        <v>259</v>
      </c>
      <c r="G262" s="211" t="s">
        <v>27</v>
      </c>
      <c r="H262" s="212">
        <v>44484</v>
      </c>
    </row>
    <row r="263" spans="1:8">
      <c r="A263" s="208">
        <v>44484</v>
      </c>
      <c r="B263" s="209" t="s">
        <v>45</v>
      </c>
      <c r="C263" s="210" t="s">
        <v>46</v>
      </c>
      <c r="D263" s="213" t="s">
        <v>264</v>
      </c>
      <c r="E263" s="211" t="s">
        <v>265</v>
      </c>
      <c r="F263" s="211" t="s">
        <v>524</v>
      </c>
      <c r="G263" s="211" t="s">
        <v>401</v>
      </c>
      <c r="H263" s="212">
        <v>44484</v>
      </c>
    </row>
    <row r="264" spans="1:8">
      <c r="A264" s="208">
        <v>44484</v>
      </c>
      <c r="B264" s="209" t="s">
        <v>45</v>
      </c>
      <c r="C264" s="210" t="s">
        <v>46</v>
      </c>
      <c r="D264" s="213" t="s">
        <v>525</v>
      </c>
      <c r="E264" s="211" t="s">
        <v>526</v>
      </c>
      <c r="F264" s="211" t="s">
        <v>259</v>
      </c>
      <c r="G264" s="211" t="s">
        <v>27</v>
      </c>
      <c r="H264" s="212">
        <v>44484</v>
      </c>
    </row>
    <row r="265" spans="1:8">
      <c r="A265" s="208">
        <v>44484</v>
      </c>
      <c r="B265" s="209" t="s">
        <v>77</v>
      </c>
      <c r="C265" s="210" t="s">
        <v>46</v>
      </c>
      <c r="D265" s="213" t="s">
        <v>527</v>
      </c>
      <c r="E265" s="211" t="s">
        <v>514</v>
      </c>
      <c r="F265" s="211" t="s">
        <v>259</v>
      </c>
      <c r="G265" s="211" t="s">
        <v>26</v>
      </c>
      <c r="H265" s="212">
        <v>44484</v>
      </c>
    </row>
    <row r="266" spans="1:8">
      <c r="A266" s="208">
        <v>44484</v>
      </c>
      <c r="B266" s="209" t="s">
        <v>77</v>
      </c>
      <c r="C266" s="210" t="s">
        <v>46</v>
      </c>
      <c r="D266" s="213" t="s">
        <v>528</v>
      </c>
      <c r="E266" s="211" t="s">
        <v>529</v>
      </c>
      <c r="F266" s="211" t="s">
        <v>259</v>
      </c>
      <c r="G266" s="211" t="s">
        <v>26</v>
      </c>
      <c r="H266" s="212">
        <v>44484</v>
      </c>
    </row>
    <row r="267" spans="1:8" ht="20">
      <c r="A267" s="208">
        <v>44484</v>
      </c>
      <c r="B267" s="209" t="s">
        <v>77</v>
      </c>
      <c r="C267" s="210" t="s">
        <v>46</v>
      </c>
      <c r="D267" s="213" t="s">
        <v>530</v>
      </c>
      <c r="E267" s="211" t="s">
        <v>531</v>
      </c>
      <c r="F267" s="211"/>
      <c r="G267" s="211" t="s">
        <v>26</v>
      </c>
      <c r="H267" s="212">
        <v>44484</v>
      </c>
    </row>
    <row r="268" spans="1:8">
      <c r="A268" s="208">
        <v>44484</v>
      </c>
      <c r="B268" s="209" t="s">
        <v>77</v>
      </c>
      <c r="C268" s="210" t="s">
        <v>46</v>
      </c>
      <c r="D268" s="213" t="s">
        <v>532</v>
      </c>
      <c r="E268" s="211" t="s">
        <v>533</v>
      </c>
      <c r="F268" s="211" t="s">
        <v>534</v>
      </c>
      <c r="G268" s="211" t="s">
        <v>26</v>
      </c>
      <c r="H268" s="212">
        <v>44484</v>
      </c>
    </row>
    <row r="269" spans="1:8">
      <c r="A269" s="208">
        <v>44484</v>
      </c>
      <c r="B269" s="209" t="s">
        <v>77</v>
      </c>
      <c r="C269" s="210" t="s">
        <v>46</v>
      </c>
      <c r="D269" s="213" t="s">
        <v>535</v>
      </c>
      <c r="E269" s="211" t="s">
        <v>536</v>
      </c>
      <c r="F269" s="211" t="s">
        <v>537</v>
      </c>
      <c r="G269" s="211" t="s">
        <v>26</v>
      </c>
      <c r="H269" s="212">
        <v>44484</v>
      </c>
    </row>
    <row r="270" spans="1:8">
      <c r="A270" s="208">
        <v>44484</v>
      </c>
      <c r="B270" s="209" t="s">
        <v>77</v>
      </c>
      <c r="C270" s="210" t="s">
        <v>46</v>
      </c>
      <c r="D270" s="213" t="s">
        <v>538</v>
      </c>
      <c r="E270" s="211" t="s">
        <v>533</v>
      </c>
      <c r="F270" s="211" t="s">
        <v>539</v>
      </c>
      <c r="G270" s="211" t="s">
        <v>26</v>
      </c>
      <c r="H270" s="212">
        <v>44484</v>
      </c>
    </row>
    <row r="271" spans="1:8">
      <c r="A271" s="208">
        <v>44484</v>
      </c>
      <c r="B271" s="209" t="s">
        <v>77</v>
      </c>
      <c r="C271" s="210" t="s">
        <v>46</v>
      </c>
      <c r="D271" s="213" t="s">
        <v>540</v>
      </c>
      <c r="E271" s="211" t="s">
        <v>541</v>
      </c>
      <c r="F271" s="211" t="s">
        <v>542</v>
      </c>
      <c r="G271" s="211" t="s">
        <v>76</v>
      </c>
      <c r="H271" s="212">
        <v>44484</v>
      </c>
    </row>
    <row r="272" spans="1:8" ht="20">
      <c r="A272" s="208">
        <v>44484</v>
      </c>
      <c r="B272" s="209" t="s">
        <v>77</v>
      </c>
      <c r="C272" s="210" t="s">
        <v>46</v>
      </c>
      <c r="D272" s="213" t="s">
        <v>272</v>
      </c>
      <c r="E272" s="211" t="s">
        <v>543</v>
      </c>
      <c r="F272" s="211"/>
      <c r="G272" s="211" t="s">
        <v>26</v>
      </c>
      <c r="H272" s="212">
        <v>44484</v>
      </c>
    </row>
    <row r="273" spans="1:8" ht="20">
      <c r="A273" s="208">
        <v>44484</v>
      </c>
      <c r="B273" s="209" t="s">
        <v>77</v>
      </c>
      <c r="C273" s="210" t="s">
        <v>544</v>
      </c>
      <c r="D273" s="213" t="s">
        <v>545</v>
      </c>
      <c r="E273" s="211" t="s">
        <v>546</v>
      </c>
      <c r="F273" s="211"/>
      <c r="G273" s="211" t="s">
        <v>547</v>
      </c>
      <c r="H273" s="212"/>
    </row>
    <row r="274" spans="1:8">
      <c r="A274" s="208">
        <v>44484</v>
      </c>
      <c r="B274" s="209" t="s">
        <v>77</v>
      </c>
      <c r="C274" s="210" t="s">
        <v>46</v>
      </c>
      <c r="D274" s="213" t="s">
        <v>548</v>
      </c>
      <c r="E274" s="211" t="s">
        <v>549</v>
      </c>
      <c r="F274" s="211" t="s">
        <v>259</v>
      </c>
      <c r="G274" s="211" t="s">
        <v>550</v>
      </c>
      <c r="H274" s="212">
        <v>44484</v>
      </c>
    </row>
    <row r="275" spans="1:8">
      <c r="A275" s="208">
        <v>44484</v>
      </c>
      <c r="B275" s="209" t="s">
        <v>77</v>
      </c>
      <c r="C275" s="210" t="s">
        <v>46</v>
      </c>
      <c r="D275" s="213" t="s">
        <v>551</v>
      </c>
      <c r="E275" s="211" t="s">
        <v>552</v>
      </c>
      <c r="F275" s="211" t="s">
        <v>553</v>
      </c>
      <c r="G275" s="211" t="s">
        <v>76</v>
      </c>
      <c r="H275" s="212">
        <v>44484</v>
      </c>
    </row>
    <row r="276" spans="1:8">
      <c r="A276" s="208">
        <v>44484</v>
      </c>
      <c r="B276" s="209" t="s">
        <v>91</v>
      </c>
      <c r="C276" s="210" t="s">
        <v>51</v>
      </c>
      <c r="D276" s="213" t="s">
        <v>554</v>
      </c>
      <c r="E276" s="211" t="s">
        <v>555</v>
      </c>
      <c r="F276" s="211"/>
      <c r="G276" s="211" t="s">
        <v>412</v>
      </c>
      <c r="H276" s="212">
        <v>44484</v>
      </c>
    </row>
    <row r="277" spans="1:8" ht="20">
      <c r="A277" s="208">
        <v>44484</v>
      </c>
      <c r="B277" s="209" t="s">
        <v>91</v>
      </c>
      <c r="C277" s="210" t="s">
        <v>51</v>
      </c>
      <c r="D277" s="213" t="s">
        <v>556</v>
      </c>
      <c r="E277" s="211" t="s">
        <v>312</v>
      </c>
      <c r="F277" s="211" t="s">
        <v>557</v>
      </c>
      <c r="G277" s="211" t="s">
        <v>558</v>
      </c>
      <c r="H277" s="212">
        <v>44484</v>
      </c>
    </row>
    <row r="278" spans="1:8" ht="20">
      <c r="A278" s="208">
        <v>44484</v>
      </c>
      <c r="B278" s="209" t="s">
        <v>91</v>
      </c>
      <c r="C278" s="210" t="s">
        <v>46</v>
      </c>
      <c r="D278" s="213" t="s">
        <v>556</v>
      </c>
      <c r="E278" s="211" t="s">
        <v>312</v>
      </c>
      <c r="F278" s="211" t="s">
        <v>559</v>
      </c>
      <c r="G278" s="211" t="s">
        <v>560</v>
      </c>
      <c r="H278" s="212"/>
    </row>
    <row r="279" spans="1:8">
      <c r="A279" s="208">
        <v>44484</v>
      </c>
      <c r="B279" s="209" t="s">
        <v>91</v>
      </c>
      <c r="C279" s="210" t="s">
        <v>46</v>
      </c>
      <c r="D279" s="213" t="s">
        <v>101</v>
      </c>
      <c r="E279" s="211" t="s">
        <v>102</v>
      </c>
      <c r="F279" s="211" t="s">
        <v>259</v>
      </c>
      <c r="G279" s="211" t="s">
        <v>27</v>
      </c>
      <c r="H279" s="212">
        <v>44484</v>
      </c>
    </row>
    <row r="280" spans="1:8">
      <c r="A280" s="208">
        <v>44484</v>
      </c>
      <c r="B280" s="209" t="s">
        <v>110</v>
      </c>
      <c r="C280" s="210" t="s">
        <v>46</v>
      </c>
      <c r="D280" s="213" t="s">
        <v>111</v>
      </c>
      <c r="E280" s="211" t="s">
        <v>112</v>
      </c>
      <c r="F280" s="211" t="s">
        <v>561</v>
      </c>
      <c r="G280" s="211" t="s">
        <v>76</v>
      </c>
      <c r="H280" s="212">
        <v>44484</v>
      </c>
    </row>
    <row r="281" spans="1:8">
      <c r="A281" s="208">
        <v>44484</v>
      </c>
      <c r="B281" s="209" t="s">
        <v>110</v>
      </c>
      <c r="C281" s="210" t="s">
        <v>46</v>
      </c>
      <c r="D281" s="213" t="s">
        <v>375</v>
      </c>
      <c r="E281" s="211" t="s">
        <v>376</v>
      </c>
      <c r="F281" s="211"/>
      <c r="G281" s="211" t="s">
        <v>26</v>
      </c>
      <c r="H281" s="212">
        <v>44484</v>
      </c>
    </row>
    <row r="282" spans="1:8">
      <c r="A282" s="208">
        <v>44484</v>
      </c>
      <c r="B282" s="209" t="s">
        <v>110</v>
      </c>
      <c r="C282" s="210" t="s">
        <v>46</v>
      </c>
      <c r="D282" s="213" t="s">
        <v>387</v>
      </c>
      <c r="E282" s="211" t="s">
        <v>388</v>
      </c>
      <c r="F282" s="211" t="s">
        <v>389</v>
      </c>
      <c r="G282" s="211" t="s">
        <v>401</v>
      </c>
      <c r="H282" s="212">
        <v>44484</v>
      </c>
    </row>
    <row r="283" spans="1:8" ht="20">
      <c r="A283" s="208">
        <v>44484</v>
      </c>
      <c r="B283" s="209" t="s">
        <v>110</v>
      </c>
      <c r="C283" s="210" t="s">
        <v>46</v>
      </c>
      <c r="D283" s="213" t="s">
        <v>451</v>
      </c>
      <c r="E283" s="211" t="s">
        <v>452</v>
      </c>
      <c r="F283" s="211" t="s">
        <v>453</v>
      </c>
      <c r="G283" s="211" t="s">
        <v>401</v>
      </c>
      <c r="H283" s="212">
        <v>44484</v>
      </c>
    </row>
    <row r="284" spans="1:8">
      <c r="A284" s="208">
        <v>44484</v>
      </c>
      <c r="B284" s="209" t="s">
        <v>110</v>
      </c>
      <c r="C284" s="210" t="s">
        <v>46</v>
      </c>
      <c r="D284" s="213" t="s">
        <v>133</v>
      </c>
      <c r="E284" s="211" t="s">
        <v>562</v>
      </c>
      <c r="F284" s="211" t="s">
        <v>259</v>
      </c>
      <c r="G284" s="211" t="s">
        <v>27</v>
      </c>
      <c r="H284" s="212">
        <v>44484</v>
      </c>
    </row>
    <row r="285" spans="1:8" ht="21">
      <c r="A285" s="208">
        <v>44384</v>
      </c>
      <c r="B285" s="209" t="s">
        <v>45</v>
      </c>
      <c r="C285" s="210" t="s">
        <v>563</v>
      </c>
      <c r="D285" s="213" t="s">
        <v>318</v>
      </c>
      <c r="E285" s="211" t="s">
        <v>319</v>
      </c>
      <c r="F285" s="211" t="s">
        <v>320</v>
      </c>
      <c r="G285" s="211" t="s">
        <v>564</v>
      </c>
      <c r="H285" s="212">
        <v>44384</v>
      </c>
    </row>
    <row r="286" spans="1:8">
      <c r="A286" s="208">
        <v>44384</v>
      </c>
      <c r="B286" s="209" t="s">
        <v>45</v>
      </c>
      <c r="C286" s="210" t="s">
        <v>46</v>
      </c>
      <c r="D286" s="213" t="s">
        <v>565</v>
      </c>
      <c r="E286" s="211" t="s">
        <v>566</v>
      </c>
      <c r="F286" s="211"/>
      <c r="G286" s="211" t="s">
        <v>26</v>
      </c>
      <c r="H286" s="212">
        <v>44384</v>
      </c>
    </row>
    <row r="287" spans="1:8">
      <c r="A287" s="208">
        <v>44384</v>
      </c>
      <c r="B287" s="209" t="s">
        <v>45</v>
      </c>
      <c r="C287" s="210" t="s">
        <v>46</v>
      </c>
      <c r="D287" s="213" t="s">
        <v>477</v>
      </c>
      <c r="E287" s="211" t="s">
        <v>567</v>
      </c>
      <c r="F287" s="211"/>
      <c r="G287" s="211" t="s">
        <v>26</v>
      </c>
      <c r="H287" s="212">
        <v>44384</v>
      </c>
    </row>
    <row r="288" spans="1:8">
      <c r="A288" s="208">
        <v>44384</v>
      </c>
      <c r="B288" s="209" t="s">
        <v>45</v>
      </c>
      <c r="C288" s="210" t="s">
        <v>46</v>
      </c>
      <c r="D288" s="213" t="s">
        <v>568</v>
      </c>
      <c r="E288" s="211" t="s">
        <v>569</v>
      </c>
      <c r="F288" s="211"/>
      <c r="G288" s="211" t="s">
        <v>26</v>
      </c>
      <c r="H288" s="212">
        <v>44384</v>
      </c>
    </row>
    <row r="289" spans="1:8">
      <c r="A289" s="208">
        <v>44384</v>
      </c>
      <c r="B289" s="209" t="s">
        <v>45</v>
      </c>
      <c r="C289" s="210" t="s">
        <v>46</v>
      </c>
      <c r="D289" s="213" t="s">
        <v>570</v>
      </c>
      <c r="E289" s="211" t="s">
        <v>571</v>
      </c>
      <c r="F289" s="211"/>
      <c r="G289" s="211" t="s">
        <v>26</v>
      </c>
      <c r="H289" s="212">
        <v>44384</v>
      </c>
    </row>
    <row r="290" spans="1:8">
      <c r="A290" s="208">
        <v>44384</v>
      </c>
      <c r="B290" s="209" t="s">
        <v>45</v>
      </c>
      <c r="C290" s="210" t="s">
        <v>46</v>
      </c>
      <c r="D290" s="213" t="s">
        <v>572</v>
      </c>
      <c r="E290" s="211" t="s">
        <v>573</v>
      </c>
      <c r="F290" s="211"/>
      <c r="G290" s="211" t="s">
        <v>26</v>
      </c>
      <c r="H290" s="212">
        <v>44384</v>
      </c>
    </row>
    <row r="291" spans="1:8">
      <c r="A291" s="208">
        <v>44384</v>
      </c>
      <c r="B291" s="209" t="s">
        <v>45</v>
      </c>
      <c r="C291" s="210" t="s">
        <v>46</v>
      </c>
      <c r="D291" s="213" t="s">
        <v>261</v>
      </c>
      <c r="E291" s="211" t="s">
        <v>262</v>
      </c>
      <c r="F291" s="211"/>
      <c r="G291" s="211" t="s">
        <v>26</v>
      </c>
      <c r="H291" s="212">
        <v>44384</v>
      </c>
    </row>
    <row r="292" spans="1:8">
      <c r="A292" s="208">
        <v>44384</v>
      </c>
      <c r="B292" s="209" t="s">
        <v>77</v>
      </c>
      <c r="C292" s="210" t="s">
        <v>46</v>
      </c>
      <c r="D292" s="213" t="s">
        <v>574</v>
      </c>
      <c r="E292" s="211" t="s">
        <v>160</v>
      </c>
      <c r="F292" s="211"/>
      <c r="G292" s="211" t="s">
        <v>26</v>
      </c>
      <c r="H292" s="212">
        <v>44384</v>
      </c>
    </row>
    <row r="293" spans="1:8">
      <c r="A293" s="208">
        <v>44384</v>
      </c>
      <c r="B293" s="209" t="s">
        <v>77</v>
      </c>
      <c r="C293" s="210" t="s">
        <v>51</v>
      </c>
      <c r="D293" s="213" t="s">
        <v>575</v>
      </c>
      <c r="E293" s="211" t="s">
        <v>576</v>
      </c>
      <c r="F293" s="211"/>
      <c r="G293" s="211" t="s">
        <v>577</v>
      </c>
      <c r="H293" s="212">
        <v>44384</v>
      </c>
    </row>
    <row r="294" spans="1:8">
      <c r="A294" s="208">
        <v>44384</v>
      </c>
      <c r="B294" s="209" t="s">
        <v>77</v>
      </c>
      <c r="C294" s="210" t="s">
        <v>46</v>
      </c>
      <c r="D294" s="213" t="s">
        <v>578</v>
      </c>
      <c r="E294" s="211" t="s">
        <v>579</v>
      </c>
      <c r="F294" s="211"/>
      <c r="G294" s="211" t="s">
        <v>26</v>
      </c>
      <c r="H294" s="212">
        <v>44384</v>
      </c>
    </row>
    <row r="295" spans="1:8">
      <c r="A295" s="208">
        <v>44384</v>
      </c>
      <c r="B295" s="209" t="s">
        <v>77</v>
      </c>
      <c r="C295" s="210" t="s">
        <v>46</v>
      </c>
      <c r="D295" s="213" t="s">
        <v>580</v>
      </c>
      <c r="E295" s="211" t="s">
        <v>93</v>
      </c>
      <c r="F295" s="211"/>
      <c r="G295" s="211" t="s">
        <v>581</v>
      </c>
      <c r="H295" s="212">
        <v>44384</v>
      </c>
    </row>
    <row r="296" spans="1:8">
      <c r="A296" s="208">
        <v>44384</v>
      </c>
      <c r="B296" s="209" t="s">
        <v>77</v>
      </c>
      <c r="C296" s="210" t="s">
        <v>46</v>
      </c>
      <c r="D296" s="213" t="s">
        <v>530</v>
      </c>
      <c r="E296" s="211" t="s">
        <v>93</v>
      </c>
      <c r="F296" s="211"/>
      <c r="G296" s="211" t="s">
        <v>317</v>
      </c>
      <c r="H296" s="212">
        <v>44384</v>
      </c>
    </row>
    <row r="297" spans="1:8">
      <c r="A297" s="208">
        <v>44384</v>
      </c>
      <c r="B297" s="209" t="s">
        <v>77</v>
      </c>
      <c r="C297" s="210" t="s">
        <v>46</v>
      </c>
      <c r="D297" s="213" t="s">
        <v>582</v>
      </c>
      <c r="E297" s="211" t="s">
        <v>208</v>
      </c>
      <c r="F297" s="211" t="s">
        <v>583</v>
      </c>
      <c r="G297" s="211" t="s">
        <v>584</v>
      </c>
      <c r="H297" s="212">
        <v>44384</v>
      </c>
    </row>
    <row r="298" spans="1:8">
      <c r="A298" s="208">
        <v>44384</v>
      </c>
      <c r="B298" s="209" t="s">
        <v>77</v>
      </c>
      <c r="C298" s="210" t="s">
        <v>46</v>
      </c>
      <c r="D298" s="213" t="s">
        <v>278</v>
      </c>
      <c r="E298" s="211" t="s">
        <v>279</v>
      </c>
      <c r="F298" s="211"/>
      <c r="G298" s="211" t="s">
        <v>26</v>
      </c>
      <c r="H298" s="212">
        <v>44384</v>
      </c>
    </row>
    <row r="299" spans="1:8">
      <c r="A299" s="208">
        <v>44384</v>
      </c>
      <c r="B299" s="209" t="s">
        <v>77</v>
      </c>
      <c r="C299" s="210" t="s">
        <v>46</v>
      </c>
      <c r="D299" s="213" t="s">
        <v>585</v>
      </c>
      <c r="E299" s="211" t="s">
        <v>586</v>
      </c>
      <c r="F299" s="211"/>
      <c r="G299" s="211" t="s">
        <v>26</v>
      </c>
      <c r="H299" s="212">
        <v>44384</v>
      </c>
    </row>
    <row r="300" spans="1:8">
      <c r="A300" s="208">
        <v>44384</v>
      </c>
      <c r="B300" s="209" t="s">
        <v>91</v>
      </c>
      <c r="C300" s="210" t="s">
        <v>46</v>
      </c>
      <c r="D300" s="213" t="s">
        <v>97</v>
      </c>
      <c r="E300" s="211" t="s">
        <v>98</v>
      </c>
      <c r="F300" s="211"/>
      <c r="G300" s="211" t="s">
        <v>587</v>
      </c>
      <c r="H300" s="212">
        <v>44384</v>
      </c>
    </row>
    <row r="301" spans="1:8">
      <c r="A301" s="208">
        <v>44384</v>
      </c>
      <c r="B301" s="209" t="s">
        <v>91</v>
      </c>
      <c r="C301" s="210" t="s">
        <v>46</v>
      </c>
      <c r="D301" s="213" t="s">
        <v>296</v>
      </c>
      <c r="E301" s="211" t="s">
        <v>98</v>
      </c>
      <c r="F301" s="211"/>
      <c r="G301" s="211" t="s">
        <v>587</v>
      </c>
      <c r="H301" s="212">
        <v>44384</v>
      </c>
    </row>
    <row r="302" spans="1:8">
      <c r="A302" s="208">
        <v>44384</v>
      </c>
      <c r="B302" s="209" t="s">
        <v>91</v>
      </c>
      <c r="C302" s="210" t="s">
        <v>46</v>
      </c>
      <c r="D302" s="213" t="s">
        <v>297</v>
      </c>
      <c r="E302" s="211" t="s">
        <v>463</v>
      </c>
      <c r="F302" s="211"/>
      <c r="G302" s="211" t="s">
        <v>317</v>
      </c>
      <c r="H302" s="212">
        <v>44384</v>
      </c>
    </row>
    <row r="303" spans="1:8" ht="20">
      <c r="A303" s="208">
        <v>44384</v>
      </c>
      <c r="B303" s="209" t="s">
        <v>91</v>
      </c>
      <c r="C303" s="210" t="s">
        <v>51</v>
      </c>
      <c r="D303" s="213" t="s">
        <v>311</v>
      </c>
      <c r="E303" s="211" t="s">
        <v>312</v>
      </c>
      <c r="F303" s="211" t="s">
        <v>588</v>
      </c>
      <c r="G303" s="211" t="s">
        <v>589</v>
      </c>
      <c r="H303" s="212">
        <v>44384</v>
      </c>
    </row>
    <row r="304" spans="1:8">
      <c r="A304" s="208">
        <v>44384</v>
      </c>
      <c r="B304" s="209" t="s">
        <v>110</v>
      </c>
      <c r="C304" s="210" t="s">
        <v>46</v>
      </c>
      <c r="D304" s="213" t="s">
        <v>590</v>
      </c>
      <c r="E304" s="211" t="s">
        <v>371</v>
      </c>
      <c r="F304" s="211" t="s">
        <v>591</v>
      </c>
      <c r="G304" s="211" t="s">
        <v>76</v>
      </c>
      <c r="H304" s="212">
        <v>44384</v>
      </c>
    </row>
    <row r="305" spans="1:8">
      <c r="A305" s="208">
        <v>44384</v>
      </c>
      <c r="B305" s="209" t="s">
        <v>110</v>
      </c>
      <c r="C305" s="210" t="s">
        <v>46</v>
      </c>
      <c r="D305" s="213" t="s">
        <v>592</v>
      </c>
      <c r="E305" s="211" t="s">
        <v>593</v>
      </c>
      <c r="F305" s="211" t="s">
        <v>594</v>
      </c>
      <c r="G305" s="211" t="s">
        <v>76</v>
      </c>
      <c r="H305" s="212">
        <v>44384</v>
      </c>
    </row>
    <row r="306" spans="1:8">
      <c r="A306" s="208">
        <v>44384</v>
      </c>
      <c r="B306" s="209" t="s">
        <v>110</v>
      </c>
      <c r="C306" s="210" t="s">
        <v>46</v>
      </c>
      <c r="D306" s="213" t="s">
        <v>485</v>
      </c>
      <c r="E306" s="211" t="s">
        <v>486</v>
      </c>
      <c r="F306" s="211"/>
      <c r="G306" s="211" t="s">
        <v>26</v>
      </c>
      <c r="H306" s="212">
        <v>44384</v>
      </c>
    </row>
    <row r="307" spans="1:8">
      <c r="A307" s="208">
        <v>44384</v>
      </c>
      <c r="B307" s="209" t="s">
        <v>110</v>
      </c>
      <c r="C307" s="210" t="s">
        <v>46</v>
      </c>
      <c r="D307" s="213" t="s">
        <v>511</v>
      </c>
      <c r="E307" s="211" t="s">
        <v>512</v>
      </c>
      <c r="F307" s="211" t="s">
        <v>513</v>
      </c>
      <c r="G307" s="211" t="s">
        <v>401</v>
      </c>
      <c r="H307" s="212">
        <v>44384</v>
      </c>
    </row>
    <row r="308" spans="1:8" ht="20">
      <c r="A308" s="208">
        <v>44320</v>
      </c>
      <c r="B308" s="209" t="s">
        <v>45</v>
      </c>
      <c r="C308" s="210" t="s">
        <v>46</v>
      </c>
      <c r="D308" s="213" t="s">
        <v>595</v>
      </c>
      <c r="E308" s="211" t="s">
        <v>48</v>
      </c>
      <c r="F308" s="211" t="s">
        <v>596</v>
      </c>
      <c r="G308" s="211" t="s">
        <v>76</v>
      </c>
      <c r="H308" s="212">
        <v>44320</v>
      </c>
    </row>
    <row r="309" spans="1:8">
      <c r="A309" s="208">
        <v>44320</v>
      </c>
      <c r="B309" s="209" t="s">
        <v>45</v>
      </c>
      <c r="C309" s="210" t="s">
        <v>46</v>
      </c>
      <c r="D309" s="213" t="s">
        <v>597</v>
      </c>
      <c r="E309" s="211" t="s">
        <v>598</v>
      </c>
      <c r="F309" s="211" t="s">
        <v>259</v>
      </c>
      <c r="G309" s="211" t="s">
        <v>599</v>
      </c>
      <c r="H309" s="212">
        <v>44320</v>
      </c>
    </row>
    <row r="310" spans="1:8">
      <c r="A310" s="208">
        <v>44320</v>
      </c>
      <c r="B310" s="209" t="s">
        <v>45</v>
      </c>
      <c r="C310" s="210" t="s">
        <v>46</v>
      </c>
      <c r="D310" s="213" t="s">
        <v>600</v>
      </c>
      <c r="E310" s="211" t="s">
        <v>601</v>
      </c>
      <c r="F310" s="211" t="s">
        <v>259</v>
      </c>
      <c r="G310" s="211" t="s">
        <v>599</v>
      </c>
      <c r="H310" s="212">
        <v>44320</v>
      </c>
    </row>
    <row r="311" spans="1:8">
      <c r="A311" s="208">
        <v>44320</v>
      </c>
      <c r="B311" s="209" t="s">
        <v>45</v>
      </c>
      <c r="C311" s="210" t="s">
        <v>46</v>
      </c>
      <c r="D311" s="213" t="s">
        <v>602</v>
      </c>
      <c r="E311" s="211" t="s">
        <v>603</v>
      </c>
      <c r="F311" s="211" t="s">
        <v>604</v>
      </c>
      <c r="G311" s="211" t="s">
        <v>76</v>
      </c>
      <c r="H311" s="212">
        <v>44320</v>
      </c>
    </row>
    <row r="312" spans="1:8">
      <c r="A312" s="208">
        <v>44320</v>
      </c>
      <c r="B312" s="209" t="s">
        <v>45</v>
      </c>
      <c r="C312" s="210" t="s">
        <v>46</v>
      </c>
      <c r="D312" s="213" t="s">
        <v>515</v>
      </c>
      <c r="E312" s="211" t="s">
        <v>442</v>
      </c>
      <c r="F312" s="211" t="s">
        <v>516</v>
      </c>
      <c r="G312" s="211" t="s">
        <v>401</v>
      </c>
      <c r="H312" s="212">
        <v>44320</v>
      </c>
    </row>
    <row r="313" spans="1:8" ht="20">
      <c r="A313" s="208">
        <v>44320</v>
      </c>
      <c r="B313" s="209" t="s">
        <v>45</v>
      </c>
      <c r="C313" s="210" t="s">
        <v>46</v>
      </c>
      <c r="D313" s="213" t="s">
        <v>318</v>
      </c>
      <c r="E313" s="211" t="s">
        <v>319</v>
      </c>
      <c r="F313" s="211" t="s">
        <v>320</v>
      </c>
      <c r="G313" s="211" t="s">
        <v>76</v>
      </c>
      <c r="H313" s="212">
        <v>44320</v>
      </c>
    </row>
    <row r="314" spans="1:8">
      <c r="A314" s="208">
        <v>44320</v>
      </c>
      <c r="B314" s="209" t="s">
        <v>45</v>
      </c>
      <c r="C314" s="210" t="s">
        <v>46</v>
      </c>
      <c r="D314" s="213" t="s">
        <v>490</v>
      </c>
      <c r="E314" s="211" t="s">
        <v>605</v>
      </c>
      <c r="F314" s="211" t="s">
        <v>492</v>
      </c>
      <c r="G314" s="211" t="s">
        <v>401</v>
      </c>
      <c r="H314" s="212">
        <v>44320</v>
      </c>
    </row>
    <row r="315" spans="1:8">
      <c r="A315" s="208">
        <v>44320</v>
      </c>
      <c r="B315" s="209" t="s">
        <v>45</v>
      </c>
      <c r="C315" s="210" t="s">
        <v>46</v>
      </c>
      <c r="D315" s="213" t="s">
        <v>606</v>
      </c>
      <c r="E315" s="211" t="s">
        <v>607</v>
      </c>
      <c r="F315" s="211" t="s">
        <v>259</v>
      </c>
      <c r="G315" s="211" t="s">
        <v>76</v>
      </c>
      <c r="H315" s="212">
        <v>44320</v>
      </c>
    </row>
    <row r="316" spans="1:8">
      <c r="A316" s="208">
        <v>44320</v>
      </c>
      <c r="B316" s="209" t="s">
        <v>45</v>
      </c>
      <c r="C316" s="210" t="s">
        <v>46</v>
      </c>
      <c r="D316" s="213" t="s">
        <v>608</v>
      </c>
      <c r="E316" s="211" t="s">
        <v>609</v>
      </c>
      <c r="F316" s="211" t="s">
        <v>259</v>
      </c>
      <c r="G316" s="211" t="s">
        <v>401</v>
      </c>
      <c r="H316" s="212">
        <v>44320</v>
      </c>
    </row>
    <row r="317" spans="1:8" ht="20">
      <c r="A317" s="208">
        <v>44320</v>
      </c>
      <c r="B317" s="209" t="s">
        <v>45</v>
      </c>
      <c r="C317" s="210" t="s">
        <v>46</v>
      </c>
      <c r="D317" s="213" t="s">
        <v>610</v>
      </c>
      <c r="E317" s="211" t="s">
        <v>611</v>
      </c>
      <c r="F317" s="211" t="s">
        <v>259</v>
      </c>
      <c r="G317" s="211" t="s">
        <v>26</v>
      </c>
      <c r="H317" s="212">
        <v>44320</v>
      </c>
    </row>
    <row r="318" spans="1:8" ht="20">
      <c r="A318" s="208">
        <v>44320</v>
      </c>
      <c r="B318" s="209" t="s">
        <v>45</v>
      </c>
      <c r="C318" s="210" t="s">
        <v>46</v>
      </c>
      <c r="D318" s="213" t="s">
        <v>612</v>
      </c>
      <c r="E318" s="211" t="s">
        <v>613</v>
      </c>
      <c r="F318" s="211" t="s">
        <v>614</v>
      </c>
      <c r="G318" s="211" t="s">
        <v>76</v>
      </c>
      <c r="H318" s="212">
        <v>44320</v>
      </c>
    </row>
    <row r="319" spans="1:8">
      <c r="A319" s="208">
        <v>44320</v>
      </c>
      <c r="B319" s="209" t="s">
        <v>45</v>
      </c>
      <c r="C319" s="210" t="s">
        <v>46</v>
      </c>
      <c r="D319" s="213" t="s">
        <v>615</v>
      </c>
      <c r="E319" s="211" t="s">
        <v>598</v>
      </c>
      <c r="F319" s="211" t="s">
        <v>259</v>
      </c>
      <c r="G319" s="211" t="s">
        <v>599</v>
      </c>
      <c r="H319" s="212">
        <v>44320</v>
      </c>
    </row>
    <row r="320" spans="1:8">
      <c r="A320" s="208">
        <v>44320</v>
      </c>
      <c r="B320" s="209" t="s">
        <v>45</v>
      </c>
      <c r="C320" s="210" t="s">
        <v>46</v>
      </c>
      <c r="D320" s="213" t="s">
        <v>616</v>
      </c>
      <c r="E320" s="211" t="s">
        <v>617</v>
      </c>
      <c r="F320" s="211" t="s">
        <v>259</v>
      </c>
      <c r="G320" s="211" t="s">
        <v>599</v>
      </c>
      <c r="H320" s="212">
        <v>44320</v>
      </c>
    </row>
    <row r="321" spans="1:8">
      <c r="A321" s="208">
        <v>44320</v>
      </c>
      <c r="B321" s="209" t="s">
        <v>45</v>
      </c>
      <c r="C321" s="210" t="s">
        <v>46</v>
      </c>
      <c r="D321" s="213" t="s">
        <v>618</v>
      </c>
      <c r="E321" s="211" t="s">
        <v>617</v>
      </c>
      <c r="F321" s="211" t="s">
        <v>259</v>
      </c>
      <c r="G321" s="211" t="s">
        <v>599</v>
      </c>
      <c r="H321" s="212">
        <v>44320</v>
      </c>
    </row>
    <row r="322" spans="1:8">
      <c r="A322" s="208">
        <v>44320</v>
      </c>
      <c r="B322" s="209" t="s">
        <v>45</v>
      </c>
      <c r="C322" s="210" t="s">
        <v>51</v>
      </c>
      <c r="D322" s="213" t="s">
        <v>619</v>
      </c>
      <c r="E322" s="211" t="s">
        <v>146</v>
      </c>
      <c r="F322" s="211"/>
      <c r="G322" s="211" t="s">
        <v>577</v>
      </c>
      <c r="H322" s="212">
        <v>44320</v>
      </c>
    </row>
    <row r="323" spans="1:8">
      <c r="A323" s="208">
        <v>44320</v>
      </c>
      <c r="B323" s="209" t="s">
        <v>45</v>
      </c>
      <c r="C323" s="210" t="s">
        <v>46</v>
      </c>
      <c r="D323" s="213" t="s">
        <v>448</v>
      </c>
      <c r="E323" s="211" t="s">
        <v>449</v>
      </c>
      <c r="F323" s="211" t="s">
        <v>450</v>
      </c>
      <c r="G323" s="211" t="s">
        <v>401</v>
      </c>
      <c r="H323" s="212">
        <v>44320</v>
      </c>
    </row>
    <row r="324" spans="1:8">
      <c r="A324" s="208">
        <v>44320</v>
      </c>
      <c r="B324" s="209" t="s">
        <v>45</v>
      </c>
      <c r="C324" s="210" t="s">
        <v>46</v>
      </c>
      <c r="D324" s="213" t="s">
        <v>620</v>
      </c>
      <c r="E324" s="211" t="s">
        <v>621</v>
      </c>
      <c r="F324" s="211" t="s">
        <v>259</v>
      </c>
      <c r="G324" s="211" t="s">
        <v>599</v>
      </c>
      <c r="H324" s="212">
        <v>44320</v>
      </c>
    </row>
    <row r="325" spans="1:8">
      <c r="A325" s="208">
        <v>44320</v>
      </c>
      <c r="B325" s="209" t="s">
        <v>77</v>
      </c>
      <c r="C325" s="210" t="s">
        <v>46</v>
      </c>
      <c r="D325" s="213" t="s">
        <v>622</v>
      </c>
      <c r="E325" s="211" t="s">
        <v>623</v>
      </c>
      <c r="F325" s="211" t="s">
        <v>259</v>
      </c>
      <c r="G325" s="211" t="s">
        <v>26</v>
      </c>
      <c r="H325" s="212">
        <v>44320</v>
      </c>
    </row>
    <row r="326" spans="1:8">
      <c r="A326" s="208">
        <v>44320</v>
      </c>
      <c r="B326" s="209" t="s">
        <v>77</v>
      </c>
      <c r="C326" s="210" t="s">
        <v>46</v>
      </c>
      <c r="D326" s="213" t="s">
        <v>624</v>
      </c>
      <c r="E326" s="211" t="s">
        <v>625</v>
      </c>
      <c r="F326" s="211" t="s">
        <v>259</v>
      </c>
      <c r="G326" s="211" t="s">
        <v>76</v>
      </c>
      <c r="H326" s="212">
        <v>44320</v>
      </c>
    </row>
    <row r="327" spans="1:8">
      <c r="A327" s="208">
        <v>44320</v>
      </c>
      <c r="B327" s="209" t="s">
        <v>77</v>
      </c>
      <c r="C327" s="210" t="s">
        <v>46</v>
      </c>
      <c r="D327" s="213" t="s">
        <v>626</v>
      </c>
      <c r="E327" s="211" t="s">
        <v>627</v>
      </c>
      <c r="F327" s="211" t="s">
        <v>259</v>
      </c>
      <c r="G327" s="211" t="s">
        <v>599</v>
      </c>
      <c r="H327" s="212">
        <v>44320</v>
      </c>
    </row>
    <row r="328" spans="1:8">
      <c r="A328" s="208">
        <v>44320</v>
      </c>
      <c r="B328" s="209" t="s">
        <v>91</v>
      </c>
      <c r="C328" s="210" t="s">
        <v>46</v>
      </c>
      <c r="D328" s="213" t="s">
        <v>346</v>
      </c>
      <c r="E328" s="211" t="s">
        <v>347</v>
      </c>
      <c r="F328" s="211" t="s">
        <v>432</v>
      </c>
      <c r="G328" s="211" t="s">
        <v>317</v>
      </c>
      <c r="H328" s="212">
        <v>44320</v>
      </c>
    </row>
    <row r="329" spans="1:8">
      <c r="A329" s="208">
        <v>44320</v>
      </c>
      <c r="B329" s="209" t="s">
        <v>91</v>
      </c>
      <c r="C329" s="210" t="s">
        <v>46</v>
      </c>
      <c r="D329" s="213" t="s">
        <v>346</v>
      </c>
      <c r="E329" s="211" t="s">
        <v>347</v>
      </c>
      <c r="F329" s="211" t="s">
        <v>433</v>
      </c>
      <c r="G329" s="211" t="s">
        <v>317</v>
      </c>
      <c r="H329" s="212">
        <v>44320</v>
      </c>
    </row>
    <row r="330" spans="1:8">
      <c r="A330" s="208">
        <v>44320</v>
      </c>
      <c r="B330" s="209" t="s">
        <v>91</v>
      </c>
      <c r="C330" s="210" t="s">
        <v>46</v>
      </c>
      <c r="D330" s="213" t="s">
        <v>359</v>
      </c>
      <c r="E330" s="211" t="s">
        <v>347</v>
      </c>
      <c r="F330" s="211" t="s">
        <v>360</v>
      </c>
      <c r="G330" s="211" t="s">
        <v>26</v>
      </c>
      <c r="H330" s="212">
        <v>44320</v>
      </c>
    </row>
    <row r="331" spans="1:8">
      <c r="A331" s="208">
        <v>44320</v>
      </c>
      <c r="B331" s="209" t="s">
        <v>91</v>
      </c>
      <c r="C331" s="210" t="s">
        <v>46</v>
      </c>
      <c r="D331" s="213" t="s">
        <v>361</v>
      </c>
      <c r="E331" s="211" t="s">
        <v>347</v>
      </c>
      <c r="F331" s="211" t="s">
        <v>362</v>
      </c>
      <c r="G331" s="211" t="s">
        <v>26</v>
      </c>
      <c r="H331" s="212">
        <v>44320</v>
      </c>
    </row>
    <row r="332" spans="1:8">
      <c r="A332" s="208">
        <v>44320</v>
      </c>
      <c r="B332" s="209" t="s">
        <v>91</v>
      </c>
      <c r="C332" s="210" t="s">
        <v>46</v>
      </c>
      <c r="D332" s="213" t="s">
        <v>365</v>
      </c>
      <c r="E332" s="211" t="s">
        <v>347</v>
      </c>
      <c r="F332" s="211" t="s">
        <v>366</v>
      </c>
      <c r="G332" s="211" t="s">
        <v>26</v>
      </c>
      <c r="H332" s="212">
        <v>44320</v>
      </c>
    </row>
    <row r="333" spans="1:8">
      <c r="A333" s="208">
        <v>44320</v>
      </c>
      <c r="B333" s="209" t="s">
        <v>105</v>
      </c>
      <c r="C333" s="210" t="s">
        <v>46</v>
      </c>
      <c r="D333" s="213" t="s">
        <v>628</v>
      </c>
      <c r="E333" s="211" t="s">
        <v>629</v>
      </c>
      <c r="F333" s="211" t="s">
        <v>630</v>
      </c>
      <c r="G333" s="211" t="s">
        <v>76</v>
      </c>
      <c r="H333" s="212">
        <v>44320</v>
      </c>
    </row>
    <row r="334" spans="1:8">
      <c r="A334" s="208">
        <v>44320</v>
      </c>
      <c r="B334" s="209" t="s">
        <v>110</v>
      </c>
      <c r="C334" s="210" t="s">
        <v>46</v>
      </c>
      <c r="D334" s="213" t="s">
        <v>631</v>
      </c>
      <c r="E334" s="211" t="s">
        <v>391</v>
      </c>
      <c r="F334" s="211" t="s">
        <v>632</v>
      </c>
      <c r="G334" s="211" t="s">
        <v>76</v>
      </c>
      <c r="H334" s="212">
        <v>44320</v>
      </c>
    </row>
    <row r="335" spans="1:8">
      <c r="A335" s="208">
        <v>44320</v>
      </c>
      <c r="B335" s="209" t="s">
        <v>110</v>
      </c>
      <c r="C335" s="210" t="s">
        <v>46</v>
      </c>
      <c r="D335" s="213" t="s">
        <v>592</v>
      </c>
      <c r="E335" s="211" t="s">
        <v>593</v>
      </c>
      <c r="F335" s="211" t="s">
        <v>594</v>
      </c>
      <c r="G335" s="211" t="s">
        <v>633</v>
      </c>
      <c r="H335" s="212">
        <v>44320</v>
      </c>
    </row>
    <row r="336" spans="1:8" ht="20">
      <c r="A336" s="208">
        <v>44320</v>
      </c>
      <c r="B336" s="209" t="s">
        <v>110</v>
      </c>
      <c r="C336" s="210" t="s">
        <v>46</v>
      </c>
      <c r="D336" s="213" t="s">
        <v>407</v>
      </c>
      <c r="E336" s="211" t="s">
        <v>408</v>
      </c>
      <c r="F336" s="211" t="s">
        <v>409</v>
      </c>
      <c r="G336" s="211" t="s">
        <v>401</v>
      </c>
      <c r="H336" s="212">
        <v>44320</v>
      </c>
    </row>
    <row r="337" spans="1:8" ht="20">
      <c r="A337" s="208">
        <v>44225</v>
      </c>
      <c r="B337" s="209" t="s">
        <v>45</v>
      </c>
      <c r="C337" s="210" t="s">
        <v>46</v>
      </c>
      <c r="D337" s="213" t="s">
        <v>634</v>
      </c>
      <c r="E337" s="211" t="s">
        <v>158</v>
      </c>
      <c r="F337" s="211" t="s">
        <v>159</v>
      </c>
      <c r="G337" s="211" t="s">
        <v>26</v>
      </c>
      <c r="H337" s="212">
        <v>44225</v>
      </c>
    </row>
    <row r="338" spans="1:8" ht="20">
      <c r="A338" s="208">
        <v>44225</v>
      </c>
      <c r="B338" s="209" t="s">
        <v>45</v>
      </c>
      <c r="C338" s="210" t="s">
        <v>46</v>
      </c>
      <c r="D338" s="213" t="s">
        <v>318</v>
      </c>
      <c r="E338" s="211" t="s">
        <v>319</v>
      </c>
      <c r="F338" s="211"/>
      <c r="G338" s="211" t="s">
        <v>26</v>
      </c>
      <c r="H338" s="212">
        <v>44225</v>
      </c>
    </row>
    <row r="339" spans="1:8" ht="20">
      <c r="A339" s="208">
        <v>44225</v>
      </c>
      <c r="B339" s="209" t="s">
        <v>45</v>
      </c>
      <c r="C339" s="210" t="s">
        <v>46</v>
      </c>
      <c r="D339" s="213" t="s">
        <v>330</v>
      </c>
      <c r="E339" s="211" t="s">
        <v>331</v>
      </c>
      <c r="F339" s="211"/>
      <c r="G339" s="211" t="s">
        <v>26</v>
      </c>
      <c r="H339" s="212">
        <v>44225</v>
      </c>
    </row>
    <row r="340" spans="1:8" ht="20">
      <c r="A340" s="208">
        <v>44225</v>
      </c>
      <c r="B340" s="209" t="s">
        <v>45</v>
      </c>
      <c r="C340" s="210" t="s">
        <v>46</v>
      </c>
      <c r="D340" s="213" t="s">
        <v>612</v>
      </c>
      <c r="E340" s="211" t="s">
        <v>613</v>
      </c>
      <c r="F340" s="211"/>
      <c r="G340" s="211" t="s">
        <v>26</v>
      </c>
      <c r="H340" s="212">
        <v>44225</v>
      </c>
    </row>
    <row r="341" spans="1:8">
      <c r="A341" s="208">
        <v>44225</v>
      </c>
      <c r="B341" s="209" t="s">
        <v>45</v>
      </c>
      <c r="C341" s="210" t="s">
        <v>46</v>
      </c>
      <c r="D341" s="213" t="s">
        <v>635</v>
      </c>
      <c r="E341" s="211" t="s">
        <v>636</v>
      </c>
      <c r="F341" s="211" t="s">
        <v>637</v>
      </c>
      <c r="G341" s="211" t="s">
        <v>638</v>
      </c>
      <c r="H341" s="212">
        <v>44225</v>
      </c>
    </row>
    <row r="342" spans="1:8">
      <c r="A342" s="208">
        <v>44225</v>
      </c>
      <c r="B342" s="209" t="s">
        <v>45</v>
      </c>
      <c r="C342" s="210" t="s">
        <v>46</v>
      </c>
      <c r="D342" s="213" t="s">
        <v>448</v>
      </c>
      <c r="E342" s="211" t="s">
        <v>449</v>
      </c>
      <c r="F342" s="211" t="s">
        <v>450</v>
      </c>
      <c r="G342" s="211" t="s">
        <v>26</v>
      </c>
      <c r="H342" s="212">
        <v>44225</v>
      </c>
    </row>
    <row r="343" spans="1:8" ht="20">
      <c r="A343" s="208">
        <v>44225</v>
      </c>
      <c r="B343" s="209" t="s">
        <v>45</v>
      </c>
      <c r="C343" s="210" t="s">
        <v>46</v>
      </c>
      <c r="D343" s="213" t="s">
        <v>340</v>
      </c>
      <c r="E343" s="211" t="s">
        <v>341</v>
      </c>
      <c r="F343" s="211"/>
      <c r="G343" s="211" t="s">
        <v>26</v>
      </c>
      <c r="H343" s="212">
        <v>44225</v>
      </c>
    </row>
    <row r="344" spans="1:8">
      <c r="A344" s="208">
        <v>44225</v>
      </c>
      <c r="B344" s="209" t="s">
        <v>45</v>
      </c>
      <c r="C344" s="210" t="s">
        <v>46</v>
      </c>
      <c r="D344" s="213" t="s">
        <v>264</v>
      </c>
      <c r="E344" s="211" t="s">
        <v>639</v>
      </c>
      <c r="F344" s="211"/>
      <c r="G344" s="211" t="s">
        <v>26</v>
      </c>
      <c r="H344" s="212">
        <v>44225</v>
      </c>
    </row>
    <row r="345" spans="1:8">
      <c r="A345" s="208">
        <v>44225</v>
      </c>
      <c r="B345" s="209" t="s">
        <v>77</v>
      </c>
      <c r="C345" s="210" t="s">
        <v>46</v>
      </c>
      <c r="D345" s="213" t="s">
        <v>640</v>
      </c>
      <c r="E345" s="211" t="s">
        <v>641</v>
      </c>
      <c r="F345" s="211"/>
      <c r="G345" s="211" t="s">
        <v>581</v>
      </c>
      <c r="H345" s="212">
        <v>44225</v>
      </c>
    </row>
    <row r="346" spans="1:8">
      <c r="A346" s="208">
        <v>44225</v>
      </c>
      <c r="B346" s="209" t="s">
        <v>77</v>
      </c>
      <c r="C346" s="210" t="s">
        <v>46</v>
      </c>
      <c r="D346" s="213" t="s">
        <v>642</v>
      </c>
      <c r="E346" s="211" t="s">
        <v>641</v>
      </c>
      <c r="F346" s="211"/>
      <c r="G346" s="211" t="s">
        <v>581</v>
      </c>
      <c r="H346" s="212">
        <v>44225</v>
      </c>
    </row>
    <row r="347" spans="1:8">
      <c r="A347" s="208">
        <v>44225</v>
      </c>
      <c r="B347" s="209" t="s">
        <v>91</v>
      </c>
      <c r="C347" s="210" t="s">
        <v>46</v>
      </c>
      <c r="D347" s="213" t="s">
        <v>363</v>
      </c>
      <c r="E347" s="211" t="s">
        <v>347</v>
      </c>
      <c r="F347" s="211" t="s">
        <v>364</v>
      </c>
      <c r="G347" s="211" t="s">
        <v>26</v>
      </c>
      <c r="H347" s="212">
        <v>44225</v>
      </c>
    </row>
    <row r="348" spans="1:8">
      <c r="A348" s="208">
        <v>44225</v>
      </c>
      <c r="B348" s="209" t="s">
        <v>110</v>
      </c>
      <c r="C348" s="210" t="s">
        <v>46</v>
      </c>
      <c r="D348" s="213" t="s">
        <v>111</v>
      </c>
      <c r="E348" s="211" t="s">
        <v>112</v>
      </c>
      <c r="F348" s="211"/>
      <c r="G348" s="211" t="s">
        <v>26</v>
      </c>
      <c r="H348" s="212">
        <v>44225</v>
      </c>
    </row>
    <row r="349" spans="1:8">
      <c r="A349" s="208">
        <v>44225</v>
      </c>
      <c r="B349" s="209" t="s">
        <v>110</v>
      </c>
      <c r="C349" s="210" t="s">
        <v>46</v>
      </c>
      <c r="D349" s="213" t="s">
        <v>592</v>
      </c>
      <c r="E349" s="211" t="s">
        <v>593</v>
      </c>
      <c r="F349" s="211"/>
      <c r="G349" s="211" t="s">
        <v>26</v>
      </c>
      <c r="H349" s="212">
        <v>44225</v>
      </c>
    </row>
    <row r="350" spans="1:8">
      <c r="A350" s="208">
        <v>44225</v>
      </c>
      <c r="B350" s="209" t="s">
        <v>110</v>
      </c>
      <c r="C350" s="210" t="s">
        <v>46</v>
      </c>
      <c r="D350" s="213" t="s">
        <v>643</v>
      </c>
      <c r="E350" s="211" t="s">
        <v>644</v>
      </c>
      <c r="F350" s="211" t="s">
        <v>645</v>
      </c>
      <c r="G350" s="211" t="s">
        <v>638</v>
      </c>
      <c r="H350" s="212">
        <v>44225</v>
      </c>
    </row>
    <row r="351" spans="1:8">
      <c r="A351" s="208">
        <v>44225</v>
      </c>
      <c r="B351" s="209" t="s">
        <v>110</v>
      </c>
      <c r="C351" s="210" t="s">
        <v>46</v>
      </c>
      <c r="D351" s="213" t="s">
        <v>485</v>
      </c>
      <c r="E351" s="211" t="s">
        <v>486</v>
      </c>
      <c r="F351" s="211"/>
      <c r="G351" s="211" t="s">
        <v>317</v>
      </c>
      <c r="H351" s="212">
        <v>44225</v>
      </c>
    </row>
    <row r="352" spans="1:8">
      <c r="A352" s="208">
        <v>44225</v>
      </c>
      <c r="B352" s="209" t="s">
        <v>110</v>
      </c>
      <c r="C352" s="210" t="s">
        <v>46</v>
      </c>
      <c r="D352" s="213" t="s">
        <v>511</v>
      </c>
      <c r="E352" s="211" t="s">
        <v>512</v>
      </c>
      <c r="F352" s="211"/>
      <c r="G352" s="211" t="s">
        <v>26</v>
      </c>
      <c r="H352" s="212">
        <v>44225</v>
      </c>
    </row>
    <row r="353" spans="1:8" ht="20">
      <c r="A353" s="208">
        <v>44147</v>
      </c>
      <c r="B353" s="209" t="s">
        <v>45</v>
      </c>
      <c r="C353" s="210" t="s">
        <v>46</v>
      </c>
      <c r="D353" s="213" t="s">
        <v>47</v>
      </c>
      <c r="E353" s="211" t="s">
        <v>48</v>
      </c>
      <c r="F353" s="211"/>
      <c r="G353" s="211" t="s">
        <v>26</v>
      </c>
      <c r="H353" s="212">
        <v>44147</v>
      </c>
    </row>
    <row r="354" spans="1:8" ht="20">
      <c r="A354" s="208">
        <v>44147</v>
      </c>
      <c r="B354" s="209" t="s">
        <v>45</v>
      </c>
      <c r="C354" s="210" t="s">
        <v>46</v>
      </c>
      <c r="D354" s="213" t="s">
        <v>634</v>
      </c>
      <c r="E354" s="211" t="s">
        <v>158</v>
      </c>
      <c r="F354" s="211" t="s">
        <v>159</v>
      </c>
      <c r="G354" s="211" t="s">
        <v>401</v>
      </c>
      <c r="H354" s="212">
        <v>44147</v>
      </c>
    </row>
    <row r="355" spans="1:8">
      <c r="A355" s="208">
        <v>44147</v>
      </c>
      <c r="B355" s="209" t="s">
        <v>45</v>
      </c>
      <c r="C355" s="210" t="s">
        <v>46</v>
      </c>
      <c r="D355" s="213" t="s">
        <v>646</v>
      </c>
      <c r="E355" s="211" t="s">
        <v>647</v>
      </c>
      <c r="F355" s="211"/>
      <c r="G355" s="211" t="s">
        <v>581</v>
      </c>
      <c r="H355" s="212">
        <v>44117</v>
      </c>
    </row>
    <row r="356" spans="1:8">
      <c r="A356" s="208">
        <v>44147</v>
      </c>
      <c r="B356" s="209" t="s">
        <v>45</v>
      </c>
      <c r="C356" s="210" t="s">
        <v>46</v>
      </c>
      <c r="D356" s="213" t="s">
        <v>648</v>
      </c>
      <c r="E356" s="211" t="s">
        <v>649</v>
      </c>
      <c r="F356" s="211"/>
      <c r="G356" s="211" t="s">
        <v>581</v>
      </c>
      <c r="H356" s="212">
        <v>44117</v>
      </c>
    </row>
    <row r="357" spans="1:8">
      <c r="A357" s="208">
        <v>44147</v>
      </c>
      <c r="B357" s="209" t="s">
        <v>45</v>
      </c>
      <c r="C357" s="210" t="s">
        <v>46</v>
      </c>
      <c r="D357" s="213" t="s">
        <v>606</v>
      </c>
      <c r="E357" s="211" t="s">
        <v>606</v>
      </c>
      <c r="F357" s="211" t="s">
        <v>650</v>
      </c>
      <c r="G357" s="211" t="s">
        <v>401</v>
      </c>
      <c r="H357" s="212">
        <v>44147</v>
      </c>
    </row>
    <row r="358" spans="1:8" ht="20">
      <c r="A358" s="208">
        <v>44147</v>
      </c>
      <c r="B358" s="209" t="s">
        <v>45</v>
      </c>
      <c r="C358" s="210" t="s">
        <v>46</v>
      </c>
      <c r="D358" s="213" t="s">
        <v>494</v>
      </c>
      <c r="E358" s="211" t="s">
        <v>495</v>
      </c>
      <c r="F358" s="211" t="s">
        <v>496</v>
      </c>
      <c r="G358" s="211" t="s">
        <v>401</v>
      </c>
      <c r="H358" s="212">
        <v>44147</v>
      </c>
    </row>
    <row r="359" spans="1:8">
      <c r="A359" s="208">
        <v>44147</v>
      </c>
      <c r="B359" s="209" t="s">
        <v>45</v>
      </c>
      <c r="C359" s="210" t="s">
        <v>46</v>
      </c>
      <c r="D359" s="213" t="s">
        <v>413</v>
      </c>
      <c r="E359" s="211" t="s">
        <v>414</v>
      </c>
      <c r="F359" s="211" t="s">
        <v>415</v>
      </c>
      <c r="G359" s="211" t="s">
        <v>26</v>
      </c>
      <c r="H359" s="212">
        <v>44147</v>
      </c>
    </row>
    <row r="360" spans="1:8" ht="20">
      <c r="A360" s="208">
        <v>44147</v>
      </c>
      <c r="B360" s="209" t="s">
        <v>45</v>
      </c>
      <c r="C360" s="210" t="s">
        <v>46</v>
      </c>
      <c r="D360" s="213" t="s">
        <v>651</v>
      </c>
      <c r="E360" s="211" t="s">
        <v>652</v>
      </c>
      <c r="F360" s="211" t="s">
        <v>653</v>
      </c>
      <c r="G360" s="211" t="s">
        <v>76</v>
      </c>
      <c r="H360" s="212">
        <v>44147</v>
      </c>
    </row>
    <row r="361" spans="1:8">
      <c r="A361" s="208">
        <v>44147</v>
      </c>
      <c r="B361" s="209" t="s">
        <v>45</v>
      </c>
      <c r="C361" s="210" t="s">
        <v>46</v>
      </c>
      <c r="D361" s="213" t="s">
        <v>654</v>
      </c>
      <c r="E361" s="211" t="s">
        <v>655</v>
      </c>
      <c r="F361" s="211"/>
      <c r="G361" s="211" t="s">
        <v>26</v>
      </c>
      <c r="H361" s="212">
        <v>44147</v>
      </c>
    </row>
    <row r="362" spans="1:8">
      <c r="A362" s="208">
        <v>44147</v>
      </c>
      <c r="B362" s="209" t="s">
        <v>77</v>
      </c>
      <c r="C362" s="210" t="s">
        <v>46</v>
      </c>
      <c r="D362" s="213" t="s">
        <v>656</v>
      </c>
      <c r="E362" s="211" t="s">
        <v>508</v>
      </c>
      <c r="F362" s="211"/>
      <c r="G362" s="211" t="s">
        <v>581</v>
      </c>
      <c r="H362" s="212">
        <v>44117</v>
      </c>
    </row>
    <row r="363" spans="1:8">
      <c r="A363" s="208">
        <v>44147</v>
      </c>
      <c r="B363" s="209" t="s">
        <v>77</v>
      </c>
      <c r="C363" s="210" t="s">
        <v>46</v>
      </c>
      <c r="D363" s="213" t="s">
        <v>657</v>
      </c>
      <c r="E363" s="211" t="s">
        <v>647</v>
      </c>
      <c r="F363" s="211"/>
      <c r="G363" s="211" t="s">
        <v>581</v>
      </c>
      <c r="H363" s="212">
        <v>44117</v>
      </c>
    </row>
    <row r="364" spans="1:8">
      <c r="A364" s="208">
        <v>44147</v>
      </c>
      <c r="B364" s="209" t="s">
        <v>77</v>
      </c>
      <c r="C364" s="210" t="s">
        <v>46</v>
      </c>
      <c r="D364" s="213" t="s">
        <v>624</v>
      </c>
      <c r="E364" s="211" t="s">
        <v>625</v>
      </c>
      <c r="F364" s="211"/>
      <c r="G364" s="211" t="s">
        <v>26</v>
      </c>
      <c r="H364" s="212">
        <v>44147</v>
      </c>
    </row>
    <row r="365" spans="1:8" ht="20">
      <c r="A365" s="208">
        <v>44147</v>
      </c>
      <c r="B365" s="209" t="s">
        <v>77</v>
      </c>
      <c r="C365" s="210" t="s">
        <v>563</v>
      </c>
      <c r="D365" s="213" t="s">
        <v>275</v>
      </c>
      <c r="E365" s="211" t="s">
        <v>276</v>
      </c>
      <c r="F365" s="211" t="s">
        <v>277</v>
      </c>
      <c r="G365" s="211" t="s">
        <v>658</v>
      </c>
      <c r="H365" s="212">
        <v>43985</v>
      </c>
    </row>
    <row r="366" spans="1:8" ht="30">
      <c r="A366" s="208">
        <v>44147</v>
      </c>
      <c r="B366" s="209" t="s">
        <v>77</v>
      </c>
      <c r="C366" s="210" t="s">
        <v>46</v>
      </c>
      <c r="D366" s="213" t="s">
        <v>659</v>
      </c>
      <c r="E366" s="211" t="s">
        <v>660</v>
      </c>
      <c r="F366" s="211"/>
      <c r="G366" s="211" t="s">
        <v>26</v>
      </c>
      <c r="H366" s="212">
        <v>44147</v>
      </c>
    </row>
    <row r="367" spans="1:8">
      <c r="A367" s="208">
        <v>44147</v>
      </c>
      <c r="B367" s="209" t="s">
        <v>77</v>
      </c>
      <c r="C367" s="210" t="s">
        <v>51</v>
      </c>
      <c r="D367" s="213" t="s">
        <v>661</v>
      </c>
      <c r="E367" s="211" t="s">
        <v>662</v>
      </c>
      <c r="F367" s="211"/>
      <c r="G367" s="211" t="s">
        <v>663</v>
      </c>
      <c r="H367" s="212">
        <v>44147</v>
      </c>
    </row>
    <row r="368" spans="1:8">
      <c r="A368" s="208">
        <v>44147</v>
      </c>
      <c r="B368" s="209" t="s">
        <v>91</v>
      </c>
      <c r="C368" s="210" t="s">
        <v>46</v>
      </c>
      <c r="D368" s="213" t="s">
        <v>664</v>
      </c>
      <c r="E368" s="211" t="s">
        <v>665</v>
      </c>
      <c r="F368" s="211" t="s">
        <v>666</v>
      </c>
      <c r="G368" s="211" t="s">
        <v>76</v>
      </c>
      <c r="H368" s="212">
        <v>44147</v>
      </c>
    </row>
    <row r="369" spans="1:8">
      <c r="A369" s="208">
        <v>44147</v>
      </c>
      <c r="B369" s="209" t="s">
        <v>91</v>
      </c>
      <c r="C369" s="210" t="s">
        <v>46</v>
      </c>
      <c r="D369" s="213" t="s">
        <v>667</v>
      </c>
      <c r="E369" s="211" t="s">
        <v>290</v>
      </c>
      <c r="F369" s="211" t="s">
        <v>668</v>
      </c>
      <c r="G369" s="211" t="s">
        <v>76</v>
      </c>
      <c r="H369" s="212">
        <v>44147</v>
      </c>
    </row>
    <row r="370" spans="1:8">
      <c r="A370" s="208">
        <v>44147</v>
      </c>
      <c r="B370" s="209" t="s">
        <v>91</v>
      </c>
      <c r="C370" s="210" t="s">
        <v>46</v>
      </c>
      <c r="D370" s="213" t="s">
        <v>97</v>
      </c>
      <c r="E370" s="211" t="s">
        <v>98</v>
      </c>
      <c r="F370" s="211"/>
      <c r="G370" s="211" t="s">
        <v>26</v>
      </c>
      <c r="H370" s="212">
        <v>44147</v>
      </c>
    </row>
    <row r="371" spans="1:8">
      <c r="A371" s="208">
        <v>44147</v>
      </c>
      <c r="B371" s="209" t="s">
        <v>91</v>
      </c>
      <c r="C371" s="210" t="s">
        <v>46</v>
      </c>
      <c r="D371" s="213" t="s">
        <v>296</v>
      </c>
      <c r="E371" s="211" t="s">
        <v>98</v>
      </c>
      <c r="F371" s="211"/>
      <c r="G371" s="211" t="s">
        <v>26</v>
      </c>
      <c r="H371" s="212">
        <v>44147</v>
      </c>
    </row>
    <row r="372" spans="1:8">
      <c r="A372" s="208">
        <v>44147</v>
      </c>
      <c r="B372" s="209" t="s">
        <v>91</v>
      </c>
      <c r="C372" s="210" t="s">
        <v>46</v>
      </c>
      <c r="D372" s="213" t="s">
        <v>669</v>
      </c>
      <c r="E372" s="211" t="s">
        <v>508</v>
      </c>
      <c r="F372" s="211" t="s">
        <v>670</v>
      </c>
      <c r="G372" s="211" t="s">
        <v>76</v>
      </c>
      <c r="H372" s="212">
        <v>44147</v>
      </c>
    </row>
    <row r="373" spans="1:8" ht="20">
      <c r="A373" s="208">
        <v>44147</v>
      </c>
      <c r="B373" s="209" t="s">
        <v>91</v>
      </c>
      <c r="C373" s="210" t="s">
        <v>51</v>
      </c>
      <c r="D373" s="213" t="s">
        <v>556</v>
      </c>
      <c r="E373" s="211" t="s">
        <v>671</v>
      </c>
      <c r="F373" s="211" t="s">
        <v>557</v>
      </c>
      <c r="G373" s="211" t="s">
        <v>672</v>
      </c>
      <c r="H373" s="212">
        <v>44104</v>
      </c>
    </row>
    <row r="374" spans="1:8" ht="20">
      <c r="A374" s="208">
        <v>44147</v>
      </c>
      <c r="B374" s="209" t="s">
        <v>91</v>
      </c>
      <c r="C374" s="210" t="s">
        <v>51</v>
      </c>
      <c r="D374" s="213" t="s">
        <v>673</v>
      </c>
      <c r="E374" s="211" t="s">
        <v>674</v>
      </c>
      <c r="F374" s="211"/>
      <c r="G374" s="211" t="s">
        <v>675</v>
      </c>
      <c r="H374" s="212">
        <v>44147</v>
      </c>
    </row>
    <row r="375" spans="1:8">
      <c r="A375" s="208">
        <v>44147</v>
      </c>
      <c r="B375" s="209" t="s">
        <v>110</v>
      </c>
      <c r="C375" s="210" t="s">
        <v>46</v>
      </c>
      <c r="D375" s="213" t="s">
        <v>590</v>
      </c>
      <c r="E375" s="211" t="s">
        <v>371</v>
      </c>
      <c r="F375" s="211" t="s">
        <v>591</v>
      </c>
      <c r="G375" s="211" t="s">
        <v>401</v>
      </c>
      <c r="H375" s="212">
        <v>44147</v>
      </c>
    </row>
    <row r="376" spans="1:8" ht="20">
      <c r="A376" s="208">
        <v>44147</v>
      </c>
      <c r="B376" s="209" t="s">
        <v>110</v>
      </c>
      <c r="C376" s="210" t="s">
        <v>46</v>
      </c>
      <c r="D376" s="213" t="s">
        <v>676</v>
      </c>
      <c r="E376" s="211" t="s">
        <v>677</v>
      </c>
      <c r="F376" s="211" t="s">
        <v>678</v>
      </c>
      <c r="G376" s="211" t="s">
        <v>679</v>
      </c>
      <c r="H376" s="212">
        <v>44147</v>
      </c>
    </row>
    <row r="377" spans="1:8">
      <c r="A377" s="208">
        <v>44147</v>
      </c>
      <c r="B377" s="209" t="s">
        <v>110</v>
      </c>
      <c r="C377" s="210" t="s">
        <v>46</v>
      </c>
      <c r="D377" s="213" t="s">
        <v>680</v>
      </c>
      <c r="E377" s="211" t="s">
        <v>681</v>
      </c>
      <c r="F377" s="211" t="s">
        <v>682</v>
      </c>
      <c r="G377" s="211" t="s">
        <v>76</v>
      </c>
      <c r="H377" s="212">
        <v>44147</v>
      </c>
    </row>
    <row r="378" spans="1:8" ht="20">
      <c r="A378" s="208">
        <v>44147</v>
      </c>
      <c r="B378" s="209" t="s">
        <v>110</v>
      </c>
      <c r="C378" s="210" t="s">
        <v>563</v>
      </c>
      <c r="D378" s="213" t="s">
        <v>300</v>
      </c>
      <c r="E378" s="211" t="s">
        <v>301</v>
      </c>
      <c r="F378" s="211" t="s">
        <v>683</v>
      </c>
      <c r="G378" s="211" t="s">
        <v>658</v>
      </c>
      <c r="H378" s="212">
        <v>43999</v>
      </c>
    </row>
    <row r="379" spans="1:8" ht="20">
      <c r="A379" s="208">
        <v>44147</v>
      </c>
      <c r="B379" s="209" t="s">
        <v>110</v>
      </c>
      <c r="C379" s="210" t="s">
        <v>563</v>
      </c>
      <c r="D379" s="213" t="s">
        <v>631</v>
      </c>
      <c r="E379" s="211" t="s">
        <v>391</v>
      </c>
      <c r="F379" s="211" t="s">
        <v>632</v>
      </c>
      <c r="G379" s="211" t="s">
        <v>658</v>
      </c>
      <c r="H379" s="212">
        <v>44006</v>
      </c>
    </row>
    <row r="380" spans="1:8" ht="20">
      <c r="A380" s="208">
        <v>44147</v>
      </c>
      <c r="B380" s="209" t="s">
        <v>110</v>
      </c>
      <c r="C380" s="210" t="s">
        <v>46</v>
      </c>
      <c r="D380" s="213" t="s">
        <v>443</v>
      </c>
      <c r="E380" s="211" t="s">
        <v>444</v>
      </c>
      <c r="F380" s="211" t="s">
        <v>445</v>
      </c>
      <c r="G380" s="211" t="s">
        <v>401</v>
      </c>
      <c r="H380" s="212">
        <v>44147</v>
      </c>
    </row>
    <row r="381" spans="1:8">
      <c r="A381" s="208">
        <v>44147</v>
      </c>
      <c r="B381" s="209" t="s">
        <v>110</v>
      </c>
      <c r="C381" s="210" t="s">
        <v>46</v>
      </c>
      <c r="D381" s="213" t="s">
        <v>381</v>
      </c>
      <c r="E381" s="211" t="s">
        <v>684</v>
      </c>
      <c r="F381" s="211"/>
      <c r="G381" s="211" t="s">
        <v>26</v>
      </c>
      <c r="H381" s="212">
        <v>44147</v>
      </c>
    </row>
    <row r="382" spans="1:8">
      <c r="A382" s="208">
        <v>44041</v>
      </c>
      <c r="B382" s="209" t="s">
        <v>45</v>
      </c>
      <c r="C382" s="210" t="s">
        <v>563</v>
      </c>
      <c r="D382" s="213" t="s">
        <v>685</v>
      </c>
      <c r="E382" s="211" t="s">
        <v>307</v>
      </c>
      <c r="F382" s="211"/>
      <c r="G382" s="211" t="s">
        <v>686</v>
      </c>
      <c r="H382" s="212">
        <v>43768</v>
      </c>
    </row>
    <row r="383" spans="1:8" ht="20">
      <c r="A383" s="208">
        <v>44034</v>
      </c>
      <c r="B383" s="209" t="s">
        <v>45</v>
      </c>
      <c r="C383" s="210" t="s">
        <v>46</v>
      </c>
      <c r="D383" s="213" t="s">
        <v>595</v>
      </c>
      <c r="E383" s="211" t="s">
        <v>48</v>
      </c>
      <c r="F383" s="211"/>
      <c r="G383" s="211" t="s">
        <v>26</v>
      </c>
      <c r="H383" s="212">
        <v>44018</v>
      </c>
    </row>
    <row r="384" spans="1:8">
      <c r="A384" s="208">
        <v>44034</v>
      </c>
      <c r="B384" s="209" t="s">
        <v>45</v>
      </c>
      <c r="C384" s="210" t="s">
        <v>46</v>
      </c>
      <c r="D384" s="213" t="s">
        <v>608</v>
      </c>
      <c r="E384" s="211" t="s">
        <v>609</v>
      </c>
      <c r="F384" s="211" t="s">
        <v>687</v>
      </c>
      <c r="G384" s="211" t="s">
        <v>26</v>
      </c>
      <c r="H384" s="212">
        <v>44020</v>
      </c>
    </row>
    <row r="385" spans="1:8">
      <c r="A385" s="208">
        <v>44034</v>
      </c>
      <c r="B385" s="209" t="s">
        <v>45</v>
      </c>
      <c r="C385" s="210" t="s">
        <v>46</v>
      </c>
      <c r="D385" s="213" t="s">
        <v>635</v>
      </c>
      <c r="E385" s="211" t="s">
        <v>636</v>
      </c>
      <c r="F385" s="211" t="s">
        <v>637</v>
      </c>
      <c r="G385" s="211" t="s">
        <v>688</v>
      </c>
      <c r="H385" s="212">
        <v>43983</v>
      </c>
    </row>
    <row r="386" spans="1:8">
      <c r="A386" s="208">
        <v>44034</v>
      </c>
      <c r="B386" s="209" t="s">
        <v>45</v>
      </c>
      <c r="C386" s="210" t="s">
        <v>46</v>
      </c>
      <c r="D386" s="213" t="s">
        <v>264</v>
      </c>
      <c r="E386" s="211" t="s">
        <v>639</v>
      </c>
      <c r="F386" s="211"/>
      <c r="G386" s="211" t="s">
        <v>26</v>
      </c>
      <c r="H386" s="212">
        <v>44021</v>
      </c>
    </row>
    <row r="387" spans="1:8">
      <c r="A387" s="208">
        <v>44034</v>
      </c>
      <c r="B387" s="209" t="s">
        <v>77</v>
      </c>
      <c r="C387" s="210" t="s">
        <v>46</v>
      </c>
      <c r="D387" s="213" t="s">
        <v>624</v>
      </c>
      <c r="E387" s="211" t="s">
        <v>625</v>
      </c>
      <c r="F387" s="211"/>
      <c r="G387" s="211" t="s">
        <v>26</v>
      </c>
      <c r="H387" s="212">
        <v>44018</v>
      </c>
    </row>
    <row r="388" spans="1:8">
      <c r="A388" s="208">
        <v>44034</v>
      </c>
      <c r="B388" s="209" t="s">
        <v>77</v>
      </c>
      <c r="C388" s="210" t="s">
        <v>46</v>
      </c>
      <c r="D388" s="213" t="s">
        <v>275</v>
      </c>
      <c r="E388" s="211" t="s">
        <v>276</v>
      </c>
      <c r="F388" s="211" t="s">
        <v>277</v>
      </c>
      <c r="G388" s="211" t="s">
        <v>76</v>
      </c>
      <c r="H388" s="212">
        <v>43985</v>
      </c>
    </row>
    <row r="389" spans="1:8">
      <c r="A389" s="208">
        <v>44034</v>
      </c>
      <c r="B389" s="209" t="s">
        <v>91</v>
      </c>
      <c r="C389" s="210" t="s">
        <v>46</v>
      </c>
      <c r="D389" s="213" t="s">
        <v>689</v>
      </c>
      <c r="E389" s="211" t="s">
        <v>690</v>
      </c>
      <c r="F389" s="211" t="s">
        <v>691</v>
      </c>
      <c r="G389" s="211" t="s">
        <v>692</v>
      </c>
      <c r="H389" s="212">
        <v>43991</v>
      </c>
    </row>
    <row r="390" spans="1:8">
      <c r="A390" s="208">
        <v>44034</v>
      </c>
      <c r="B390" s="209" t="s">
        <v>91</v>
      </c>
      <c r="C390" s="210" t="s">
        <v>46</v>
      </c>
      <c r="D390" s="213" t="s">
        <v>664</v>
      </c>
      <c r="E390" s="211" t="s">
        <v>665</v>
      </c>
      <c r="F390" s="211" t="s">
        <v>666</v>
      </c>
      <c r="G390" s="211" t="s">
        <v>693</v>
      </c>
      <c r="H390" s="212">
        <v>44014</v>
      </c>
    </row>
    <row r="391" spans="1:8">
      <c r="A391" s="208">
        <v>44034</v>
      </c>
      <c r="B391" s="209" t="s">
        <v>91</v>
      </c>
      <c r="C391" s="210" t="s">
        <v>471</v>
      </c>
      <c r="D391" s="213" t="s">
        <v>694</v>
      </c>
      <c r="E391" s="211" t="s">
        <v>695</v>
      </c>
      <c r="F391" s="211" t="s">
        <v>696</v>
      </c>
      <c r="G391" s="211" t="s">
        <v>697</v>
      </c>
      <c r="H391" s="212">
        <v>44034</v>
      </c>
    </row>
    <row r="392" spans="1:8">
      <c r="A392" s="208">
        <v>44034</v>
      </c>
      <c r="B392" s="209" t="s">
        <v>91</v>
      </c>
      <c r="C392" s="210" t="s">
        <v>51</v>
      </c>
      <c r="D392" s="213" t="s">
        <v>698</v>
      </c>
      <c r="E392" s="211" t="s">
        <v>699</v>
      </c>
      <c r="F392" s="211"/>
      <c r="G392" s="211" t="s">
        <v>663</v>
      </c>
      <c r="H392" s="212">
        <v>44034</v>
      </c>
    </row>
    <row r="393" spans="1:8" ht="30">
      <c r="A393" s="208">
        <v>44034</v>
      </c>
      <c r="B393" s="209" t="s">
        <v>91</v>
      </c>
      <c r="C393" s="210" t="s">
        <v>46</v>
      </c>
      <c r="D393" s="213" t="s">
        <v>297</v>
      </c>
      <c r="E393" s="211" t="s">
        <v>463</v>
      </c>
      <c r="F393" s="211"/>
      <c r="G393" s="211" t="s">
        <v>700</v>
      </c>
      <c r="H393" s="212">
        <v>44021</v>
      </c>
    </row>
    <row r="394" spans="1:8">
      <c r="A394" s="208">
        <v>44034</v>
      </c>
      <c r="B394" s="209" t="s">
        <v>91</v>
      </c>
      <c r="C394" s="210" t="s">
        <v>46</v>
      </c>
      <c r="D394" s="213" t="s">
        <v>669</v>
      </c>
      <c r="E394" s="211" t="s">
        <v>508</v>
      </c>
      <c r="F394" s="211"/>
      <c r="G394" s="211" t="s">
        <v>26</v>
      </c>
      <c r="H394" s="212">
        <v>44018</v>
      </c>
    </row>
    <row r="395" spans="1:8" ht="20">
      <c r="A395" s="208">
        <v>44034</v>
      </c>
      <c r="B395" s="209" t="s">
        <v>91</v>
      </c>
      <c r="C395" s="210" t="s">
        <v>51</v>
      </c>
      <c r="D395" s="213" t="s">
        <v>556</v>
      </c>
      <c r="E395" s="211" t="s">
        <v>671</v>
      </c>
      <c r="F395" s="211" t="s">
        <v>557</v>
      </c>
      <c r="G395" s="211" t="s">
        <v>701</v>
      </c>
      <c r="H395" s="212">
        <v>44025</v>
      </c>
    </row>
    <row r="396" spans="1:8">
      <c r="A396" s="208">
        <v>44034</v>
      </c>
      <c r="B396" s="209" t="s">
        <v>110</v>
      </c>
      <c r="C396" s="210" t="s">
        <v>46</v>
      </c>
      <c r="D396" s="213" t="s">
        <v>111</v>
      </c>
      <c r="E396" s="211" t="s">
        <v>112</v>
      </c>
      <c r="F396" s="211"/>
      <c r="G396" s="211" t="s">
        <v>26</v>
      </c>
      <c r="H396" s="212">
        <v>44022</v>
      </c>
    </row>
    <row r="397" spans="1:8" ht="20">
      <c r="A397" s="208">
        <v>44034</v>
      </c>
      <c r="B397" s="209" t="s">
        <v>110</v>
      </c>
      <c r="C397" s="210" t="s">
        <v>46</v>
      </c>
      <c r="D397" s="213" t="s">
        <v>676</v>
      </c>
      <c r="E397" s="211" t="s">
        <v>677</v>
      </c>
      <c r="F397" s="211" t="s">
        <v>678</v>
      </c>
      <c r="G397" s="211" t="s">
        <v>76</v>
      </c>
      <c r="H397" s="212">
        <v>43999</v>
      </c>
    </row>
    <row r="398" spans="1:8">
      <c r="A398" s="208">
        <v>44034</v>
      </c>
      <c r="B398" s="209" t="s">
        <v>110</v>
      </c>
      <c r="C398" s="210" t="s">
        <v>46</v>
      </c>
      <c r="D398" s="213" t="s">
        <v>300</v>
      </c>
      <c r="E398" s="211" t="s">
        <v>301</v>
      </c>
      <c r="F398" s="211" t="s">
        <v>683</v>
      </c>
      <c r="G398" s="211" t="s">
        <v>76</v>
      </c>
      <c r="H398" s="212">
        <v>43999</v>
      </c>
    </row>
    <row r="399" spans="1:8">
      <c r="A399" s="208">
        <v>44034</v>
      </c>
      <c r="B399" s="209" t="s">
        <v>110</v>
      </c>
      <c r="C399" s="210" t="s">
        <v>46</v>
      </c>
      <c r="D399" s="213" t="s">
        <v>631</v>
      </c>
      <c r="E399" s="211" t="s">
        <v>391</v>
      </c>
      <c r="F399" s="211" t="s">
        <v>632</v>
      </c>
      <c r="G399" s="211" t="s">
        <v>76</v>
      </c>
      <c r="H399" s="212">
        <v>44006</v>
      </c>
    </row>
    <row r="400" spans="1:8" ht="20">
      <c r="A400" s="208">
        <v>43951</v>
      </c>
      <c r="B400" s="209" t="s">
        <v>45</v>
      </c>
      <c r="C400" s="210" t="s">
        <v>46</v>
      </c>
      <c r="D400" s="213" t="s">
        <v>634</v>
      </c>
      <c r="E400" s="211" t="s">
        <v>158</v>
      </c>
      <c r="F400" s="211"/>
      <c r="G400" s="211" t="s">
        <v>26</v>
      </c>
      <c r="H400" s="212">
        <v>43943</v>
      </c>
    </row>
    <row r="401" spans="1:8">
      <c r="A401" s="208">
        <v>43951</v>
      </c>
      <c r="B401" s="209" t="s">
        <v>45</v>
      </c>
      <c r="C401" s="210" t="s">
        <v>46</v>
      </c>
      <c r="D401" s="213" t="s">
        <v>515</v>
      </c>
      <c r="E401" s="211" t="s">
        <v>442</v>
      </c>
      <c r="F401" s="211"/>
      <c r="G401" s="211" t="s">
        <v>26</v>
      </c>
      <c r="H401" s="212">
        <v>43938.376631944448</v>
      </c>
    </row>
    <row r="402" spans="1:8">
      <c r="A402" s="208">
        <v>43951</v>
      </c>
      <c r="B402" s="209" t="s">
        <v>45</v>
      </c>
      <c r="C402" s="210" t="s">
        <v>46</v>
      </c>
      <c r="D402" s="213" t="s">
        <v>608</v>
      </c>
      <c r="E402" s="211" t="s">
        <v>609</v>
      </c>
      <c r="F402" s="211"/>
      <c r="G402" s="211" t="s">
        <v>702</v>
      </c>
      <c r="H402" s="212">
        <v>43945.451770833337</v>
      </c>
    </row>
    <row r="403" spans="1:8">
      <c r="A403" s="208">
        <v>43951</v>
      </c>
      <c r="B403" s="209" t="s">
        <v>91</v>
      </c>
      <c r="C403" s="210" t="s">
        <v>46</v>
      </c>
      <c r="D403" s="213" t="s">
        <v>703</v>
      </c>
      <c r="E403" s="211" t="s">
        <v>290</v>
      </c>
      <c r="F403" s="211" t="s">
        <v>668</v>
      </c>
      <c r="G403" s="211" t="s">
        <v>704</v>
      </c>
      <c r="H403" s="212">
        <v>43949</v>
      </c>
    </row>
    <row r="404" spans="1:8" ht="60">
      <c r="A404" s="208">
        <v>43951</v>
      </c>
      <c r="B404" s="209" t="s">
        <v>91</v>
      </c>
      <c r="C404" s="210" t="s">
        <v>51</v>
      </c>
      <c r="D404" s="213" t="s">
        <v>705</v>
      </c>
      <c r="E404" s="211" t="s">
        <v>671</v>
      </c>
      <c r="F404" s="211" t="s">
        <v>706</v>
      </c>
      <c r="G404" s="211" t="s">
        <v>707</v>
      </c>
      <c r="H404" s="212">
        <v>43922</v>
      </c>
    </row>
    <row r="405" spans="1:8">
      <c r="A405" s="208">
        <v>43951</v>
      </c>
      <c r="B405" s="209" t="s">
        <v>110</v>
      </c>
      <c r="C405" s="210" t="s">
        <v>46</v>
      </c>
      <c r="D405" s="213" t="s">
        <v>592</v>
      </c>
      <c r="E405" s="211" t="s">
        <v>593</v>
      </c>
      <c r="F405" s="211"/>
      <c r="G405" s="211" t="s">
        <v>26</v>
      </c>
      <c r="H405" s="212">
        <v>43950</v>
      </c>
    </row>
    <row r="406" spans="1:8" ht="20">
      <c r="A406" s="208">
        <v>43887</v>
      </c>
      <c r="B406" s="209" t="s">
        <v>77</v>
      </c>
      <c r="C406" s="210" t="s">
        <v>544</v>
      </c>
      <c r="D406" s="213" t="s">
        <v>708</v>
      </c>
      <c r="E406" s="211" t="s">
        <v>709</v>
      </c>
      <c r="F406" s="211" t="s">
        <v>710</v>
      </c>
      <c r="G406" s="211" t="s">
        <v>711</v>
      </c>
      <c r="H406" s="212">
        <v>42948</v>
      </c>
    </row>
    <row r="407" spans="1:8">
      <c r="A407" s="208">
        <v>43887</v>
      </c>
      <c r="B407" s="209" t="s">
        <v>77</v>
      </c>
      <c r="C407" s="210" t="s">
        <v>46</v>
      </c>
      <c r="D407" s="213" t="s">
        <v>267</v>
      </c>
      <c r="E407" s="211" t="s">
        <v>131</v>
      </c>
      <c r="F407" s="211"/>
      <c r="G407" s="211" t="s">
        <v>26</v>
      </c>
      <c r="H407" s="212">
        <v>43852</v>
      </c>
    </row>
    <row r="408" spans="1:8">
      <c r="A408" s="208">
        <v>43887</v>
      </c>
      <c r="B408" s="209" t="s">
        <v>77</v>
      </c>
      <c r="C408" s="210" t="s">
        <v>544</v>
      </c>
      <c r="D408" s="213" t="s">
        <v>712</v>
      </c>
      <c r="E408" s="211" t="s">
        <v>713</v>
      </c>
      <c r="F408" s="211" t="s">
        <v>714</v>
      </c>
      <c r="G408" s="211" t="s">
        <v>715</v>
      </c>
      <c r="H408" s="212">
        <v>43209</v>
      </c>
    </row>
    <row r="409" spans="1:8">
      <c r="A409" s="208">
        <v>43887</v>
      </c>
      <c r="B409" s="209" t="s">
        <v>110</v>
      </c>
      <c r="C409" s="210" t="s">
        <v>544</v>
      </c>
      <c r="D409" s="213" t="s">
        <v>716</v>
      </c>
      <c r="E409" s="211" t="s">
        <v>717</v>
      </c>
      <c r="F409" s="211" t="s">
        <v>718</v>
      </c>
      <c r="G409" s="211" t="s">
        <v>719</v>
      </c>
      <c r="H409" s="212">
        <v>43868</v>
      </c>
    </row>
    <row r="410" spans="1:8">
      <c r="A410" s="208">
        <v>43861</v>
      </c>
      <c r="B410" s="209" t="s">
        <v>45</v>
      </c>
      <c r="C410" s="210" t="s">
        <v>51</v>
      </c>
      <c r="D410" s="213" t="s">
        <v>720</v>
      </c>
      <c r="E410" s="211" t="s">
        <v>721</v>
      </c>
      <c r="F410" s="211"/>
      <c r="G410" s="211" t="s">
        <v>722</v>
      </c>
      <c r="H410" s="212">
        <v>43861</v>
      </c>
    </row>
    <row r="411" spans="1:8" ht="20">
      <c r="A411" s="208">
        <v>43861</v>
      </c>
      <c r="B411" s="209" t="s">
        <v>45</v>
      </c>
      <c r="C411" s="210" t="s">
        <v>46</v>
      </c>
      <c r="D411" s="213" t="s">
        <v>723</v>
      </c>
      <c r="E411" s="211" t="s">
        <v>724</v>
      </c>
      <c r="F411" s="211" t="s">
        <v>725</v>
      </c>
      <c r="G411" s="211" t="s">
        <v>76</v>
      </c>
      <c r="H411" s="212">
        <v>43851</v>
      </c>
    </row>
    <row r="412" spans="1:8">
      <c r="A412" s="208">
        <v>43861</v>
      </c>
      <c r="B412" s="209" t="s">
        <v>45</v>
      </c>
      <c r="C412" s="210" t="s">
        <v>46</v>
      </c>
      <c r="D412" s="213" t="s">
        <v>726</v>
      </c>
      <c r="E412" s="211" t="s">
        <v>609</v>
      </c>
      <c r="F412" s="211" t="s">
        <v>727</v>
      </c>
      <c r="G412" s="211" t="s">
        <v>76</v>
      </c>
      <c r="H412" s="212">
        <v>43767</v>
      </c>
    </row>
    <row r="413" spans="1:8" ht="20">
      <c r="A413" s="208">
        <v>43861</v>
      </c>
      <c r="B413" s="209" t="s">
        <v>45</v>
      </c>
      <c r="C413" s="210" t="s">
        <v>46</v>
      </c>
      <c r="D413" s="213" t="s">
        <v>651</v>
      </c>
      <c r="E413" s="211" t="s">
        <v>652</v>
      </c>
      <c r="F413" s="211" t="s">
        <v>653</v>
      </c>
      <c r="G413" s="211" t="s">
        <v>401</v>
      </c>
      <c r="H413" s="212">
        <v>43767</v>
      </c>
    </row>
    <row r="414" spans="1:8">
      <c r="A414" s="208">
        <v>43861</v>
      </c>
      <c r="B414" s="209" t="s">
        <v>77</v>
      </c>
      <c r="C414" s="210" t="s">
        <v>46</v>
      </c>
      <c r="D414" s="213" t="s">
        <v>192</v>
      </c>
      <c r="E414" s="211" t="s">
        <v>193</v>
      </c>
      <c r="F414" s="211" t="s">
        <v>194</v>
      </c>
      <c r="G414" s="211" t="s">
        <v>401</v>
      </c>
      <c r="H414" s="212">
        <v>43767</v>
      </c>
    </row>
    <row r="415" spans="1:8">
      <c r="A415" s="208">
        <v>43861</v>
      </c>
      <c r="B415" s="209" t="s">
        <v>77</v>
      </c>
      <c r="C415" s="210" t="s">
        <v>46</v>
      </c>
      <c r="D415" s="213" t="s">
        <v>192</v>
      </c>
      <c r="E415" s="211" t="s">
        <v>193</v>
      </c>
      <c r="F415" s="211" t="s">
        <v>194</v>
      </c>
      <c r="G415" s="211" t="s">
        <v>401</v>
      </c>
      <c r="H415" s="212">
        <v>43767</v>
      </c>
    </row>
    <row r="416" spans="1:8">
      <c r="A416" s="208">
        <v>43861</v>
      </c>
      <c r="B416" s="209" t="s">
        <v>77</v>
      </c>
      <c r="C416" s="210" t="s">
        <v>46</v>
      </c>
      <c r="D416" s="213" t="s">
        <v>728</v>
      </c>
      <c r="E416" s="211" t="s">
        <v>729</v>
      </c>
      <c r="F416" s="211" t="s">
        <v>730</v>
      </c>
      <c r="G416" s="211" t="s">
        <v>401</v>
      </c>
      <c r="H416" s="212">
        <v>43767</v>
      </c>
    </row>
    <row r="417" spans="1:8">
      <c r="A417" s="208">
        <v>43861</v>
      </c>
      <c r="B417" s="209" t="s">
        <v>91</v>
      </c>
      <c r="C417" s="210" t="s">
        <v>46</v>
      </c>
      <c r="D417" s="213" t="s">
        <v>731</v>
      </c>
      <c r="E417" s="211" t="s">
        <v>732</v>
      </c>
      <c r="F417" s="211" t="s">
        <v>733</v>
      </c>
      <c r="G417" s="211" t="s">
        <v>76</v>
      </c>
      <c r="H417" s="212">
        <v>43858</v>
      </c>
    </row>
    <row r="418" spans="1:8">
      <c r="A418" s="208">
        <v>43861</v>
      </c>
      <c r="B418" s="209" t="s">
        <v>110</v>
      </c>
      <c r="C418" s="210" t="s">
        <v>46</v>
      </c>
      <c r="D418" s="213" t="s">
        <v>390</v>
      </c>
      <c r="E418" s="211" t="s">
        <v>391</v>
      </c>
      <c r="F418" s="211" t="s">
        <v>392</v>
      </c>
      <c r="G418" s="211" t="s">
        <v>401</v>
      </c>
      <c r="H418" s="212">
        <v>43860</v>
      </c>
    </row>
    <row r="419" spans="1:8">
      <c r="A419" s="208">
        <v>43783</v>
      </c>
      <c r="B419" s="209" t="s">
        <v>45</v>
      </c>
      <c r="C419" s="210" t="s">
        <v>46</v>
      </c>
      <c r="D419" s="213" t="s">
        <v>490</v>
      </c>
      <c r="E419" s="211" t="s">
        <v>605</v>
      </c>
      <c r="F419" s="211"/>
      <c r="G419" s="211" t="s">
        <v>26</v>
      </c>
      <c r="H419" s="212">
        <v>43767</v>
      </c>
    </row>
    <row r="420" spans="1:8">
      <c r="A420" s="208">
        <v>43783</v>
      </c>
      <c r="B420" s="209" t="s">
        <v>45</v>
      </c>
      <c r="C420" s="210" t="s">
        <v>310</v>
      </c>
      <c r="D420" s="213" t="s">
        <v>472</v>
      </c>
      <c r="E420" s="211" t="s">
        <v>473</v>
      </c>
      <c r="F420" s="211" t="s">
        <v>474</v>
      </c>
      <c r="G420" s="211" t="s">
        <v>734</v>
      </c>
      <c r="H420" s="212">
        <v>43602</v>
      </c>
    </row>
    <row r="421" spans="1:8">
      <c r="A421" s="208">
        <v>43783</v>
      </c>
      <c r="B421" s="209" t="s">
        <v>45</v>
      </c>
      <c r="C421" s="210" t="s">
        <v>310</v>
      </c>
      <c r="D421" s="213" t="s">
        <v>735</v>
      </c>
      <c r="E421" s="211" t="s">
        <v>473</v>
      </c>
      <c r="F421" s="211" t="s">
        <v>736</v>
      </c>
      <c r="G421" s="211" t="s">
        <v>734</v>
      </c>
      <c r="H421" s="212">
        <v>43602</v>
      </c>
    </row>
    <row r="422" spans="1:8" ht="20">
      <c r="A422" s="208">
        <v>43783</v>
      </c>
      <c r="B422" s="209" t="s">
        <v>45</v>
      </c>
      <c r="C422" s="210" t="s">
        <v>46</v>
      </c>
      <c r="D422" s="213" t="s">
        <v>494</v>
      </c>
      <c r="E422" s="211" t="s">
        <v>495</v>
      </c>
      <c r="F422" s="211"/>
      <c r="G422" s="211" t="s">
        <v>26</v>
      </c>
      <c r="H422" s="212">
        <v>43767</v>
      </c>
    </row>
    <row r="423" spans="1:8">
      <c r="A423" s="208">
        <v>43783</v>
      </c>
      <c r="B423" s="209" t="s">
        <v>91</v>
      </c>
      <c r="C423" s="210" t="s">
        <v>310</v>
      </c>
      <c r="D423" s="213" t="s">
        <v>737</v>
      </c>
      <c r="E423" s="211" t="s">
        <v>717</v>
      </c>
      <c r="F423" s="211" t="s">
        <v>738</v>
      </c>
      <c r="G423" s="211" t="s">
        <v>734</v>
      </c>
      <c r="H423" s="212">
        <v>43602</v>
      </c>
    </row>
    <row r="424" spans="1:8">
      <c r="A424" s="208">
        <v>43783</v>
      </c>
      <c r="B424" s="209" t="s">
        <v>91</v>
      </c>
      <c r="C424" s="210" t="s">
        <v>46</v>
      </c>
      <c r="D424" s="213" t="s">
        <v>739</v>
      </c>
      <c r="E424" s="211" t="s">
        <v>740</v>
      </c>
      <c r="F424" s="211" t="s">
        <v>741</v>
      </c>
      <c r="G424" s="211" t="s">
        <v>26</v>
      </c>
      <c r="H424" s="212">
        <v>43767</v>
      </c>
    </row>
    <row r="425" spans="1:8">
      <c r="A425" s="208">
        <v>43783</v>
      </c>
      <c r="B425" s="209" t="s">
        <v>91</v>
      </c>
      <c r="C425" s="210" t="s">
        <v>310</v>
      </c>
      <c r="D425" s="213" t="s">
        <v>742</v>
      </c>
      <c r="E425" s="211" t="s">
        <v>717</v>
      </c>
      <c r="F425" s="211" t="s">
        <v>743</v>
      </c>
      <c r="G425" s="211" t="s">
        <v>734</v>
      </c>
      <c r="H425" s="212">
        <v>43636</v>
      </c>
    </row>
    <row r="426" spans="1:8">
      <c r="A426" s="208">
        <v>43783</v>
      </c>
      <c r="B426" s="209" t="s">
        <v>91</v>
      </c>
      <c r="C426" s="210" t="s">
        <v>476</v>
      </c>
      <c r="D426" s="213" t="s">
        <v>556</v>
      </c>
      <c r="E426" s="211" t="s">
        <v>312</v>
      </c>
      <c r="F426" s="211"/>
      <c r="G426" s="211" t="s">
        <v>744</v>
      </c>
      <c r="H426" s="212">
        <v>43767</v>
      </c>
    </row>
    <row r="427" spans="1:8" ht="20">
      <c r="A427" s="208">
        <v>43783</v>
      </c>
      <c r="B427" s="209" t="s">
        <v>745</v>
      </c>
      <c r="C427" s="210" t="s">
        <v>746</v>
      </c>
      <c r="D427" s="213" t="s">
        <v>745</v>
      </c>
      <c r="E427" s="211" t="s">
        <v>745</v>
      </c>
      <c r="F427" s="211" t="s">
        <v>745</v>
      </c>
      <c r="G427" s="211" t="s">
        <v>747</v>
      </c>
      <c r="H427" s="212">
        <v>43783</v>
      </c>
    </row>
    <row r="428" spans="1:8" ht="60">
      <c r="A428" s="208">
        <v>43783</v>
      </c>
      <c r="B428" s="209" t="s">
        <v>110</v>
      </c>
      <c r="C428" s="210" t="s">
        <v>476</v>
      </c>
      <c r="D428" s="213" t="s">
        <v>643</v>
      </c>
      <c r="E428" s="211" t="s">
        <v>748</v>
      </c>
      <c r="F428" s="211" t="s">
        <v>645</v>
      </c>
      <c r="G428" s="211" t="s">
        <v>749</v>
      </c>
      <c r="H428" s="212">
        <v>43776</v>
      </c>
    </row>
    <row r="429" spans="1:8" ht="60">
      <c r="A429" s="208">
        <v>43783</v>
      </c>
      <c r="B429" s="209" t="s">
        <v>110</v>
      </c>
      <c r="C429" s="210" t="s">
        <v>544</v>
      </c>
      <c r="D429" s="213" t="s">
        <v>643</v>
      </c>
      <c r="E429" s="211" t="s">
        <v>748</v>
      </c>
      <c r="F429" s="211"/>
      <c r="G429" s="211" t="s">
        <v>750</v>
      </c>
      <c r="H429" s="212">
        <v>43776</v>
      </c>
    </row>
    <row r="430" spans="1:8">
      <c r="A430" s="208">
        <v>43783</v>
      </c>
      <c r="B430" s="209" t="s">
        <v>110</v>
      </c>
      <c r="C430" s="210" t="s">
        <v>310</v>
      </c>
      <c r="D430" s="213" t="s">
        <v>716</v>
      </c>
      <c r="E430" s="211" t="s">
        <v>717</v>
      </c>
      <c r="F430" s="211" t="s">
        <v>751</v>
      </c>
      <c r="G430" s="211" t="s">
        <v>734</v>
      </c>
      <c r="H430" s="212">
        <v>43637</v>
      </c>
    </row>
    <row r="431" spans="1:8" ht="30">
      <c r="A431" s="208">
        <v>43783</v>
      </c>
      <c r="B431" s="209" t="s">
        <v>110</v>
      </c>
      <c r="C431" s="210" t="s">
        <v>476</v>
      </c>
      <c r="D431" s="213" t="s">
        <v>716</v>
      </c>
      <c r="E431" s="211" t="s">
        <v>717</v>
      </c>
      <c r="F431" s="211" t="s">
        <v>752</v>
      </c>
      <c r="G431" s="211" t="s">
        <v>753</v>
      </c>
      <c r="H431" s="212">
        <v>43661</v>
      </c>
    </row>
    <row r="432" spans="1:8">
      <c r="A432" s="208">
        <v>43783</v>
      </c>
      <c r="B432" s="209" t="s">
        <v>110</v>
      </c>
      <c r="C432" s="210" t="s">
        <v>563</v>
      </c>
      <c r="D432" s="213" t="s">
        <v>754</v>
      </c>
      <c r="E432" s="211" t="s">
        <v>755</v>
      </c>
      <c r="F432" s="211" t="s">
        <v>756</v>
      </c>
      <c r="G432" s="211" t="s">
        <v>757</v>
      </c>
      <c r="H432" s="212">
        <v>43664</v>
      </c>
    </row>
    <row r="433" spans="1:8" ht="20">
      <c r="A433" s="208">
        <v>43783</v>
      </c>
      <c r="B433" s="209" t="s">
        <v>110</v>
      </c>
      <c r="C433" s="210" t="s">
        <v>46</v>
      </c>
      <c r="D433" s="213" t="s">
        <v>451</v>
      </c>
      <c r="E433" s="211" t="s">
        <v>452</v>
      </c>
      <c r="F433" s="211"/>
      <c r="G433" s="211" t="s">
        <v>26</v>
      </c>
      <c r="H433" s="212">
        <v>43767</v>
      </c>
    </row>
    <row r="434" spans="1:8">
      <c r="A434" s="208">
        <v>43684</v>
      </c>
      <c r="B434" s="209" t="s">
        <v>45</v>
      </c>
      <c r="C434" s="210" t="s">
        <v>310</v>
      </c>
      <c r="D434" s="213" t="s">
        <v>52</v>
      </c>
      <c r="E434" s="211" t="s">
        <v>53</v>
      </c>
      <c r="F434" s="211"/>
      <c r="G434" s="211" t="s">
        <v>758</v>
      </c>
      <c r="H434" s="212">
        <v>43679</v>
      </c>
    </row>
    <row r="435" spans="1:8">
      <c r="A435" s="208">
        <v>43684</v>
      </c>
      <c r="B435" s="209" t="s">
        <v>45</v>
      </c>
      <c r="C435" s="210" t="s">
        <v>476</v>
      </c>
      <c r="D435" s="213" t="s">
        <v>52</v>
      </c>
      <c r="E435" s="211" t="s">
        <v>53</v>
      </c>
      <c r="F435" s="211"/>
      <c r="G435" s="211" t="s">
        <v>759</v>
      </c>
      <c r="H435" s="212">
        <v>43679</v>
      </c>
    </row>
    <row r="436" spans="1:8">
      <c r="A436" s="208">
        <v>43684</v>
      </c>
      <c r="B436" s="209" t="s">
        <v>91</v>
      </c>
      <c r="C436" s="210" t="s">
        <v>310</v>
      </c>
      <c r="D436" s="213" t="s">
        <v>556</v>
      </c>
      <c r="E436" s="211" t="s">
        <v>312</v>
      </c>
      <c r="F436" s="211"/>
      <c r="G436" s="211" t="s">
        <v>758</v>
      </c>
      <c r="H436" s="212">
        <v>43682</v>
      </c>
    </row>
    <row r="437" spans="1:8">
      <c r="A437" s="208">
        <v>43675</v>
      </c>
      <c r="B437" s="209" t="s">
        <v>77</v>
      </c>
      <c r="C437" s="210" t="s">
        <v>10</v>
      </c>
      <c r="D437" s="213" t="s">
        <v>540</v>
      </c>
      <c r="E437" s="211" t="s">
        <v>760</v>
      </c>
      <c r="F437" s="211"/>
      <c r="G437" s="211" t="s">
        <v>761</v>
      </c>
      <c r="H437" s="212">
        <v>43591</v>
      </c>
    </row>
    <row r="438" spans="1:8">
      <c r="A438" s="208">
        <v>43675</v>
      </c>
      <c r="B438" s="209" t="s">
        <v>77</v>
      </c>
      <c r="C438" s="210" t="s">
        <v>51</v>
      </c>
      <c r="D438" s="213" t="s">
        <v>762</v>
      </c>
      <c r="E438" s="211" t="s">
        <v>763</v>
      </c>
      <c r="F438" s="211"/>
      <c r="G438" s="211" t="s">
        <v>722</v>
      </c>
      <c r="H438" s="212">
        <v>43312</v>
      </c>
    </row>
    <row r="439" spans="1:8">
      <c r="A439" s="208">
        <v>43675</v>
      </c>
      <c r="B439" s="209" t="s">
        <v>91</v>
      </c>
      <c r="C439" s="210" t="s">
        <v>51</v>
      </c>
      <c r="D439" s="213" t="s">
        <v>764</v>
      </c>
      <c r="E439" s="211" t="s">
        <v>765</v>
      </c>
      <c r="F439" s="211" t="s">
        <v>691</v>
      </c>
      <c r="G439" s="211" t="s">
        <v>722</v>
      </c>
      <c r="H439" s="212">
        <v>43312</v>
      </c>
    </row>
    <row r="440" spans="1:8">
      <c r="A440" s="208">
        <v>43675</v>
      </c>
      <c r="B440" s="209" t="s">
        <v>91</v>
      </c>
      <c r="C440" s="210" t="s">
        <v>766</v>
      </c>
      <c r="D440" s="213" t="s">
        <v>767</v>
      </c>
      <c r="E440" s="211" t="s">
        <v>768</v>
      </c>
      <c r="F440" s="211" t="s">
        <v>769</v>
      </c>
      <c r="G440" s="211" t="s">
        <v>770</v>
      </c>
      <c r="H440" s="212">
        <v>43647</v>
      </c>
    </row>
    <row r="441" spans="1:8">
      <c r="A441" s="208">
        <v>43675</v>
      </c>
      <c r="B441" s="209" t="s">
        <v>110</v>
      </c>
      <c r="C441" s="210" t="s">
        <v>476</v>
      </c>
      <c r="D441" s="213" t="s">
        <v>771</v>
      </c>
      <c r="E441" s="211" t="s">
        <v>772</v>
      </c>
      <c r="F441" s="211" t="s">
        <v>773</v>
      </c>
      <c r="G441" s="211" t="s">
        <v>774</v>
      </c>
      <c r="H441" s="212">
        <v>43150</v>
      </c>
    </row>
    <row r="442" spans="1:8" ht="20">
      <c r="A442" s="208">
        <v>43664</v>
      </c>
      <c r="B442" s="209" t="s">
        <v>45</v>
      </c>
      <c r="C442" s="210" t="s">
        <v>775</v>
      </c>
      <c r="D442" s="213" t="s">
        <v>776</v>
      </c>
      <c r="E442" s="211" t="s">
        <v>777</v>
      </c>
      <c r="F442" s="211" t="s">
        <v>778</v>
      </c>
      <c r="G442" s="211" t="s">
        <v>779</v>
      </c>
      <c r="H442" s="212">
        <v>43591</v>
      </c>
    </row>
    <row r="443" spans="1:8">
      <c r="A443" s="208">
        <v>43664</v>
      </c>
      <c r="B443" s="209" t="s">
        <v>45</v>
      </c>
      <c r="C443" s="210" t="s">
        <v>775</v>
      </c>
      <c r="D443" s="213" t="s">
        <v>780</v>
      </c>
      <c r="E443" s="211" t="s">
        <v>781</v>
      </c>
      <c r="F443" s="211" t="s">
        <v>782</v>
      </c>
      <c r="G443" s="211" t="s">
        <v>779</v>
      </c>
      <c r="H443" s="212">
        <v>43602</v>
      </c>
    </row>
    <row r="444" spans="1:8">
      <c r="A444" s="208">
        <v>43664</v>
      </c>
      <c r="B444" s="209" t="s">
        <v>45</v>
      </c>
      <c r="C444" s="210" t="s">
        <v>544</v>
      </c>
      <c r="D444" s="213" t="s">
        <v>783</v>
      </c>
      <c r="E444" s="211" t="s">
        <v>784</v>
      </c>
      <c r="F444" s="211" t="s">
        <v>785</v>
      </c>
      <c r="G444" s="211" t="s">
        <v>786</v>
      </c>
      <c r="H444" s="212">
        <v>43204</v>
      </c>
    </row>
    <row r="445" spans="1:8">
      <c r="A445" s="208">
        <v>43664</v>
      </c>
      <c r="B445" s="209" t="s">
        <v>45</v>
      </c>
      <c r="C445" s="210" t="s">
        <v>544</v>
      </c>
      <c r="D445" s="213" t="s">
        <v>787</v>
      </c>
      <c r="E445" s="211" t="s">
        <v>788</v>
      </c>
      <c r="F445" s="211" t="s">
        <v>789</v>
      </c>
      <c r="G445" s="211" t="s">
        <v>790</v>
      </c>
      <c r="H445" s="212">
        <v>43600</v>
      </c>
    </row>
    <row r="446" spans="1:8">
      <c r="A446" s="208">
        <v>43664</v>
      </c>
      <c r="B446" s="209" t="s">
        <v>45</v>
      </c>
      <c r="C446" s="210" t="s">
        <v>46</v>
      </c>
      <c r="D446" s="213" t="s">
        <v>791</v>
      </c>
      <c r="E446" s="211" t="s">
        <v>792</v>
      </c>
      <c r="F446" s="211"/>
      <c r="G446" s="211" t="s">
        <v>581</v>
      </c>
      <c r="H446" s="212">
        <v>43663</v>
      </c>
    </row>
    <row r="447" spans="1:8" ht="20">
      <c r="A447" s="208">
        <v>43664</v>
      </c>
      <c r="B447" s="209" t="s">
        <v>45</v>
      </c>
      <c r="C447" s="210" t="s">
        <v>544</v>
      </c>
      <c r="D447" s="213" t="s">
        <v>723</v>
      </c>
      <c r="E447" s="211" t="s">
        <v>724</v>
      </c>
      <c r="F447" s="211" t="s">
        <v>793</v>
      </c>
      <c r="G447" s="211" t="s">
        <v>794</v>
      </c>
      <c r="H447" s="212">
        <v>43629</v>
      </c>
    </row>
    <row r="448" spans="1:8">
      <c r="A448" s="208">
        <v>43664</v>
      </c>
      <c r="B448" s="209" t="s">
        <v>45</v>
      </c>
      <c r="C448" s="210" t="s">
        <v>46</v>
      </c>
      <c r="D448" s="213" t="s">
        <v>795</v>
      </c>
      <c r="E448" s="211" t="s">
        <v>162</v>
      </c>
      <c r="F448" s="211"/>
      <c r="G448" s="211" t="s">
        <v>581</v>
      </c>
      <c r="H448" s="212">
        <v>43663</v>
      </c>
    </row>
    <row r="449" spans="1:8">
      <c r="A449" s="208">
        <v>43664</v>
      </c>
      <c r="B449" s="209" t="s">
        <v>45</v>
      </c>
      <c r="C449" s="210" t="s">
        <v>46</v>
      </c>
      <c r="D449" s="213" t="s">
        <v>796</v>
      </c>
      <c r="E449" s="211" t="s">
        <v>797</v>
      </c>
      <c r="F449" s="211"/>
      <c r="G449" s="211" t="s">
        <v>581</v>
      </c>
      <c r="H449" s="212">
        <v>43663</v>
      </c>
    </row>
    <row r="450" spans="1:8">
      <c r="A450" s="208">
        <v>43664</v>
      </c>
      <c r="B450" s="209" t="s">
        <v>45</v>
      </c>
      <c r="C450" s="210" t="s">
        <v>46</v>
      </c>
      <c r="D450" s="213" t="s">
        <v>612</v>
      </c>
      <c r="E450" s="211" t="s">
        <v>798</v>
      </c>
      <c r="F450" s="211"/>
      <c r="G450" s="211" t="s">
        <v>799</v>
      </c>
      <c r="H450" s="212">
        <v>43641</v>
      </c>
    </row>
    <row r="451" spans="1:8">
      <c r="A451" s="208">
        <v>43664</v>
      </c>
      <c r="B451" s="209" t="s">
        <v>45</v>
      </c>
      <c r="C451" s="210" t="s">
        <v>544</v>
      </c>
      <c r="D451" s="213" t="s">
        <v>800</v>
      </c>
      <c r="E451" s="211" t="s">
        <v>801</v>
      </c>
      <c r="F451" s="211" t="s">
        <v>802</v>
      </c>
      <c r="G451" s="211" t="s">
        <v>803</v>
      </c>
      <c r="H451" s="212">
        <v>43623</v>
      </c>
    </row>
    <row r="452" spans="1:8">
      <c r="A452" s="208">
        <v>43664</v>
      </c>
      <c r="B452" s="209" t="s">
        <v>45</v>
      </c>
      <c r="C452" s="210" t="s">
        <v>46</v>
      </c>
      <c r="D452" s="213" t="s">
        <v>804</v>
      </c>
      <c r="E452" s="211" t="s">
        <v>805</v>
      </c>
      <c r="F452" s="211" t="s">
        <v>259</v>
      </c>
      <c r="G452" s="211" t="s">
        <v>799</v>
      </c>
      <c r="H452" s="212">
        <v>43637</v>
      </c>
    </row>
    <row r="453" spans="1:8">
      <c r="A453" s="208">
        <v>43664</v>
      </c>
      <c r="B453" s="209" t="s">
        <v>45</v>
      </c>
      <c r="C453" s="210" t="s">
        <v>544</v>
      </c>
      <c r="D453" s="213" t="s">
        <v>448</v>
      </c>
      <c r="E453" s="211" t="s">
        <v>806</v>
      </c>
      <c r="F453" s="211" t="s">
        <v>259</v>
      </c>
      <c r="G453" s="211" t="s">
        <v>807</v>
      </c>
      <c r="H453" s="212">
        <v>43605</v>
      </c>
    </row>
    <row r="454" spans="1:8">
      <c r="A454" s="208">
        <v>43664</v>
      </c>
      <c r="B454" s="209" t="s">
        <v>45</v>
      </c>
      <c r="C454" s="210" t="s">
        <v>544</v>
      </c>
      <c r="D454" s="213" t="s">
        <v>808</v>
      </c>
      <c r="E454" s="211" t="s">
        <v>481</v>
      </c>
      <c r="F454" s="211" t="s">
        <v>809</v>
      </c>
      <c r="G454" s="211" t="s">
        <v>810</v>
      </c>
      <c r="H454" s="212">
        <v>43202</v>
      </c>
    </row>
    <row r="455" spans="1:8">
      <c r="A455" s="208">
        <v>43664</v>
      </c>
      <c r="B455" s="209" t="s">
        <v>45</v>
      </c>
      <c r="C455" s="210" t="s">
        <v>46</v>
      </c>
      <c r="D455" s="213" t="s">
        <v>811</v>
      </c>
      <c r="E455" s="211"/>
      <c r="F455" s="211"/>
      <c r="G455" s="211" t="s">
        <v>581</v>
      </c>
      <c r="H455" s="212">
        <v>43663</v>
      </c>
    </row>
    <row r="456" spans="1:8">
      <c r="A456" s="208">
        <v>43664</v>
      </c>
      <c r="B456" s="209" t="s">
        <v>45</v>
      </c>
      <c r="C456" s="210" t="s">
        <v>46</v>
      </c>
      <c r="D456" s="213" t="s">
        <v>812</v>
      </c>
      <c r="E456" s="211" t="s">
        <v>813</v>
      </c>
      <c r="F456" s="211"/>
      <c r="G456" s="211" t="s">
        <v>581</v>
      </c>
      <c r="H456" s="212">
        <v>43663</v>
      </c>
    </row>
    <row r="457" spans="1:8">
      <c r="A457" s="208">
        <v>43664</v>
      </c>
      <c r="B457" s="209" t="s">
        <v>77</v>
      </c>
      <c r="C457" s="210" t="s">
        <v>46</v>
      </c>
      <c r="D457" s="213" t="s">
        <v>656</v>
      </c>
      <c r="E457" s="211" t="s">
        <v>508</v>
      </c>
      <c r="F457" s="211"/>
      <c r="G457" s="211" t="s">
        <v>581</v>
      </c>
      <c r="H457" s="212">
        <v>43663</v>
      </c>
    </row>
    <row r="458" spans="1:8">
      <c r="A458" s="208">
        <v>43664</v>
      </c>
      <c r="B458" s="209" t="s">
        <v>77</v>
      </c>
      <c r="C458" s="210" t="s">
        <v>775</v>
      </c>
      <c r="D458" s="213" t="s">
        <v>814</v>
      </c>
      <c r="E458" s="211" t="s">
        <v>815</v>
      </c>
      <c r="F458" s="211" t="s">
        <v>816</v>
      </c>
      <c r="G458" s="211" t="s">
        <v>779</v>
      </c>
      <c r="H458" s="212">
        <v>43621</v>
      </c>
    </row>
    <row r="459" spans="1:8">
      <c r="A459" s="208">
        <v>43664</v>
      </c>
      <c r="B459" s="209" t="s">
        <v>77</v>
      </c>
      <c r="C459" s="210" t="s">
        <v>544</v>
      </c>
      <c r="D459" s="213" t="s">
        <v>817</v>
      </c>
      <c r="E459" s="211" t="s">
        <v>818</v>
      </c>
      <c r="F459" s="211" t="s">
        <v>819</v>
      </c>
      <c r="G459" s="211" t="s">
        <v>820</v>
      </c>
      <c r="H459" s="212">
        <v>43602</v>
      </c>
    </row>
    <row r="460" spans="1:8" ht="20">
      <c r="A460" s="208">
        <v>43664</v>
      </c>
      <c r="B460" s="209" t="s">
        <v>77</v>
      </c>
      <c r="C460" s="210" t="s">
        <v>775</v>
      </c>
      <c r="D460" s="213" t="s">
        <v>821</v>
      </c>
      <c r="E460" s="211" t="s">
        <v>822</v>
      </c>
      <c r="F460" s="211" t="s">
        <v>823</v>
      </c>
      <c r="G460" s="211" t="s">
        <v>779</v>
      </c>
      <c r="H460" s="212">
        <v>43640</v>
      </c>
    </row>
    <row r="461" spans="1:8">
      <c r="A461" s="208">
        <v>43664</v>
      </c>
      <c r="B461" s="209" t="s">
        <v>77</v>
      </c>
      <c r="C461" s="210" t="s">
        <v>775</v>
      </c>
      <c r="D461" s="213" t="s">
        <v>824</v>
      </c>
      <c r="E461" s="211" t="s">
        <v>442</v>
      </c>
      <c r="F461" s="211" t="s">
        <v>825</v>
      </c>
      <c r="G461" s="211" t="s">
        <v>779</v>
      </c>
      <c r="H461" s="212">
        <v>43558</v>
      </c>
    </row>
    <row r="462" spans="1:8">
      <c r="A462" s="208">
        <v>43664</v>
      </c>
      <c r="B462" s="209" t="s">
        <v>77</v>
      </c>
      <c r="C462" s="210" t="s">
        <v>544</v>
      </c>
      <c r="D462" s="213" t="s">
        <v>826</v>
      </c>
      <c r="E462" s="211" t="s">
        <v>827</v>
      </c>
      <c r="F462" s="211" t="s">
        <v>828</v>
      </c>
      <c r="G462" s="211" t="s">
        <v>829</v>
      </c>
      <c r="H462" s="212">
        <v>43602</v>
      </c>
    </row>
    <row r="463" spans="1:8">
      <c r="A463" s="208">
        <v>43664</v>
      </c>
      <c r="B463" s="209" t="s">
        <v>77</v>
      </c>
      <c r="C463" s="210" t="s">
        <v>775</v>
      </c>
      <c r="D463" s="213" t="s">
        <v>830</v>
      </c>
      <c r="E463" s="211" t="s">
        <v>831</v>
      </c>
      <c r="F463" s="211" t="s">
        <v>832</v>
      </c>
      <c r="G463" s="211" t="s">
        <v>779</v>
      </c>
      <c r="H463" s="212">
        <v>43585</v>
      </c>
    </row>
    <row r="464" spans="1:8">
      <c r="A464" s="208">
        <v>43664</v>
      </c>
      <c r="B464" s="209" t="s">
        <v>77</v>
      </c>
      <c r="C464" s="210" t="s">
        <v>775</v>
      </c>
      <c r="D464" s="213" t="s">
        <v>833</v>
      </c>
      <c r="E464" s="211" t="s">
        <v>834</v>
      </c>
      <c r="F464" s="211" t="s">
        <v>835</v>
      </c>
      <c r="G464" s="211" t="s">
        <v>779</v>
      </c>
      <c r="H464" s="212">
        <v>43209.352256944447</v>
      </c>
    </row>
    <row r="465" spans="1:8">
      <c r="A465" s="208">
        <v>43664</v>
      </c>
      <c r="B465" s="209" t="s">
        <v>77</v>
      </c>
      <c r="C465" s="210" t="s">
        <v>46</v>
      </c>
      <c r="D465" s="213" t="s">
        <v>836</v>
      </c>
      <c r="E465" s="211" t="s">
        <v>837</v>
      </c>
      <c r="F465" s="211"/>
      <c r="G465" s="211" t="s">
        <v>581</v>
      </c>
      <c r="H465" s="212">
        <v>43663</v>
      </c>
    </row>
    <row r="466" spans="1:8">
      <c r="A466" s="208">
        <v>43664</v>
      </c>
      <c r="B466" s="209" t="s">
        <v>77</v>
      </c>
      <c r="C466" s="210" t="s">
        <v>544</v>
      </c>
      <c r="D466" s="213" t="s">
        <v>728</v>
      </c>
      <c r="E466" s="211" t="s">
        <v>729</v>
      </c>
      <c r="F466" s="211" t="s">
        <v>730</v>
      </c>
      <c r="G466" s="211" t="s">
        <v>838</v>
      </c>
      <c r="H466" s="212">
        <v>43622</v>
      </c>
    </row>
    <row r="467" spans="1:8">
      <c r="A467" s="208">
        <v>43664</v>
      </c>
      <c r="B467" s="209" t="s">
        <v>77</v>
      </c>
      <c r="C467" s="210" t="s">
        <v>775</v>
      </c>
      <c r="D467" s="213" t="s">
        <v>839</v>
      </c>
      <c r="E467" s="211" t="s">
        <v>840</v>
      </c>
      <c r="F467" s="211" t="s">
        <v>841</v>
      </c>
      <c r="G467" s="211" t="s">
        <v>779</v>
      </c>
      <c r="H467" s="212">
        <v>43585</v>
      </c>
    </row>
    <row r="468" spans="1:8" ht="20">
      <c r="A468" s="208">
        <v>43664</v>
      </c>
      <c r="B468" s="209" t="s">
        <v>77</v>
      </c>
      <c r="C468" s="210" t="s">
        <v>46</v>
      </c>
      <c r="D468" s="213" t="s">
        <v>540</v>
      </c>
      <c r="E468" s="211" t="s">
        <v>842</v>
      </c>
      <c r="F468" s="211"/>
      <c r="G468" s="211" t="s">
        <v>799</v>
      </c>
      <c r="H468" s="212">
        <v>43591</v>
      </c>
    </row>
    <row r="469" spans="1:8">
      <c r="A469" s="208">
        <v>43664</v>
      </c>
      <c r="B469" s="209" t="s">
        <v>77</v>
      </c>
      <c r="C469" s="210" t="s">
        <v>775</v>
      </c>
      <c r="D469" s="213" t="s">
        <v>843</v>
      </c>
      <c r="E469" s="211" t="s">
        <v>442</v>
      </c>
      <c r="F469" s="211" t="s">
        <v>844</v>
      </c>
      <c r="G469" s="211" t="s">
        <v>779</v>
      </c>
      <c r="H469" s="212">
        <v>43204</v>
      </c>
    </row>
    <row r="470" spans="1:8">
      <c r="A470" s="208">
        <v>43664</v>
      </c>
      <c r="B470" s="209" t="s">
        <v>77</v>
      </c>
      <c r="C470" s="210" t="s">
        <v>775</v>
      </c>
      <c r="D470" s="213" t="s">
        <v>845</v>
      </c>
      <c r="E470" s="211" t="s">
        <v>846</v>
      </c>
      <c r="F470" s="211" t="s">
        <v>847</v>
      </c>
      <c r="G470" s="211" t="s">
        <v>779</v>
      </c>
      <c r="H470" s="212">
        <v>43621</v>
      </c>
    </row>
    <row r="471" spans="1:8">
      <c r="A471" s="208">
        <v>43664</v>
      </c>
      <c r="B471" s="209" t="s">
        <v>77</v>
      </c>
      <c r="C471" s="210" t="s">
        <v>46</v>
      </c>
      <c r="D471" s="213" t="s">
        <v>848</v>
      </c>
      <c r="E471" s="211" t="s">
        <v>849</v>
      </c>
      <c r="F471" s="211"/>
      <c r="G471" s="211" t="s">
        <v>850</v>
      </c>
      <c r="H471" s="212">
        <v>42549</v>
      </c>
    </row>
    <row r="472" spans="1:8">
      <c r="A472" s="208">
        <v>43664</v>
      </c>
      <c r="B472" s="209" t="s">
        <v>77</v>
      </c>
      <c r="C472" s="210" t="s">
        <v>46</v>
      </c>
      <c r="D472" s="213" t="s">
        <v>851</v>
      </c>
      <c r="E472" s="211" t="s">
        <v>442</v>
      </c>
      <c r="F472" s="211"/>
      <c r="G472" s="211" t="s">
        <v>581</v>
      </c>
      <c r="H472" s="212">
        <v>43663</v>
      </c>
    </row>
    <row r="473" spans="1:8">
      <c r="A473" s="208">
        <v>43664</v>
      </c>
      <c r="B473" s="209" t="s">
        <v>91</v>
      </c>
      <c r="C473" s="210" t="s">
        <v>544</v>
      </c>
      <c r="D473" s="213" t="s">
        <v>852</v>
      </c>
      <c r="E473" s="211" t="s">
        <v>215</v>
      </c>
      <c r="F473" s="211" t="s">
        <v>853</v>
      </c>
      <c r="G473" s="211" t="s">
        <v>854</v>
      </c>
      <c r="H473" s="212">
        <v>43308.013749999998</v>
      </c>
    </row>
    <row r="474" spans="1:8">
      <c r="A474" s="208">
        <v>43664</v>
      </c>
      <c r="B474" s="209" t="s">
        <v>91</v>
      </c>
      <c r="C474" s="210" t="s">
        <v>544</v>
      </c>
      <c r="D474" s="213" t="s">
        <v>214</v>
      </c>
      <c r="E474" s="211" t="s">
        <v>215</v>
      </c>
      <c r="F474" s="211" t="s">
        <v>216</v>
      </c>
      <c r="G474" s="211" t="s">
        <v>854</v>
      </c>
      <c r="H474" s="212">
        <v>43473.160243055558</v>
      </c>
    </row>
    <row r="475" spans="1:8">
      <c r="A475" s="208">
        <v>43664</v>
      </c>
      <c r="B475" s="209" t="s">
        <v>91</v>
      </c>
      <c r="C475" s="210" t="s">
        <v>46</v>
      </c>
      <c r="D475" s="213" t="s">
        <v>739</v>
      </c>
      <c r="E475" s="211" t="s">
        <v>740</v>
      </c>
      <c r="F475" s="211"/>
      <c r="G475" s="211" t="s">
        <v>855</v>
      </c>
      <c r="H475" s="212">
        <v>43602</v>
      </c>
    </row>
    <row r="476" spans="1:8">
      <c r="A476" s="208">
        <v>43664</v>
      </c>
      <c r="B476" s="209" t="s">
        <v>91</v>
      </c>
      <c r="C476" s="210" t="s">
        <v>46</v>
      </c>
      <c r="D476" s="213" t="s">
        <v>703</v>
      </c>
      <c r="E476" s="211" t="s">
        <v>856</v>
      </c>
      <c r="F476" s="211" t="s">
        <v>668</v>
      </c>
      <c r="G476" s="211" t="s">
        <v>799</v>
      </c>
      <c r="H476" s="212">
        <v>43585</v>
      </c>
    </row>
    <row r="477" spans="1:8">
      <c r="A477" s="208">
        <v>43664</v>
      </c>
      <c r="B477" s="209" t="s">
        <v>91</v>
      </c>
      <c r="C477" s="210" t="s">
        <v>775</v>
      </c>
      <c r="D477" s="213" t="s">
        <v>667</v>
      </c>
      <c r="E477" s="211" t="s">
        <v>290</v>
      </c>
      <c r="F477" s="211" t="s">
        <v>857</v>
      </c>
      <c r="G477" s="211" t="s">
        <v>779</v>
      </c>
      <c r="H477" s="212">
        <v>43150.159699074073</v>
      </c>
    </row>
    <row r="478" spans="1:8">
      <c r="A478" s="208">
        <v>43664</v>
      </c>
      <c r="B478" s="209" t="s">
        <v>91</v>
      </c>
      <c r="C478" s="210" t="s">
        <v>46</v>
      </c>
      <c r="D478" s="213" t="s">
        <v>462</v>
      </c>
      <c r="E478" s="211" t="s">
        <v>290</v>
      </c>
      <c r="F478" s="211" t="s">
        <v>857</v>
      </c>
      <c r="G478" s="211" t="s">
        <v>799</v>
      </c>
      <c r="H478" s="212">
        <v>43311.25167824074</v>
      </c>
    </row>
    <row r="479" spans="1:8">
      <c r="A479" s="208">
        <v>43664</v>
      </c>
      <c r="B479" s="209" t="s">
        <v>91</v>
      </c>
      <c r="C479" s="210" t="s">
        <v>46</v>
      </c>
      <c r="D479" s="213" t="s">
        <v>858</v>
      </c>
      <c r="E479" s="211" t="s">
        <v>859</v>
      </c>
      <c r="F479" s="211"/>
      <c r="G479" s="211" t="s">
        <v>860</v>
      </c>
      <c r="H479" s="212">
        <v>43663</v>
      </c>
    </row>
    <row r="480" spans="1:8">
      <c r="A480" s="208">
        <v>43664</v>
      </c>
      <c r="B480" s="209" t="s">
        <v>91</v>
      </c>
      <c r="C480" s="210" t="s">
        <v>46</v>
      </c>
      <c r="D480" s="213" t="s">
        <v>861</v>
      </c>
      <c r="E480" s="211" t="s">
        <v>859</v>
      </c>
      <c r="F480" s="211"/>
      <c r="G480" s="211" t="s">
        <v>860</v>
      </c>
      <c r="H480" s="212">
        <v>43663</v>
      </c>
    </row>
    <row r="481" spans="1:8">
      <c r="A481" s="208">
        <v>43664</v>
      </c>
      <c r="B481" s="209" t="s">
        <v>91</v>
      </c>
      <c r="C481" s="210" t="s">
        <v>544</v>
      </c>
      <c r="D481" s="213" t="s">
        <v>742</v>
      </c>
      <c r="E481" s="211" t="s">
        <v>717</v>
      </c>
      <c r="F481" s="211" t="s">
        <v>862</v>
      </c>
      <c r="G481" s="211" t="s">
        <v>863</v>
      </c>
      <c r="H481" s="212">
        <v>43150</v>
      </c>
    </row>
    <row r="482" spans="1:8">
      <c r="A482" s="208">
        <v>43664</v>
      </c>
      <c r="B482" s="209" t="s">
        <v>91</v>
      </c>
      <c r="C482" s="210" t="s">
        <v>46</v>
      </c>
      <c r="D482" s="213" t="s">
        <v>864</v>
      </c>
      <c r="E482" s="211" t="s">
        <v>865</v>
      </c>
      <c r="F482" s="211"/>
      <c r="G482" s="211" t="s">
        <v>799</v>
      </c>
      <c r="H482" s="212">
        <v>43663</v>
      </c>
    </row>
    <row r="483" spans="1:8">
      <c r="A483" s="208">
        <v>43664</v>
      </c>
      <c r="B483" s="209" t="s">
        <v>91</v>
      </c>
      <c r="C483" s="210" t="s">
        <v>46</v>
      </c>
      <c r="D483" s="213" t="s">
        <v>866</v>
      </c>
      <c r="E483" s="211" t="s">
        <v>867</v>
      </c>
      <c r="F483" s="211"/>
      <c r="G483" s="211" t="s">
        <v>799</v>
      </c>
      <c r="H483" s="212">
        <v>43663</v>
      </c>
    </row>
    <row r="484" spans="1:8">
      <c r="A484" s="208">
        <v>43664</v>
      </c>
      <c r="B484" s="209" t="s">
        <v>91</v>
      </c>
      <c r="C484" s="210" t="s">
        <v>775</v>
      </c>
      <c r="D484" s="213" t="s">
        <v>767</v>
      </c>
      <c r="E484" s="211" t="s">
        <v>768</v>
      </c>
      <c r="F484" s="211" t="s">
        <v>868</v>
      </c>
      <c r="G484" s="211" t="s">
        <v>779</v>
      </c>
      <c r="H484" s="212">
        <v>43647</v>
      </c>
    </row>
    <row r="485" spans="1:8">
      <c r="A485" s="208">
        <v>43664</v>
      </c>
      <c r="B485" s="209" t="s">
        <v>91</v>
      </c>
      <c r="C485" s="210" t="s">
        <v>46</v>
      </c>
      <c r="D485" s="213" t="s">
        <v>869</v>
      </c>
      <c r="E485" s="211" t="s">
        <v>870</v>
      </c>
      <c r="F485" s="211"/>
      <c r="G485" s="211" t="s">
        <v>860</v>
      </c>
      <c r="H485" s="212">
        <v>43663</v>
      </c>
    </row>
    <row r="486" spans="1:8">
      <c r="A486" s="208">
        <v>43664</v>
      </c>
      <c r="B486" s="209" t="s">
        <v>105</v>
      </c>
      <c r="C486" s="210" t="s">
        <v>544</v>
      </c>
      <c r="D486" s="213" t="s">
        <v>628</v>
      </c>
      <c r="E486" s="211" t="s">
        <v>629</v>
      </c>
      <c r="F486" s="211" t="s">
        <v>259</v>
      </c>
      <c r="G486" s="211" t="s">
        <v>871</v>
      </c>
      <c r="H486" s="212">
        <v>43600</v>
      </c>
    </row>
    <row r="487" spans="1:8">
      <c r="A487" s="208">
        <v>43664</v>
      </c>
      <c r="B487" s="209" t="s">
        <v>105</v>
      </c>
      <c r="C487" s="210" t="s">
        <v>46</v>
      </c>
      <c r="D487" s="213" t="s">
        <v>872</v>
      </c>
      <c r="E487" s="211" t="s">
        <v>872</v>
      </c>
      <c r="F487" s="211"/>
      <c r="G487" s="211" t="s">
        <v>581</v>
      </c>
      <c r="H487" s="212">
        <v>43663</v>
      </c>
    </row>
    <row r="488" spans="1:8" ht="20">
      <c r="A488" s="208">
        <v>43664</v>
      </c>
      <c r="B488" s="209" t="s">
        <v>105</v>
      </c>
      <c r="C488" s="210" t="s">
        <v>873</v>
      </c>
      <c r="D488" s="213" t="s">
        <v>874</v>
      </c>
      <c r="E488" s="211" t="s">
        <v>438</v>
      </c>
      <c r="F488" s="211" t="s">
        <v>439</v>
      </c>
      <c r="G488" s="211" t="s">
        <v>875</v>
      </c>
      <c r="H488" s="212">
        <v>43602</v>
      </c>
    </row>
    <row r="489" spans="1:8">
      <c r="A489" s="208">
        <v>43664</v>
      </c>
      <c r="B489" s="209" t="s">
        <v>110</v>
      </c>
      <c r="C489" s="210" t="s">
        <v>775</v>
      </c>
      <c r="D489" s="213" t="s">
        <v>876</v>
      </c>
      <c r="E489" s="211" t="s">
        <v>877</v>
      </c>
      <c r="F489" s="211" t="s">
        <v>878</v>
      </c>
      <c r="G489" s="211" t="s">
        <v>779</v>
      </c>
      <c r="H489" s="212">
        <v>43617</v>
      </c>
    </row>
    <row r="490" spans="1:8">
      <c r="A490" s="208">
        <v>43664</v>
      </c>
      <c r="B490" s="209" t="s">
        <v>110</v>
      </c>
      <c r="C490" s="210" t="s">
        <v>46</v>
      </c>
      <c r="D490" s="213" t="s">
        <v>370</v>
      </c>
      <c r="E490" s="211" t="s">
        <v>371</v>
      </c>
      <c r="F490" s="211" t="s">
        <v>259</v>
      </c>
      <c r="G490" s="211" t="s">
        <v>799</v>
      </c>
      <c r="H490" s="212">
        <v>43607</v>
      </c>
    </row>
    <row r="491" spans="1:8">
      <c r="A491" s="208">
        <v>43664</v>
      </c>
      <c r="B491" s="209" t="s">
        <v>110</v>
      </c>
      <c r="C491" s="210" t="s">
        <v>544</v>
      </c>
      <c r="D491" s="213" t="s">
        <v>590</v>
      </c>
      <c r="E491" s="211" t="s">
        <v>371</v>
      </c>
      <c r="F491" s="211" t="s">
        <v>259</v>
      </c>
      <c r="G491" s="211" t="s">
        <v>879</v>
      </c>
      <c r="H491" s="212">
        <v>43607</v>
      </c>
    </row>
    <row r="492" spans="1:8">
      <c r="A492" s="208">
        <v>43664</v>
      </c>
      <c r="B492" s="209" t="s">
        <v>110</v>
      </c>
      <c r="C492" s="210" t="s">
        <v>46</v>
      </c>
      <c r="D492" s="213" t="s">
        <v>114</v>
      </c>
      <c r="E492" s="211" t="s">
        <v>880</v>
      </c>
      <c r="F492" s="211"/>
      <c r="G492" s="211" t="s">
        <v>881</v>
      </c>
      <c r="H492" s="212">
        <v>43473</v>
      </c>
    </row>
    <row r="493" spans="1:8">
      <c r="A493" s="208">
        <v>43664</v>
      </c>
      <c r="B493" s="209" t="s">
        <v>110</v>
      </c>
      <c r="C493" s="210" t="s">
        <v>775</v>
      </c>
      <c r="D493" s="213" t="s">
        <v>754</v>
      </c>
      <c r="E493" s="211" t="s">
        <v>755</v>
      </c>
      <c r="F493" s="211" t="s">
        <v>756</v>
      </c>
      <c r="G493" s="211" t="s">
        <v>779</v>
      </c>
      <c r="H493" s="212">
        <v>43150</v>
      </c>
    </row>
    <row r="494" spans="1:8">
      <c r="A494" s="208">
        <v>43664</v>
      </c>
      <c r="B494" s="209" t="s">
        <v>110</v>
      </c>
      <c r="C494" s="210" t="s">
        <v>544</v>
      </c>
      <c r="D494" s="213" t="s">
        <v>882</v>
      </c>
      <c r="E494" s="211" t="s">
        <v>883</v>
      </c>
      <c r="F494" s="211" t="s">
        <v>884</v>
      </c>
      <c r="G494" s="211" t="s">
        <v>885</v>
      </c>
      <c r="H494" s="212">
        <v>43150</v>
      </c>
    </row>
    <row r="495" spans="1:8">
      <c r="A495" s="208">
        <v>43664</v>
      </c>
      <c r="B495" s="209" t="s">
        <v>110</v>
      </c>
      <c r="C495" s="210" t="s">
        <v>544</v>
      </c>
      <c r="D495" s="213" t="s">
        <v>886</v>
      </c>
      <c r="E495" s="211" t="s">
        <v>887</v>
      </c>
      <c r="F495" s="211" t="s">
        <v>888</v>
      </c>
      <c r="G495" s="211" t="s">
        <v>889</v>
      </c>
      <c r="H495" s="212">
        <v>43614</v>
      </c>
    </row>
    <row r="496" spans="1:8">
      <c r="A496" s="208">
        <v>43664</v>
      </c>
      <c r="B496" s="209" t="s">
        <v>110</v>
      </c>
      <c r="C496" s="210" t="s">
        <v>544</v>
      </c>
      <c r="D496" s="213" t="s">
        <v>890</v>
      </c>
      <c r="E496" s="211" t="s">
        <v>891</v>
      </c>
      <c r="F496" s="211" t="s">
        <v>892</v>
      </c>
      <c r="G496" s="211" t="s">
        <v>893</v>
      </c>
      <c r="H496" s="212">
        <v>43556</v>
      </c>
    </row>
    <row r="497" spans="1:8">
      <c r="A497" s="208">
        <v>43664</v>
      </c>
      <c r="B497" s="209" t="s">
        <v>110</v>
      </c>
      <c r="C497" s="210" t="s">
        <v>46</v>
      </c>
      <c r="D497" s="213" t="s">
        <v>894</v>
      </c>
      <c r="E497" s="211" t="s">
        <v>895</v>
      </c>
      <c r="F497" s="211"/>
      <c r="G497" s="211" t="s">
        <v>581</v>
      </c>
      <c r="H497" s="212">
        <v>43663</v>
      </c>
    </row>
    <row r="498" spans="1:8" ht="20">
      <c r="A498" s="208">
        <v>43664</v>
      </c>
      <c r="B498" s="209" t="s">
        <v>110</v>
      </c>
      <c r="C498" s="210" t="s">
        <v>775</v>
      </c>
      <c r="D498" s="213" t="s">
        <v>896</v>
      </c>
      <c r="E498" s="211" t="s">
        <v>897</v>
      </c>
      <c r="F498" s="211" t="s">
        <v>898</v>
      </c>
      <c r="G498" s="211" t="s">
        <v>779</v>
      </c>
      <c r="H498" s="212">
        <v>43629</v>
      </c>
    </row>
    <row r="499" spans="1:8">
      <c r="A499" s="208">
        <v>43664</v>
      </c>
      <c r="B499" s="209" t="s">
        <v>110</v>
      </c>
      <c r="C499" s="210" t="s">
        <v>544</v>
      </c>
      <c r="D499" s="213" t="s">
        <v>899</v>
      </c>
      <c r="E499" s="211" t="s">
        <v>396</v>
      </c>
      <c r="F499" s="211" t="s">
        <v>900</v>
      </c>
      <c r="G499" s="211" t="s">
        <v>901</v>
      </c>
      <c r="H499" s="212">
        <v>43556</v>
      </c>
    </row>
    <row r="500" spans="1:8">
      <c r="A500" s="208">
        <v>43664</v>
      </c>
      <c r="B500" s="209" t="s">
        <v>110</v>
      </c>
      <c r="C500" s="210" t="s">
        <v>544</v>
      </c>
      <c r="D500" s="213" t="s">
        <v>511</v>
      </c>
      <c r="E500" s="211" t="s">
        <v>512</v>
      </c>
      <c r="F500" s="211" t="s">
        <v>259</v>
      </c>
      <c r="G500" s="211" t="s">
        <v>902</v>
      </c>
      <c r="H500" s="212">
        <v>43593</v>
      </c>
    </row>
    <row r="501" spans="1:8">
      <c r="A501" s="208">
        <v>43595</v>
      </c>
      <c r="B501" s="209" t="s">
        <v>45</v>
      </c>
      <c r="C501" s="210" t="s">
        <v>903</v>
      </c>
      <c r="D501" s="213" t="s">
        <v>904</v>
      </c>
      <c r="E501" s="211" t="s">
        <v>259</v>
      </c>
      <c r="F501" s="211" t="s">
        <v>259</v>
      </c>
      <c r="G501" s="211" t="s">
        <v>905</v>
      </c>
      <c r="H501" s="212">
        <v>43595</v>
      </c>
    </row>
    <row r="502" spans="1:8">
      <c r="A502" s="208">
        <v>43595</v>
      </c>
      <c r="B502" s="209" t="s">
        <v>91</v>
      </c>
      <c r="C502" s="210" t="s">
        <v>903</v>
      </c>
      <c r="D502" s="213" t="s">
        <v>906</v>
      </c>
      <c r="E502" s="211" t="s">
        <v>259</v>
      </c>
      <c r="F502" s="211" t="s">
        <v>259</v>
      </c>
      <c r="G502" s="211" t="s">
        <v>907</v>
      </c>
      <c r="H502" s="212">
        <v>43595</v>
      </c>
    </row>
    <row r="503" spans="1:8">
      <c r="A503" s="208">
        <v>43595</v>
      </c>
      <c r="B503" s="209" t="s">
        <v>110</v>
      </c>
      <c r="C503" s="210" t="s">
        <v>903</v>
      </c>
      <c r="D503" s="213" t="s">
        <v>908</v>
      </c>
      <c r="E503" s="211" t="s">
        <v>259</v>
      </c>
      <c r="F503" s="211" t="s">
        <v>259</v>
      </c>
      <c r="G503" s="211" t="s">
        <v>909</v>
      </c>
      <c r="H503" s="212">
        <v>43595</v>
      </c>
    </row>
    <row r="504" spans="1:8" ht="20">
      <c r="A504" s="208">
        <v>43595</v>
      </c>
      <c r="B504" s="209" t="s">
        <v>110</v>
      </c>
      <c r="C504" s="210" t="s">
        <v>51</v>
      </c>
      <c r="D504" s="213" t="s">
        <v>910</v>
      </c>
      <c r="E504" s="211" t="s">
        <v>259</v>
      </c>
      <c r="F504" s="211" t="s">
        <v>259</v>
      </c>
      <c r="G504" s="211" t="s">
        <v>911</v>
      </c>
      <c r="H504" s="212">
        <v>43595</v>
      </c>
    </row>
    <row r="505" spans="1:8" ht="20">
      <c r="A505" s="208">
        <v>43595</v>
      </c>
      <c r="B505" s="209" t="s">
        <v>110</v>
      </c>
      <c r="C505" s="210" t="s">
        <v>51</v>
      </c>
      <c r="D505" s="213" t="s">
        <v>680</v>
      </c>
      <c r="E505" s="211" t="s">
        <v>259</v>
      </c>
      <c r="F505" s="211" t="s">
        <v>259</v>
      </c>
      <c r="G505" s="211" t="s">
        <v>912</v>
      </c>
      <c r="H505" s="212">
        <v>43595</v>
      </c>
    </row>
    <row r="506" spans="1:8">
      <c r="A506" s="208">
        <v>43595</v>
      </c>
      <c r="B506" s="209" t="s">
        <v>110</v>
      </c>
      <c r="C506" s="210" t="s">
        <v>903</v>
      </c>
      <c r="D506" s="213" t="s">
        <v>913</v>
      </c>
      <c r="E506" s="211" t="s">
        <v>259</v>
      </c>
      <c r="F506" s="211" t="s">
        <v>259</v>
      </c>
      <c r="G506" s="211" t="s">
        <v>914</v>
      </c>
      <c r="H506" s="212">
        <v>43595</v>
      </c>
    </row>
    <row r="507" spans="1:8" ht="21">
      <c r="A507" s="208">
        <v>43595</v>
      </c>
      <c r="B507" s="209" t="s">
        <v>110</v>
      </c>
      <c r="C507" s="210" t="s">
        <v>46</v>
      </c>
      <c r="D507" s="213" t="s">
        <v>915</v>
      </c>
      <c r="E507" s="211" t="s">
        <v>259</v>
      </c>
      <c r="F507" s="211" t="s">
        <v>259</v>
      </c>
      <c r="G507" s="211" t="s">
        <v>916</v>
      </c>
      <c r="H507" s="212">
        <v>43595</v>
      </c>
    </row>
    <row r="508" spans="1:8" ht="21">
      <c r="A508" s="208">
        <v>43595</v>
      </c>
      <c r="B508" s="209" t="s">
        <v>110</v>
      </c>
      <c r="C508" s="210" t="s">
        <v>46</v>
      </c>
      <c r="D508" s="213" t="s">
        <v>917</v>
      </c>
      <c r="E508" s="211" t="s">
        <v>259</v>
      </c>
      <c r="F508" s="211" t="s">
        <v>259</v>
      </c>
      <c r="G508" s="211" t="s">
        <v>918</v>
      </c>
      <c r="H508" s="212">
        <v>43595</v>
      </c>
    </row>
    <row r="509" spans="1:8">
      <c r="A509" s="208">
        <v>43595</v>
      </c>
      <c r="B509" s="209" t="s">
        <v>110</v>
      </c>
      <c r="C509" s="210" t="s">
        <v>51</v>
      </c>
      <c r="D509" s="213" t="s">
        <v>886</v>
      </c>
      <c r="E509" s="211" t="s">
        <v>259</v>
      </c>
      <c r="F509" s="211" t="s">
        <v>259</v>
      </c>
      <c r="G509" s="211" t="s">
        <v>919</v>
      </c>
      <c r="H509" s="212">
        <v>43595</v>
      </c>
    </row>
    <row r="510" spans="1:8">
      <c r="A510" s="208">
        <v>43595</v>
      </c>
      <c r="B510" s="209" t="s">
        <v>110</v>
      </c>
      <c r="C510" s="210" t="s">
        <v>46</v>
      </c>
      <c r="D510" s="213" t="s">
        <v>511</v>
      </c>
      <c r="E510" s="211" t="s">
        <v>259</v>
      </c>
      <c r="F510" s="211" t="s">
        <v>259</v>
      </c>
      <c r="G510" s="211" t="s">
        <v>920</v>
      </c>
      <c r="H510" s="212">
        <v>43595</v>
      </c>
    </row>
    <row r="511" spans="1:8" ht="42">
      <c r="A511" s="208">
        <v>43502</v>
      </c>
      <c r="B511" s="209" t="s">
        <v>45</v>
      </c>
      <c r="C511" s="210" t="s">
        <v>46</v>
      </c>
      <c r="D511" s="213" t="s">
        <v>602</v>
      </c>
      <c r="E511" s="211"/>
      <c r="F511" s="211"/>
      <c r="G511" s="211" t="s">
        <v>921</v>
      </c>
      <c r="H511" s="212">
        <v>43502</v>
      </c>
    </row>
    <row r="512" spans="1:8" ht="30">
      <c r="A512" s="208">
        <v>43500</v>
      </c>
      <c r="B512" s="209" t="s">
        <v>77</v>
      </c>
      <c r="C512" s="210" t="s">
        <v>922</v>
      </c>
      <c r="D512" s="213" t="s">
        <v>923</v>
      </c>
      <c r="E512" s="211" t="s">
        <v>259</v>
      </c>
      <c r="F512" s="211" t="s">
        <v>259</v>
      </c>
      <c r="G512" s="211" t="s">
        <v>924</v>
      </c>
      <c r="H512" s="212">
        <v>43500</v>
      </c>
    </row>
    <row r="513" spans="1:8" ht="21">
      <c r="A513" s="208">
        <v>43486</v>
      </c>
      <c r="B513" s="209" t="s">
        <v>77</v>
      </c>
      <c r="C513" s="210" t="s">
        <v>46</v>
      </c>
      <c r="D513" s="213" t="s">
        <v>925</v>
      </c>
      <c r="E513" s="211"/>
      <c r="F513" s="211"/>
      <c r="G513" s="211" t="s">
        <v>926</v>
      </c>
      <c r="H513" s="212">
        <v>43486</v>
      </c>
    </row>
    <row r="514" spans="1:8" ht="20">
      <c r="A514" s="208">
        <v>43486</v>
      </c>
      <c r="B514" s="209" t="s">
        <v>77</v>
      </c>
      <c r="C514" s="210" t="s">
        <v>922</v>
      </c>
      <c r="D514" s="213" t="s">
        <v>192</v>
      </c>
      <c r="E514" s="211"/>
      <c r="F514" s="211"/>
      <c r="G514" s="211" t="s">
        <v>927</v>
      </c>
      <c r="H514" s="212">
        <v>43486</v>
      </c>
    </row>
    <row r="515" spans="1:8" ht="20">
      <c r="A515" s="208">
        <v>43486</v>
      </c>
      <c r="B515" s="209" t="s">
        <v>77</v>
      </c>
      <c r="C515" s="210" t="s">
        <v>922</v>
      </c>
      <c r="D515" s="213" t="s">
        <v>839</v>
      </c>
      <c r="E515" s="211"/>
      <c r="F515" s="211"/>
      <c r="G515" s="211" t="s">
        <v>928</v>
      </c>
      <c r="H515" s="212">
        <v>43486</v>
      </c>
    </row>
    <row r="516" spans="1:8">
      <c r="A516" s="208">
        <v>43486</v>
      </c>
      <c r="B516" s="209" t="s">
        <v>77</v>
      </c>
      <c r="C516" s="210" t="s">
        <v>46</v>
      </c>
      <c r="D516" s="213" t="s">
        <v>929</v>
      </c>
      <c r="E516" s="211"/>
      <c r="F516" s="211"/>
      <c r="G516" s="211" t="s">
        <v>930</v>
      </c>
      <c r="H516" s="212">
        <v>43486</v>
      </c>
    </row>
    <row r="517" spans="1:8" ht="30">
      <c r="A517" s="208">
        <v>43486</v>
      </c>
      <c r="B517" s="209" t="s">
        <v>77</v>
      </c>
      <c r="C517" s="210" t="s">
        <v>922</v>
      </c>
      <c r="D517" s="213" t="s">
        <v>923</v>
      </c>
      <c r="E517" s="211"/>
      <c r="F517" s="211"/>
      <c r="G517" s="211" t="s">
        <v>931</v>
      </c>
      <c r="H517" s="212">
        <v>43486</v>
      </c>
    </row>
    <row r="518" spans="1:8">
      <c r="A518" s="208">
        <v>43486</v>
      </c>
      <c r="B518" s="209" t="s">
        <v>77</v>
      </c>
      <c r="C518" s="210" t="s">
        <v>46</v>
      </c>
      <c r="D518" s="213" t="s">
        <v>88</v>
      </c>
      <c r="E518" s="211"/>
      <c r="F518" s="211"/>
      <c r="G518" s="211" t="s">
        <v>932</v>
      </c>
      <c r="H518" s="212">
        <v>43486</v>
      </c>
    </row>
    <row r="519" spans="1:8" ht="20">
      <c r="A519" s="208">
        <v>43486</v>
      </c>
      <c r="B519" s="209" t="s">
        <v>91</v>
      </c>
      <c r="C519" s="210" t="s">
        <v>51</v>
      </c>
      <c r="D519" s="213" t="s">
        <v>933</v>
      </c>
      <c r="E519" s="211"/>
      <c r="F519" s="211"/>
      <c r="G519" s="211" t="s">
        <v>934</v>
      </c>
      <c r="H519" s="212">
        <v>43486</v>
      </c>
    </row>
    <row r="520" spans="1:8">
      <c r="A520" s="208">
        <v>43486</v>
      </c>
      <c r="B520" s="209" t="s">
        <v>91</v>
      </c>
      <c r="C520" s="210" t="s">
        <v>46</v>
      </c>
      <c r="D520" s="213" t="s">
        <v>214</v>
      </c>
      <c r="E520" s="211"/>
      <c r="F520" s="211"/>
      <c r="G520" s="211" t="s">
        <v>935</v>
      </c>
      <c r="H520" s="212">
        <v>43486</v>
      </c>
    </row>
    <row r="521" spans="1:8" ht="21">
      <c r="A521" s="208">
        <v>43486</v>
      </c>
      <c r="B521" s="209" t="s">
        <v>91</v>
      </c>
      <c r="C521" s="210" t="s">
        <v>46</v>
      </c>
      <c r="D521" s="213" t="s">
        <v>936</v>
      </c>
      <c r="E521" s="211"/>
      <c r="F521" s="211"/>
      <c r="G521" s="211" t="s">
        <v>937</v>
      </c>
      <c r="H521" s="212">
        <v>43486</v>
      </c>
    </row>
    <row r="522" spans="1:8" ht="30">
      <c r="A522" s="208">
        <v>43486</v>
      </c>
      <c r="B522" s="209" t="s">
        <v>91</v>
      </c>
      <c r="C522" s="210" t="s">
        <v>922</v>
      </c>
      <c r="D522" s="213" t="s">
        <v>938</v>
      </c>
      <c r="E522" s="211"/>
      <c r="F522" s="211"/>
      <c r="G522" s="211" t="s">
        <v>939</v>
      </c>
      <c r="H522" s="212">
        <v>43486</v>
      </c>
    </row>
    <row r="523" spans="1:8">
      <c r="A523" s="208">
        <v>43486</v>
      </c>
      <c r="B523" s="209" t="s">
        <v>91</v>
      </c>
      <c r="C523" s="210" t="s">
        <v>903</v>
      </c>
      <c r="D523" s="213" t="s">
        <v>906</v>
      </c>
      <c r="E523" s="211"/>
      <c r="F523" s="211"/>
      <c r="G523" s="211" t="s">
        <v>907</v>
      </c>
      <c r="H523" s="212">
        <v>43486</v>
      </c>
    </row>
    <row r="524" spans="1:8" ht="20">
      <c r="A524" s="208">
        <v>43486</v>
      </c>
      <c r="B524" s="209" t="s">
        <v>91</v>
      </c>
      <c r="C524" s="210" t="s">
        <v>51</v>
      </c>
      <c r="D524" s="213" t="s">
        <v>940</v>
      </c>
      <c r="E524" s="211"/>
      <c r="F524" s="211"/>
      <c r="G524" s="211" t="s">
        <v>941</v>
      </c>
      <c r="H524" s="212">
        <v>43486</v>
      </c>
    </row>
    <row r="525" spans="1:8" ht="20">
      <c r="A525" s="208">
        <v>43486</v>
      </c>
      <c r="B525" s="209" t="s">
        <v>91</v>
      </c>
      <c r="C525" s="210" t="s">
        <v>922</v>
      </c>
      <c r="D525" s="213" t="s">
        <v>767</v>
      </c>
      <c r="E525" s="211"/>
      <c r="F525" s="211"/>
      <c r="G525" s="211" t="s">
        <v>942</v>
      </c>
      <c r="H525" s="212">
        <v>43486</v>
      </c>
    </row>
    <row r="526" spans="1:8">
      <c r="A526" s="208">
        <v>43486</v>
      </c>
      <c r="B526" s="209" t="s">
        <v>110</v>
      </c>
      <c r="C526" s="210" t="s">
        <v>903</v>
      </c>
      <c r="D526" s="213" t="s">
        <v>908</v>
      </c>
      <c r="E526" s="211"/>
      <c r="F526" s="211"/>
      <c r="G526" s="211" t="s">
        <v>943</v>
      </c>
      <c r="H526" s="212">
        <v>43486</v>
      </c>
    </row>
    <row r="527" spans="1:8" ht="20">
      <c r="A527" s="208">
        <v>43486</v>
      </c>
      <c r="B527" s="209" t="s">
        <v>110</v>
      </c>
      <c r="C527" s="210" t="s">
        <v>51</v>
      </c>
      <c r="D527" s="213" t="s">
        <v>944</v>
      </c>
      <c r="E527" s="211"/>
      <c r="F527" s="211"/>
      <c r="G527" s="211" t="s">
        <v>911</v>
      </c>
      <c r="H527" s="212">
        <v>43486</v>
      </c>
    </row>
    <row r="528" spans="1:8" ht="20">
      <c r="A528" s="208">
        <v>43486</v>
      </c>
      <c r="B528" s="209" t="s">
        <v>110</v>
      </c>
      <c r="C528" s="210" t="s">
        <v>51</v>
      </c>
      <c r="D528" s="213" t="s">
        <v>111</v>
      </c>
      <c r="E528" s="211"/>
      <c r="F528" s="211"/>
      <c r="G528" s="211" t="s">
        <v>945</v>
      </c>
      <c r="H528" s="212">
        <v>43486</v>
      </c>
    </row>
    <row r="529" spans="1:8" ht="21">
      <c r="A529" s="208">
        <v>43486</v>
      </c>
      <c r="B529" s="209" t="s">
        <v>110</v>
      </c>
      <c r="C529" s="210" t="s">
        <v>46</v>
      </c>
      <c r="D529" s="213" t="s">
        <v>676</v>
      </c>
      <c r="E529" s="211"/>
      <c r="F529" s="211"/>
      <c r="G529" s="211" t="s">
        <v>946</v>
      </c>
      <c r="H529" s="212">
        <v>43486</v>
      </c>
    </row>
    <row r="530" spans="1:8">
      <c r="A530" s="208">
        <v>43486</v>
      </c>
      <c r="B530" s="209" t="s">
        <v>110</v>
      </c>
      <c r="C530" s="210" t="s">
        <v>46</v>
      </c>
      <c r="D530" s="213" t="s">
        <v>114</v>
      </c>
      <c r="E530" s="211"/>
      <c r="F530" s="211"/>
      <c r="G530" s="211" t="s">
        <v>947</v>
      </c>
      <c r="H530" s="212">
        <v>43486</v>
      </c>
    </row>
    <row r="531" spans="1:8" ht="20">
      <c r="A531" s="208">
        <v>43486</v>
      </c>
      <c r="B531" s="209" t="s">
        <v>110</v>
      </c>
      <c r="C531" s="210" t="s">
        <v>51</v>
      </c>
      <c r="D531" s="213" t="s">
        <v>680</v>
      </c>
      <c r="E531" s="211"/>
      <c r="F531" s="211"/>
      <c r="G531" s="211" t="s">
        <v>912</v>
      </c>
      <c r="H531" s="212">
        <v>43486</v>
      </c>
    </row>
    <row r="532" spans="1:8" ht="21">
      <c r="A532" s="208">
        <v>43486</v>
      </c>
      <c r="B532" s="209" t="s">
        <v>110</v>
      </c>
      <c r="C532" s="210" t="s">
        <v>46</v>
      </c>
      <c r="D532" s="213" t="s">
        <v>300</v>
      </c>
      <c r="E532" s="211"/>
      <c r="F532" s="211"/>
      <c r="G532" s="211" t="s">
        <v>948</v>
      </c>
      <c r="H532" s="212">
        <v>43486</v>
      </c>
    </row>
    <row r="533" spans="1:8" ht="20">
      <c r="A533" s="208">
        <v>43486</v>
      </c>
      <c r="B533" s="209" t="s">
        <v>110</v>
      </c>
      <c r="C533" s="210" t="s">
        <v>51</v>
      </c>
      <c r="D533" s="213" t="s">
        <v>949</v>
      </c>
      <c r="E533" s="211"/>
      <c r="F533" s="211"/>
      <c r="G533" s="211" t="s">
        <v>950</v>
      </c>
      <c r="H533" s="212">
        <v>43486</v>
      </c>
    </row>
    <row r="534" spans="1:8" ht="20">
      <c r="A534" s="208">
        <v>43486</v>
      </c>
      <c r="B534" s="209" t="s">
        <v>110</v>
      </c>
      <c r="C534" s="210" t="s">
        <v>922</v>
      </c>
      <c r="D534" s="213" t="s">
        <v>951</v>
      </c>
      <c r="E534" s="211"/>
      <c r="F534" s="211"/>
      <c r="G534" s="211" t="s">
        <v>952</v>
      </c>
      <c r="H534" s="212">
        <v>43486</v>
      </c>
    </row>
    <row r="535" spans="1:8">
      <c r="A535" s="208">
        <v>43486</v>
      </c>
      <c r="B535" s="209" t="s">
        <v>110</v>
      </c>
      <c r="C535" s="210" t="s">
        <v>903</v>
      </c>
      <c r="D535" s="213" t="s">
        <v>913</v>
      </c>
      <c r="E535" s="211"/>
      <c r="F535" s="211"/>
      <c r="G535" s="211" t="s">
        <v>914</v>
      </c>
      <c r="H535" s="212">
        <v>43486</v>
      </c>
    </row>
    <row r="536" spans="1:8" ht="21">
      <c r="A536" s="208">
        <v>43486</v>
      </c>
      <c r="B536" s="209" t="s">
        <v>110</v>
      </c>
      <c r="C536" s="210" t="s">
        <v>46</v>
      </c>
      <c r="D536" s="213" t="s">
        <v>915</v>
      </c>
      <c r="E536" s="211"/>
      <c r="F536" s="211"/>
      <c r="G536" s="211" t="s">
        <v>953</v>
      </c>
      <c r="H536" s="212">
        <v>43486</v>
      </c>
    </row>
    <row r="537" spans="1:8" ht="21">
      <c r="A537" s="208">
        <v>43486</v>
      </c>
      <c r="B537" s="209" t="s">
        <v>110</v>
      </c>
      <c r="C537" s="210" t="s">
        <v>46</v>
      </c>
      <c r="D537" s="213" t="s">
        <v>917</v>
      </c>
      <c r="E537" s="211"/>
      <c r="F537" s="211"/>
      <c r="G537" s="211" t="s">
        <v>954</v>
      </c>
      <c r="H537" s="212">
        <v>43486</v>
      </c>
    </row>
    <row r="538" spans="1:8">
      <c r="A538" s="208">
        <v>43486</v>
      </c>
      <c r="B538" s="209" t="s">
        <v>110</v>
      </c>
      <c r="C538" s="210" t="s">
        <v>51</v>
      </c>
      <c r="D538" s="213" t="s">
        <v>886</v>
      </c>
      <c r="E538" s="211"/>
      <c r="F538" s="211"/>
      <c r="G538" s="211" t="s">
        <v>955</v>
      </c>
      <c r="H538" s="212">
        <v>43486</v>
      </c>
    </row>
    <row r="539" spans="1:8" ht="30">
      <c r="A539" s="208">
        <v>43482</v>
      </c>
      <c r="B539" s="209" t="s">
        <v>91</v>
      </c>
      <c r="C539" s="210" t="s">
        <v>51</v>
      </c>
      <c r="D539" s="213" t="s">
        <v>705</v>
      </c>
      <c r="E539" s="211" t="s">
        <v>671</v>
      </c>
      <c r="F539" s="211" t="s">
        <v>559</v>
      </c>
      <c r="G539" s="211" t="s">
        <v>956</v>
      </c>
      <c r="H539" s="212">
        <v>43537</v>
      </c>
    </row>
    <row r="540" spans="1:8">
      <c r="A540" s="208">
        <v>43481</v>
      </c>
      <c r="B540" s="209" t="s">
        <v>45</v>
      </c>
      <c r="C540" s="210" t="s">
        <v>46</v>
      </c>
      <c r="D540" s="213" t="s">
        <v>602</v>
      </c>
      <c r="E540" s="211"/>
      <c r="F540" s="211"/>
      <c r="G540" s="211" t="s">
        <v>957</v>
      </c>
      <c r="H540" s="212">
        <v>43481</v>
      </c>
    </row>
    <row r="541" spans="1:8" ht="20">
      <c r="A541" s="208">
        <v>43481</v>
      </c>
      <c r="B541" s="209" t="s">
        <v>45</v>
      </c>
      <c r="C541" s="210" t="s">
        <v>51</v>
      </c>
      <c r="D541" s="213" t="s">
        <v>958</v>
      </c>
      <c r="E541" s="211"/>
      <c r="F541" s="211"/>
      <c r="G541" s="211" t="s">
        <v>959</v>
      </c>
      <c r="H541" s="212">
        <v>43481</v>
      </c>
    </row>
    <row r="542" spans="1:8">
      <c r="A542" s="208">
        <v>43481</v>
      </c>
      <c r="B542" s="209" t="s">
        <v>45</v>
      </c>
      <c r="C542" s="210" t="s">
        <v>903</v>
      </c>
      <c r="D542" s="213" t="s">
        <v>787</v>
      </c>
      <c r="E542" s="211"/>
      <c r="F542" s="211"/>
      <c r="G542" s="211" t="s">
        <v>905</v>
      </c>
      <c r="H542" s="212">
        <v>43481</v>
      </c>
    </row>
    <row r="543" spans="1:8" ht="21">
      <c r="A543" s="208">
        <v>43481</v>
      </c>
      <c r="B543" s="209" t="s">
        <v>45</v>
      </c>
      <c r="C543" s="210" t="s">
        <v>46</v>
      </c>
      <c r="D543" s="213" t="s">
        <v>606</v>
      </c>
      <c r="E543" s="211"/>
      <c r="F543" s="211"/>
      <c r="G543" s="211" t="s">
        <v>960</v>
      </c>
      <c r="H543" s="212">
        <v>43481</v>
      </c>
    </row>
    <row r="544" spans="1:8" ht="21">
      <c r="A544" s="208">
        <v>43481</v>
      </c>
      <c r="B544" s="209" t="s">
        <v>45</v>
      </c>
      <c r="C544" s="210" t="s">
        <v>46</v>
      </c>
      <c r="D544" s="213" t="s">
        <v>723</v>
      </c>
      <c r="E544" s="211"/>
      <c r="F544" s="211"/>
      <c r="G544" s="211" t="s">
        <v>961</v>
      </c>
      <c r="H544" s="212">
        <v>43481</v>
      </c>
    </row>
    <row r="545" spans="1:8" ht="20">
      <c r="A545" s="208">
        <v>43413</v>
      </c>
      <c r="B545" s="209" t="s">
        <v>105</v>
      </c>
      <c r="C545" s="210" t="s">
        <v>51</v>
      </c>
      <c r="D545" s="213" t="s">
        <v>962</v>
      </c>
      <c r="E545" s="211"/>
      <c r="F545" s="211"/>
      <c r="G545" s="211" t="s">
        <v>963</v>
      </c>
      <c r="H545" s="212">
        <v>43413</v>
      </c>
    </row>
    <row r="546" spans="1:8">
      <c r="A546" s="208">
        <v>43404</v>
      </c>
      <c r="B546" s="209" t="s">
        <v>45</v>
      </c>
      <c r="C546" s="210" t="s">
        <v>51</v>
      </c>
      <c r="D546" s="213" t="s">
        <v>783</v>
      </c>
      <c r="E546" s="211"/>
      <c r="F546" s="211"/>
      <c r="G546" s="211" t="s">
        <v>964</v>
      </c>
      <c r="H546" s="212">
        <v>43404</v>
      </c>
    </row>
    <row r="547" spans="1:8">
      <c r="A547" s="208">
        <v>43404</v>
      </c>
      <c r="B547" s="209" t="s">
        <v>45</v>
      </c>
      <c r="C547" s="210" t="s">
        <v>46</v>
      </c>
      <c r="D547" s="213" t="s">
        <v>965</v>
      </c>
      <c r="E547" s="211"/>
      <c r="F547" s="211"/>
      <c r="G547" s="211" t="s">
        <v>966</v>
      </c>
      <c r="H547" s="212">
        <v>43404</v>
      </c>
    </row>
    <row r="548" spans="1:8">
      <c r="A548" s="208">
        <v>43404</v>
      </c>
      <c r="B548" s="209" t="s">
        <v>45</v>
      </c>
      <c r="C548" s="210" t="s">
        <v>46</v>
      </c>
      <c r="D548" s="213" t="s">
        <v>967</v>
      </c>
      <c r="E548" s="211"/>
      <c r="F548" s="211"/>
      <c r="G548" s="211" t="s">
        <v>968</v>
      </c>
      <c r="H548" s="212">
        <v>43404</v>
      </c>
    </row>
    <row r="549" spans="1:8" ht="21">
      <c r="A549" s="208">
        <v>43404</v>
      </c>
      <c r="B549" s="209" t="s">
        <v>45</v>
      </c>
      <c r="C549" s="210" t="s">
        <v>46</v>
      </c>
      <c r="D549" s="213" t="s">
        <v>651</v>
      </c>
      <c r="E549" s="211"/>
      <c r="F549" s="211"/>
      <c r="G549" s="211" t="s">
        <v>969</v>
      </c>
      <c r="H549" s="212">
        <v>43404</v>
      </c>
    </row>
    <row r="550" spans="1:8">
      <c r="A550" s="208">
        <v>43404</v>
      </c>
      <c r="B550" s="209" t="s">
        <v>45</v>
      </c>
      <c r="C550" s="210" t="s">
        <v>46</v>
      </c>
      <c r="D550" s="213" t="s">
        <v>448</v>
      </c>
      <c r="E550" s="211"/>
      <c r="F550" s="211"/>
      <c r="G550" s="211" t="s">
        <v>970</v>
      </c>
      <c r="H550" s="212">
        <v>43404</v>
      </c>
    </row>
    <row r="551" spans="1:8" ht="20">
      <c r="A551" s="208">
        <v>43404</v>
      </c>
      <c r="B551" s="209" t="s">
        <v>77</v>
      </c>
      <c r="C551" s="210" t="s">
        <v>51</v>
      </c>
      <c r="D551" s="213" t="s">
        <v>826</v>
      </c>
      <c r="E551" s="211"/>
      <c r="F551" s="211"/>
      <c r="G551" s="211" t="s">
        <v>971</v>
      </c>
      <c r="H551" s="212">
        <v>43404</v>
      </c>
    </row>
    <row r="552" spans="1:8" ht="20">
      <c r="A552" s="208">
        <v>43404</v>
      </c>
      <c r="B552" s="209" t="s">
        <v>77</v>
      </c>
      <c r="C552" s="210" t="s">
        <v>51</v>
      </c>
      <c r="D552" s="213" t="s">
        <v>972</v>
      </c>
      <c r="E552" s="211"/>
      <c r="F552" s="211"/>
      <c r="G552" s="211" t="s">
        <v>973</v>
      </c>
      <c r="H552" s="212">
        <v>43404</v>
      </c>
    </row>
    <row r="553" spans="1:8" ht="21">
      <c r="A553" s="208">
        <v>43404</v>
      </c>
      <c r="B553" s="209" t="s">
        <v>77</v>
      </c>
      <c r="C553" s="210" t="s">
        <v>46</v>
      </c>
      <c r="D553" s="213" t="s">
        <v>974</v>
      </c>
      <c r="E553" s="211"/>
      <c r="F553" s="211"/>
      <c r="G553" s="211" t="s">
        <v>975</v>
      </c>
      <c r="H553" s="212">
        <v>43404</v>
      </c>
    </row>
    <row r="554" spans="1:8" ht="20">
      <c r="A554" s="208">
        <v>43404</v>
      </c>
      <c r="B554" s="209" t="s">
        <v>77</v>
      </c>
      <c r="C554" s="210" t="s">
        <v>51</v>
      </c>
      <c r="D554" s="213" t="s">
        <v>976</v>
      </c>
      <c r="E554" s="211"/>
      <c r="F554" s="211"/>
      <c r="G554" s="211" t="s">
        <v>977</v>
      </c>
      <c r="H554" s="212">
        <v>43404</v>
      </c>
    </row>
    <row r="555" spans="1:8" ht="21">
      <c r="A555" s="208">
        <v>43404</v>
      </c>
      <c r="B555" s="209" t="s">
        <v>77</v>
      </c>
      <c r="C555" s="210" t="s">
        <v>46</v>
      </c>
      <c r="D555" s="213" t="s">
        <v>978</v>
      </c>
      <c r="E555" s="211"/>
      <c r="F555" s="211"/>
      <c r="G555" s="211" t="s">
        <v>979</v>
      </c>
      <c r="H555" s="212">
        <v>43404</v>
      </c>
    </row>
    <row r="556" spans="1:8">
      <c r="A556" s="208">
        <v>43404</v>
      </c>
      <c r="B556" s="209" t="s">
        <v>91</v>
      </c>
      <c r="C556" s="210" t="s">
        <v>903</v>
      </c>
      <c r="D556" s="213" t="s">
        <v>980</v>
      </c>
      <c r="E556" s="211"/>
      <c r="F556" s="211"/>
      <c r="G556" s="211" t="s">
        <v>981</v>
      </c>
      <c r="H556" s="212">
        <v>43404</v>
      </c>
    </row>
    <row r="557" spans="1:8" ht="21">
      <c r="A557" s="208">
        <v>43404</v>
      </c>
      <c r="B557" s="209" t="s">
        <v>110</v>
      </c>
      <c r="C557" s="210" t="s">
        <v>46</v>
      </c>
      <c r="D557" s="213" t="s">
        <v>590</v>
      </c>
      <c r="E557" s="211"/>
      <c r="F557" s="211"/>
      <c r="G557" s="211" t="s">
        <v>982</v>
      </c>
      <c r="H557" s="212">
        <v>43404</v>
      </c>
    </row>
    <row r="558" spans="1:8">
      <c r="A558" s="208">
        <v>43404</v>
      </c>
      <c r="B558" s="209" t="s">
        <v>110</v>
      </c>
      <c r="C558" s="210" t="s">
        <v>903</v>
      </c>
      <c r="D558" s="213" t="s">
        <v>951</v>
      </c>
      <c r="E558" s="211"/>
      <c r="F558" s="211"/>
      <c r="G558" s="211" t="s">
        <v>983</v>
      </c>
      <c r="H558" s="212">
        <v>43404</v>
      </c>
    </row>
    <row r="559" spans="1:8" ht="21">
      <c r="A559" s="208">
        <v>43404</v>
      </c>
      <c r="B559" s="209" t="s">
        <v>110</v>
      </c>
      <c r="C559" s="210" t="s">
        <v>46</v>
      </c>
      <c r="D559" s="213" t="s">
        <v>443</v>
      </c>
      <c r="E559" s="211"/>
      <c r="F559" s="211"/>
      <c r="G559" s="211" t="s">
        <v>984</v>
      </c>
      <c r="H559" s="212">
        <v>43404</v>
      </c>
    </row>
    <row r="560" spans="1:8" ht="21">
      <c r="A560" s="208">
        <v>43404</v>
      </c>
      <c r="B560" s="209" t="s">
        <v>110</v>
      </c>
      <c r="C560" s="210" t="s">
        <v>46</v>
      </c>
      <c r="D560" s="213" t="s">
        <v>985</v>
      </c>
      <c r="E560" s="211"/>
      <c r="F560" s="211"/>
      <c r="G560" s="211" t="s">
        <v>986</v>
      </c>
      <c r="H560" s="212">
        <v>43404</v>
      </c>
    </row>
    <row r="561" spans="1:8">
      <c r="A561" s="208">
        <v>43404</v>
      </c>
      <c r="B561" s="209" t="s">
        <v>110</v>
      </c>
      <c r="C561" s="210" t="s">
        <v>46</v>
      </c>
      <c r="D561" s="213" t="s">
        <v>407</v>
      </c>
      <c r="E561" s="211"/>
      <c r="F561" s="211"/>
      <c r="G561" s="211" t="s">
        <v>987</v>
      </c>
      <c r="H561" s="212">
        <v>43404</v>
      </c>
    </row>
    <row r="562" spans="1:8">
      <c r="A562" s="208">
        <v>43404</v>
      </c>
      <c r="B562" s="209" t="s">
        <v>110</v>
      </c>
      <c r="C562" s="210" t="s">
        <v>46</v>
      </c>
      <c r="D562" s="213" t="s">
        <v>886</v>
      </c>
      <c r="E562" s="211"/>
      <c r="F562" s="211"/>
      <c r="G562" s="211" t="s">
        <v>988</v>
      </c>
      <c r="H562" s="212">
        <v>43404</v>
      </c>
    </row>
    <row r="563" spans="1:8">
      <c r="A563" s="208">
        <v>43312</v>
      </c>
      <c r="B563" s="209" t="s">
        <v>45</v>
      </c>
      <c r="C563" s="210" t="s">
        <v>46</v>
      </c>
      <c r="D563" s="213" t="s">
        <v>776</v>
      </c>
      <c r="E563" s="211"/>
      <c r="F563" s="211"/>
      <c r="G563" s="211" t="s">
        <v>989</v>
      </c>
      <c r="H563" s="212">
        <v>43312</v>
      </c>
    </row>
    <row r="564" spans="1:8" ht="21">
      <c r="A564" s="208">
        <v>43312</v>
      </c>
      <c r="B564" s="209" t="s">
        <v>45</v>
      </c>
      <c r="C564" s="210" t="s">
        <v>46</v>
      </c>
      <c r="D564" s="213" t="s">
        <v>783</v>
      </c>
      <c r="E564" s="211"/>
      <c r="F564" s="211"/>
      <c r="G564" s="211" t="s">
        <v>990</v>
      </c>
      <c r="H564" s="212">
        <v>43312</v>
      </c>
    </row>
    <row r="565" spans="1:8" ht="21">
      <c r="A565" s="208">
        <v>43312</v>
      </c>
      <c r="B565" s="209" t="s">
        <v>45</v>
      </c>
      <c r="C565" s="210" t="s">
        <v>46</v>
      </c>
      <c r="D565" s="213" t="s">
        <v>490</v>
      </c>
      <c r="E565" s="211"/>
      <c r="F565" s="211"/>
      <c r="G565" s="211" t="s">
        <v>991</v>
      </c>
      <c r="H565" s="212">
        <v>43312</v>
      </c>
    </row>
    <row r="566" spans="1:8" ht="21">
      <c r="A566" s="208">
        <v>43312</v>
      </c>
      <c r="B566" s="209" t="s">
        <v>77</v>
      </c>
      <c r="C566" s="210" t="s">
        <v>46</v>
      </c>
      <c r="D566" s="213" t="s">
        <v>814</v>
      </c>
      <c r="E566" s="211"/>
      <c r="F566" s="211"/>
      <c r="G566" s="211" t="s">
        <v>992</v>
      </c>
      <c r="H566" s="212">
        <v>43312</v>
      </c>
    </row>
    <row r="567" spans="1:8" ht="21">
      <c r="A567" s="208">
        <v>43312</v>
      </c>
      <c r="B567" s="209" t="s">
        <v>77</v>
      </c>
      <c r="C567" s="210" t="s">
        <v>46</v>
      </c>
      <c r="D567" s="213" t="s">
        <v>821</v>
      </c>
      <c r="E567" s="211"/>
      <c r="F567" s="211"/>
      <c r="G567" s="211" t="s">
        <v>993</v>
      </c>
      <c r="H567" s="212">
        <v>43312</v>
      </c>
    </row>
    <row r="568" spans="1:8" ht="21">
      <c r="A568" s="208">
        <v>43312</v>
      </c>
      <c r="B568" s="209" t="s">
        <v>77</v>
      </c>
      <c r="C568" s="210" t="s">
        <v>46</v>
      </c>
      <c r="D568" s="213" t="s">
        <v>833</v>
      </c>
      <c r="E568" s="211"/>
      <c r="F568" s="211"/>
      <c r="G568" s="211" t="s">
        <v>994</v>
      </c>
      <c r="H568" s="212">
        <v>43312</v>
      </c>
    </row>
    <row r="569" spans="1:8">
      <c r="A569" s="208">
        <v>43312</v>
      </c>
      <c r="B569" s="209" t="s">
        <v>77</v>
      </c>
      <c r="C569" s="210" t="s">
        <v>46</v>
      </c>
      <c r="D569" s="213" t="s">
        <v>995</v>
      </c>
      <c r="E569" s="211"/>
      <c r="F569" s="211"/>
      <c r="G569" s="211" t="s">
        <v>996</v>
      </c>
      <c r="H569" s="212">
        <v>43312</v>
      </c>
    </row>
    <row r="570" spans="1:8" ht="21">
      <c r="A570" s="208">
        <v>43312</v>
      </c>
      <c r="B570" s="209" t="s">
        <v>77</v>
      </c>
      <c r="C570" s="210" t="s">
        <v>46</v>
      </c>
      <c r="D570" s="213" t="s">
        <v>845</v>
      </c>
      <c r="E570" s="211"/>
      <c r="F570" s="211"/>
      <c r="G570" s="211" t="s">
        <v>997</v>
      </c>
      <c r="H570" s="212">
        <v>43312</v>
      </c>
    </row>
    <row r="571" spans="1:8" ht="21">
      <c r="A571" s="208">
        <v>43312</v>
      </c>
      <c r="B571" s="209" t="s">
        <v>77</v>
      </c>
      <c r="C571" s="210" t="s">
        <v>46</v>
      </c>
      <c r="D571" s="213" t="s">
        <v>998</v>
      </c>
      <c r="E571" s="211"/>
      <c r="F571" s="211"/>
      <c r="G571" s="211" t="s">
        <v>999</v>
      </c>
      <c r="H571" s="212">
        <v>43312</v>
      </c>
    </row>
    <row r="572" spans="1:8" ht="21">
      <c r="A572" s="208">
        <v>43312</v>
      </c>
      <c r="B572" s="209" t="s">
        <v>77</v>
      </c>
      <c r="C572" s="210" t="s">
        <v>46</v>
      </c>
      <c r="D572" s="213" t="s">
        <v>1000</v>
      </c>
      <c r="E572" s="211"/>
      <c r="F572" s="211"/>
      <c r="G572" s="211" t="s">
        <v>1001</v>
      </c>
      <c r="H572" s="212">
        <v>43312</v>
      </c>
    </row>
    <row r="573" spans="1:8">
      <c r="A573" s="208">
        <v>43312</v>
      </c>
      <c r="B573" s="209" t="s">
        <v>91</v>
      </c>
      <c r="C573" s="210" t="s">
        <v>46</v>
      </c>
      <c r="D573" s="213" t="s">
        <v>906</v>
      </c>
      <c r="E573" s="211"/>
      <c r="F573" s="211"/>
      <c r="G573" s="211" t="s">
        <v>1002</v>
      </c>
      <c r="H573" s="212">
        <v>43312</v>
      </c>
    </row>
    <row r="574" spans="1:8" ht="21">
      <c r="A574" s="208">
        <v>43312</v>
      </c>
      <c r="B574" s="209" t="s">
        <v>105</v>
      </c>
      <c r="C574" s="210" t="s">
        <v>46</v>
      </c>
      <c r="D574" s="213" t="s">
        <v>1003</v>
      </c>
      <c r="E574" s="211"/>
      <c r="F574" s="211"/>
      <c r="G574" s="211" t="s">
        <v>1004</v>
      </c>
      <c r="H574" s="212">
        <v>43312</v>
      </c>
    </row>
    <row r="575" spans="1:8" ht="21">
      <c r="A575" s="208">
        <v>43312</v>
      </c>
      <c r="B575" s="209" t="s">
        <v>110</v>
      </c>
      <c r="C575" s="210" t="s">
        <v>46</v>
      </c>
      <c r="D575" s="213" t="s">
        <v>908</v>
      </c>
      <c r="E575" s="211"/>
      <c r="F575" s="211"/>
      <c r="G575" s="211" t="s">
        <v>1005</v>
      </c>
      <c r="H575" s="212">
        <v>43312</v>
      </c>
    </row>
    <row r="576" spans="1:8" ht="21">
      <c r="A576" s="208">
        <v>43312</v>
      </c>
      <c r="B576" s="209" t="s">
        <v>110</v>
      </c>
      <c r="C576" s="210" t="s">
        <v>46</v>
      </c>
      <c r="D576" s="213" t="s">
        <v>370</v>
      </c>
      <c r="E576" s="211"/>
      <c r="F576" s="211"/>
      <c r="G576" s="211" t="s">
        <v>1006</v>
      </c>
      <c r="H576" s="212">
        <v>43312</v>
      </c>
    </row>
    <row r="577" spans="1:8" ht="21">
      <c r="A577" s="208">
        <v>43312</v>
      </c>
      <c r="B577" s="209" t="s">
        <v>110</v>
      </c>
      <c r="C577" s="210" t="s">
        <v>46</v>
      </c>
      <c r="D577" s="213" t="s">
        <v>590</v>
      </c>
      <c r="E577" s="211"/>
      <c r="F577" s="211"/>
      <c r="G577" s="211" t="s">
        <v>1007</v>
      </c>
      <c r="H577" s="212">
        <v>43312</v>
      </c>
    </row>
    <row r="578" spans="1:8" ht="21">
      <c r="A578" s="208">
        <v>43312</v>
      </c>
      <c r="B578" s="209" t="s">
        <v>110</v>
      </c>
      <c r="C578" s="210" t="s">
        <v>46</v>
      </c>
      <c r="D578" s="213" t="s">
        <v>949</v>
      </c>
      <c r="E578" s="211"/>
      <c r="F578" s="211"/>
      <c r="G578" s="211" t="s">
        <v>1008</v>
      </c>
      <c r="H578" s="212">
        <v>43312</v>
      </c>
    </row>
    <row r="579" spans="1:8" ht="21">
      <c r="A579" s="208">
        <v>43312</v>
      </c>
      <c r="B579" s="209" t="s">
        <v>110</v>
      </c>
      <c r="C579" s="210" t="s">
        <v>46</v>
      </c>
      <c r="D579" s="213" t="s">
        <v>913</v>
      </c>
      <c r="E579" s="211"/>
      <c r="F579" s="211"/>
      <c r="G579" s="211" t="s">
        <v>1009</v>
      </c>
      <c r="H579" s="212">
        <v>43312</v>
      </c>
    </row>
    <row r="580" spans="1:8" ht="21">
      <c r="A580" s="208">
        <v>43312</v>
      </c>
      <c r="B580" s="209" t="s">
        <v>110</v>
      </c>
      <c r="C580" s="210" t="s">
        <v>46</v>
      </c>
      <c r="D580" s="213" t="s">
        <v>1010</v>
      </c>
      <c r="E580" s="211"/>
      <c r="F580" s="211"/>
      <c r="G580" s="211" t="s">
        <v>1011</v>
      </c>
      <c r="H580" s="212">
        <v>43312</v>
      </c>
    </row>
    <row r="581" spans="1:8" ht="20">
      <c r="A581" s="208">
        <v>43312</v>
      </c>
      <c r="B581" s="209" t="s">
        <v>110</v>
      </c>
      <c r="C581" s="210" t="s">
        <v>51</v>
      </c>
      <c r="D581" s="213" t="s">
        <v>643</v>
      </c>
      <c r="E581" s="211"/>
      <c r="F581" s="211"/>
      <c r="G581" s="211" t="s">
        <v>1012</v>
      </c>
      <c r="H581" s="212">
        <v>43312</v>
      </c>
    </row>
    <row r="582" spans="1:8" ht="21">
      <c r="A582" s="208">
        <v>43312</v>
      </c>
      <c r="B582" s="209" t="s">
        <v>110</v>
      </c>
      <c r="C582" s="210" t="s">
        <v>46</v>
      </c>
      <c r="D582" s="213" t="s">
        <v>407</v>
      </c>
      <c r="E582" s="211"/>
      <c r="F582" s="211"/>
      <c r="G582" s="211" t="s">
        <v>1013</v>
      </c>
      <c r="H582" s="212">
        <v>43312</v>
      </c>
    </row>
    <row r="583" spans="1:8">
      <c r="A583" s="208">
        <v>43312</v>
      </c>
      <c r="B583" s="209" t="s">
        <v>110</v>
      </c>
      <c r="C583" s="210" t="s">
        <v>46</v>
      </c>
      <c r="D583" s="213" t="s">
        <v>1014</v>
      </c>
      <c r="E583" s="211"/>
      <c r="F583" s="211"/>
      <c r="G583" s="211" t="s">
        <v>1015</v>
      </c>
      <c r="H583" s="212">
        <v>43312</v>
      </c>
    </row>
    <row r="584" spans="1:8">
      <c r="A584" s="208">
        <v>43312</v>
      </c>
      <c r="B584" s="209" t="s">
        <v>110</v>
      </c>
      <c r="C584" s="210" t="s">
        <v>46</v>
      </c>
      <c r="D584" s="213" t="s">
        <v>1016</v>
      </c>
      <c r="E584" s="211"/>
      <c r="F584" s="211"/>
      <c r="G584" s="211" t="s">
        <v>1017</v>
      </c>
      <c r="H584" s="212">
        <v>43312</v>
      </c>
    </row>
    <row r="585" spans="1:8">
      <c r="A585" s="208">
        <v>43312</v>
      </c>
      <c r="B585" s="209" t="s">
        <v>110</v>
      </c>
      <c r="C585" s="210" t="s">
        <v>46</v>
      </c>
      <c r="D585" s="213" t="s">
        <v>896</v>
      </c>
      <c r="E585" s="211"/>
      <c r="F585" s="211"/>
      <c r="G585" s="211" t="s">
        <v>1018</v>
      </c>
      <c r="H585" s="212">
        <v>43312</v>
      </c>
    </row>
    <row r="586" spans="1:8" ht="21">
      <c r="A586" s="208">
        <v>43175</v>
      </c>
      <c r="B586" s="209" t="s">
        <v>77</v>
      </c>
      <c r="C586" s="210" t="s">
        <v>46</v>
      </c>
      <c r="D586" s="213" t="s">
        <v>275</v>
      </c>
      <c r="E586" s="211"/>
      <c r="F586" s="211"/>
      <c r="G586" s="211" t="s">
        <v>1019</v>
      </c>
      <c r="H586" s="212">
        <v>43175</v>
      </c>
    </row>
    <row r="587" spans="1:8" ht="21">
      <c r="A587" s="208">
        <v>43175</v>
      </c>
      <c r="B587" s="209" t="s">
        <v>91</v>
      </c>
      <c r="C587" s="210" t="s">
        <v>46</v>
      </c>
      <c r="D587" s="213" t="s">
        <v>731</v>
      </c>
      <c r="E587" s="211"/>
      <c r="F587" s="211"/>
      <c r="G587" s="211" t="s">
        <v>1020</v>
      </c>
      <c r="H587" s="212">
        <v>43175</v>
      </c>
    </row>
    <row r="588" spans="1:8" ht="21">
      <c r="A588" s="208">
        <v>43175</v>
      </c>
      <c r="B588" s="209" t="s">
        <v>91</v>
      </c>
      <c r="C588" s="210" t="s">
        <v>46</v>
      </c>
      <c r="D588" s="213" t="s">
        <v>1021</v>
      </c>
      <c r="E588" s="211"/>
      <c r="F588" s="211"/>
      <c r="G588" s="211" t="s">
        <v>1022</v>
      </c>
      <c r="H588" s="212">
        <v>43175</v>
      </c>
    </row>
    <row r="589" spans="1:8" ht="30">
      <c r="A589" s="208">
        <v>43175</v>
      </c>
      <c r="B589" s="209" t="s">
        <v>91</v>
      </c>
      <c r="C589" s="210" t="s">
        <v>51</v>
      </c>
      <c r="D589" s="213" t="s">
        <v>1023</v>
      </c>
      <c r="E589" s="211"/>
      <c r="F589" s="211"/>
      <c r="G589" s="211" t="s">
        <v>1024</v>
      </c>
      <c r="H589" s="212">
        <v>43175</v>
      </c>
    </row>
    <row r="590" spans="1:8">
      <c r="A590" s="208">
        <v>43175</v>
      </c>
      <c r="B590" s="209" t="s">
        <v>110</v>
      </c>
      <c r="C590" s="210" t="s">
        <v>46</v>
      </c>
      <c r="D590" s="213" t="s">
        <v>1025</v>
      </c>
      <c r="E590" s="211"/>
      <c r="F590" s="211"/>
      <c r="G590" s="211" t="s">
        <v>1026</v>
      </c>
      <c r="H590" s="212">
        <v>43175</v>
      </c>
    </row>
    <row r="591" spans="1:8">
      <c r="A591" s="208">
        <v>43091</v>
      </c>
      <c r="B591" s="209" t="s">
        <v>45</v>
      </c>
      <c r="C591" s="210" t="s">
        <v>922</v>
      </c>
      <c r="D591" s="213" t="s">
        <v>467</v>
      </c>
      <c r="E591" s="211"/>
      <c r="F591" s="211"/>
      <c r="G591" s="211" t="s">
        <v>1027</v>
      </c>
      <c r="H591" s="212">
        <v>43091</v>
      </c>
    </row>
    <row r="592" spans="1:8" ht="21">
      <c r="A592" s="208">
        <v>43091</v>
      </c>
      <c r="B592" s="209" t="s">
        <v>45</v>
      </c>
      <c r="C592" s="210" t="s">
        <v>46</v>
      </c>
      <c r="D592" s="213" t="s">
        <v>780</v>
      </c>
      <c r="E592" s="211"/>
      <c r="F592" s="211"/>
      <c r="G592" s="211" t="s">
        <v>1028</v>
      </c>
      <c r="H592" s="212">
        <v>43091</v>
      </c>
    </row>
    <row r="593" spans="1:8" ht="21">
      <c r="A593" s="208">
        <v>43091</v>
      </c>
      <c r="B593" s="209" t="s">
        <v>45</v>
      </c>
      <c r="C593" s="210" t="s">
        <v>46</v>
      </c>
      <c r="D593" s="213" t="s">
        <v>787</v>
      </c>
      <c r="E593" s="211"/>
      <c r="F593" s="211"/>
      <c r="G593" s="211" t="s">
        <v>1029</v>
      </c>
      <c r="H593" s="212">
        <v>43091</v>
      </c>
    </row>
    <row r="594" spans="1:8" ht="21">
      <c r="A594" s="208">
        <v>43091</v>
      </c>
      <c r="B594" s="209" t="s">
        <v>45</v>
      </c>
      <c r="C594" s="210" t="s">
        <v>46</v>
      </c>
      <c r="D594" s="213" t="s">
        <v>1030</v>
      </c>
      <c r="E594" s="211"/>
      <c r="F594" s="211"/>
      <c r="G594" s="211" t="s">
        <v>1031</v>
      </c>
      <c r="H594" s="212">
        <v>43091</v>
      </c>
    </row>
    <row r="595" spans="1:8" ht="21">
      <c r="A595" s="208">
        <v>43091</v>
      </c>
      <c r="B595" s="209" t="s">
        <v>45</v>
      </c>
      <c r="C595" s="210" t="s">
        <v>46</v>
      </c>
      <c r="D595" s="213" t="s">
        <v>1032</v>
      </c>
      <c r="E595" s="211"/>
      <c r="F595" s="211"/>
      <c r="G595" s="211" t="s">
        <v>1033</v>
      </c>
      <c r="H595" s="212">
        <v>43091</v>
      </c>
    </row>
    <row r="596" spans="1:8" ht="21">
      <c r="A596" s="208">
        <v>43091</v>
      </c>
      <c r="B596" s="209" t="s">
        <v>45</v>
      </c>
      <c r="C596" s="210" t="s">
        <v>46</v>
      </c>
      <c r="D596" s="213" t="s">
        <v>1034</v>
      </c>
      <c r="E596" s="211"/>
      <c r="F596" s="211"/>
      <c r="G596" s="211" t="s">
        <v>1035</v>
      </c>
      <c r="H596" s="212">
        <v>43091</v>
      </c>
    </row>
    <row r="597" spans="1:8" ht="30">
      <c r="A597" s="208">
        <v>43091</v>
      </c>
      <c r="B597" s="209" t="s">
        <v>45</v>
      </c>
      <c r="C597" s="210" t="s">
        <v>922</v>
      </c>
      <c r="D597" s="213" t="s">
        <v>800</v>
      </c>
      <c r="E597" s="211"/>
      <c r="F597" s="211"/>
      <c r="G597" s="211" t="s">
        <v>1036</v>
      </c>
      <c r="H597" s="212">
        <v>43091</v>
      </c>
    </row>
    <row r="598" spans="1:8" ht="21">
      <c r="A598" s="208">
        <v>43091</v>
      </c>
      <c r="B598" s="209" t="s">
        <v>45</v>
      </c>
      <c r="C598" s="210" t="s">
        <v>46</v>
      </c>
      <c r="D598" s="213" t="s">
        <v>1037</v>
      </c>
      <c r="E598" s="211"/>
      <c r="F598" s="211"/>
      <c r="G598" s="211" t="s">
        <v>1038</v>
      </c>
      <c r="H598" s="212">
        <v>43091</v>
      </c>
    </row>
    <row r="599" spans="1:8">
      <c r="A599" s="208">
        <v>43091</v>
      </c>
      <c r="B599" s="209" t="s">
        <v>77</v>
      </c>
      <c r="C599" s="210" t="s">
        <v>922</v>
      </c>
      <c r="D599" s="213" t="s">
        <v>708</v>
      </c>
      <c r="E599" s="211"/>
      <c r="F599" s="211"/>
      <c r="G599" s="211" t="s">
        <v>1039</v>
      </c>
      <c r="H599" s="212">
        <v>43091</v>
      </c>
    </row>
    <row r="600" spans="1:8" ht="21">
      <c r="A600" s="208">
        <v>43091</v>
      </c>
      <c r="B600" s="209" t="s">
        <v>77</v>
      </c>
      <c r="C600" s="210" t="s">
        <v>46</v>
      </c>
      <c r="D600" s="213" t="s">
        <v>817</v>
      </c>
      <c r="E600" s="211"/>
      <c r="F600" s="211"/>
      <c r="G600" s="211" t="s">
        <v>1040</v>
      </c>
      <c r="H600" s="212">
        <v>43091</v>
      </c>
    </row>
    <row r="601" spans="1:8" ht="21">
      <c r="A601" s="208">
        <v>43091</v>
      </c>
      <c r="B601" s="209" t="s">
        <v>77</v>
      </c>
      <c r="C601" s="210" t="s">
        <v>46</v>
      </c>
      <c r="D601" s="213" t="s">
        <v>1041</v>
      </c>
      <c r="E601" s="211"/>
      <c r="F601" s="211"/>
      <c r="G601" s="211" t="s">
        <v>1042</v>
      </c>
      <c r="H601" s="212">
        <v>43091</v>
      </c>
    </row>
    <row r="602" spans="1:8" ht="21">
      <c r="A602" s="208">
        <v>43091</v>
      </c>
      <c r="B602" s="209" t="s">
        <v>77</v>
      </c>
      <c r="C602" s="210" t="s">
        <v>46</v>
      </c>
      <c r="D602" s="213" t="s">
        <v>192</v>
      </c>
      <c r="E602" s="211"/>
      <c r="F602" s="211"/>
      <c r="G602" s="211" t="s">
        <v>1043</v>
      </c>
      <c r="H602" s="212">
        <v>43091</v>
      </c>
    </row>
    <row r="603" spans="1:8">
      <c r="A603" s="208">
        <v>43091</v>
      </c>
      <c r="B603" s="209" t="s">
        <v>77</v>
      </c>
      <c r="C603" s="210" t="s">
        <v>46</v>
      </c>
      <c r="D603" s="213" t="s">
        <v>826</v>
      </c>
      <c r="E603" s="211"/>
      <c r="F603" s="211"/>
      <c r="G603" s="211" t="s">
        <v>1044</v>
      </c>
      <c r="H603" s="212">
        <v>43091</v>
      </c>
    </row>
    <row r="604" spans="1:8">
      <c r="A604" s="208">
        <v>43091</v>
      </c>
      <c r="B604" s="209" t="s">
        <v>77</v>
      </c>
      <c r="C604" s="210" t="s">
        <v>46</v>
      </c>
      <c r="D604" s="213" t="s">
        <v>830</v>
      </c>
      <c r="E604" s="211"/>
      <c r="F604" s="211"/>
      <c r="G604" s="211" t="s">
        <v>1045</v>
      </c>
      <c r="H604" s="212">
        <v>43091</v>
      </c>
    </row>
    <row r="605" spans="1:8">
      <c r="A605" s="208">
        <v>43091</v>
      </c>
      <c r="B605" s="209" t="s">
        <v>77</v>
      </c>
      <c r="C605" s="210" t="s">
        <v>46</v>
      </c>
      <c r="D605" s="213" t="s">
        <v>1046</v>
      </c>
      <c r="E605" s="211"/>
      <c r="F605" s="211"/>
      <c r="G605" s="211" t="s">
        <v>1047</v>
      </c>
      <c r="H605" s="212">
        <v>43091</v>
      </c>
    </row>
    <row r="606" spans="1:8">
      <c r="A606" s="208">
        <v>43091</v>
      </c>
      <c r="B606" s="209" t="s">
        <v>77</v>
      </c>
      <c r="C606" s="210" t="s">
        <v>46</v>
      </c>
      <c r="D606" s="213" t="s">
        <v>972</v>
      </c>
      <c r="E606" s="211"/>
      <c r="F606" s="211"/>
      <c r="G606" s="211" t="s">
        <v>1048</v>
      </c>
      <c r="H606" s="212">
        <v>43091</v>
      </c>
    </row>
    <row r="607" spans="1:8">
      <c r="A607" s="208">
        <v>43091</v>
      </c>
      <c r="B607" s="209" t="s">
        <v>77</v>
      </c>
      <c r="C607" s="210" t="s">
        <v>46</v>
      </c>
      <c r="D607" s="213" t="s">
        <v>839</v>
      </c>
      <c r="E607" s="211"/>
      <c r="F607" s="211"/>
      <c r="G607" s="211" t="s">
        <v>1049</v>
      </c>
      <c r="H607" s="212">
        <v>43091</v>
      </c>
    </row>
    <row r="608" spans="1:8" ht="21">
      <c r="A608" s="208">
        <v>43091</v>
      </c>
      <c r="B608" s="209" t="s">
        <v>77</v>
      </c>
      <c r="C608" s="210" t="s">
        <v>46</v>
      </c>
      <c r="D608" s="213" t="s">
        <v>974</v>
      </c>
      <c r="E608" s="211"/>
      <c r="F608" s="211"/>
      <c r="G608" s="211" t="s">
        <v>1050</v>
      </c>
      <c r="H608" s="212">
        <v>43091</v>
      </c>
    </row>
    <row r="609" spans="1:8">
      <c r="A609" s="208">
        <v>43091</v>
      </c>
      <c r="B609" s="209" t="s">
        <v>77</v>
      </c>
      <c r="C609" s="210" t="s">
        <v>46</v>
      </c>
      <c r="D609" s="213" t="s">
        <v>1051</v>
      </c>
      <c r="E609" s="211"/>
      <c r="F609" s="211"/>
      <c r="G609" s="211" t="s">
        <v>1052</v>
      </c>
      <c r="H609" s="212">
        <v>43091</v>
      </c>
    </row>
    <row r="610" spans="1:8">
      <c r="A610" s="208">
        <v>43091</v>
      </c>
      <c r="B610" s="209" t="s">
        <v>77</v>
      </c>
      <c r="C610" s="210" t="s">
        <v>46</v>
      </c>
      <c r="D610" s="213" t="s">
        <v>1053</v>
      </c>
      <c r="E610" s="211"/>
      <c r="F610" s="211"/>
      <c r="G610" s="211" t="s">
        <v>1054</v>
      </c>
      <c r="H610" s="212">
        <v>43091</v>
      </c>
    </row>
    <row r="611" spans="1:8" ht="21">
      <c r="A611" s="208">
        <v>43091</v>
      </c>
      <c r="B611" s="209" t="s">
        <v>77</v>
      </c>
      <c r="C611" s="210" t="s">
        <v>46</v>
      </c>
      <c r="D611" s="213" t="s">
        <v>1055</v>
      </c>
      <c r="E611" s="211"/>
      <c r="F611" s="211"/>
      <c r="G611" s="211" t="s">
        <v>1056</v>
      </c>
      <c r="H611" s="212">
        <v>43091</v>
      </c>
    </row>
    <row r="612" spans="1:8" ht="21">
      <c r="A612" s="208">
        <v>43091</v>
      </c>
      <c r="B612" s="209" t="s">
        <v>77</v>
      </c>
      <c r="C612" s="210" t="s">
        <v>46</v>
      </c>
      <c r="D612" s="213" t="s">
        <v>269</v>
      </c>
      <c r="E612" s="211"/>
      <c r="F612" s="211"/>
      <c r="G612" s="211" t="s">
        <v>1057</v>
      </c>
      <c r="H612" s="212">
        <v>43091</v>
      </c>
    </row>
    <row r="613" spans="1:8">
      <c r="A613" s="208">
        <v>43091</v>
      </c>
      <c r="B613" s="209" t="s">
        <v>77</v>
      </c>
      <c r="C613" s="210" t="s">
        <v>46</v>
      </c>
      <c r="D613" s="213" t="s">
        <v>1058</v>
      </c>
      <c r="E613" s="211"/>
      <c r="F613" s="211"/>
      <c r="G613" s="211" t="s">
        <v>1059</v>
      </c>
      <c r="H613" s="212">
        <v>43091</v>
      </c>
    </row>
    <row r="614" spans="1:8">
      <c r="A614" s="208">
        <v>43091</v>
      </c>
      <c r="B614" s="209" t="s">
        <v>77</v>
      </c>
      <c r="C614" s="210" t="s">
        <v>46</v>
      </c>
      <c r="D614" s="213" t="s">
        <v>1060</v>
      </c>
      <c r="E614" s="211"/>
      <c r="F614" s="211"/>
      <c r="G614" s="211" t="s">
        <v>1061</v>
      </c>
      <c r="H614" s="212">
        <v>43091</v>
      </c>
    </row>
    <row r="615" spans="1:8">
      <c r="A615" s="208">
        <v>43091</v>
      </c>
      <c r="B615" s="209" t="s">
        <v>77</v>
      </c>
      <c r="C615" s="210" t="s">
        <v>46</v>
      </c>
      <c r="D615" s="213" t="s">
        <v>1062</v>
      </c>
      <c r="E615" s="211"/>
      <c r="F615" s="211"/>
      <c r="G615" s="211" t="s">
        <v>1063</v>
      </c>
      <c r="H615" s="212">
        <v>43091</v>
      </c>
    </row>
    <row r="616" spans="1:8" ht="21">
      <c r="A616" s="208">
        <v>43091</v>
      </c>
      <c r="B616" s="209" t="s">
        <v>77</v>
      </c>
      <c r="C616" s="210" t="s">
        <v>46</v>
      </c>
      <c r="D616" s="213" t="s">
        <v>976</v>
      </c>
      <c r="E616" s="211"/>
      <c r="F616" s="211"/>
      <c r="G616" s="211" t="s">
        <v>1064</v>
      </c>
      <c r="H616" s="212">
        <v>43091</v>
      </c>
    </row>
    <row r="617" spans="1:8" ht="21">
      <c r="A617" s="208">
        <v>43091</v>
      </c>
      <c r="B617" s="209" t="s">
        <v>77</v>
      </c>
      <c r="C617" s="210" t="s">
        <v>46</v>
      </c>
      <c r="D617" s="213" t="s">
        <v>978</v>
      </c>
      <c r="E617" s="211"/>
      <c r="F617" s="211"/>
      <c r="G617" s="211" t="s">
        <v>1065</v>
      </c>
      <c r="H617" s="212">
        <v>43091</v>
      </c>
    </row>
    <row r="618" spans="1:8" ht="21">
      <c r="A618" s="208">
        <v>43091</v>
      </c>
      <c r="B618" s="209" t="s">
        <v>77</v>
      </c>
      <c r="C618" s="210" t="s">
        <v>46</v>
      </c>
      <c r="D618" s="213" t="s">
        <v>1066</v>
      </c>
      <c r="E618" s="211"/>
      <c r="F618" s="211"/>
      <c r="G618" s="211" t="s">
        <v>1067</v>
      </c>
      <c r="H618" s="212">
        <v>43091</v>
      </c>
    </row>
    <row r="619" spans="1:8" ht="21">
      <c r="A619" s="208">
        <v>43091</v>
      </c>
      <c r="B619" s="209" t="s">
        <v>77</v>
      </c>
      <c r="C619" s="210" t="s">
        <v>46</v>
      </c>
      <c r="D619" s="213" t="s">
        <v>1068</v>
      </c>
      <c r="E619" s="211"/>
      <c r="F619" s="211"/>
      <c r="G619" s="211" t="s">
        <v>1069</v>
      </c>
      <c r="H619" s="212">
        <v>43091</v>
      </c>
    </row>
    <row r="620" spans="1:8">
      <c r="A620" s="208">
        <v>43091</v>
      </c>
      <c r="B620" s="209" t="s">
        <v>77</v>
      </c>
      <c r="C620" s="210" t="s">
        <v>51</v>
      </c>
      <c r="D620" s="213" t="s">
        <v>1070</v>
      </c>
      <c r="E620" s="211"/>
      <c r="F620" s="211"/>
      <c r="G620" s="211" t="s">
        <v>1071</v>
      </c>
      <c r="H620" s="212">
        <v>43091</v>
      </c>
    </row>
    <row r="621" spans="1:8">
      <c r="A621" s="208">
        <v>43091</v>
      </c>
      <c r="B621" s="209" t="s">
        <v>77</v>
      </c>
      <c r="C621" s="210" t="s">
        <v>46</v>
      </c>
      <c r="D621" s="213" t="s">
        <v>1072</v>
      </c>
      <c r="E621" s="211"/>
      <c r="F621" s="211"/>
      <c r="G621" s="211" t="s">
        <v>1073</v>
      </c>
      <c r="H621" s="212">
        <v>43091</v>
      </c>
    </row>
    <row r="622" spans="1:8">
      <c r="A622" s="208">
        <v>43091</v>
      </c>
      <c r="B622" s="209" t="s">
        <v>77</v>
      </c>
      <c r="C622" s="210" t="s">
        <v>46</v>
      </c>
      <c r="D622" s="213" t="s">
        <v>1074</v>
      </c>
      <c r="E622" s="211"/>
      <c r="F622" s="211"/>
      <c r="G622" s="211" t="s">
        <v>1075</v>
      </c>
      <c r="H622" s="212">
        <v>43091</v>
      </c>
    </row>
    <row r="623" spans="1:8" ht="20">
      <c r="A623" s="208">
        <v>43091</v>
      </c>
      <c r="B623" s="209" t="s">
        <v>91</v>
      </c>
      <c r="C623" s="210" t="s">
        <v>903</v>
      </c>
      <c r="D623" s="213" t="s">
        <v>1076</v>
      </c>
      <c r="E623" s="211"/>
      <c r="F623" s="211"/>
      <c r="G623" s="211" t="s">
        <v>1077</v>
      </c>
      <c r="H623" s="212">
        <v>43091</v>
      </c>
    </row>
    <row r="624" spans="1:8">
      <c r="A624" s="208">
        <v>43091</v>
      </c>
      <c r="B624" s="209" t="s">
        <v>91</v>
      </c>
      <c r="C624" s="210" t="s">
        <v>903</v>
      </c>
      <c r="D624" s="213" t="s">
        <v>1078</v>
      </c>
      <c r="E624" s="211"/>
      <c r="F624" s="211"/>
      <c r="G624" s="211" t="s">
        <v>1079</v>
      </c>
      <c r="H624" s="212">
        <v>43091</v>
      </c>
    </row>
    <row r="625" spans="1:8">
      <c r="A625" s="208">
        <v>43091</v>
      </c>
      <c r="B625" s="209" t="s">
        <v>91</v>
      </c>
      <c r="C625" s="210" t="s">
        <v>903</v>
      </c>
      <c r="D625" s="213" t="s">
        <v>1080</v>
      </c>
      <c r="E625" s="211"/>
      <c r="F625" s="211"/>
      <c r="G625" s="211" t="s">
        <v>1081</v>
      </c>
      <c r="H625" s="212">
        <v>43091</v>
      </c>
    </row>
    <row r="626" spans="1:8" ht="21">
      <c r="A626" s="208">
        <v>43091</v>
      </c>
      <c r="B626" s="209" t="s">
        <v>91</v>
      </c>
      <c r="C626" s="210" t="s">
        <v>46</v>
      </c>
      <c r="D626" s="213" t="s">
        <v>1082</v>
      </c>
      <c r="E626" s="211"/>
      <c r="F626" s="211"/>
      <c r="G626" s="211" t="s">
        <v>1083</v>
      </c>
      <c r="H626" s="212">
        <v>43091</v>
      </c>
    </row>
    <row r="627" spans="1:8" ht="21">
      <c r="A627" s="208">
        <v>43091</v>
      </c>
      <c r="B627" s="209" t="s">
        <v>91</v>
      </c>
      <c r="C627" s="210" t="s">
        <v>46</v>
      </c>
      <c r="D627" s="213" t="s">
        <v>767</v>
      </c>
      <c r="E627" s="211"/>
      <c r="F627" s="211"/>
      <c r="G627" s="211" t="s">
        <v>1084</v>
      </c>
      <c r="H627" s="212">
        <v>43091</v>
      </c>
    </row>
    <row r="628" spans="1:8" ht="20">
      <c r="A628" s="208">
        <v>43091</v>
      </c>
      <c r="B628" s="209" t="s">
        <v>105</v>
      </c>
      <c r="C628" s="210" t="s">
        <v>51</v>
      </c>
      <c r="D628" s="213" t="s">
        <v>874</v>
      </c>
      <c r="E628" s="211"/>
      <c r="F628" s="211"/>
      <c r="G628" s="211" t="s">
        <v>1085</v>
      </c>
      <c r="H628" s="212">
        <v>43091</v>
      </c>
    </row>
    <row r="629" spans="1:8" ht="21">
      <c r="A629" s="208">
        <v>43091</v>
      </c>
      <c r="B629" s="209" t="s">
        <v>110</v>
      </c>
      <c r="C629" s="210" t="s">
        <v>46</v>
      </c>
      <c r="D629" s="213" t="s">
        <v>876</v>
      </c>
      <c r="E629" s="211"/>
      <c r="F629" s="211"/>
      <c r="G629" s="211" t="s">
        <v>1086</v>
      </c>
      <c r="H629" s="212">
        <v>43091</v>
      </c>
    </row>
    <row r="630" spans="1:8">
      <c r="A630" s="208">
        <v>43091</v>
      </c>
      <c r="B630" s="209" t="s">
        <v>110</v>
      </c>
      <c r="C630" s="210" t="s">
        <v>46</v>
      </c>
      <c r="D630" s="213" t="s">
        <v>680</v>
      </c>
      <c r="E630" s="211"/>
      <c r="F630" s="211"/>
      <c r="G630" s="211" t="s">
        <v>1087</v>
      </c>
      <c r="H630" s="212">
        <v>43091</v>
      </c>
    </row>
    <row r="631" spans="1:8">
      <c r="A631" s="208">
        <v>43091</v>
      </c>
      <c r="B631" s="209" t="s">
        <v>110</v>
      </c>
      <c r="C631" s="210" t="s">
        <v>51</v>
      </c>
      <c r="D631" s="213" t="s">
        <v>951</v>
      </c>
      <c r="E631" s="211"/>
      <c r="F631" s="211"/>
      <c r="G631" s="211" t="s">
        <v>1088</v>
      </c>
      <c r="H631" s="212">
        <v>43091</v>
      </c>
    </row>
    <row r="632" spans="1:8">
      <c r="A632" s="208">
        <v>43091</v>
      </c>
      <c r="B632" s="209" t="s">
        <v>110</v>
      </c>
      <c r="C632" s="210" t="s">
        <v>46</v>
      </c>
      <c r="D632" s="213" t="s">
        <v>1089</v>
      </c>
      <c r="E632" s="211"/>
      <c r="F632" s="211"/>
      <c r="G632" s="211" t="s">
        <v>1090</v>
      </c>
      <c r="H632" s="212">
        <v>43091</v>
      </c>
    </row>
    <row r="633" spans="1:8" ht="21">
      <c r="A633" s="208">
        <v>43091</v>
      </c>
      <c r="B633" s="209" t="s">
        <v>110</v>
      </c>
      <c r="C633" s="210" t="s">
        <v>46</v>
      </c>
      <c r="D633" s="213" t="s">
        <v>1091</v>
      </c>
      <c r="E633" s="211"/>
      <c r="F633" s="211"/>
      <c r="G633" s="211" t="s">
        <v>1092</v>
      </c>
      <c r="H633" s="212">
        <v>43091</v>
      </c>
    </row>
    <row r="634" spans="1:8">
      <c r="A634" s="208">
        <v>43091</v>
      </c>
      <c r="B634" s="209" t="s">
        <v>110</v>
      </c>
      <c r="C634" s="210" t="s">
        <v>46</v>
      </c>
      <c r="D634" s="213" t="s">
        <v>754</v>
      </c>
      <c r="E634" s="211"/>
      <c r="F634" s="211"/>
      <c r="G634" s="211" t="s">
        <v>1093</v>
      </c>
      <c r="H634" s="212">
        <v>43091</v>
      </c>
    </row>
    <row r="635" spans="1:8" ht="21">
      <c r="A635" s="208">
        <v>43091</v>
      </c>
      <c r="B635" s="209" t="s">
        <v>110</v>
      </c>
      <c r="C635" s="210" t="s">
        <v>46</v>
      </c>
      <c r="D635" s="213" t="s">
        <v>1094</v>
      </c>
      <c r="E635" s="211"/>
      <c r="F635" s="211"/>
      <c r="G635" s="211" t="s">
        <v>1095</v>
      </c>
      <c r="H635" s="212">
        <v>43091</v>
      </c>
    </row>
    <row r="636" spans="1:8" ht="21">
      <c r="A636" s="208">
        <v>43091</v>
      </c>
      <c r="B636" s="209" t="s">
        <v>110</v>
      </c>
      <c r="C636" s="210" t="s">
        <v>46</v>
      </c>
      <c r="D636" s="213" t="s">
        <v>511</v>
      </c>
      <c r="E636" s="211"/>
      <c r="F636" s="211"/>
      <c r="G636" s="211" t="s">
        <v>1096</v>
      </c>
      <c r="H636" s="212">
        <v>43091</v>
      </c>
    </row>
    <row r="637" spans="1:8" ht="21">
      <c r="A637" s="208">
        <v>42891</v>
      </c>
      <c r="B637" s="209" t="s">
        <v>45</v>
      </c>
      <c r="C637" s="210" t="s">
        <v>46</v>
      </c>
      <c r="D637" s="213" t="s">
        <v>1097</v>
      </c>
      <c r="E637" s="211"/>
      <c r="F637" s="211"/>
      <c r="G637" s="211" t="s">
        <v>1098</v>
      </c>
      <c r="H637" s="212">
        <v>42891</v>
      </c>
    </row>
    <row r="638" spans="1:8" ht="21">
      <c r="A638" s="208">
        <v>42891</v>
      </c>
      <c r="B638" s="209" t="s">
        <v>45</v>
      </c>
      <c r="C638" s="210" t="s">
        <v>46</v>
      </c>
      <c r="D638" s="213" t="s">
        <v>1099</v>
      </c>
      <c r="E638" s="211"/>
      <c r="F638" s="211"/>
      <c r="G638" s="211" t="s">
        <v>1100</v>
      </c>
      <c r="H638" s="212">
        <v>42891</v>
      </c>
    </row>
    <row r="639" spans="1:8" ht="20">
      <c r="A639" s="208">
        <v>42891</v>
      </c>
      <c r="B639" s="209" t="s">
        <v>45</v>
      </c>
      <c r="C639" s="210" t="s">
        <v>51</v>
      </c>
      <c r="D639" s="213" t="s">
        <v>1101</v>
      </c>
      <c r="E639" s="211"/>
      <c r="F639" s="211"/>
      <c r="G639" s="211" t="s">
        <v>1102</v>
      </c>
      <c r="H639" s="212">
        <v>42891</v>
      </c>
    </row>
    <row r="640" spans="1:8" ht="20">
      <c r="A640" s="208">
        <v>42891</v>
      </c>
      <c r="B640" s="209" t="s">
        <v>77</v>
      </c>
      <c r="C640" s="210" t="s">
        <v>51</v>
      </c>
      <c r="D640" s="213" t="s">
        <v>1103</v>
      </c>
      <c r="E640" s="211"/>
      <c r="F640" s="211"/>
      <c r="G640" s="211" t="s">
        <v>1104</v>
      </c>
      <c r="H640" s="212">
        <v>42891</v>
      </c>
    </row>
    <row r="641" spans="1:8" ht="20">
      <c r="A641" s="208">
        <v>42891</v>
      </c>
      <c r="B641" s="209" t="s">
        <v>77</v>
      </c>
      <c r="C641" s="210" t="s">
        <v>51</v>
      </c>
      <c r="D641" s="213" t="s">
        <v>1105</v>
      </c>
      <c r="E641" s="211"/>
      <c r="F641" s="211"/>
      <c r="G641" s="211" t="s">
        <v>1106</v>
      </c>
      <c r="H641" s="212">
        <v>42891</v>
      </c>
    </row>
    <row r="642" spans="1:8" ht="21">
      <c r="A642" s="208">
        <v>42891</v>
      </c>
      <c r="B642" s="209" t="s">
        <v>77</v>
      </c>
      <c r="C642" s="210" t="s">
        <v>46</v>
      </c>
      <c r="D642" s="213" t="s">
        <v>817</v>
      </c>
      <c r="E642" s="211"/>
      <c r="F642" s="211"/>
      <c r="G642" s="211" t="s">
        <v>1107</v>
      </c>
      <c r="H642" s="212">
        <v>42891</v>
      </c>
    </row>
    <row r="643" spans="1:8" ht="20">
      <c r="A643" s="208">
        <v>42891</v>
      </c>
      <c r="B643" s="209" t="s">
        <v>77</v>
      </c>
      <c r="C643" s="210" t="s">
        <v>51</v>
      </c>
      <c r="D643" s="213" t="s">
        <v>1108</v>
      </c>
      <c r="E643" s="211"/>
      <c r="F643" s="211"/>
      <c r="G643" s="211" t="s">
        <v>1109</v>
      </c>
      <c r="H643" s="212">
        <v>42891</v>
      </c>
    </row>
    <row r="644" spans="1:8" ht="21">
      <c r="A644" s="208">
        <v>42891</v>
      </c>
      <c r="B644" s="209" t="s">
        <v>77</v>
      </c>
      <c r="C644" s="210" t="s">
        <v>46</v>
      </c>
      <c r="D644" s="213" t="s">
        <v>1055</v>
      </c>
      <c r="E644" s="211"/>
      <c r="F644" s="211"/>
      <c r="G644" s="211" t="s">
        <v>1110</v>
      </c>
      <c r="H644" s="212">
        <v>42891</v>
      </c>
    </row>
    <row r="645" spans="1:8" ht="21">
      <c r="A645" s="208">
        <v>42891</v>
      </c>
      <c r="B645" s="209" t="s">
        <v>77</v>
      </c>
      <c r="C645" s="210" t="s">
        <v>46</v>
      </c>
      <c r="D645" s="213" t="s">
        <v>843</v>
      </c>
      <c r="E645" s="211"/>
      <c r="F645" s="211"/>
      <c r="G645" s="211" t="s">
        <v>1111</v>
      </c>
      <c r="H645" s="212">
        <v>42891</v>
      </c>
    </row>
    <row r="646" spans="1:8" ht="20">
      <c r="A646" s="208">
        <v>42891</v>
      </c>
      <c r="B646" s="209" t="s">
        <v>77</v>
      </c>
      <c r="C646" s="210" t="s">
        <v>51</v>
      </c>
      <c r="D646" s="213" t="s">
        <v>1070</v>
      </c>
      <c r="E646" s="211"/>
      <c r="F646" s="211"/>
      <c r="G646" s="211" t="s">
        <v>1112</v>
      </c>
      <c r="H646" s="212">
        <v>42891</v>
      </c>
    </row>
    <row r="647" spans="1:8" ht="21">
      <c r="A647" s="208">
        <v>42891</v>
      </c>
      <c r="B647" s="209" t="s">
        <v>77</v>
      </c>
      <c r="C647" s="210" t="s">
        <v>46</v>
      </c>
      <c r="D647" s="213" t="s">
        <v>1113</v>
      </c>
      <c r="E647" s="211"/>
      <c r="F647" s="211"/>
      <c r="G647" s="211" t="s">
        <v>1114</v>
      </c>
      <c r="H647" s="212">
        <v>42891</v>
      </c>
    </row>
    <row r="648" spans="1:8">
      <c r="A648" s="208">
        <v>42891</v>
      </c>
      <c r="B648" s="209" t="s">
        <v>91</v>
      </c>
      <c r="C648" s="210" t="s">
        <v>46</v>
      </c>
      <c r="D648" s="213" t="s">
        <v>1080</v>
      </c>
      <c r="E648" s="211"/>
      <c r="F648" s="211"/>
      <c r="G648" s="211" t="s">
        <v>1115</v>
      </c>
      <c r="H648" s="212">
        <v>42891</v>
      </c>
    </row>
    <row r="649" spans="1:8" ht="20">
      <c r="A649" s="208">
        <v>42891</v>
      </c>
      <c r="B649" s="209" t="s">
        <v>91</v>
      </c>
      <c r="C649" s="210" t="s">
        <v>922</v>
      </c>
      <c r="D649" s="213" t="s">
        <v>938</v>
      </c>
      <c r="E649" s="211"/>
      <c r="F649" s="211"/>
      <c r="G649" s="211" t="s">
        <v>1116</v>
      </c>
      <c r="H649" s="212">
        <v>42891</v>
      </c>
    </row>
    <row r="650" spans="1:8" ht="20">
      <c r="A650" s="208">
        <v>42891</v>
      </c>
      <c r="B650" s="209" t="s">
        <v>105</v>
      </c>
      <c r="C650" s="210" t="s">
        <v>922</v>
      </c>
      <c r="D650" s="213" t="s">
        <v>1117</v>
      </c>
      <c r="E650" s="211"/>
      <c r="F650" s="211"/>
      <c r="G650" s="211" t="s">
        <v>1118</v>
      </c>
      <c r="H650" s="212">
        <v>42891</v>
      </c>
    </row>
    <row r="651" spans="1:8" ht="20">
      <c r="A651" s="208">
        <v>42891</v>
      </c>
      <c r="B651" s="209" t="s">
        <v>105</v>
      </c>
      <c r="C651" s="210" t="s">
        <v>922</v>
      </c>
      <c r="D651" s="213" t="s">
        <v>1119</v>
      </c>
      <c r="E651" s="211"/>
      <c r="F651" s="211"/>
      <c r="G651" s="211" t="s">
        <v>1120</v>
      </c>
      <c r="H651" s="212">
        <v>42891</v>
      </c>
    </row>
    <row r="652" spans="1:8" ht="20">
      <c r="A652" s="208">
        <v>42891</v>
      </c>
      <c r="B652" s="209" t="s">
        <v>105</v>
      </c>
      <c r="C652" s="210" t="s">
        <v>922</v>
      </c>
      <c r="D652" s="213" t="s">
        <v>1121</v>
      </c>
      <c r="E652" s="211"/>
      <c r="F652" s="211"/>
      <c r="G652" s="211" t="s">
        <v>1122</v>
      </c>
      <c r="H652" s="212">
        <v>42891</v>
      </c>
    </row>
    <row r="653" spans="1:8" ht="20">
      <c r="A653" s="208">
        <v>42891</v>
      </c>
      <c r="B653" s="209" t="s">
        <v>105</v>
      </c>
      <c r="C653" s="210" t="s">
        <v>922</v>
      </c>
      <c r="D653" s="213" t="s">
        <v>1123</v>
      </c>
      <c r="E653" s="211"/>
      <c r="F653" s="211"/>
      <c r="G653" s="211" t="s">
        <v>1124</v>
      </c>
      <c r="H653" s="212">
        <v>42891</v>
      </c>
    </row>
    <row r="654" spans="1:8" ht="20">
      <c r="A654" s="208">
        <v>42891</v>
      </c>
      <c r="B654" s="209" t="s">
        <v>105</v>
      </c>
      <c r="C654" s="210" t="s">
        <v>922</v>
      </c>
      <c r="D654" s="213" t="s">
        <v>1125</v>
      </c>
      <c r="E654" s="211"/>
      <c r="F654" s="211"/>
      <c r="G654" s="211" t="s">
        <v>1126</v>
      </c>
      <c r="H654" s="212">
        <v>42891</v>
      </c>
    </row>
    <row r="655" spans="1:8" ht="20">
      <c r="A655" s="208">
        <v>42891</v>
      </c>
      <c r="B655" s="209" t="s">
        <v>105</v>
      </c>
      <c r="C655" s="210" t="s">
        <v>51</v>
      </c>
      <c r="D655" s="213" t="s">
        <v>874</v>
      </c>
      <c r="E655" s="211"/>
      <c r="F655" s="211"/>
      <c r="G655" s="211" t="s">
        <v>1127</v>
      </c>
      <c r="H655" s="212">
        <v>42891</v>
      </c>
    </row>
    <row r="656" spans="1:8" ht="20">
      <c r="A656" s="208">
        <v>42891</v>
      </c>
      <c r="B656" s="209" t="s">
        <v>110</v>
      </c>
      <c r="C656" s="210" t="s">
        <v>51</v>
      </c>
      <c r="D656" s="213" t="s">
        <v>1128</v>
      </c>
      <c r="E656" s="211"/>
      <c r="F656" s="211"/>
      <c r="G656" s="211" t="s">
        <v>1129</v>
      </c>
      <c r="H656" s="212">
        <v>42891</v>
      </c>
    </row>
    <row r="657" spans="1:8" ht="21">
      <c r="A657" s="208">
        <v>42891</v>
      </c>
      <c r="B657" s="209" t="s">
        <v>110</v>
      </c>
      <c r="C657" s="210" t="s">
        <v>46</v>
      </c>
      <c r="D657" s="213" t="s">
        <v>951</v>
      </c>
      <c r="E657" s="211"/>
      <c r="F657" s="211"/>
      <c r="G657" s="211" t="s">
        <v>1130</v>
      </c>
      <c r="H657" s="212">
        <v>42891</v>
      </c>
    </row>
    <row r="658" spans="1:8" ht="20">
      <c r="A658" s="208">
        <v>42891</v>
      </c>
      <c r="B658" s="209" t="s">
        <v>110</v>
      </c>
      <c r="C658" s="210" t="s">
        <v>51</v>
      </c>
      <c r="D658" s="213" t="s">
        <v>1131</v>
      </c>
      <c r="E658" s="211"/>
      <c r="F658" s="211"/>
      <c r="G658" s="211" t="s">
        <v>1132</v>
      </c>
      <c r="H658" s="212">
        <v>42891</v>
      </c>
    </row>
    <row r="659" spans="1:8" ht="20">
      <c r="A659" s="208">
        <v>42891</v>
      </c>
      <c r="B659" s="209" t="s">
        <v>110</v>
      </c>
      <c r="C659" s="210" t="s">
        <v>922</v>
      </c>
      <c r="D659" s="213" t="s">
        <v>1133</v>
      </c>
      <c r="E659" s="211"/>
      <c r="F659" s="211"/>
      <c r="G659" s="211" t="s">
        <v>1134</v>
      </c>
      <c r="H659" s="212">
        <v>42891</v>
      </c>
    </row>
    <row r="660" spans="1:8">
      <c r="A660" s="208">
        <v>42891</v>
      </c>
      <c r="B660" s="209" t="s">
        <v>110</v>
      </c>
      <c r="C660" s="210" t="s">
        <v>46</v>
      </c>
      <c r="D660" s="213" t="s">
        <v>1135</v>
      </c>
      <c r="E660" s="211"/>
      <c r="F660" s="211"/>
      <c r="G660" s="211" t="s">
        <v>1136</v>
      </c>
      <c r="H660" s="212">
        <v>42891</v>
      </c>
    </row>
    <row r="661" spans="1:8" ht="21">
      <c r="A661" s="208">
        <v>42810</v>
      </c>
      <c r="B661" s="209" t="s">
        <v>105</v>
      </c>
      <c r="C661" s="210" t="s">
        <v>46</v>
      </c>
      <c r="D661" s="213" t="s">
        <v>1137</v>
      </c>
      <c r="E661" s="211"/>
      <c r="F661" s="211"/>
      <c r="G661" s="211" t="s">
        <v>1138</v>
      </c>
      <c r="H661" s="212">
        <v>42810</v>
      </c>
    </row>
    <row r="662" spans="1:8">
      <c r="A662" s="208">
        <v>42793</v>
      </c>
      <c r="B662" s="209" t="s">
        <v>45</v>
      </c>
      <c r="C662" s="210" t="s">
        <v>46</v>
      </c>
      <c r="D662" s="213" t="s">
        <v>1139</v>
      </c>
      <c r="E662" s="211"/>
      <c r="F662" s="211"/>
      <c r="G662" s="211" t="s">
        <v>1140</v>
      </c>
      <c r="H662" s="212">
        <v>42793</v>
      </c>
    </row>
    <row r="663" spans="1:8">
      <c r="A663" s="208">
        <v>42793</v>
      </c>
      <c r="B663" s="209" t="s">
        <v>45</v>
      </c>
      <c r="C663" s="210" t="s">
        <v>46</v>
      </c>
      <c r="D663" s="213" t="s">
        <v>1141</v>
      </c>
      <c r="E663" s="211"/>
      <c r="F663" s="211"/>
      <c r="G663" s="211" t="s">
        <v>1142</v>
      </c>
      <c r="H663" s="212">
        <v>42793</v>
      </c>
    </row>
    <row r="664" spans="1:8" ht="20">
      <c r="A664" s="208">
        <v>42793</v>
      </c>
      <c r="B664" s="209" t="s">
        <v>45</v>
      </c>
      <c r="C664" s="210" t="s">
        <v>51</v>
      </c>
      <c r="D664" s="213" t="s">
        <v>1143</v>
      </c>
      <c r="E664" s="211"/>
      <c r="F664" s="211"/>
      <c r="G664" s="211" t="s">
        <v>1144</v>
      </c>
      <c r="H664" s="212">
        <v>42793</v>
      </c>
    </row>
    <row r="665" spans="1:8" ht="20">
      <c r="A665" s="208">
        <v>42793</v>
      </c>
      <c r="B665" s="209" t="s">
        <v>45</v>
      </c>
      <c r="C665" s="210" t="s">
        <v>922</v>
      </c>
      <c r="D665" s="213" t="s">
        <v>1145</v>
      </c>
      <c r="E665" s="211"/>
      <c r="F665" s="211"/>
      <c r="G665" s="211" t="s">
        <v>1146</v>
      </c>
      <c r="H665" s="212">
        <v>42793</v>
      </c>
    </row>
    <row r="666" spans="1:8" ht="30">
      <c r="A666" s="208">
        <v>42793</v>
      </c>
      <c r="B666" s="209" t="s">
        <v>91</v>
      </c>
      <c r="C666" s="210" t="s">
        <v>51</v>
      </c>
      <c r="D666" s="213" t="s">
        <v>1078</v>
      </c>
      <c r="E666" s="211"/>
      <c r="F666" s="211"/>
      <c r="G666" s="211" t="s">
        <v>1147</v>
      </c>
      <c r="H666" s="212">
        <v>42793</v>
      </c>
    </row>
    <row r="667" spans="1:8" ht="20">
      <c r="A667" s="208">
        <v>42793</v>
      </c>
      <c r="B667" s="209" t="s">
        <v>105</v>
      </c>
      <c r="C667" s="210" t="s">
        <v>51</v>
      </c>
      <c r="D667" s="213" t="s">
        <v>874</v>
      </c>
      <c r="E667" s="211"/>
      <c r="F667" s="211"/>
      <c r="G667" s="211" t="s">
        <v>1148</v>
      </c>
      <c r="H667" s="212">
        <v>42793</v>
      </c>
    </row>
    <row r="668" spans="1:8" ht="21">
      <c r="A668" s="208">
        <v>42793</v>
      </c>
      <c r="B668" s="209" t="s">
        <v>110</v>
      </c>
      <c r="C668" s="210" t="s">
        <v>46</v>
      </c>
      <c r="D668" s="213" t="s">
        <v>1089</v>
      </c>
      <c r="E668" s="211"/>
      <c r="F668" s="211"/>
      <c r="G668" s="211" t="s">
        <v>1149</v>
      </c>
      <c r="H668" s="212">
        <v>42793</v>
      </c>
    </row>
    <row r="669" spans="1:8" ht="30">
      <c r="A669" s="208">
        <v>42692</v>
      </c>
      <c r="B669" s="209" t="s">
        <v>45</v>
      </c>
      <c r="C669" s="210" t="s">
        <v>922</v>
      </c>
      <c r="D669" s="213" t="s">
        <v>735</v>
      </c>
      <c r="E669" s="211"/>
      <c r="F669" s="211"/>
      <c r="G669" s="211" t="s">
        <v>1150</v>
      </c>
      <c r="H669" s="212">
        <v>42692</v>
      </c>
    </row>
    <row r="670" spans="1:8">
      <c r="A670" s="208">
        <v>42692</v>
      </c>
      <c r="B670" s="209" t="s">
        <v>77</v>
      </c>
      <c r="C670" s="210" t="s">
        <v>51</v>
      </c>
      <c r="D670" s="213" t="s">
        <v>1151</v>
      </c>
      <c r="E670" s="211"/>
      <c r="F670" s="211"/>
      <c r="G670" s="211" t="s">
        <v>1152</v>
      </c>
      <c r="H670" s="212">
        <v>42692</v>
      </c>
    </row>
    <row r="671" spans="1:8" ht="20">
      <c r="A671" s="208">
        <v>42692</v>
      </c>
      <c r="B671" s="209" t="s">
        <v>77</v>
      </c>
      <c r="C671" s="210" t="s">
        <v>51</v>
      </c>
      <c r="D671" s="213" t="s">
        <v>1153</v>
      </c>
      <c r="E671" s="211"/>
      <c r="F671" s="211"/>
      <c r="G671" s="211" t="s">
        <v>1154</v>
      </c>
      <c r="H671" s="212">
        <v>42692</v>
      </c>
    </row>
    <row r="672" spans="1:8" ht="20">
      <c r="A672" s="208">
        <v>42692</v>
      </c>
      <c r="B672" s="209" t="s">
        <v>77</v>
      </c>
      <c r="C672" s="210" t="s">
        <v>51</v>
      </c>
      <c r="D672" s="213" t="s">
        <v>1070</v>
      </c>
      <c r="E672" s="211"/>
      <c r="F672" s="211"/>
      <c r="G672" s="211" t="s">
        <v>1155</v>
      </c>
      <c r="H672" s="212">
        <v>42692</v>
      </c>
    </row>
    <row r="673" spans="1:8" ht="20">
      <c r="A673" s="208">
        <v>42692</v>
      </c>
      <c r="B673" s="209" t="s">
        <v>91</v>
      </c>
      <c r="C673" s="210" t="s">
        <v>51</v>
      </c>
      <c r="D673" s="213" t="s">
        <v>1156</v>
      </c>
      <c r="E673" s="211"/>
      <c r="F673" s="211"/>
      <c r="G673" s="211" t="s">
        <v>1157</v>
      </c>
      <c r="H673" s="212">
        <v>42692</v>
      </c>
    </row>
    <row r="674" spans="1:8" ht="20">
      <c r="A674" s="208">
        <v>42692</v>
      </c>
      <c r="B674" s="209" t="s">
        <v>91</v>
      </c>
      <c r="C674" s="210" t="s">
        <v>51</v>
      </c>
      <c r="D674" s="213" t="s">
        <v>1158</v>
      </c>
      <c r="E674" s="211"/>
      <c r="F674" s="211"/>
      <c r="G674" s="211" t="s">
        <v>1159</v>
      </c>
      <c r="H674" s="212">
        <v>42692</v>
      </c>
    </row>
    <row r="675" spans="1:8" ht="20">
      <c r="A675" s="208">
        <v>42692</v>
      </c>
      <c r="B675" s="209" t="s">
        <v>105</v>
      </c>
      <c r="C675" s="210" t="s">
        <v>51</v>
      </c>
      <c r="D675" s="213" t="s">
        <v>874</v>
      </c>
      <c r="E675" s="211"/>
      <c r="F675" s="211"/>
      <c r="G675" s="211" t="s">
        <v>1160</v>
      </c>
      <c r="H675" s="212">
        <v>42692</v>
      </c>
    </row>
    <row r="676" spans="1:8">
      <c r="A676" s="208">
        <v>42692</v>
      </c>
      <c r="B676" s="209" t="s">
        <v>110</v>
      </c>
      <c r="C676" s="210" t="s">
        <v>51</v>
      </c>
      <c r="D676" s="213" t="s">
        <v>1131</v>
      </c>
      <c r="E676" s="211"/>
      <c r="F676" s="211"/>
      <c r="G676" s="211" t="s">
        <v>1161</v>
      </c>
      <c r="H676" s="212">
        <v>42692</v>
      </c>
    </row>
    <row r="677" spans="1:8" ht="20">
      <c r="A677" s="208">
        <v>42593</v>
      </c>
      <c r="B677" s="209" t="s">
        <v>45</v>
      </c>
      <c r="C677" s="210" t="s">
        <v>51</v>
      </c>
      <c r="D677" s="213" t="s">
        <v>1162</v>
      </c>
      <c r="E677" s="211"/>
      <c r="F677" s="211"/>
      <c r="G677" s="211" t="s">
        <v>1163</v>
      </c>
      <c r="H677" s="212">
        <v>42593</v>
      </c>
    </row>
    <row r="678" spans="1:8">
      <c r="A678" s="208">
        <v>42593</v>
      </c>
      <c r="B678" s="209" t="s">
        <v>45</v>
      </c>
      <c r="C678" s="210" t="s">
        <v>46</v>
      </c>
      <c r="D678" s="213" t="s">
        <v>1101</v>
      </c>
      <c r="E678" s="211"/>
      <c r="F678" s="211"/>
      <c r="G678" s="211" t="s">
        <v>1164</v>
      </c>
      <c r="H678" s="212">
        <v>42593</v>
      </c>
    </row>
    <row r="679" spans="1:8" ht="20">
      <c r="A679" s="208">
        <v>42593</v>
      </c>
      <c r="B679" s="209" t="s">
        <v>45</v>
      </c>
      <c r="C679" s="210" t="s">
        <v>51</v>
      </c>
      <c r="D679" s="213" t="s">
        <v>1165</v>
      </c>
      <c r="E679" s="211"/>
      <c r="F679" s="211"/>
      <c r="G679" s="211" t="s">
        <v>1166</v>
      </c>
      <c r="H679" s="212">
        <v>42593</v>
      </c>
    </row>
    <row r="680" spans="1:8">
      <c r="A680" s="208">
        <v>42593</v>
      </c>
      <c r="B680" s="209" t="s">
        <v>45</v>
      </c>
      <c r="C680" s="210" t="s">
        <v>46</v>
      </c>
      <c r="D680" s="213" t="s">
        <v>1167</v>
      </c>
      <c r="E680" s="211"/>
      <c r="F680" s="211"/>
      <c r="G680" s="211" t="s">
        <v>1168</v>
      </c>
      <c r="H680" s="212">
        <v>42593</v>
      </c>
    </row>
    <row r="681" spans="1:8">
      <c r="A681" s="208">
        <v>42593</v>
      </c>
      <c r="B681" s="209" t="s">
        <v>45</v>
      </c>
      <c r="C681" s="210" t="s">
        <v>46</v>
      </c>
      <c r="D681" s="213" t="s">
        <v>1143</v>
      </c>
      <c r="E681" s="211"/>
      <c r="F681" s="211"/>
      <c r="G681" s="211" t="s">
        <v>1169</v>
      </c>
      <c r="H681" s="212">
        <v>42593</v>
      </c>
    </row>
    <row r="682" spans="1:8" ht="21">
      <c r="A682" s="208">
        <v>42593</v>
      </c>
      <c r="B682" s="209" t="s">
        <v>77</v>
      </c>
      <c r="C682" s="210" t="s">
        <v>46</v>
      </c>
      <c r="D682" s="213" t="s">
        <v>1170</v>
      </c>
      <c r="E682" s="211"/>
      <c r="F682" s="211"/>
      <c r="G682" s="211" t="s">
        <v>1171</v>
      </c>
      <c r="H682" s="212">
        <v>42593</v>
      </c>
    </row>
    <row r="683" spans="1:8" ht="20">
      <c r="A683" s="208">
        <v>42593</v>
      </c>
      <c r="B683" s="209" t="s">
        <v>77</v>
      </c>
      <c r="C683" s="210" t="s">
        <v>51</v>
      </c>
      <c r="D683" s="213" t="s">
        <v>1151</v>
      </c>
      <c r="E683" s="211"/>
      <c r="F683" s="211"/>
      <c r="G683" s="211" t="s">
        <v>1172</v>
      </c>
      <c r="H683" s="212">
        <v>42593</v>
      </c>
    </row>
    <row r="684" spans="1:8">
      <c r="A684" s="208">
        <v>42593</v>
      </c>
      <c r="B684" s="209" t="s">
        <v>77</v>
      </c>
      <c r="C684" s="210" t="s">
        <v>51</v>
      </c>
      <c r="D684" s="213" t="s">
        <v>1173</v>
      </c>
      <c r="E684" s="211"/>
      <c r="F684" s="211"/>
      <c r="G684" s="211" t="s">
        <v>1174</v>
      </c>
      <c r="H684" s="212">
        <v>42593</v>
      </c>
    </row>
    <row r="685" spans="1:8">
      <c r="A685" s="208">
        <v>42593</v>
      </c>
      <c r="B685" s="209" t="s">
        <v>77</v>
      </c>
      <c r="C685" s="210" t="s">
        <v>51</v>
      </c>
      <c r="D685" s="213" t="s">
        <v>1175</v>
      </c>
      <c r="E685" s="211"/>
      <c r="F685" s="211"/>
      <c r="G685" s="211" t="s">
        <v>1176</v>
      </c>
      <c r="H685" s="212">
        <v>42593</v>
      </c>
    </row>
    <row r="686" spans="1:8">
      <c r="A686" s="208">
        <v>42593</v>
      </c>
      <c r="B686" s="209" t="s">
        <v>77</v>
      </c>
      <c r="C686" s="210" t="s">
        <v>46</v>
      </c>
      <c r="D686" s="213" t="s">
        <v>1153</v>
      </c>
      <c r="E686" s="211"/>
      <c r="F686" s="211"/>
      <c r="G686" s="211" t="s">
        <v>1177</v>
      </c>
      <c r="H686" s="212">
        <v>42593</v>
      </c>
    </row>
    <row r="687" spans="1:8" ht="20">
      <c r="A687" s="208">
        <v>42593</v>
      </c>
      <c r="B687" s="209" t="s">
        <v>91</v>
      </c>
      <c r="C687" s="210" t="s">
        <v>51</v>
      </c>
      <c r="D687" s="213" t="s">
        <v>1178</v>
      </c>
      <c r="E687" s="211"/>
      <c r="F687" s="211"/>
      <c r="G687" s="211" t="s">
        <v>1179</v>
      </c>
      <c r="H687" s="212">
        <v>42593</v>
      </c>
    </row>
    <row r="688" spans="1:8">
      <c r="A688" s="208">
        <v>42593</v>
      </c>
      <c r="B688" s="209" t="s">
        <v>91</v>
      </c>
      <c r="C688" s="210" t="s">
        <v>46</v>
      </c>
      <c r="D688" s="213" t="s">
        <v>1180</v>
      </c>
      <c r="E688" s="211"/>
      <c r="F688" s="211"/>
      <c r="G688" s="211" t="s">
        <v>1181</v>
      </c>
      <c r="H688" s="212">
        <v>42593</v>
      </c>
    </row>
    <row r="689" spans="1:8">
      <c r="A689" s="208">
        <v>42593</v>
      </c>
      <c r="B689" s="209" t="s">
        <v>91</v>
      </c>
      <c r="C689" s="210" t="s">
        <v>51</v>
      </c>
      <c r="D689" s="213" t="s">
        <v>1165</v>
      </c>
      <c r="E689" s="211"/>
      <c r="F689" s="211"/>
      <c r="G689" s="211" t="s">
        <v>1182</v>
      </c>
      <c r="H689" s="212">
        <v>42593</v>
      </c>
    </row>
    <row r="690" spans="1:8">
      <c r="A690" s="208">
        <v>42593</v>
      </c>
      <c r="B690" s="209" t="s">
        <v>91</v>
      </c>
      <c r="C690" s="210" t="s">
        <v>51</v>
      </c>
      <c r="D690" s="213" t="s">
        <v>1183</v>
      </c>
      <c r="E690" s="211"/>
      <c r="F690" s="211"/>
      <c r="G690" s="211" t="s">
        <v>1184</v>
      </c>
      <c r="H690" s="212">
        <v>42593</v>
      </c>
    </row>
    <row r="691" spans="1:8">
      <c r="A691" s="208">
        <v>42593</v>
      </c>
      <c r="B691" s="209" t="s">
        <v>91</v>
      </c>
      <c r="C691" s="210" t="s">
        <v>51</v>
      </c>
      <c r="D691" s="213" t="s">
        <v>1185</v>
      </c>
      <c r="E691" s="211"/>
      <c r="F691" s="211"/>
      <c r="G691" s="211" t="s">
        <v>1186</v>
      </c>
      <c r="H691" s="212">
        <v>42593</v>
      </c>
    </row>
    <row r="692" spans="1:8" ht="20">
      <c r="A692" s="208">
        <v>42593</v>
      </c>
      <c r="B692" s="209" t="s">
        <v>91</v>
      </c>
      <c r="C692" s="210" t="s">
        <v>51</v>
      </c>
      <c r="D692" s="213" t="s">
        <v>1187</v>
      </c>
      <c r="E692" s="211"/>
      <c r="F692" s="211"/>
      <c r="G692" s="211" t="s">
        <v>1188</v>
      </c>
      <c r="H692" s="212">
        <v>42593</v>
      </c>
    </row>
    <row r="693" spans="1:8" ht="21">
      <c r="A693" s="208">
        <v>42593</v>
      </c>
      <c r="B693" s="209" t="s">
        <v>91</v>
      </c>
      <c r="C693" s="210" t="s">
        <v>46</v>
      </c>
      <c r="D693" s="213" t="s">
        <v>1189</v>
      </c>
      <c r="E693" s="211"/>
      <c r="F693" s="211"/>
      <c r="G693" s="211" t="s">
        <v>1190</v>
      </c>
      <c r="H693" s="212">
        <v>42593</v>
      </c>
    </row>
    <row r="694" spans="1:8" ht="20">
      <c r="A694" s="208">
        <v>42593</v>
      </c>
      <c r="B694" s="209" t="s">
        <v>105</v>
      </c>
      <c r="C694" s="210" t="s">
        <v>51</v>
      </c>
      <c r="D694" s="213" t="s">
        <v>1191</v>
      </c>
      <c r="E694" s="211"/>
      <c r="F694" s="211"/>
      <c r="G694" s="211" t="s">
        <v>1192</v>
      </c>
      <c r="H694" s="212">
        <v>42593</v>
      </c>
    </row>
    <row r="695" spans="1:8" ht="20">
      <c r="A695" s="208">
        <v>42593</v>
      </c>
      <c r="B695" s="209" t="s">
        <v>105</v>
      </c>
      <c r="C695" s="210" t="s">
        <v>51</v>
      </c>
      <c r="D695" s="213" t="s">
        <v>874</v>
      </c>
      <c r="E695" s="211"/>
      <c r="F695" s="211"/>
      <c r="G695" s="211" t="s">
        <v>1193</v>
      </c>
      <c r="H695" s="212">
        <v>42593</v>
      </c>
    </row>
    <row r="696" spans="1:8">
      <c r="A696" s="208">
        <v>42593</v>
      </c>
      <c r="B696" s="209" t="s">
        <v>110</v>
      </c>
      <c r="C696" s="210" t="s">
        <v>46</v>
      </c>
      <c r="D696" s="213" t="s">
        <v>754</v>
      </c>
      <c r="E696" s="211"/>
      <c r="F696" s="211"/>
      <c r="G696" s="211" t="s">
        <v>1194</v>
      </c>
      <c r="H696" s="212">
        <v>42593</v>
      </c>
    </row>
    <row r="697" spans="1:8">
      <c r="A697" s="208">
        <v>42593</v>
      </c>
      <c r="B697" s="209" t="s">
        <v>110</v>
      </c>
      <c r="C697" s="210" t="s">
        <v>51</v>
      </c>
      <c r="D697" s="213" t="s">
        <v>1165</v>
      </c>
      <c r="E697" s="211"/>
      <c r="F697" s="211"/>
      <c r="G697" s="211" t="s">
        <v>1195</v>
      </c>
      <c r="H697" s="212">
        <v>42593</v>
      </c>
    </row>
    <row r="698" spans="1:8" ht="20">
      <c r="A698" s="208">
        <v>42475</v>
      </c>
      <c r="B698" s="209" t="s">
        <v>45</v>
      </c>
      <c r="C698" s="210" t="s">
        <v>51</v>
      </c>
      <c r="D698" s="213" t="s">
        <v>1162</v>
      </c>
      <c r="E698" s="211"/>
      <c r="F698" s="211"/>
      <c r="G698" s="211" t="s">
        <v>1196</v>
      </c>
      <c r="H698" s="212">
        <v>42475</v>
      </c>
    </row>
    <row r="699" spans="1:8" ht="20">
      <c r="A699" s="208">
        <v>42475</v>
      </c>
      <c r="B699" s="209" t="s">
        <v>45</v>
      </c>
      <c r="C699" s="210" t="s">
        <v>51</v>
      </c>
      <c r="D699" s="213" t="s">
        <v>1165</v>
      </c>
      <c r="E699" s="211"/>
      <c r="F699" s="211"/>
      <c r="G699" s="211" t="s">
        <v>1197</v>
      </c>
      <c r="H699" s="212">
        <v>42475</v>
      </c>
    </row>
    <row r="700" spans="1:8">
      <c r="A700" s="208">
        <v>42475</v>
      </c>
      <c r="B700" s="209" t="s">
        <v>45</v>
      </c>
      <c r="C700" s="210" t="s">
        <v>51</v>
      </c>
      <c r="D700" s="213" t="s">
        <v>1198</v>
      </c>
      <c r="E700" s="211"/>
      <c r="F700" s="211"/>
      <c r="G700" s="211" t="s">
        <v>1199</v>
      </c>
      <c r="H700" s="212">
        <v>42475</v>
      </c>
    </row>
    <row r="701" spans="1:8">
      <c r="A701" s="208">
        <v>42475</v>
      </c>
      <c r="B701" s="209" t="s">
        <v>77</v>
      </c>
      <c r="C701" s="210" t="s">
        <v>51</v>
      </c>
      <c r="D701" s="213" t="s">
        <v>1200</v>
      </c>
      <c r="E701" s="211"/>
      <c r="F701" s="211"/>
      <c r="G701" s="211" t="s">
        <v>1201</v>
      </c>
      <c r="H701" s="212">
        <v>42475</v>
      </c>
    </row>
    <row r="702" spans="1:8">
      <c r="A702" s="208">
        <v>42475</v>
      </c>
      <c r="B702" s="209" t="s">
        <v>77</v>
      </c>
      <c r="C702" s="210" t="s">
        <v>51</v>
      </c>
      <c r="D702" s="213" t="s">
        <v>1202</v>
      </c>
      <c r="E702" s="211"/>
      <c r="F702" s="211"/>
      <c r="G702" s="211" t="s">
        <v>1203</v>
      </c>
      <c r="H702" s="212">
        <v>42475</v>
      </c>
    </row>
    <row r="703" spans="1:8">
      <c r="A703" s="208">
        <v>42475</v>
      </c>
      <c r="B703" s="209" t="s">
        <v>77</v>
      </c>
      <c r="C703" s="210" t="s">
        <v>51</v>
      </c>
      <c r="D703" s="213" t="s">
        <v>1151</v>
      </c>
      <c r="E703" s="211"/>
      <c r="F703" s="211"/>
      <c r="G703" s="211" t="s">
        <v>1204</v>
      </c>
      <c r="H703" s="212">
        <v>42475</v>
      </c>
    </row>
    <row r="704" spans="1:8" ht="40">
      <c r="A704" s="208">
        <v>42475</v>
      </c>
      <c r="B704" s="209" t="s">
        <v>77</v>
      </c>
      <c r="C704" s="210" t="s">
        <v>51</v>
      </c>
      <c r="D704" s="213" t="s">
        <v>1165</v>
      </c>
      <c r="E704" s="211"/>
      <c r="F704" s="211"/>
      <c r="G704" s="211" t="s">
        <v>1205</v>
      </c>
      <c r="H704" s="212">
        <v>42475</v>
      </c>
    </row>
    <row r="705" spans="1:8" ht="20">
      <c r="A705" s="208">
        <v>42475</v>
      </c>
      <c r="B705" s="209" t="s">
        <v>77</v>
      </c>
      <c r="C705" s="210" t="s">
        <v>51</v>
      </c>
      <c r="D705" s="213" t="s">
        <v>1206</v>
      </c>
      <c r="E705" s="211"/>
      <c r="F705" s="211"/>
      <c r="G705" s="211" t="s">
        <v>1207</v>
      </c>
      <c r="H705" s="212">
        <v>42475</v>
      </c>
    </row>
    <row r="706" spans="1:8">
      <c r="A706" s="208">
        <v>42475</v>
      </c>
      <c r="B706" s="209" t="s">
        <v>77</v>
      </c>
      <c r="C706" s="210" t="s">
        <v>51</v>
      </c>
      <c r="D706" s="213" t="s">
        <v>1208</v>
      </c>
      <c r="E706" s="211"/>
      <c r="F706" s="211"/>
      <c r="G706" s="211" t="s">
        <v>1209</v>
      </c>
      <c r="H706" s="212">
        <v>42475</v>
      </c>
    </row>
    <row r="707" spans="1:8" ht="21">
      <c r="A707" s="208">
        <v>42475</v>
      </c>
      <c r="B707" s="209" t="s">
        <v>91</v>
      </c>
      <c r="C707" s="210" t="s">
        <v>46</v>
      </c>
      <c r="D707" s="213" t="s">
        <v>1210</v>
      </c>
      <c r="E707" s="211"/>
      <c r="F707" s="211"/>
      <c r="G707" s="211" t="s">
        <v>1211</v>
      </c>
      <c r="H707" s="212">
        <v>42475</v>
      </c>
    </row>
    <row r="708" spans="1:8" ht="40">
      <c r="A708" s="208">
        <v>42475</v>
      </c>
      <c r="B708" s="209" t="s">
        <v>91</v>
      </c>
      <c r="C708" s="210" t="s">
        <v>51</v>
      </c>
      <c r="D708" s="213" t="s">
        <v>1165</v>
      </c>
      <c r="E708" s="211"/>
      <c r="F708" s="211"/>
      <c r="G708" s="211" t="s">
        <v>1212</v>
      </c>
      <c r="H708" s="212">
        <v>42475</v>
      </c>
    </row>
    <row r="709" spans="1:8" ht="20">
      <c r="A709" s="208">
        <v>42475</v>
      </c>
      <c r="B709" s="209" t="s">
        <v>91</v>
      </c>
      <c r="C709" s="210" t="s">
        <v>51</v>
      </c>
      <c r="D709" s="213" t="s">
        <v>1183</v>
      </c>
      <c r="E709" s="211"/>
      <c r="F709" s="211"/>
      <c r="G709" s="211" t="s">
        <v>1213</v>
      </c>
      <c r="H709" s="212">
        <v>42475</v>
      </c>
    </row>
    <row r="710" spans="1:8" ht="20">
      <c r="A710" s="208">
        <v>42475</v>
      </c>
      <c r="B710" s="209" t="s">
        <v>91</v>
      </c>
      <c r="C710" s="210" t="s">
        <v>51</v>
      </c>
      <c r="D710" s="213" t="s">
        <v>1185</v>
      </c>
      <c r="E710" s="211"/>
      <c r="F710" s="211"/>
      <c r="G710" s="211" t="s">
        <v>1214</v>
      </c>
      <c r="H710" s="212">
        <v>42475</v>
      </c>
    </row>
    <row r="711" spans="1:8" ht="30">
      <c r="A711" s="208">
        <v>42475</v>
      </c>
      <c r="B711" s="209" t="s">
        <v>105</v>
      </c>
      <c r="C711" s="210" t="s">
        <v>922</v>
      </c>
      <c r="D711" s="213" t="s">
        <v>1215</v>
      </c>
      <c r="E711" s="211"/>
      <c r="F711" s="211"/>
      <c r="G711" s="211" t="s">
        <v>1216</v>
      </c>
      <c r="H711" s="212">
        <v>42475</v>
      </c>
    </row>
    <row r="712" spans="1:8" ht="20">
      <c r="A712" s="208">
        <v>42475</v>
      </c>
      <c r="B712" s="209" t="s">
        <v>105</v>
      </c>
      <c r="C712" s="210" t="s">
        <v>51</v>
      </c>
      <c r="D712" s="213" t="s">
        <v>874</v>
      </c>
      <c r="E712" s="211"/>
      <c r="F712" s="211"/>
      <c r="G712" s="211" t="s">
        <v>1217</v>
      </c>
      <c r="H712" s="212">
        <v>42475</v>
      </c>
    </row>
    <row r="713" spans="1:8" ht="20">
      <c r="A713" s="208">
        <v>42475</v>
      </c>
      <c r="B713" s="209" t="s">
        <v>105</v>
      </c>
      <c r="C713" s="210" t="s">
        <v>51</v>
      </c>
      <c r="D713" s="213" t="s">
        <v>1218</v>
      </c>
      <c r="E713" s="211"/>
      <c r="F713" s="211"/>
      <c r="G713" s="211" t="s">
        <v>1219</v>
      </c>
      <c r="H713" s="212">
        <v>42475</v>
      </c>
    </row>
    <row r="714" spans="1:8" ht="20">
      <c r="A714" s="208">
        <v>42475</v>
      </c>
      <c r="B714" s="209" t="s">
        <v>110</v>
      </c>
      <c r="C714" s="210" t="s">
        <v>51</v>
      </c>
      <c r="D714" s="213" t="s">
        <v>1220</v>
      </c>
      <c r="E714" s="211"/>
      <c r="F714" s="211"/>
      <c r="G714" s="211" t="s">
        <v>1221</v>
      </c>
      <c r="H714" s="212">
        <v>42475</v>
      </c>
    </row>
    <row r="715" spans="1:8" ht="21">
      <c r="A715" s="208">
        <v>42475</v>
      </c>
      <c r="B715" s="209" t="s">
        <v>110</v>
      </c>
      <c r="C715" s="210" t="s">
        <v>46</v>
      </c>
      <c r="D715" s="213" t="s">
        <v>1222</v>
      </c>
      <c r="E715" s="211"/>
      <c r="F715" s="211"/>
      <c r="G715" s="211" t="s">
        <v>1223</v>
      </c>
      <c r="H715" s="212">
        <v>42475</v>
      </c>
    </row>
    <row r="716" spans="1:8" ht="40">
      <c r="A716" s="208">
        <v>42432</v>
      </c>
      <c r="B716" s="209" t="s">
        <v>91</v>
      </c>
      <c r="C716" s="210" t="s">
        <v>51</v>
      </c>
      <c r="D716" s="213" t="s">
        <v>1165</v>
      </c>
      <c r="E716" s="211"/>
      <c r="F716" s="211"/>
      <c r="G716" s="211" t="s">
        <v>1224</v>
      </c>
      <c r="H716" s="212">
        <v>42432</v>
      </c>
    </row>
    <row r="717" spans="1:8" ht="20">
      <c r="A717" s="208">
        <v>42300</v>
      </c>
      <c r="B717" s="209" t="s">
        <v>45</v>
      </c>
      <c r="C717" s="210" t="s">
        <v>51</v>
      </c>
      <c r="D717" s="213" t="s">
        <v>1225</v>
      </c>
      <c r="E717" s="211"/>
      <c r="F717" s="211"/>
      <c r="G717" s="211" t="s">
        <v>1226</v>
      </c>
      <c r="H717" s="212">
        <v>42300</v>
      </c>
    </row>
    <row r="718" spans="1:8" ht="21">
      <c r="A718" s="208">
        <v>42300</v>
      </c>
      <c r="B718" s="209" t="s">
        <v>91</v>
      </c>
      <c r="C718" s="210" t="s">
        <v>46</v>
      </c>
      <c r="D718" s="213" t="s">
        <v>1210</v>
      </c>
      <c r="E718" s="211"/>
      <c r="F718" s="211"/>
      <c r="G718" s="211" t="s">
        <v>1227</v>
      </c>
      <c r="H718" s="212">
        <v>42300</v>
      </c>
    </row>
    <row r="719" spans="1:8" ht="20">
      <c r="A719" s="208">
        <v>42300</v>
      </c>
      <c r="B719" s="209" t="s">
        <v>91</v>
      </c>
      <c r="C719" s="210" t="s">
        <v>51</v>
      </c>
      <c r="D719" s="213" t="s">
        <v>1183</v>
      </c>
      <c r="E719" s="211"/>
      <c r="F719" s="211"/>
      <c r="G719" s="211" t="s">
        <v>1228</v>
      </c>
      <c r="H719" s="212">
        <v>42300</v>
      </c>
    </row>
    <row r="720" spans="1:8" ht="20">
      <c r="A720" s="208">
        <v>42300</v>
      </c>
      <c r="B720" s="209" t="s">
        <v>91</v>
      </c>
      <c r="C720" s="210" t="s">
        <v>922</v>
      </c>
      <c r="D720" s="213" t="s">
        <v>1229</v>
      </c>
      <c r="E720" s="211"/>
      <c r="F720" s="211"/>
      <c r="G720" s="211" t="s">
        <v>1230</v>
      </c>
      <c r="H720" s="212">
        <v>42300</v>
      </c>
    </row>
    <row r="721" spans="1:8" ht="20">
      <c r="A721" s="208">
        <v>42300</v>
      </c>
      <c r="B721" s="209" t="s">
        <v>91</v>
      </c>
      <c r="C721" s="210" t="s">
        <v>51</v>
      </c>
      <c r="D721" s="213" t="s">
        <v>1185</v>
      </c>
      <c r="E721" s="211"/>
      <c r="F721" s="211"/>
      <c r="G721" s="211" t="s">
        <v>1231</v>
      </c>
      <c r="H721" s="212">
        <v>42300</v>
      </c>
    </row>
    <row r="722" spans="1:8">
      <c r="A722" s="208">
        <v>42300</v>
      </c>
      <c r="B722" s="209" t="s">
        <v>91</v>
      </c>
      <c r="C722" s="210" t="s">
        <v>51</v>
      </c>
      <c r="D722" s="213" t="s">
        <v>1232</v>
      </c>
      <c r="E722" s="211"/>
      <c r="F722" s="211"/>
      <c r="G722" s="211" t="s">
        <v>1233</v>
      </c>
      <c r="H722" s="212">
        <v>42300</v>
      </c>
    </row>
    <row r="723" spans="1:8">
      <c r="A723" s="208">
        <v>42300</v>
      </c>
      <c r="B723" s="209" t="s">
        <v>91</v>
      </c>
      <c r="C723" s="210" t="s">
        <v>51</v>
      </c>
      <c r="D723" s="213" t="s">
        <v>1234</v>
      </c>
      <c r="E723" s="211"/>
      <c r="F723" s="211"/>
      <c r="G723" s="211" t="s">
        <v>1235</v>
      </c>
      <c r="H723" s="212">
        <v>42300</v>
      </c>
    </row>
    <row r="724" spans="1:8">
      <c r="A724" s="208">
        <v>42229</v>
      </c>
      <c r="B724" s="209" t="s">
        <v>45</v>
      </c>
      <c r="C724" s="210" t="s">
        <v>51</v>
      </c>
      <c r="D724" s="213" t="s">
        <v>1236</v>
      </c>
      <c r="E724" s="211"/>
      <c r="F724" s="211"/>
      <c r="G724" s="211" t="s">
        <v>1237</v>
      </c>
      <c r="H724" s="212">
        <v>42229</v>
      </c>
    </row>
    <row r="725" spans="1:8" ht="20">
      <c r="A725" s="208">
        <v>42229</v>
      </c>
      <c r="B725" s="209" t="s">
        <v>45</v>
      </c>
      <c r="C725" s="210" t="s">
        <v>51</v>
      </c>
      <c r="D725" s="213" t="s">
        <v>1238</v>
      </c>
      <c r="E725" s="211"/>
      <c r="F725" s="211"/>
      <c r="G725" s="211" t="s">
        <v>1239</v>
      </c>
      <c r="H725" s="212">
        <v>42229</v>
      </c>
    </row>
    <row r="726" spans="1:8" ht="30">
      <c r="A726" s="208">
        <v>42229</v>
      </c>
      <c r="B726" s="209" t="s">
        <v>45</v>
      </c>
      <c r="C726" s="210" t="s">
        <v>51</v>
      </c>
      <c r="D726" s="213" t="s">
        <v>1240</v>
      </c>
      <c r="E726" s="211"/>
      <c r="F726" s="211"/>
      <c r="G726" s="211" t="s">
        <v>1241</v>
      </c>
      <c r="H726" s="212">
        <v>42229</v>
      </c>
    </row>
    <row r="727" spans="1:8">
      <c r="A727" s="208">
        <v>42229</v>
      </c>
      <c r="B727" s="209" t="s">
        <v>45</v>
      </c>
      <c r="C727" s="210" t="s">
        <v>51</v>
      </c>
      <c r="D727" s="213" t="s">
        <v>1198</v>
      </c>
      <c r="E727" s="211"/>
      <c r="F727" s="211"/>
      <c r="G727" s="211" t="s">
        <v>1242</v>
      </c>
      <c r="H727" s="212">
        <v>42229</v>
      </c>
    </row>
    <row r="728" spans="1:8" ht="20">
      <c r="A728" s="208">
        <v>42229</v>
      </c>
      <c r="B728" s="209" t="s">
        <v>45</v>
      </c>
      <c r="C728" s="210" t="s">
        <v>51</v>
      </c>
      <c r="D728" s="213" t="s">
        <v>1243</v>
      </c>
      <c r="E728" s="211"/>
      <c r="F728" s="211"/>
      <c r="G728" s="211" t="s">
        <v>1244</v>
      </c>
      <c r="H728" s="212">
        <v>42229</v>
      </c>
    </row>
    <row r="729" spans="1:8" ht="20">
      <c r="A729" s="208">
        <v>42229</v>
      </c>
      <c r="B729" s="209" t="s">
        <v>45</v>
      </c>
      <c r="C729" s="210" t="s">
        <v>51</v>
      </c>
      <c r="D729" s="213" t="s">
        <v>1245</v>
      </c>
      <c r="E729" s="211"/>
      <c r="F729" s="211"/>
      <c r="G729" s="211" t="s">
        <v>1246</v>
      </c>
      <c r="H729" s="212">
        <v>42229</v>
      </c>
    </row>
    <row r="730" spans="1:8" ht="20">
      <c r="A730" s="208">
        <v>42229</v>
      </c>
      <c r="B730" s="209" t="s">
        <v>77</v>
      </c>
      <c r="C730" s="210" t="s">
        <v>922</v>
      </c>
      <c r="D730" s="213" t="s">
        <v>1208</v>
      </c>
      <c r="E730" s="211"/>
      <c r="F730" s="211"/>
      <c r="G730" s="211" t="s">
        <v>1247</v>
      </c>
      <c r="H730" s="212">
        <v>42229</v>
      </c>
    </row>
    <row r="731" spans="1:8" ht="20">
      <c r="A731" s="208">
        <v>42229</v>
      </c>
      <c r="B731" s="209" t="s">
        <v>91</v>
      </c>
      <c r="C731" s="210" t="s">
        <v>51</v>
      </c>
      <c r="D731" s="213" t="s">
        <v>1183</v>
      </c>
      <c r="E731" s="211"/>
      <c r="F731" s="211"/>
      <c r="G731" s="211" t="s">
        <v>1248</v>
      </c>
      <c r="H731" s="212">
        <v>42229</v>
      </c>
    </row>
    <row r="732" spans="1:8">
      <c r="A732" s="208">
        <v>42229</v>
      </c>
      <c r="B732" s="209" t="s">
        <v>91</v>
      </c>
      <c r="C732" s="210" t="s">
        <v>51</v>
      </c>
      <c r="D732" s="213" t="s">
        <v>1185</v>
      </c>
      <c r="E732" s="211"/>
      <c r="F732" s="211"/>
      <c r="G732" s="211" t="s">
        <v>1249</v>
      </c>
      <c r="H732" s="212">
        <v>42229</v>
      </c>
    </row>
    <row r="733" spans="1:8" ht="30">
      <c r="A733" s="208">
        <v>42229</v>
      </c>
      <c r="B733" s="209" t="s">
        <v>105</v>
      </c>
      <c r="C733" s="210" t="s">
        <v>922</v>
      </c>
      <c r="D733" s="213" t="s">
        <v>1215</v>
      </c>
      <c r="E733" s="211"/>
      <c r="F733" s="211"/>
      <c r="G733" s="211" t="s">
        <v>1250</v>
      </c>
      <c r="H733" s="212">
        <v>42229</v>
      </c>
    </row>
    <row r="734" spans="1:8" ht="30">
      <c r="A734" s="208">
        <v>42229</v>
      </c>
      <c r="B734" s="209" t="s">
        <v>105</v>
      </c>
      <c r="C734" s="210" t="s">
        <v>51</v>
      </c>
      <c r="D734" s="213" t="s">
        <v>874</v>
      </c>
      <c r="E734" s="211"/>
      <c r="F734" s="211"/>
      <c r="G734" s="211" t="s">
        <v>1251</v>
      </c>
      <c r="H734" s="212">
        <v>42229</v>
      </c>
    </row>
    <row r="735" spans="1:8" ht="20">
      <c r="A735" s="208">
        <v>42229</v>
      </c>
      <c r="B735" s="209" t="s">
        <v>105</v>
      </c>
      <c r="C735" s="210" t="s">
        <v>51</v>
      </c>
      <c r="D735" s="213" t="s">
        <v>1252</v>
      </c>
      <c r="E735" s="211"/>
      <c r="F735" s="211"/>
      <c r="G735" s="211" t="s">
        <v>1253</v>
      </c>
      <c r="H735" s="212">
        <v>42229</v>
      </c>
    </row>
    <row r="736" spans="1:8" ht="20">
      <c r="A736" s="208">
        <v>42229</v>
      </c>
      <c r="B736" s="209" t="s">
        <v>110</v>
      </c>
      <c r="C736" s="210" t="s">
        <v>51</v>
      </c>
      <c r="D736" s="213" t="s">
        <v>1220</v>
      </c>
      <c r="E736" s="211"/>
      <c r="F736" s="211"/>
      <c r="G736" s="211" t="s">
        <v>1254</v>
      </c>
      <c r="H736" s="212">
        <v>42229</v>
      </c>
    </row>
    <row r="737" spans="1:8" ht="30">
      <c r="A737" s="208">
        <v>42229</v>
      </c>
      <c r="B737" s="209" t="s">
        <v>110</v>
      </c>
      <c r="C737" s="210" t="s">
        <v>922</v>
      </c>
      <c r="D737" s="213" t="s">
        <v>1255</v>
      </c>
      <c r="E737" s="211"/>
      <c r="F737" s="211"/>
      <c r="G737" s="211" t="s">
        <v>1256</v>
      </c>
      <c r="H737" s="212">
        <v>42229</v>
      </c>
    </row>
    <row r="738" spans="1:8" ht="30">
      <c r="A738" s="208">
        <v>42229</v>
      </c>
      <c r="B738" s="209" t="s">
        <v>110</v>
      </c>
      <c r="C738" s="210" t="s">
        <v>922</v>
      </c>
      <c r="D738" s="213" t="s">
        <v>643</v>
      </c>
      <c r="E738" s="211"/>
      <c r="F738" s="211"/>
      <c r="G738" s="211" t="s">
        <v>1257</v>
      </c>
      <c r="H738" s="212">
        <v>42229</v>
      </c>
    </row>
    <row r="739" spans="1:8" ht="20">
      <c r="A739" s="208">
        <v>42229</v>
      </c>
      <c r="B739" s="209" t="s">
        <v>110</v>
      </c>
      <c r="C739" s="210" t="s">
        <v>51</v>
      </c>
      <c r="D739" s="213" t="s">
        <v>1258</v>
      </c>
      <c r="E739" s="211"/>
      <c r="F739" s="211"/>
      <c r="G739" s="211" t="s">
        <v>1259</v>
      </c>
      <c r="H739" s="212">
        <v>42229</v>
      </c>
    </row>
    <row r="740" spans="1:8" ht="20">
      <c r="A740" s="208">
        <v>42229</v>
      </c>
      <c r="B740" s="209" t="s">
        <v>110</v>
      </c>
      <c r="C740" s="210" t="s">
        <v>922</v>
      </c>
      <c r="D740" s="213" t="s">
        <v>1260</v>
      </c>
      <c r="E740" s="211"/>
      <c r="F740" s="211"/>
      <c r="G740" s="211" t="s">
        <v>1261</v>
      </c>
      <c r="H740" s="212">
        <v>42229</v>
      </c>
    </row>
    <row r="741" spans="1:8" ht="20">
      <c r="A741" s="208">
        <v>42139</v>
      </c>
      <c r="B741" s="209" t="s">
        <v>110</v>
      </c>
      <c r="C741" s="210" t="s">
        <v>51</v>
      </c>
      <c r="D741" s="213" t="s">
        <v>1262</v>
      </c>
      <c r="E741" s="211"/>
      <c r="F741" s="211"/>
      <c r="G741" s="211" t="s">
        <v>1263</v>
      </c>
      <c r="H741" s="212">
        <v>42139</v>
      </c>
    </row>
    <row r="742" spans="1:8" ht="20">
      <c r="A742" s="208">
        <v>42139</v>
      </c>
      <c r="B742" s="209" t="s">
        <v>110</v>
      </c>
      <c r="C742" s="210" t="s">
        <v>51</v>
      </c>
      <c r="D742" s="213" t="s">
        <v>1220</v>
      </c>
      <c r="E742" s="211"/>
      <c r="F742" s="211"/>
      <c r="G742" s="211" t="s">
        <v>1264</v>
      </c>
      <c r="H742" s="212">
        <v>42139</v>
      </c>
    </row>
    <row r="743" spans="1:8" ht="20">
      <c r="A743" s="208">
        <v>42139</v>
      </c>
      <c r="B743" s="209" t="s">
        <v>110</v>
      </c>
      <c r="C743" s="210" t="s">
        <v>51</v>
      </c>
      <c r="D743" s="213" t="s">
        <v>1222</v>
      </c>
      <c r="E743" s="211"/>
      <c r="F743" s="211"/>
      <c r="G743" s="211" t="s">
        <v>1265</v>
      </c>
      <c r="H743" s="212">
        <v>42139</v>
      </c>
    </row>
    <row r="744" spans="1:8" ht="20">
      <c r="A744" s="208">
        <v>42139</v>
      </c>
      <c r="B744" s="209" t="s">
        <v>110</v>
      </c>
      <c r="C744" s="210" t="s">
        <v>51</v>
      </c>
      <c r="D744" s="213" t="s">
        <v>1266</v>
      </c>
      <c r="E744" s="211"/>
      <c r="F744" s="211"/>
      <c r="G744" s="211" t="s">
        <v>1267</v>
      </c>
      <c r="H744" s="212">
        <v>42139</v>
      </c>
    </row>
    <row r="745" spans="1:8" ht="20">
      <c r="A745" s="208">
        <v>42109</v>
      </c>
      <c r="B745" s="209" t="s">
        <v>45</v>
      </c>
      <c r="C745" s="210" t="s">
        <v>51</v>
      </c>
      <c r="D745" s="213" t="s">
        <v>1268</v>
      </c>
      <c r="E745" s="211"/>
      <c r="F745" s="211"/>
      <c r="G745" s="211" t="s">
        <v>1269</v>
      </c>
      <c r="H745" s="212">
        <v>42109</v>
      </c>
    </row>
    <row r="746" spans="1:8" ht="20">
      <c r="A746" s="208">
        <v>42109</v>
      </c>
      <c r="B746" s="209" t="s">
        <v>45</v>
      </c>
      <c r="C746" s="210" t="s">
        <v>51</v>
      </c>
      <c r="D746" s="213" t="s">
        <v>1270</v>
      </c>
      <c r="E746" s="211"/>
      <c r="F746" s="211"/>
      <c r="G746" s="211" t="s">
        <v>1271</v>
      </c>
      <c r="H746" s="212">
        <v>42109</v>
      </c>
    </row>
    <row r="747" spans="1:8" ht="20">
      <c r="A747" s="208">
        <v>42109</v>
      </c>
      <c r="B747" s="209" t="s">
        <v>45</v>
      </c>
      <c r="C747" s="210" t="s">
        <v>51</v>
      </c>
      <c r="D747" s="213" t="s">
        <v>1162</v>
      </c>
      <c r="E747" s="211"/>
      <c r="F747" s="211"/>
      <c r="G747" s="211" t="s">
        <v>1272</v>
      </c>
      <c r="H747" s="212">
        <v>42109</v>
      </c>
    </row>
    <row r="748" spans="1:8" ht="20">
      <c r="A748" s="208">
        <v>42109</v>
      </c>
      <c r="B748" s="209" t="s">
        <v>45</v>
      </c>
      <c r="C748" s="210" t="s">
        <v>51</v>
      </c>
      <c r="D748" s="213" t="s">
        <v>1273</v>
      </c>
      <c r="E748" s="211"/>
      <c r="F748" s="211"/>
      <c r="G748" s="211" t="s">
        <v>1274</v>
      </c>
      <c r="H748" s="212">
        <v>42109</v>
      </c>
    </row>
    <row r="749" spans="1:8" ht="20">
      <c r="A749" s="208">
        <v>42109</v>
      </c>
      <c r="B749" s="209" t="s">
        <v>45</v>
      </c>
      <c r="C749" s="210" t="s">
        <v>51</v>
      </c>
      <c r="D749" s="213" t="s">
        <v>1243</v>
      </c>
      <c r="E749" s="211"/>
      <c r="F749" s="211"/>
      <c r="G749" s="211" t="s">
        <v>1275</v>
      </c>
      <c r="H749" s="212">
        <v>42109</v>
      </c>
    </row>
    <row r="750" spans="1:8" ht="20">
      <c r="A750" s="208">
        <v>42109</v>
      </c>
      <c r="B750" s="209" t="s">
        <v>45</v>
      </c>
      <c r="C750" s="210" t="s">
        <v>51</v>
      </c>
      <c r="D750" s="213" t="s">
        <v>1276</v>
      </c>
      <c r="E750" s="211"/>
      <c r="F750" s="211"/>
      <c r="G750" s="211" t="s">
        <v>1277</v>
      </c>
      <c r="H750" s="212">
        <v>42109</v>
      </c>
    </row>
    <row r="751" spans="1:8">
      <c r="A751" s="208">
        <v>42109</v>
      </c>
      <c r="B751" s="209" t="s">
        <v>77</v>
      </c>
      <c r="C751" s="210" t="s">
        <v>922</v>
      </c>
      <c r="D751" s="213" t="s">
        <v>1278</v>
      </c>
      <c r="E751" s="211"/>
      <c r="F751" s="211"/>
      <c r="G751" s="211" t="s">
        <v>1279</v>
      </c>
      <c r="H751" s="212">
        <v>42109</v>
      </c>
    </row>
    <row r="752" spans="1:8">
      <c r="A752" s="208">
        <v>42109</v>
      </c>
      <c r="B752" s="209" t="s">
        <v>77</v>
      </c>
      <c r="C752" s="210" t="s">
        <v>51</v>
      </c>
      <c r="D752" s="213" t="s">
        <v>1202</v>
      </c>
      <c r="E752" s="211"/>
      <c r="F752" s="211"/>
      <c r="G752" s="211" t="s">
        <v>1280</v>
      </c>
      <c r="H752" s="212">
        <v>42109</v>
      </c>
    </row>
    <row r="753" spans="1:8" ht="20">
      <c r="A753" s="208">
        <v>42109</v>
      </c>
      <c r="B753" s="209" t="s">
        <v>91</v>
      </c>
      <c r="C753" s="210" t="s">
        <v>51</v>
      </c>
      <c r="D753" s="213" t="s">
        <v>1210</v>
      </c>
      <c r="E753" s="211"/>
      <c r="F753" s="211"/>
      <c r="G753" s="211" t="s">
        <v>1281</v>
      </c>
      <c r="H753" s="212">
        <v>42109</v>
      </c>
    </row>
    <row r="754" spans="1:8" ht="20">
      <c r="A754" s="208">
        <v>42109</v>
      </c>
      <c r="B754" s="209" t="s">
        <v>91</v>
      </c>
      <c r="C754" s="210" t="s">
        <v>922</v>
      </c>
      <c r="D754" s="213" t="s">
        <v>1229</v>
      </c>
      <c r="E754" s="211"/>
      <c r="F754" s="211"/>
      <c r="G754" s="211" t="s">
        <v>1282</v>
      </c>
      <c r="H754" s="212">
        <v>42109</v>
      </c>
    </row>
    <row r="755" spans="1:8">
      <c r="A755" s="208">
        <v>42109</v>
      </c>
      <c r="B755" s="209" t="s">
        <v>91</v>
      </c>
      <c r="C755" s="210" t="s">
        <v>51</v>
      </c>
      <c r="D755" s="213" t="s">
        <v>1187</v>
      </c>
      <c r="E755" s="211"/>
      <c r="F755" s="211"/>
      <c r="G755" s="211" t="s">
        <v>1283</v>
      </c>
      <c r="H755" s="212">
        <v>42109</v>
      </c>
    </row>
    <row r="756" spans="1:8" ht="31.5">
      <c r="A756" s="208">
        <v>41983</v>
      </c>
      <c r="B756" s="209" t="s">
        <v>45</v>
      </c>
      <c r="C756" s="210" t="s">
        <v>46</v>
      </c>
      <c r="D756" s="213" t="s">
        <v>1268</v>
      </c>
      <c r="E756" s="211"/>
      <c r="F756" s="211"/>
      <c r="G756" s="211" t="s">
        <v>1284</v>
      </c>
      <c r="H756" s="212">
        <v>41983</v>
      </c>
    </row>
    <row r="757" spans="1:8" ht="20">
      <c r="A757" s="208">
        <v>41983</v>
      </c>
      <c r="B757" s="209" t="s">
        <v>45</v>
      </c>
      <c r="C757" s="210" t="s">
        <v>51</v>
      </c>
      <c r="D757" s="213" t="s">
        <v>1285</v>
      </c>
      <c r="E757" s="211"/>
      <c r="F757" s="211"/>
      <c r="G757" s="211" t="s">
        <v>1286</v>
      </c>
      <c r="H757" s="212">
        <v>41983</v>
      </c>
    </row>
    <row r="758" spans="1:8" ht="21">
      <c r="A758" s="208">
        <v>41983</v>
      </c>
      <c r="B758" s="209" t="s">
        <v>45</v>
      </c>
      <c r="C758" s="210" t="s">
        <v>46</v>
      </c>
      <c r="D758" s="213" t="s">
        <v>1162</v>
      </c>
      <c r="E758" s="211"/>
      <c r="F758" s="211"/>
      <c r="G758" s="211" t="s">
        <v>1287</v>
      </c>
      <c r="H758" s="212">
        <v>41983</v>
      </c>
    </row>
    <row r="759" spans="1:8" ht="31.5">
      <c r="A759" s="208">
        <v>41983</v>
      </c>
      <c r="B759" s="209" t="s">
        <v>45</v>
      </c>
      <c r="C759" s="210" t="s">
        <v>46</v>
      </c>
      <c r="D759" s="213" t="s">
        <v>1273</v>
      </c>
      <c r="E759" s="211"/>
      <c r="F759" s="211"/>
      <c r="G759" s="211" t="s">
        <v>1288</v>
      </c>
      <c r="H759" s="212">
        <v>41983</v>
      </c>
    </row>
    <row r="760" spans="1:8" ht="21">
      <c r="A760" s="208">
        <v>41983</v>
      </c>
      <c r="B760" s="209" t="s">
        <v>45</v>
      </c>
      <c r="C760" s="210" t="s">
        <v>46</v>
      </c>
      <c r="D760" s="213" t="s">
        <v>1243</v>
      </c>
      <c r="E760" s="211"/>
      <c r="F760" s="211"/>
      <c r="G760" s="211" t="s">
        <v>1289</v>
      </c>
      <c r="H760" s="212">
        <v>41983</v>
      </c>
    </row>
    <row r="761" spans="1:8" ht="30">
      <c r="A761" s="208">
        <v>41983</v>
      </c>
      <c r="B761" s="209" t="s">
        <v>45</v>
      </c>
      <c r="C761" s="210" t="s">
        <v>51</v>
      </c>
      <c r="D761" s="213" t="s">
        <v>1245</v>
      </c>
      <c r="E761" s="211"/>
      <c r="F761" s="211"/>
      <c r="G761" s="211" t="s">
        <v>1290</v>
      </c>
      <c r="H761" s="212">
        <v>41983</v>
      </c>
    </row>
    <row r="762" spans="1:8" ht="20">
      <c r="A762" s="208">
        <v>41983</v>
      </c>
      <c r="B762" s="209" t="s">
        <v>45</v>
      </c>
      <c r="C762" s="210" t="s">
        <v>51</v>
      </c>
      <c r="D762" s="213" t="s">
        <v>1276</v>
      </c>
      <c r="E762" s="211"/>
      <c r="F762" s="211"/>
      <c r="G762" s="211" t="s">
        <v>1291</v>
      </c>
      <c r="H762" s="212">
        <v>41983</v>
      </c>
    </row>
    <row r="763" spans="1:8" ht="20">
      <c r="A763" s="208">
        <v>41983</v>
      </c>
      <c r="B763" s="209" t="s">
        <v>77</v>
      </c>
      <c r="C763" s="210" t="s">
        <v>51</v>
      </c>
      <c r="D763" s="213" t="s">
        <v>1292</v>
      </c>
      <c r="E763" s="211"/>
      <c r="F763" s="211"/>
      <c r="G763" s="211" t="s">
        <v>1293</v>
      </c>
      <c r="H763" s="212">
        <v>41983</v>
      </c>
    </row>
    <row r="764" spans="1:8">
      <c r="A764" s="208">
        <v>41983</v>
      </c>
      <c r="B764" s="209" t="s">
        <v>91</v>
      </c>
      <c r="C764" s="210" t="s">
        <v>51</v>
      </c>
      <c r="D764" s="213" t="s">
        <v>1183</v>
      </c>
      <c r="E764" s="211"/>
      <c r="F764" s="211"/>
      <c r="G764" s="211" t="s">
        <v>1294</v>
      </c>
      <c r="H764" s="212">
        <v>41983</v>
      </c>
    </row>
    <row r="765" spans="1:8" ht="20">
      <c r="A765" s="208">
        <v>41983</v>
      </c>
      <c r="B765" s="209" t="s">
        <v>91</v>
      </c>
      <c r="C765" s="210" t="s">
        <v>51</v>
      </c>
      <c r="D765" s="213" t="s">
        <v>1295</v>
      </c>
      <c r="E765" s="211"/>
      <c r="F765" s="211"/>
      <c r="G765" s="211" t="s">
        <v>1296</v>
      </c>
      <c r="H765" s="212">
        <v>41983</v>
      </c>
    </row>
    <row r="766" spans="1:8" ht="20">
      <c r="A766" s="208">
        <v>41983</v>
      </c>
      <c r="B766" s="209" t="s">
        <v>105</v>
      </c>
      <c r="C766" s="210" t="s">
        <v>922</v>
      </c>
      <c r="D766" s="213" t="s">
        <v>1297</v>
      </c>
      <c r="E766" s="211"/>
      <c r="F766" s="211"/>
      <c r="G766" s="211" t="s">
        <v>1298</v>
      </c>
      <c r="H766" s="212">
        <v>41983</v>
      </c>
    </row>
    <row r="767" spans="1:8" ht="40">
      <c r="A767" s="208">
        <v>41983</v>
      </c>
      <c r="B767" s="209" t="s">
        <v>105</v>
      </c>
      <c r="C767" s="210" t="s">
        <v>922</v>
      </c>
      <c r="D767" s="213" t="s">
        <v>437</v>
      </c>
      <c r="E767" s="211"/>
      <c r="F767" s="211"/>
      <c r="G767" s="211" t="s">
        <v>1299</v>
      </c>
      <c r="H767" s="212">
        <v>41983</v>
      </c>
    </row>
    <row r="768" spans="1:8" ht="20">
      <c r="A768" s="208">
        <v>41983</v>
      </c>
      <c r="B768" s="209" t="s">
        <v>105</v>
      </c>
      <c r="C768" s="210" t="s">
        <v>922</v>
      </c>
      <c r="D768" s="213" t="s">
        <v>1300</v>
      </c>
      <c r="E768" s="211"/>
      <c r="F768" s="211"/>
      <c r="G768" s="211" t="s">
        <v>1301</v>
      </c>
      <c r="H768" s="212">
        <v>41983</v>
      </c>
    </row>
    <row r="769" spans="1:8">
      <c r="A769" s="208">
        <v>41983</v>
      </c>
      <c r="B769" s="209" t="s">
        <v>105</v>
      </c>
      <c r="C769" s="210" t="s">
        <v>922</v>
      </c>
      <c r="D769" s="213" t="s">
        <v>1302</v>
      </c>
      <c r="E769" s="211"/>
      <c r="F769" s="211"/>
      <c r="G769" s="211" t="s">
        <v>1303</v>
      </c>
      <c r="H769" s="212">
        <v>41983</v>
      </c>
    </row>
    <row r="770" spans="1:8">
      <c r="A770" s="208">
        <v>41983</v>
      </c>
      <c r="B770" s="209" t="s">
        <v>105</v>
      </c>
      <c r="C770" s="210" t="s">
        <v>922</v>
      </c>
      <c r="D770" s="213" t="s">
        <v>1304</v>
      </c>
      <c r="E770" s="211"/>
      <c r="F770" s="211"/>
      <c r="G770" s="211" t="s">
        <v>1305</v>
      </c>
      <c r="H770" s="212">
        <v>41983</v>
      </c>
    </row>
    <row r="771" spans="1:8" ht="21">
      <c r="A771" s="208">
        <v>41983</v>
      </c>
      <c r="B771" s="209" t="s">
        <v>110</v>
      </c>
      <c r="C771" s="210" t="s">
        <v>46</v>
      </c>
      <c r="D771" s="213" t="s">
        <v>1306</v>
      </c>
      <c r="E771" s="211"/>
      <c r="F771" s="211"/>
      <c r="G771" s="211" t="s">
        <v>1307</v>
      </c>
      <c r="H771" s="212">
        <v>41983</v>
      </c>
    </row>
    <row r="772" spans="1:8" ht="20">
      <c r="A772" s="208">
        <v>41983</v>
      </c>
      <c r="B772" s="209" t="s">
        <v>110</v>
      </c>
      <c r="C772" s="210" t="s">
        <v>51</v>
      </c>
      <c r="D772" s="213" t="s">
        <v>1258</v>
      </c>
      <c r="E772" s="211"/>
      <c r="F772" s="211"/>
      <c r="G772" s="211" t="s">
        <v>1308</v>
      </c>
      <c r="H772" s="212">
        <v>41983</v>
      </c>
    </row>
    <row r="773" spans="1:8" ht="20">
      <c r="A773" s="208">
        <v>41983</v>
      </c>
      <c r="B773" s="209" t="s">
        <v>110</v>
      </c>
      <c r="C773" s="210" t="s">
        <v>51</v>
      </c>
      <c r="D773" s="213" t="s">
        <v>1309</v>
      </c>
      <c r="E773" s="211"/>
      <c r="F773" s="211"/>
      <c r="G773" s="211" t="s">
        <v>1310</v>
      </c>
      <c r="H773" s="212">
        <v>41983</v>
      </c>
    </row>
    <row r="774" spans="1:8" ht="21">
      <c r="A774" s="208">
        <v>41858</v>
      </c>
      <c r="B774" s="209" t="s">
        <v>45</v>
      </c>
      <c r="C774" s="210" t="s">
        <v>46</v>
      </c>
      <c r="D774" s="213" t="s">
        <v>1162</v>
      </c>
      <c r="E774" s="211"/>
      <c r="F774" s="211"/>
      <c r="G774" s="211" t="s">
        <v>1311</v>
      </c>
      <c r="H774" s="212">
        <v>41858</v>
      </c>
    </row>
    <row r="775" spans="1:8" ht="20">
      <c r="A775" s="208">
        <v>41858</v>
      </c>
      <c r="B775" s="209" t="s">
        <v>45</v>
      </c>
      <c r="C775" s="210" t="s">
        <v>51</v>
      </c>
      <c r="D775" s="213" t="s">
        <v>1312</v>
      </c>
      <c r="E775" s="211"/>
      <c r="F775" s="211"/>
      <c r="G775" s="211" t="s">
        <v>1313</v>
      </c>
      <c r="H775" s="212">
        <v>41858</v>
      </c>
    </row>
    <row r="776" spans="1:8" ht="20">
      <c r="A776" s="208">
        <v>41858</v>
      </c>
      <c r="B776" s="209" t="s">
        <v>77</v>
      </c>
      <c r="C776" s="210" t="s">
        <v>51</v>
      </c>
      <c r="D776" s="213" t="s">
        <v>1314</v>
      </c>
      <c r="E776" s="211"/>
      <c r="F776" s="211"/>
      <c r="G776" s="211" t="s">
        <v>1315</v>
      </c>
      <c r="H776" s="212">
        <v>41858</v>
      </c>
    </row>
    <row r="777" spans="1:8">
      <c r="A777" s="208">
        <v>41858</v>
      </c>
      <c r="B777" s="209" t="s">
        <v>77</v>
      </c>
      <c r="C777" s="210" t="s">
        <v>51</v>
      </c>
      <c r="D777" s="213" t="s">
        <v>1278</v>
      </c>
      <c r="E777" s="211"/>
      <c r="F777" s="211"/>
      <c r="G777" s="211" t="s">
        <v>1316</v>
      </c>
      <c r="H777" s="212">
        <v>41858</v>
      </c>
    </row>
    <row r="778" spans="1:8">
      <c r="A778" s="208">
        <v>41858</v>
      </c>
      <c r="B778" s="209" t="s">
        <v>91</v>
      </c>
      <c r="C778" s="210" t="s">
        <v>922</v>
      </c>
      <c r="D778" s="213" t="s">
        <v>1317</v>
      </c>
      <c r="E778" s="211"/>
      <c r="F778" s="211"/>
      <c r="G778" s="211" t="s">
        <v>1318</v>
      </c>
      <c r="H778" s="212">
        <v>41858</v>
      </c>
    </row>
    <row r="779" spans="1:8">
      <c r="A779" s="208">
        <v>41858</v>
      </c>
      <c r="B779" s="209" t="s">
        <v>91</v>
      </c>
      <c r="C779" s="210" t="s">
        <v>922</v>
      </c>
      <c r="D779" s="213" t="s">
        <v>1319</v>
      </c>
      <c r="E779" s="211"/>
      <c r="F779" s="211"/>
      <c r="G779" s="211" t="s">
        <v>1320</v>
      </c>
      <c r="H779" s="212">
        <v>41858</v>
      </c>
    </row>
    <row r="780" spans="1:8" ht="20">
      <c r="A780" s="208">
        <v>41858</v>
      </c>
      <c r="B780" s="209" t="s">
        <v>110</v>
      </c>
      <c r="C780" s="210" t="s">
        <v>51</v>
      </c>
      <c r="D780" s="213" t="s">
        <v>1262</v>
      </c>
      <c r="E780" s="211"/>
      <c r="F780" s="211"/>
      <c r="G780" s="211" t="s">
        <v>1321</v>
      </c>
      <c r="H780" s="212">
        <v>41858</v>
      </c>
    </row>
    <row r="781" spans="1:8" ht="20">
      <c r="A781" s="208">
        <v>41858</v>
      </c>
      <c r="B781" s="209" t="s">
        <v>110</v>
      </c>
      <c r="C781" s="210" t="s">
        <v>51</v>
      </c>
      <c r="D781" s="213" t="s">
        <v>1309</v>
      </c>
      <c r="E781" s="211"/>
      <c r="F781" s="211"/>
      <c r="G781" s="211" t="s">
        <v>1322</v>
      </c>
      <c r="H781" s="212">
        <v>41858</v>
      </c>
    </row>
    <row r="782" spans="1:8" ht="20">
      <c r="A782" s="208">
        <v>41789</v>
      </c>
      <c r="B782" s="209" t="s">
        <v>45</v>
      </c>
      <c r="C782" s="210" t="s">
        <v>922</v>
      </c>
      <c r="D782" s="213" t="s">
        <v>1323</v>
      </c>
      <c r="E782" s="211"/>
      <c r="F782" s="211"/>
      <c r="G782" s="211" t="s">
        <v>1324</v>
      </c>
      <c r="H782" s="212">
        <v>41789</v>
      </c>
    </row>
    <row r="783" spans="1:8" ht="31.5">
      <c r="A783" s="208">
        <v>41789</v>
      </c>
      <c r="B783" s="209" t="s">
        <v>45</v>
      </c>
      <c r="C783" s="210" t="s">
        <v>46</v>
      </c>
      <c r="D783" s="213" t="s">
        <v>1268</v>
      </c>
      <c r="E783" s="211"/>
      <c r="F783" s="211"/>
      <c r="G783" s="211" t="s">
        <v>1325</v>
      </c>
      <c r="H783" s="212">
        <v>41789</v>
      </c>
    </row>
    <row r="784" spans="1:8" ht="31.5">
      <c r="A784" s="208">
        <v>41789</v>
      </c>
      <c r="B784" s="209" t="s">
        <v>45</v>
      </c>
      <c r="C784" s="210" t="s">
        <v>46</v>
      </c>
      <c r="D784" s="213" t="s">
        <v>1225</v>
      </c>
      <c r="E784" s="211"/>
      <c r="F784" s="211"/>
      <c r="G784" s="211" t="s">
        <v>1326</v>
      </c>
      <c r="H784" s="212">
        <v>41789</v>
      </c>
    </row>
    <row r="785" spans="1:8" ht="30">
      <c r="A785" s="208">
        <v>41789</v>
      </c>
      <c r="B785" s="209" t="s">
        <v>45</v>
      </c>
      <c r="C785" s="210" t="s">
        <v>922</v>
      </c>
      <c r="D785" s="213" t="s">
        <v>1327</v>
      </c>
      <c r="E785" s="211"/>
      <c r="F785" s="211"/>
      <c r="G785" s="211" t="s">
        <v>1328</v>
      </c>
      <c r="H785" s="212">
        <v>41789</v>
      </c>
    </row>
    <row r="786" spans="1:8">
      <c r="A786" s="208">
        <v>41789</v>
      </c>
      <c r="B786" s="209" t="s">
        <v>77</v>
      </c>
      <c r="C786" s="210" t="s">
        <v>51</v>
      </c>
      <c r="D786" s="213" t="s">
        <v>1329</v>
      </c>
      <c r="E786" s="211"/>
      <c r="F786" s="211"/>
      <c r="G786" s="211" t="s">
        <v>1330</v>
      </c>
      <c r="H786" s="212">
        <v>41789</v>
      </c>
    </row>
    <row r="787" spans="1:8">
      <c r="A787" s="208">
        <v>41789</v>
      </c>
      <c r="B787" s="209" t="s">
        <v>77</v>
      </c>
      <c r="C787" s="210" t="s">
        <v>51</v>
      </c>
      <c r="D787" s="213" t="s">
        <v>151</v>
      </c>
      <c r="E787" s="211"/>
      <c r="F787" s="211"/>
      <c r="G787" s="211" t="s">
        <v>1331</v>
      </c>
      <c r="H787" s="212">
        <v>41789</v>
      </c>
    </row>
    <row r="788" spans="1:8" ht="42">
      <c r="A788" s="208">
        <v>41789</v>
      </c>
      <c r="B788" s="209" t="s">
        <v>77</v>
      </c>
      <c r="C788" s="210" t="s">
        <v>46</v>
      </c>
      <c r="D788" s="213" t="s">
        <v>1202</v>
      </c>
      <c r="E788" s="211"/>
      <c r="F788" s="211"/>
      <c r="G788" s="211" t="s">
        <v>1332</v>
      </c>
      <c r="H788" s="212">
        <v>41789</v>
      </c>
    </row>
    <row r="789" spans="1:8">
      <c r="A789" s="208">
        <v>41789</v>
      </c>
      <c r="B789" s="209" t="s">
        <v>77</v>
      </c>
      <c r="C789" s="210" t="s">
        <v>51</v>
      </c>
      <c r="D789" s="213" t="s">
        <v>1173</v>
      </c>
      <c r="E789" s="211"/>
      <c r="F789" s="211"/>
      <c r="G789" s="211" t="s">
        <v>1333</v>
      </c>
      <c r="H789" s="212">
        <v>41789</v>
      </c>
    </row>
    <row r="790" spans="1:8" ht="20">
      <c r="A790" s="208">
        <v>41789</v>
      </c>
      <c r="B790" s="209" t="s">
        <v>77</v>
      </c>
      <c r="C790" s="210" t="s">
        <v>51</v>
      </c>
      <c r="D790" s="213" t="s">
        <v>1292</v>
      </c>
      <c r="E790" s="211"/>
      <c r="F790" s="211"/>
      <c r="G790" s="211" t="s">
        <v>1334</v>
      </c>
      <c r="H790" s="212">
        <v>41789</v>
      </c>
    </row>
    <row r="791" spans="1:8" ht="40">
      <c r="A791" s="208">
        <v>41789</v>
      </c>
      <c r="B791" s="209" t="s">
        <v>77</v>
      </c>
      <c r="C791" s="210" t="s">
        <v>922</v>
      </c>
      <c r="D791" s="213" t="s">
        <v>1208</v>
      </c>
      <c r="E791" s="211"/>
      <c r="F791" s="211"/>
      <c r="G791" s="211" t="s">
        <v>1335</v>
      </c>
      <c r="H791" s="212">
        <v>41789</v>
      </c>
    </row>
    <row r="792" spans="1:8" ht="31.5">
      <c r="A792" s="208">
        <v>41789</v>
      </c>
      <c r="B792" s="209" t="s">
        <v>91</v>
      </c>
      <c r="C792" s="210" t="s">
        <v>46</v>
      </c>
      <c r="D792" s="213" t="s">
        <v>1336</v>
      </c>
      <c r="E792" s="211"/>
      <c r="F792" s="211"/>
      <c r="G792" s="211" t="s">
        <v>1337</v>
      </c>
      <c r="H792" s="212">
        <v>41789</v>
      </c>
    </row>
    <row r="793" spans="1:8" ht="21">
      <c r="A793" s="208">
        <v>41789</v>
      </c>
      <c r="B793" s="209" t="s">
        <v>110</v>
      </c>
      <c r="C793" s="210" t="s">
        <v>46</v>
      </c>
      <c r="D793" s="213" t="s">
        <v>1338</v>
      </c>
      <c r="E793" s="211"/>
      <c r="F793" s="211"/>
      <c r="G793" s="211" t="s">
        <v>1339</v>
      </c>
      <c r="H793" s="212">
        <v>41789</v>
      </c>
    </row>
    <row r="794" spans="1:8" ht="20">
      <c r="A794" s="208">
        <v>41789</v>
      </c>
      <c r="B794" s="209" t="s">
        <v>110</v>
      </c>
      <c r="C794" s="210" t="s">
        <v>903</v>
      </c>
      <c r="D794" s="213" t="s">
        <v>1255</v>
      </c>
      <c r="E794" s="211"/>
      <c r="F794" s="211"/>
      <c r="G794" s="211" t="s">
        <v>1340</v>
      </c>
      <c r="H794" s="212">
        <v>41789</v>
      </c>
    </row>
    <row r="795" spans="1:8" ht="20">
      <c r="A795" s="208">
        <v>41789</v>
      </c>
      <c r="B795" s="209" t="s">
        <v>110</v>
      </c>
      <c r="C795" s="210" t="s">
        <v>922</v>
      </c>
      <c r="D795" s="213" t="s">
        <v>1341</v>
      </c>
      <c r="E795" s="211"/>
      <c r="F795" s="211"/>
      <c r="G795" s="211" t="s">
        <v>1342</v>
      </c>
      <c r="H795" s="212">
        <v>41789</v>
      </c>
    </row>
    <row r="796" spans="1:8" ht="30">
      <c r="A796" s="208">
        <v>41789</v>
      </c>
      <c r="B796" s="209" t="s">
        <v>110</v>
      </c>
      <c r="C796" s="210" t="s">
        <v>922</v>
      </c>
      <c r="D796" s="213" t="s">
        <v>1258</v>
      </c>
      <c r="E796" s="211"/>
      <c r="F796" s="211"/>
      <c r="G796" s="211" t="s">
        <v>1343</v>
      </c>
      <c r="H796" s="212">
        <v>41789</v>
      </c>
    </row>
    <row r="797" spans="1:8" ht="21">
      <c r="A797" s="208">
        <v>41789</v>
      </c>
      <c r="B797" s="209" t="s">
        <v>110</v>
      </c>
      <c r="C797" s="210" t="s">
        <v>46</v>
      </c>
      <c r="D797" s="213" t="s">
        <v>1309</v>
      </c>
      <c r="E797" s="211"/>
      <c r="F797" s="211"/>
      <c r="G797" s="211" t="s">
        <v>1344</v>
      </c>
      <c r="H797" s="212">
        <v>41789</v>
      </c>
    </row>
    <row r="798" spans="1:8" ht="31.5">
      <c r="A798" s="208">
        <v>41789</v>
      </c>
      <c r="B798" s="209" t="s">
        <v>110</v>
      </c>
      <c r="C798" s="210" t="s">
        <v>46</v>
      </c>
      <c r="D798" s="213" t="s">
        <v>1266</v>
      </c>
      <c r="E798" s="211"/>
      <c r="F798" s="211"/>
      <c r="G798" s="211" t="s">
        <v>1345</v>
      </c>
      <c r="H798" s="212">
        <v>41789</v>
      </c>
    </row>
    <row r="799" spans="1:8" ht="30">
      <c r="A799" s="208">
        <v>41698</v>
      </c>
      <c r="B799" s="209" t="s">
        <v>45</v>
      </c>
      <c r="C799" s="210" t="s">
        <v>922</v>
      </c>
      <c r="D799" s="213" t="s">
        <v>1346</v>
      </c>
      <c r="E799" s="211"/>
      <c r="F799" s="211"/>
      <c r="G799" s="211" t="s">
        <v>1347</v>
      </c>
      <c r="H799" s="212">
        <v>41698</v>
      </c>
    </row>
    <row r="800" spans="1:8" ht="21">
      <c r="A800" s="208">
        <v>41698</v>
      </c>
      <c r="B800" s="209" t="s">
        <v>45</v>
      </c>
      <c r="C800" s="210" t="s">
        <v>46</v>
      </c>
      <c r="D800" s="213" t="s">
        <v>1238</v>
      </c>
      <c r="E800" s="211"/>
      <c r="F800" s="211"/>
      <c r="G800" s="211" t="s">
        <v>1348</v>
      </c>
      <c r="H800" s="212">
        <v>41698</v>
      </c>
    </row>
    <row r="801" spans="1:8" ht="30">
      <c r="A801" s="208">
        <v>41698</v>
      </c>
      <c r="B801" s="209" t="s">
        <v>45</v>
      </c>
      <c r="C801" s="210" t="s">
        <v>51</v>
      </c>
      <c r="D801" s="213" t="s">
        <v>1349</v>
      </c>
      <c r="E801" s="211"/>
      <c r="F801" s="211"/>
      <c r="G801" s="211" t="s">
        <v>1350</v>
      </c>
      <c r="H801" s="212">
        <v>41698</v>
      </c>
    </row>
    <row r="802" spans="1:8" ht="20">
      <c r="A802" s="208">
        <v>41698</v>
      </c>
      <c r="B802" s="209" t="s">
        <v>77</v>
      </c>
      <c r="C802" s="210" t="s">
        <v>51</v>
      </c>
      <c r="D802" s="213" t="s">
        <v>1292</v>
      </c>
      <c r="E802" s="211"/>
      <c r="F802" s="211"/>
      <c r="G802" s="211" t="s">
        <v>1351</v>
      </c>
      <c r="H802" s="212">
        <v>41698</v>
      </c>
    </row>
    <row r="803" spans="1:8" ht="20">
      <c r="A803" s="208">
        <v>41698</v>
      </c>
      <c r="B803" s="209" t="s">
        <v>91</v>
      </c>
      <c r="C803" s="210" t="s">
        <v>51</v>
      </c>
      <c r="D803" s="213" t="s">
        <v>1336</v>
      </c>
      <c r="E803" s="211"/>
      <c r="F803" s="211"/>
      <c r="G803" s="211" t="s">
        <v>1352</v>
      </c>
      <c r="H803" s="212">
        <v>41698</v>
      </c>
    </row>
    <row r="804" spans="1:8" ht="30">
      <c r="A804" s="208">
        <v>41593</v>
      </c>
      <c r="B804" s="209" t="s">
        <v>45</v>
      </c>
      <c r="C804" s="210" t="s">
        <v>51</v>
      </c>
      <c r="D804" s="213" t="s">
        <v>315</v>
      </c>
      <c r="E804" s="211"/>
      <c r="F804" s="211"/>
      <c r="G804" s="211" t="s">
        <v>1353</v>
      </c>
      <c r="H804" s="212">
        <v>41593</v>
      </c>
    </row>
    <row r="805" spans="1:8">
      <c r="A805" s="208">
        <v>41593</v>
      </c>
      <c r="B805" s="209" t="s">
        <v>45</v>
      </c>
      <c r="C805" s="210" t="s">
        <v>51</v>
      </c>
      <c r="D805" s="213" t="s">
        <v>1354</v>
      </c>
      <c r="E805" s="211"/>
      <c r="F805" s="211"/>
      <c r="G805" s="211" t="s">
        <v>1355</v>
      </c>
      <c r="H805" s="212">
        <v>41593</v>
      </c>
    </row>
    <row r="806" spans="1:8" ht="20">
      <c r="A806" s="208">
        <v>41593</v>
      </c>
      <c r="B806" s="209" t="s">
        <v>45</v>
      </c>
      <c r="C806" s="210" t="s">
        <v>51</v>
      </c>
      <c r="D806" s="213" t="s">
        <v>1356</v>
      </c>
      <c r="E806" s="211"/>
      <c r="F806" s="211"/>
      <c r="G806" s="211" t="s">
        <v>1357</v>
      </c>
      <c r="H806" s="212">
        <v>41593</v>
      </c>
    </row>
    <row r="807" spans="1:8" ht="30">
      <c r="A807" s="208">
        <v>41593</v>
      </c>
      <c r="B807" s="209" t="s">
        <v>45</v>
      </c>
      <c r="C807" s="210" t="s">
        <v>51</v>
      </c>
      <c r="D807" s="213" t="s">
        <v>1358</v>
      </c>
      <c r="E807" s="211"/>
      <c r="F807" s="211"/>
      <c r="G807" s="211" t="s">
        <v>1359</v>
      </c>
      <c r="H807" s="212">
        <v>41593</v>
      </c>
    </row>
    <row r="808" spans="1:8" ht="20">
      <c r="A808" s="208">
        <v>41593</v>
      </c>
      <c r="B808" s="209" t="s">
        <v>45</v>
      </c>
      <c r="C808" s="210" t="s">
        <v>51</v>
      </c>
      <c r="D808" s="213" t="s">
        <v>1360</v>
      </c>
      <c r="E808" s="211"/>
      <c r="F808" s="211"/>
      <c r="G808" s="211" t="s">
        <v>1361</v>
      </c>
      <c r="H808" s="212">
        <v>41593</v>
      </c>
    </row>
    <row r="809" spans="1:8" ht="31.5">
      <c r="A809" s="208">
        <v>41593</v>
      </c>
      <c r="B809" s="209" t="s">
        <v>45</v>
      </c>
      <c r="C809" s="210" t="s">
        <v>46</v>
      </c>
      <c r="D809" s="213" t="s">
        <v>1273</v>
      </c>
      <c r="E809" s="211"/>
      <c r="F809" s="211"/>
      <c r="G809" s="211" t="s">
        <v>1362</v>
      </c>
      <c r="H809" s="212">
        <v>41593</v>
      </c>
    </row>
    <row r="810" spans="1:8" ht="30">
      <c r="A810" s="208">
        <v>41593</v>
      </c>
      <c r="B810" s="209" t="s">
        <v>77</v>
      </c>
      <c r="C810" s="210" t="s">
        <v>51</v>
      </c>
      <c r="D810" s="213" t="s">
        <v>1363</v>
      </c>
      <c r="E810" s="211"/>
      <c r="F810" s="211"/>
      <c r="G810" s="211" t="s">
        <v>1364</v>
      </c>
      <c r="H810" s="212">
        <v>41593</v>
      </c>
    </row>
    <row r="811" spans="1:8" ht="20">
      <c r="A811" s="208">
        <v>41593</v>
      </c>
      <c r="B811" s="209" t="s">
        <v>91</v>
      </c>
      <c r="C811" s="210" t="s">
        <v>51</v>
      </c>
      <c r="D811" s="213" t="s">
        <v>1365</v>
      </c>
      <c r="E811" s="211"/>
      <c r="F811" s="211"/>
      <c r="G811" s="211" t="s">
        <v>1366</v>
      </c>
      <c r="H811" s="212">
        <v>41593</v>
      </c>
    </row>
    <row r="812" spans="1:8" ht="21">
      <c r="A812" s="208">
        <v>41593</v>
      </c>
      <c r="B812" s="209" t="s">
        <v>91</v>
      </c>
      <c r="C812" s="210" t="s">
        <v>46</v>
      </c>
      <c r="D812" s="213" t="s">
        <v>1336</v>
      </c>
      <c r="E812" s="211"/>
      <c r="F812" s="211"/>
      <c r="G812" s="211" t="s">
        <v>1367</v>
      </c>
      <c r="H812" s="212">
        <v>41593</v>
      </c>
    </row>
    <row r="813" spans="1:8" ht="20">
      <c r="A813" s="208">
        <v>41593</v>
      </c>
      <c r="B813" s="209" t="s">
        <v>105</v>
      </c>
      <c r="C813" s="210" t="s">
        <v>51</v>
      </c>
      <c r="D813" s="213" t="s">
        <v>1368</v>
      </c>
      <c r="E813" s="211"/>
      <c r="F813" s="211"/>
      <c r="G813" s="211" t="s">
        <v>1369</v>
      </c>
      <c r="H813" s="212">
        <v>41593</v>
      </c>
    </row>
    <row r="814" spans="1:8">
      <c r="A814" s="208">
        <v>41593</v>
      </c>
      <c r="B814" s="209" t="s">
        <v>105</v>
      </c>
      <c r="C814" s="210" t="s">
        <v>51</v>
      </c>
      <c r="D814" s="213" t="s">
        <v>1370</v>
      </c>
      <c r="E814" s="211"/>
      <c r="F814" s="211"/>
      <c r="G814" s="211" t="s">
        <v>1371</v>
      </c>
      <c r="H814" s="212">
        <v>41593</v>
      </c>
    </row>
    <row r="815" spans="1:8" ht="20">
      <c r="A815" s="208">
        <v>41593</v>
      </c>
      <c r="B815" s="209" t="s">
        <v>110</v>
      </c>
      <c r="C815" s="210" t="s">
        <v>51</v>
      </c>
      <c r="D815" s="213" t="s">
        <v>1372</v>
      </c>
      <c r="E815" s="211"/>
      <c r="F815" s="211"/>
      <c r="G815" s="211" t="s">
        <v>1373</v>
      </c>
      <c r="H815" s="212">
        <v>41593</v>
      </c>
    </row>
    <row r="816" spans="1:8" ht="30">
      <c r="A816" s="208">
        <v>41593</v>
      </c>
      <c r="B816" s="209" t="s">
        <v>110</v>
      </c>
      <c r="C816" s="210" t="s">
        <v>51</v>
      </c>
      <c r="D816" s="213" t="s">
        <v>1266</v>
      </c>
      <c r="E816" s="211"/>
      <c r="F816" s="211"/>
      <c r="G816" s="211" t="s">
        <v>1374</v>
      </c>
      <c r="H816" s="212">
        <v>41593</v>
      </c>
    </row>
    <row r="817" spans="1:8" ht="21">
      <c r="A817" s="208">
        <v>41499</v>
      </c>
      <c r="B817" s="209" t="s">
        <v>45</v>
      </c>
      <c r="C817" s="210" t="s">
        <v>46</v>
      </c>
      <c r="D817" s="213" t="s">
        <v>1268</v>
      </c>
      <c r="E817" s="211"/>
      <c r="F817" s="211"/>
      <c r="G817" s="211" t="s">
        <v>1375</v>
      </c>
      <c r="H817" s="212">
        <v>41499</v>
      </c>
    </row>
    <row r="818" spans="1:8" ht="21">
      <c r="A818" s="208">
        <v>41499</v>
      </c>
      <c r="B818" s="209" t="s">
        <v>45</v>
      </c>
      <c r="C818" s="210" t="s">
        <v>46</v>
      </c>
      <c r="D818" s="213" t="s">
        <v>1243</v>
      </c>
      <c r="E818" s="211"/>
      <c r="F818" s="211"/>
      <c r="G818" s="211" t="s">
        <v>1376</v>
      </c>
      <c r="H818" s="212">
        <v>41499</v>
      </c>
    </row>
    <row r="819" spans="1:8">
      <c r="A819" s="208">
        <v>41499</v>
      </c>
      <c r="B819" s="209" t="s">
        <v>110</v>
      </c>
      <c r="C819" s="210" t="s">
        <v>922</v>
      </c>
      <c r="D819" s="213" t="s">
        <v>1372</v>
      </c>
      <c r="E819" s="211"/>
      <c r="F819" s="211"/>
      <c r="G819" s="211" t="s">
        <v>1377</v>
      </c>
      <c r="H819" s="212">
        <v>41499</v>
      </c>
    </row>
    <row r="820" spans="1:8" ht="21">
      <c r="A820" s="208">
        <v>41455</v>
      </c>
      <c r="B820" s="209" t="s">
        <v>45</v>
      </c>
      <c r="C820" s="210" t="s">
        <v>46</v>
      </c>
      <c r="D820" s="213" t="s">
        <v>1354</v>
      </c>
      <c r="E820" s="211"/>
      <c r="F820" s="211"/>
      <c r="G820" s="211" t="s">
        <v>1378</v>
      </c>
      <c r="H820" s="212">
        <v>41455</v>
      </c>
    </row>
    <row r="821" spans="1:8" ht="21">
      <c r="A821" s="208">
        <v>41455</v>
      </c>
      <c r="B821" s="209" t="s">
        <v>45</v>
      </c>
      <c r="C821" s="210" t="s">
        <v>46</v>
      </c>
      <c r="D821" s="213" t="s">
        <v>1285</v>
      </c>
      <c r="E821" s="211"/>
      <c r="F821" s="211"/>
      <c r="G821" s="211" t="s">
        <v>1379</v>
      </c>
      <c r="H821" s="212">
        <v>41455</v>
      </c>
    </row>
    <row r="822" spans="1:8" ht="20">
      <c r="A822" s="208">
        <v>41455</v>
      </c>
      <c r="B822" s="209" t="s">
        <v>45</v>
      </c>
      <c r="C822" s="210" t="s">
        <v>922</v>
      </c>
      <c r="D822" s="213" t="s">
        <v>1236</v>
      </c>
      <c r="E822" s="211"/>
      <c r="F822" s="211"/>
      <c r="G822" s="211" t="s">
        <v>1380</v>
      </c>
      <c r="H822" s="212">
        <v>41455</v>
      </c>
    </row>
    <row r="823" spans="1:8" ht="20">
      <c r="A823" s="208">
        <v>41455</v>
      </c>
      <c r="B823" s="209" t="s">
        <v>45</v>
      </c>
      <c r="C823" s="210" t="s">
        <v>922</v>
      </c>
      <c r="D823" s="213" t="s">
        <v>1381</v>
      </c>
      <c r="E823" s="211"/>
      <c r="F823" s="211"/>
      <c r="G823" s="211" t="s">
        <v>1382</v>
      </c>
      <c r="H823" s="212">
        <v>41455</v>
      </c>
    </row>
    <row r="824" spans="1:8" ht="20">
      <c r="A824" s="208">
        <v>41455</v>
      </c>
      <c r="B824" s="209" t="s">
        <v>45</v>
      </c>
      <c r="C824" s="210" t="s">
        <v>922</v>
      </c>
      <c r="D824" s="213" t="s">
        <v>1383</v>
      </c>
      <c r="E824" s="211"/>
      <c r="F824" s="211"/>
      <c r="G824" s="211" t="s">
        <v>1384</v>
      </c>
      <c r="H824" s="212">
        <v>41455</v>
      </c>
    </row>
    <row r="825" spans="1:8" ht="40">
      <c r="A825" s="208">
        <v>41455</v>
      </c>
      <c r="B825" s="209" t="s">
        <v>77</v>
      </c>
      <c r="C825" s="210" t="s">
        <v>922</v>
      </c>
      <c r="D825" s="213" t="s">
        <v>1385</v>
      </c>
      <c r="E825" s="211"/>
      <c r="F825" s="211"/>
      <c r="G825" s="211" t="s">
        <v>1386</v>
      </c>
      <c r="H825" s="212">
        <v>41455</v>
      </c>
    </row>
    <row r="826" spans="1:8" ht="20">
      <c r="A826" s="208">
        <v>41455</v>
      </c>
      <c r="B826" s="209" t="s">
        <v>77</v>
      </c>
      <c r="C826" s="210" t="s">
        <v>922</v>
      </c>
      <c r="D826" s="213" t="s">
        <v>1387</v>
      </c>
      <c r="E826" s="211"/>
      <c r="F826" s="211"/>
      <c r="G826" s="211" t="s">
        <v>1388</v>
      </c>
      <c r="H826" s="212">
        <v>41455</v>
      </c>
    </row>
    <row r="827" spans="1:8" ht="21">
      <c r="A827" s="208">
        <v>41455</v>
      </c>
      <c r="B827" s="209" t="s">
        <v>77</v>
      </c>
      <c r="C827" s="210" t="s">
        <v>46</v>
      </c>
      <c r="D827" s="213" t="s">
        <v>1202</v>
      </c>
      <c r="E827" s="211"/>
      <c r="F827" s="211"/>
      <c r="G827" s="211" t="s">
        <v>1389</v>
      </c>
      <c r="H827" s="212">
        <v>41455</v>
      </c>
    </row>
    <row r="828" spans="1:8" ht="20">
      <c r="A828" s="208">
        <v>41455</v>
      </c>
      <c r="B828" s="209" t="s">
        <v>91</v>
      </c>
      <c r="C828" s="210" t="s">
        <v>922</v>
      </c>
      <c r="D828" s="213" t="s">
        <v>1390</v>
      </c>
      <c r="E828" s="211"/>
      <c r="F828" s="211"/>
      <c r="G828" s="211" t="s">
        <v>1391</v>
      </c>
      <c r="H828" s="212">
        <v>41455</v>
      </c>
    </row>
    <row r="829" spans="1:8" ht="20">
      <c r="A829" s="208">
        <v>41455</v>
      </c>
      <c r="B829" s="209" t="s">
        <v>91</v>
      </c>
      <c r="C829" s="210" t="s">
        <v>922</v>
      </c>
      <c r="D829" s="213" t="s">
        <v>1392</v>
      </c>
      <c r="E829" s="211"/>
      <c r="F829" s="211"/>
      <c r="G829" s="211" t="s">
        <v>1393</v>
      </c>
      <c r="H829" s="212">
        <v>41455</v>
      </c>
    </row>
    <row r="830" spans="1:8">
      <c r="A830" s="208">
        <v>41455</v>
      </c>
      <c r="B830" s="209" t="s">
        <v>91</v>
      </c>
      <c r="C830" s="210" t="s">
        <v>51</v>
      </c>
      <c r="D830" s="213" t="s">
        <v>1185</v>
      </c>
      <c r="E830" s="211"/>
      <c r="F830" s="211"/>
      <c r="G830" s="211" t="s">
        <v>1394</v>
      </c>
      <c r="H830" s="212">
        <v>41455</v>
      </c>
    </row>
    <row r="831" spans="1:8" ht="20">
      <c r="A831" s="208">
        <v>41455</v>
      </c>
      <c r="B831" s="209" t="s">
        <v>105</v>
      </c>
      <c r="C831" s="210" t="s">
        <v>51</v>
      </c>
      <c r="D831" s="213" t="s">
        <v>1395</v>
      </c>
      <c r="E831" s="211"/>
      <c r="F831" s="211"/>
      <c r="G831" s="211" t="s">
        <v>1396</v>
      </c>
      <c r="H831" s="212">
        <v>41455</v>
      </c>
    </row>
    <row r="832" spans="1:8" ht="20">
      <c r="A832" s="208">
        <v>41455</v>
      </c>
      <c r="B832" s="209" t="s">
        <v>105</v>
      </c>
      <c r="C832" s="210" t="s">
        <v>51</v>
      </c>
      <c r="D832" s="213" t="s">
        <v>1395</v>
      </c>
      <c r="E832" s="211"/>
      <c r="F832" s="211"/>
      <c r="G832" s="211" t="s">
        <v>1397</v>
      </c>
      <c r="H832" s="212">
        <v>41455</v>
      </c>
    </row>
    <row r="833" spans="1:8" ht="20">
      <c r="A833" s="208">
        <v>41455</v>
      </c>
      <c r="B833" s="209" t="s">
        <v>110</v>
      </c>
      <c r="C833" s="210" t="s">
        <v>922</v>
      </c>
      <c r="D833" s="213" t="s">
        <v>1398</v>
      </c>
      <c r="E833" s="211"/>
      <c r="F833" s="211"/>
      <c r="G833" s="211" t="s">
        <v>1399</v>
      </c>
      <c r="H833" s="212">
        <v>41455</v>
      </c>
    </row>
    <row r="834" spans="1:8">
      <c r="A834" s="208">
        <v>41455</v>
      </c>
      <c r="B834" s="209" t="s">
        <v>110</v>
      </c>
      <c r="C834" s="210" t="s">
        <v>51</v>
      </c>
      <c r="D834" s="213" t="s">
        <v>1400</v>
      </c>
      <c r="E834" s="211"/>
      <c r="F834" s="211"/>
      <c r="G834" s="211" t="s">
        <v>1401</v>
      </c>
      <c r="H834" s="212">
        <v>41455</v>
      </c>
    </row>
    <row r="835" spans="1:8" ht="21">
      <c r="A835" s="208">
        <v>41455</v>
      </c>
      <c r="B835" s="209" t="s">
        <v>110</v>
      </c>
      <c r="C835" s="210" t="s">
        <v>46</v>
      </c>
      <c r="D835" s="213" t="s">
        <v>1372</v>
      </c>
      <c r="E835" s="211"/>
      <c r="F835" s="211"/>
      <c r="G835" s="211" t="s">
        <v>1402</v>
      </c>
      <c r="H835" s="212">
        <v>41455</v>
      </c>
    </row>
    <row r="836" spans="1:8" ht="20">
      <c r="A836" s="208">
        <v>41455</v>
      </c>
      <c r="B836" s="209" t="s">
        <v>110</v>
      </c>
      <c r="C836" s="210" t="s">
        <v>51</v>
      </c>
      <c r="D836" s="213" t="s">
        <v>1403</v>
      </c>
      <c r="E836" s="211"/>
      <c r="F836" s="211"/>
      <c r="G836" s="211" t="s">
        <v>1404</v>
      </c>
      <c r="H836" s="212">
        <v>41455</v>
      </c>
    </row>
    <row r="837" spans="1:8" ht="21">
      <c r="A837" s="208">
        <v>41455</v>
      </c>
      <c r="B837" s="209" t="s">
        <v>110</v>
      </c>
      <c r="C837" s="210" t="s">
        <v>46</v>
      </c>
      <c r="D837" s="213" t="s">
        <v>1309</v>
      </c>
      <c r="E837" s="211"/>
      <c r="F837" s="211"/>
      <c r="G837" s="211" t="s">
        <v>1405</v>
      </c>
      <c r="H837" s="212">
        <v>41455</v>
      </c>
    </row>
    <row r="838" spans="1:8">
      <c r="A838" s="208">
        <v>41455</v>
      </c>
      <c r="B838" s="209" t="s">
        <v>110</v>
      </c>
      <c r="C838" s="210" t="s">
        <v>51</v>
      </c>
      <c r="D838" s="213" t="s">
        <v>1406</v>
      </c>
      <c r="E838" s="211"/>
      <c r="F838" s="211"/>
      <c r="G838" s="211" t="s">
        <v>1407</v>
      </c>
      <c r="H838" s="212">
        <v>41455</v>
      </c>
    </row>
    <row r="839" spans="1:8" ht="20">
      <c r="A839" s="208">
        <v>41327</v>
      </c>
      <c r="B839" s="209" t="s">
        <v>45</v>
      </c>
      <c r="C839" s="210" t="s">
        <v>922</v>
      </c>
      <c r="D839" s="213" t="s">
        <v>1408</v>
      </c>
      <c r="E839" s="211"/>
      <c r="F839" s="211"/>
      <c r="G839" s="211" t="s">
        <v>1409</v>
      </c>
      <c r="H839" s="212">
        <v>41327</v>
      </c>
    </row>
    <row r="840" spans="1:8" ht="30">
      <c r="A840" s="208">
        <v>41327</v>
      </c>
      <c r="B840" s="209" t="s">
        <v>45</v>
      </c>
      <c r="C840" s="210" t="s">
        <v>922</v>
      </c>
      <c r="D840" s="213" t="s">
        <v>1383</v>
      </c>
      <c r="E840" s="211"/>
      <c r="F840" s="211"/>
      <c r="G840" s="211" t="s">
        <v>1410</v>
      </c>
      <c r="H840" s="212">
        <v>41327</v>
      </c>
    </row>
    <row r="841" spans="1:8" ht="20">
      <c r="A841" s="208">
        <v>41327</v>
      </c>
      <c r="B841" s="209" t="s">
        <v>77</v>
      </c>
      <c r="C841" s="210" t="s">
        <v>922</v>
      </c>
      <c r="D841" s="213" t="s">
        <v>1385</v>
      </c>
      <c r="E841" s="211"/>
      <c r="F841" s="211"/>
      <c r="G841" s="211" t="s">
        <v>1411</v>
      </c>
      <c r="H841" s="212">
        <v>41327</v>
      </c>
    </row>
    <row r="842" spans="1:8" ht="20">
      <c r="A842" s="208">
        <v>41327</v>
      </c>
      <c r="B842" s="209" t="s">
        <v>77</v>
      </c>
      <c r="C842" s="210" t="s">
        <v>922</v>
      </c>
      <c r="D842" s="213" t="s">
        <v>1412</v>
      </c>
      <c r="E842" s="211"/>
      <c r="F842" s="211"/>
      <c r="G842" s="211" t="s">
        <v>1413</v>
      </c>
      <c r="H842" s="212">
        <v>41327</v>
      </c>
    </row>
    <row r="843" spans="1:8" ht="21">
      <c r="A843" s="208">
        <v>41327</v>
      </c>
      <c r="B843" s="209" t="s">
        <v>105</v>
      </c>
      <c r="C843" s="210" t="s">
        <v>46</v>
      </c>
      <c r="D843" s="213" t="s">
        <v>1368</v>
      </c>
      <c r="E843" s="211"/>
      <c r="F843" s="211"/>
      <c r="G843" s="211" t="s">
        <v>1414</v>
      </c>
      <c r="H843" s="212">
        <v>41327</v>
      </c>
    </row>
    <row r="844" spans="1:8" ht="20">
      <c r="A844" s="208">
        <v>41327</v>
      </c>
      <c r="B844" s="209" t="s">
        <v>105</v>
      </c>
      <c r="C844" s="210" t="s">
        <v>922</v>
      </c>
      <c r="D844" s="213" t="s">
        <v>1415</v>
      </c>
      <c r="E844" s="211"/>
      <c r="F844" s="211"/>
      <c r="G844" s="211" t="s">
        <v>1416</v>
      </c>
      <c r="H844" s="212">
        <v>41327</v>
      </c>
    </row>
    <row r="845" spans="1:8">
      <c r="A845" s="208">
        <v>41263</v>
      </c>
      <c r="B845" s="209" t="s">
        <v>45</v>
      </c>
      <c r="C845" s="210" t="s">
        <v>51</v>
      </c>
      <c r="D845" s="213" t="s">
        <v>1417</v>
      </c>
      <c r="E845" s="211"/>
      <c r="F845" s="211"/>
      <c r="G845" s="211" t="s">
        <v>1418</v>
      </c>
      <c r="H845" s="212">
        <v>41263</v>
      </c>
    </row>
    <row r="846" spans="1:8" ht="30">
      <c r="A846" s="208">
        <v>41263</v>
      </c>
      <c r="B846" s="209" t="s">
        <v>77</v>
      </c>
      <c r="C846" s="210" t="s">
        <v>922</v>
      </c>
      <c r="D846" s="213" t="s">
        <v>1329</v>
      </c>
      <c r="E846" s="211"/>
      <c r="F846" s="211"/>
      <c r="G846" s="211" t="s">
        <v>1419</v>
      </c>
      <c r="H846" s="212">
        <v>41263</v>
      </c>
    </row>
    <row r="847" spans="1:8" ht="20">
      <c r="A847" s="208">
        <v>41263</v>
      </c>
      <c r="B847" s="209" t="s">
        <v>77</v>
      </c>
      <c r="C847" s="210" t="s">
        <v>51</v>
      </c>
      <c r="D847" s="213" t="s">
        <v>1420</v>
      </c>
      <c r="E847" s="211"/>
      <c r="F847" s="211"/>
      <c r="G847" s="211" t="s">
        <v>1421</v>
      </c>
      <c r="H847" s="212">
        <v>41263</v>
      </c>
    </row>
    <row r="848" spans="1:8" ht="40">
      <c r="A848" s="208">
        <v>41263</v>
      </c>
      <c r="B848" s="209" t="s">
        <v>77</v>
      </c>
      <c r="C848" s="210" t="s">
        <v>922</v>
      </c>
      <c r="D848" s="213" t="s">
        <v>1208</v>
      </c>
      <c r="E848" s="211"/>
      <c r="F848" s="211"/>
      <c r="G848" s="211" t="s">
        <v>1422</v>
      </c>
      <c r="H848" s="212">
        <v>41263</v>
      </c>
    </row>
    <row r="849" spans="1:8" ht="21">
      <c r="A849" s="208">
        <v>41263</v>
      </c>
      <c r="B849" s="209" t="s">
        <v>91</v>
      </c>
      <c r="C849" s="210" t="s">
        <v>46</v>
      </c>
      <c r="D849" s="213" t="s">
        <v>1295</v>
      </c>
      <c r="E849" s="211"/>
      <c r="F849" s="211"/>
      <c r="G849" s="211" t="s">
        <v>1423</v>
      </c>
      <c r="H849" s="212">
        <v>41263</v>
      </c>
    </row>
    <row r="850" spans="1:8" ht="21">
      <c r="A850" s="208">
        <v>41263</v>
      </c>
      <c r="B850" s="209" t="s">
        <v>105</v>
      </c>
      <c r="C850" s="210" t="s">
        <v>46</v>
      </c>
      <c r="D850" s="213" t="s">
        <v>1395</v>
      </c>
      <c r="E850" s="211"/>
      <c r="F850" s="211"/>
      <c r="G850" s="211" t="s">
        <v>1424</v>
      </c>
      <c r="H850" s="212">
        <v>41263</v>
      </c>
    </row>
    <row r="851" spans="1:8" ht="40">
      <c r="A851" s="208">
        <v>41263</v>
      </c>
      <c r="B851" s="209" t="s">
        <v>110</v>
      </c>
      <c r="C851" s="210" t="s">
        <v>903</v>
      </c>
      <c r="D851" s="213" t="s">
        <v>1425</v>
      </c>
      <c r="E851" s="211"/>
      <c r="F851" s="211"/>
      <c r="G851" s="211" t="s">
        <v>1426</v>
      </c>
      <c r="H851" s="212">
        <v>41263</v>
      </c>
    </row>
    <row r="852" spans="1:8" ht="31.5">
      <c r="A852" s="208">
        <v>41263</v>
      </c>
      <c r="B852" s="209" t="s">
        <v>110</v>
      </c>
      <c r="C852" s="210" t="s">
        <v>46</v>
      </c>
      <c r="D852" s="213" t="s">
        <v>1406</v>
      </c>
      <c r="E852" s="211"/>
      <c r="F852" s="211"/>
      <c r="G852" s="211" t="s">
        <v>1427</v>
      </c>
      <c r="H852" s="212">
        <v>41263</v>
      </c>
    </row>
  </sheetData>
  <sheetProtection algorithmName="SHA-512" hashValue="CfCR1ZV55sWgdgEUEotZ/5keBJK2joVPt/XrFblwwmqWCXJtQNfjoT+SEIIA7P51BfbwX2U8qsPPw6i3Gakr+g==" saltValue="wnmXFzftpYeZQ2eELgZ9pg==" spinCount="100000" sheet="1" formatColumns="0" formatRows="0" sort="0" autoFilter="0" pivotTables="0"/>
  <conditionalFormatting sqref="A715:C852">
    <cfRule type="expression" dxfId="712" priority="391">
      <formula>$A715&lt;&gt;OFFSET($A715,-1,0,1,1)</formula>
    </cfRule>
  </conditionalFormatting>
  <conditionalFormatting sqref="B715:B852">
    <cfRule type="expression" dxfId="711" priority="390">
      <formula>AND($A715=OFFSET($A715,-1,0,1,1),$B715=OFFSET($B715,-1,0,1,1))</formula>
    </cfRule>
  </conditionalFormatting>
  <conditionalFormatting sqref="A715:A852">
    <cfRule type="expression" dxfId="710" priority="388">
      <formula>$A715&lt;&gt;OFFSET($A715,-1,0,1,1)</formula>
    </cfRule>
    <cfRule type="expression" dxfId="709" priority="389">
      <formula>$A715=OFFSET($A715,-1,0,1,1)</formula>
    </cfRule>
  </conditionalFormatting>
  <conditionalFormatting sqref="C715:C852">
    <cfRule type="expression" dxfId="708" priority="386">
      <formula>$C715="Project commitment"</formula>
    </cfRule>
    <cfRule type="expression" dxfId="707" priority="387">
      <formula>$D715&lt;&gt;OFFSET($D715,-1,0,1,1)</formula>
    </cfRule>
  </conditionalFormatting>
  <conditionalFormatting sqref="A715:H852">
    <cfRule type="expression" dxfId="706" priority="375">
      <formula>$A715&lt;&gt;OFFSET($A715,-1,0,1,1)</formula>
    </cfRule>
  </conditionalFormatting>
  <conditionalFormatting sqref="B715:B852">
    <cfRule type="expression" dxfId="705" priority="385">
      <formula>AND($A715=OFFSET($A715,-1,0,1,1),$B715=OFFSET($B715,-1,0,1,1))</formula>
    </cfRule>
  </conditionalFormatting>
  <conditionalFormatting sqref="G715:G852">
    <cfRule type="expression" dxfId="704" priority="380">
      <formula>ISNUMBER(SEARCH("committed",$G715,1))</formula>
    </cfRule>
  </conditionalFormatting>
  <conditionalFormatting sqref="H715:H852">
    <cfRule type="expression" dxfId="703" priority="379">
      <formula>AND($C715=OFFSET($C715,-1,0,1,1),$G715=OFFSET($G715,-1,0,1,1),H715=OFFSET(H715,-1,0,1,1))</formula>
    </cfRule>
  </conditionalFormatting>
  <conditionalFormatting sqref="F715:H852">
    <cfRule type="expression" dxfId="702" priority="383">
      <formula>$F715&lt;&gt;OFFSET($F715,-1,0,1,1)</formula>
    </cfRule>
  </conditionalFormatting>
  <conditionalFormatting sqref="D715:D852">
    <cfRule type="expression" dxfId="701" priority="376">
      <formula>$C715="Project commitment"</formula>
    </cfRule>
    <cfRule type="expression" dxfId="700" priority="384">
      <formula>$D715=OFFSET($D715,-1,0,1,1)</formula>
    </cfRule>
  </conditionalFormatting>
  <conditionalFormatting sqref="C715:H852">
    <cfRule type="expression" dxfId="699" priority="381">
      <formula>$C715="Project commitment"</formula>
    </cfRule>
    <cfRule type="expression" dxfId="698" priority="382">
      <formula>$D715&lt;&gt;OFFSET($D715,-1,0,1,1)</formula>
    </cfRule>
  </conditionalFormatting>
  <conditionalFormatting sqref="A715:A852">
    <cfRule type="expression" dxfId="697" priority="377">
      <formula>$A715&lt;&gt;OFFSET($A715,-1,0,1,1)</formula>
    </cfRule>
    <cfRule type="expression" dxfId="696" priority="378">
      <formula>$A715=OFFSET($A715,-1,0,1,1)</formula>
    </cfRule>
  </conditionalFormatting>
  <conditionalFormatting sqref="A6:C714">
    <cfRule type="expression" dxfId="695" priority="17">
      <formula>$A6&lt;&gt;OFFSET($A6,-1,0,1,1)</formula>
    </cfRule>
  </conditionalFormatting>
  <conditionalFormatting sqref="B6:B714">
    <cfRule type="expression" dxfId="694" priority="16">
      <formula>AND($A6=OFFSET($A6,-1,0,1,1),$B6=OFFSET($B6,-1,0,1,1))</formula>
    </cfRule>
  </conditionalFormatting>
  <conditionalFormatting sqref="A6:A714">
    <cfRule type="expression" dxfId="693" priority="14">
      <formula>$A6&lt;&gt;OFFSET($A6,-1,0,1,1)</formula>
    </cfRule>
    <cfRule type="expression" dxfId="692" priority="15">
      <formula>$A6=OFFSET($A6,-1,0,1,1)</formula>
    </cfRule>
  </conditionalFormatting>
  <conditionalFormatting sqref="C6:C714">
    <cfRule type="expression" dxfId="691" priority="12">
      <formula>$C6="Project commitment"</formula>
    </cfRule>
    <cfRule type="expression" dxfId="690" priority="13">
      <formula>$D6&lt;&gt;OFFSET($D6,-1,0,1,1)</formula>
    </cfRule>
  </conditionalFormatting>
  <conditionalFormatting sqref="A6:H714">
    <cfRule type="expression" dxfId="689" priority="1">
      <formula>$A6&lt;&gt;OFFSET($A6,-1,0,1,1)</formula>
    </cfRule>
  </conditionalFormatting>
  <conditionalFormatting sqref="B6:B714">
    <cfRule type="expression" dxfId="688" priority="11">
      <formula>AND($A6=OFFSET($A6,-1,0,1,1),$B6=OFFSET($B6,-1,0,1,1))</formula>
    </cfRule>
  </conditionalFormatting>
  <conditionalFormatting sqref="G6:G714">
    <cfRule type="expression" dxfId="687" priority="6">
      <formula>ISNUMBER(SEARCH("committed",$G6,1))</formula>
    </cfRule>
  </conditionalFormatting>
  <conditionalFormatting sqref="H6:H714">
    <cfRule type="expression" dxfId="686" priority="5">
      <formula>AND($C6=OFFSET($C6,-1,0,1,1),$G6=OFFSET($G6,-1,0,1,1),H6=OFFSET(H6,-1,0,1,1))</formula>
    </cfRule>
  </conditionalFormatting>
  <conditionalFormatting sqref="F6:H714">
    <cfRule type="expression" dxfId="685" priority="9">
      <formula>$F6&lt;&gt;OFFSET($F6,-1,0,1,1)</formula>
    </cfRule>
  </conditionalFormatting>
  <conditionalFormatting sqref="D6:D714">
    <cfRule type="expression" dxfId="684" priority="2">
      <formula>$C6="Project commitment"</formula>
    </cfRule>
    <cfRule type="expression" dxfId="683" priority="10">
      <formula>$D6=OFFSET($D6,-1,0,1,1)</formula>
    </cfRule>
  </conditionalFormatting>
  <conditionalFormatting sqref="C6:H714">
    <cfRule type="expression" dxfId="682" priority="7">
      <formula>$C6="Project commitment"</formula>
    </cfRule>
    <cfRule type="expression" dxfId="681" priority="8">
      <formula>$D6&lt;&gt;OFFSET($D6,-1,0,1,1)</formula>
    </cfRule>
  </conditionalFormatting>
  <conditionalFormatting sqref="A6:A714">
    <cfRule type="expression" dxfId="680" priority="3">
      <formula>$A6&lt;&gt;OFFSET($A6,-1,0,1,1)</formula>
    </cfRule>
    <cfRule type="expression" dxfId="679" priority="4">
      <formula>$A6=OFFSET($A6,-1,0,1,1)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2"/>
  <sheetViews>
    <sheetView workbookViewId="0"/>
  </sheetViews>
  <sheetFormatPr defaultColWidth="9.453125" defaultRowHeight="14"/>
  <cols>
    <col min="1" max="1" width="2.453125" style="20" customWidth="1"/>
    <col min="2" max="2" width="12" style="20" customWidth="1"/>
    <col min="3" max="3" width="9.453125" style="20" bestFit="1" customWidth="1"/>
    <col min="4" max="13" width="9.54296875" style="20" customWidth="1"/>
    <col min="14" max="14" width="8.453125" style="20" bestFit="1" customWidth="1"/>
    <col min="15" max="15" width="6.453125" style="20" customWidth="1"/>
    <col min="16" max="17" width="9.453125" style="20" customWidth="1"/>
    <col min="18" max="16384" width="9.453125" style="20"/>
  </cols>
  <sheetData>
    <row r="1" spans="1:17" ht="19">
      <c r="A1" s="23"/>
      <c r="B1" s="24" t="s">
        <v>1428</v>
      </c>
      <c r="C1" s="23"/>
      <c r="D1" s="23"/>
      <c r="E1" s="23"/>
      <c r="F1" s="23"/>
      <c r="G1" s="23"/>
      <c r="H1" s="23"/>
      <c r="I1" s="23"/>
      <c r="J1" s="23"/>
      <c r="K1" s="23"/>
      <c r="L1" s="23"/>
      <c r="M1" s="23"/>
      <c r="N1" s="23"/>
      <c r="O1" s="23"/>
      <c r="P1" s="23"/>
      <c r="Q1" s="23"/>
    </row>
    <row r="2" spans="1:17">
      <c r="A2" s="23"/>
      <c r="B2" s="25" t="s">
        <v>1429</v>
      </c>
      <c r="C2" s="23"/>
      <c r="D2" s="23"/>
      <c r="E2" s="23"/>
      <c r="F2" s="23"/>
      <c r="G2" s="23"/>
      <c r="H2" s="23"/>
      <c r="I2" s="23"/>
      <c r="J2" s="23"/>
      <c r="K2" s="23"/>
      <c r="L2" s="23"/>
      <c r="M2" s="23"/>
      <c r="N2" s="23"/>
      <c r="O2" s="23"/>
      <c r="P2" s="23"/>
      <c r="Q2" s="23"/>
    </row>
    <row r="3" spans="1:17">
      <c r="A3" s="23"/>
      <c r="B3" s="25"/>
      <c r="C3" s="23"/>
      <c r="D3" s="23"/>
      <c r="E3" s="23"/>
      <c r="F3" s="23"/>
      <c r="G3" s="23"/>
      <c r="H3" s="23"/>
      <c r="I3" s="23"/>
      <c r="J3" s="23"/>
      <c r="K3" s="23"/>
      <c r="L3" s="23"/>
      <c r="M3" s="23"/>
      <c r="N3" s="23"/>
      <c r="O3" s="23"/>
      <c r="P3" s="23"/>
      <c r="Q3" s="23"/>
    </row>
    <row r="4" spans="1:17">
      <c r="A4" s="23"/>
      <c r="B4" s="26" t="s">
        <v>1430</v>
      </c>
      <c r="C4" s="27"/>
      <c r="D4" s="27"/>
      <c r="E4" s="27"/>
      <c r="F4" s="27"/>
      <c r="G4" s="27"/>
      <c r="H4" s="27"/>
      <c r="I4" s="27"/>
      <c r="J4" s="27"/>
      <c r="K4" s="27"/>
      <c r="L4" s="27"/>
      <c r="M4" s="27"/>
      <c r="N4" s="27"/>
      <c r="O4" s="27"/>
      <c r="P4" s="27"/>
      <c r="Q4" s="27"/>
    </row>
    <row r="5" spans="1:17">
      <c r="A5" s="23"/>
      <c r="B5" s="28" t="s">
        <v>1431</v>
      </c>
      <c r="C5" s="23"/>
      <c r="D5" s="23"/>
      <c r="E5" s="23"/>
      <c r="F5" s="23"/>
      <c r="G5" s="23"/>
      <c r="H5" s="23"/>
      <c r="I5" s="23"/>
      <c r="J5" s="23"/>
      <c r="K5" s="23"/>
      <c r="L5" s="23"/>
      <c r="M5" s="23"/>
      <c r="N5" s="23"/>
      <c r="O5" s="23"/>
      <c r="P5" s="23"/>
      <c r="Q5" s="23"/>
    </row>
    <row r="6" spans="1:17">
      <c r="A6" s="23"/>
      <c r="B6" s="28" t="s">
        <v>1432</v>
      </c>
      <c r="C6" s="23"/>
      <c r="D6" s="23"/>
      <c r="E6" s="23"/>
      <c r="F6" s="23"/>
      <c r="G6" s="23"/>
      <c r="H6" s="23"/>
      <c r="I6" s="23"/>
      <c r="J6" s="23"/>
      <c r="K6" s="23"/>
      <c r="L6" s="23"/>
      <c r="M6" s="23"/>
      <c r="N6" s="23"/>
      <c r="O6" s="23"/>
      <c r="P6" s="23"/>
      <c r="Q6" s="23"/>
    </row>
    <row r="7" spans="1:17">
      <c r="A7" s="23"/>
      <c r="B7" s="294" t="s">
        <v>1433</v>
      </c>
      <c r="C7" s="294"/>
      <c r="D7" s="294"/>
      <c r="E7" s="294"/>
      <c r="F7" s="294"/>
      <c r="G7" s="294"/>
      <c r="H7" s="294"/>
      <c r="I7" s="294"/>
      <c r="J7" s="294"/>
      <c r="K7" s="294"/>
      <c r="L7" s="294"/>
      <c r="M7" s="294"/>
      <c r="N7" s="294"/>
      <c r="O7" s="294"/>
      <c r="P7" s="294"/>
      <c r="Q7" s="294"/>
    </row>
    <row r="8" spans="1:17" ht="13.5" customHeight="1">
      <c r="A8" s="23"/>
      <c r="B8" s="294" t="s">
        <v>1434</v>
      </c>
      <c r="C8" s="294"/>
      <c r="D8" s="294"/>
      <c r="E8" s="294"/>
      <c r="F8" s="294"/>
      <c r="G8" s="294"/>
      <c r="H8" s="294"/>
      <c r="I8" s="294"/>
      <c r="J8" s="294"/>
      <c r="K8" s="294"/>
      <c r="L8" s="294"/>
      <c r="M8" s="294"/>
      <c r="N8" s="294"/>
      <c r="O8" s="294"/>
      <c r="P8" s="294"/>
      <c r="Q8" s="294"/>
    </row>
    <row r="9" spans="1:17">
      <c r="A9" s="23"/>
      <c r="B9" s="294"/>
      <c r="C9" s="294"/>
      <c r="D9" s="294"/>
      <c r="E9" s="294"/>
      <c r="F9" s="294"/>
      <c r="G9" s="294"/>
      <c r="H9" s="294"/>
      <c r="I9" s="294"/>
      <c r="J9" s="294"/>
      <c r="K9" s="294"/>
      <c r="L9" s="294"/>
      <c r="M9" s="294"/>
      <c r="N9" s="294"/>
      <c r="O9" s="294"/>
      <c r="P9" s="294"/>
      <c r="Q9" s="294"/>
    </row>
    <row r="10" spans="1:17" ht="28.5" customHeight="1">
      <c r="A10" s="23"/>
      <c r="B10" s="294"/>
      <c r="C10" s="294"/>
      <c r="D10" s="294"/>
      <c r="E10" s="294"/>
      <c r="F10" s="294"/>
      <c r="G10" s="294"/>
      <c r="H10" s="294"/>
      <c r="I10" s="294"/>
      <c r="J10" s="294"/>
      <c r="K10" s="294"/>
      <c r="L10" s="294"/>
      <c r="M10" s="294"/>
      <c r="N10" s="294"/>
      <c r="O10" s="294"/>
      <c r="P10" s="294"/>
      <c r="Q10" s="294"/>
    </row>
    <row r="11" spans="1:17" ht="28.5" customHeight="1">
      <c r="A11" s="23"/>
      <c r="B11" s="120"/>
      <c r="C11" s="120"/>
      <c r="D11" s="120"/>
      <c r="E11" s="120"/>
      <c r="F11" s="120"/>
      <c r="G11" s="120"/>
      <c r="H11" s="120"/>
      <c r="I11" s="120"/>
      <c r="J11" s="120"/>
      <c r="K11" s="120"/>
      <c r="L11" s="120"/>
      <c r="M11" s="120"/>
      <c r="N11" s="120"/>
      <c r="O11" s="120"/>
      <c r="P11" s="120"/>
      <c r="Q11" s="120"/>
    </row>
    <row r="12" spans="1:17">
      <c r="A12" s="23"/>
      <c r="B12" s="28"/>
      <c r="C12" s="23"/>
      <c r="D12" s="23"/>
      <c r="E12" s="23"/>
      <c r="F12" s="23"/>
      <c r="G12" s="23"/>
      <c r="H12" s="23"/>
      <c r="I12" s="23"/>
      <c r="J12" s="23"/>
      <c r="K12" s="23"/>
      <c r="L12" s="23"/>
      <c r="M12" s="23"/>
      <c r="N12" s="23"/>
      <c r="O12" s="23"/>
      <c r="P12" s="23"/>
      <c r="Q12" s="23"/>
    </row>
    <row r="13" spans="1:17" ht="18">
      <c r="A13" s="23"/>
      <c r="B13" s="29" t="s">
        <v>1435</v>
      </c>
      <c r="C13" s="23"/>
      <c r="D13" s="23"/>
      <c r="E13" s="23"/>
      <c r="F13" s="23"/>
      <c r="G13" s="23"/>
      <c r="H13" s="23"/>
      <c r="I13" s="23"/>
      <c r="J13" s="23"/>
      <c r="K13" s="23"/>
      <c r="L13" s="23"/>
      <c r="M13" s="23"/>
      <c r="N13" s="23"/>
      <c r="O13" s="23"/>
      <c r="P13" s="23"/>
      <c r="Q13" s="23"/>
    </row>
    <row r="14" spans="1:17">
      <c r="A14" s="23"/>
      <c r="B14" s="25" t="s">
        <v>1436</v>
      </c>
      <c r="C14" s="23"/>
      <c r="D14" s="23"/>
      <c r="E14" s="23"/>
      <c r="F14" s="23"/>
      <c r="G14" s="23"/>
      <c r="H14" s="23"/>
      <c r="I14" s="23"/>
      <c r="J14" s="23"/>
      <c r="K14" s="23"/>
      <c r="L14" s="23"/>
      <c r="M14" s="23"/>
      <c r="N14" s="23"/>
      <c r="O14" s="23"/>
      <c r="P14" s="23"/>
      <c r="Q14" s="23"/>
    </row>
    <row r="15" spans="1:17" ht="28.5" customHeight="1">
      <c r="A15" s="23"/>
      <c r="B15" s="295" t="s">
        <v>1437</v>
      </c>
      <c r="C15" s="295"/>
      <c r="D15" s="295"/>
      <c r="E15" s="295"/>
      <c r="F15" s="295"/>
      <c r="G15" s="295"/>
      <c r="H15" s="295"/>
      <c r="I15" s="295"/>
      <c r="J15" s="295"/>
      <c r="K15" s="295"/>
      <c r="L15" s="295"/>
      <c r="M15" s="295"/>
      <c r="N15" s="295"/>
      <c r="O15" s="295"/>
      <c r="P15" s="295"/>
      <c r="Q15" s="295"/>
    </row>
    <row r="16" spans="1:17" ht="17" customHeight="1">
      <c r="A16" s="23"/>
      <c r="B16" s="23"/>
      <c r="C16" s="23"/>
      <c r="D16" s="23"/>
      <c r="E16" s="23"/>
      <c r="F16" s="23"/>
      <c r="G16" s="23"/>
      <c r="H16" s="23"/>
      <c r="I16" s="23"/>
      <c r="J16" s="23"/>
      <c r="K16" s="23"/>
      <c r="L16" s="23"/>
      <c r="M16" s="23"/>
      <c r="N16" s="290" t="s">
        <v>1438</v>
      </c>
      <c r="O16" s="291"/>
      <c r="P16" s="291"/>
      <c r="Q16" s="291"/>
    </row>
    <row r="17" spans="1:17" s="21" customFormat="1" ht="31.5">
      <c r="A17" s="30"/>
      <c r="B17" s="292" t="s">
        <v>1439</v>
      </c>
      <c r="C17" s="292"/>
      <c r="D17" s="293"/>
      <c r="E17" s="31" t="s">
        <v>1440</v>
      </c>
      <c r="F17" s="32"/>
      <c r="G17" s="32"/>
      <c r="H17" s="32"/>
      <c r="I17" s="32"/>
      <c r="J17" s="32"/>
      <c r="K17" s="32"/>
      <c r="L17" s="32"/>
      <c r="M17" s="32"/>
      <c r="N17" s="33" t="s">
        <v>0</v>
      </c>
      <c r="O17" s="33" t="s">
        <v>1441</v>
      </c>
      <c r="P17" s="33" t="s">
        <v>1442</v>
      </c>
      <c r="Q17" s="33" t="s">
        <v>1443</v>
      </c>
    </row>
    <row r="18" spans="1:17" s="21" customFormat="1" ht="39" customHeight="1">
      <c r="A18" s="30"/>
      <c r="B18" s="258" t="s">
        <v>1444</v>
      </c>
      <c r="C18" s="258"/>
      <c r="D18" s="259"/>
      <c r="E18" s="260" t="s">
        <v>1445</v>
      </c>
      <c r="F18" s="261"/>
      <c r="G18" s="261"/>
      <c r="H18" s="261"/>
      <c r="I18" s="261"/>
      <c r="J18" s="261"/>
      <c r="K18" s="261"/>
      <c r="L18" s="261"/>
      <c r="M18" s="261"/>
      <c r="N18" s="34"/>
      <c r="O18" s="34"/>
      <c r="P18" s="34" t="s">
        <v>1446</v>
      </c>
      <c r="Q18" s="34"/>
    </row>
    <row r="19" spans="1:17" s="21" customFormat="1" ht="38.25" customHeight="1">
      <c r="A19" s="30"/>
      <c r="B19" s="258" t="s">
        <v>1447</v>
      </c>
      <c r="C19" s="258"/>
      <c r="D19" s="259"/>
      <c r="E19" s="260" t="s">
        <v>1448</v>
      </c>
      <c r="F19" s="261"/>
      <c r="G19" s="261"/>
      <c r="H19" s="261"/>
      <c r="I19" s="261"/>
      <c r="J19" s="261"/>
      <c r="K19" s="261"/>
      <c r="L19" s="261"/>
      <c r="M19" s="261"/>
      <c r="N19" s="34"/>
      <c r="O19" s="34" t="s">
        <v>1446</v>
      </c>
      <c r="P19" s="34" t="s">
        <v>1446</v>
      </c>
      <c r="Q19" s="34"/>
    </row>
    <row r="20" spans="1:17" s="21" customFormat="1" ht="38.25" customHeight="1">
      <c r="A20" s="30"/>
      <c r="B20" s="258" t="s">
        <v>1449</v>
      </c>
      <c r="C20" s="258"/>
      <c r="D20" s="259"/>
      <c r="E20" s="260" t="s">
        <v>1450</v>
      </c>
      <c r="F20" s="261"/>
      <c r="G20" s="261"/>
      <c r="H20" s="261"/>
      <c r="I20" s="261"/>
      <c r="J20" s="261"/>
      <c r="K20" s="261"/>
      <c r="L20" s="261"/>
      <c r="M20" s="261"/>
      <c r="N20" s="34"/>
      <c r="O20" s="34"/>
      <c r="P20" s="34" t="s">
        <v>1446</v>
      </c>
      <c r="Q20" s="34" t="s">
        <v>1446</v>
      </c>
    </row>
    <row r="21" spans="1:17" s="21" customFormat="1" ht="49.4" customHeight="1">
      <c r="A21" s="30"/>
      <c r="B21" s="258" t="s">
        <v>1451</v>
      </c>
      <c r="C21" s="258"/>
      <c r="D21" s="259"/>
      <c r="E21" s="260" t="s">
        <v>1452</v>
      </c>
      <c r="F21" s="261"/>
      <c r="G21" s="261"/>
      <c r="H21" s="261"/>
      <c r="I21" s="261"/>
      <c r="J21" s="261"/>
      <c r="K21" s="261"/>
      <c r="L21" s="261"/>
      <c r="M21" s="261"/>
      <c r="N21" s="34"/>
      <c r="O21" s="34"/>
      <c r="P21" s="34" t="s">
        <v>1446</v>
      </c>
      <c r="Q21" s="34" t="s">
        <v>1446</v>
      </c>
    </row>
    <row r="22" spans="1:17" s="21" customFormat="1" ht="39" customHeight="1">
      <c r="A22" s="30"/>
      <c r="B22" s="258" t="s">
        <v>1453</v>
      </c>
      <c r="C22" s="258"/>
      <c r="D22" s="259"/>
      <c r="E22" s="260" t="s">
        <v>1454</v>
      </c>
      <c r="F22" s="261"/>
      <c r="G22" s="261"/>
      <c r="H22" s="261"/>
      <c r="I22" s="261"/>
      <c r="J22" s="261"/>
      <c r="K22" s="261"/>
      <c r="L22" s="261"/>
      <c r="M22" s="261"/>
      <c r="N22" s="34"/>
      <c r="O22" s="34"/>
      <c r="P22" s="34" t="s">
        <v>1446</v>
      </c>
      <c r="Q22" s="34"/>
    </row>
    <row r="23" spans="1:17" s="21" customFormat="1" ht="48" customHeight="1">
      <c r="A23" s="30"/>
      <c r="B23" s="258" t="s">
        <v>746</v>
      </c>
      <c r="C23" s="258"/>
      <c r="D23" s="259"/>
      <c r="E23" s="260" t="s">
        <v>1455</v>
      </c>
      <c r="F23" s="261"/>
      <c r="G23" s="261"/>
      <c r="H23" s="261"/>
      <c r="I23" s="261"/>
      <c r="J23" s="261"/>
      <c r="K23" s="261"/>
      <c r="L23" s="261"/>
      <c r="M23" s="261"/>
      <c r="N23" s="34"/>
      <c r="O23" s="34" t="s">
        <v>1446</v>
      </c>
      <c r="P23" s="34" t="s">
        <v>1446</v>
      </c>
      <c r="Q23" s="34" t="s">
        <v>1446</v>
      </c>
    </row>
    <row r="24" spans="1:17" s="21" customFormat="1" ht="27.65" customHeight="1">
      <c r="A24" s="30"/>
      <c r="B24" s="258" t="s">
        <v>310</v>
      </c>
      <c r="C24" s="258"/>
      <c r="D24" s="259"/>
      <c r="E24" s="260" t="s">
        <v>1456</v>
      </c>
      <c r="F24" s="261"/>
      <c r="G24" s="261"/>
      <c r="H24" s="261"/>
      <c r="I24" s="261"/>
      <c r="J24" s="261"/>
      <c r="K24" s="261"/>
      <c r="L24" s="261"/>
      <c r="M24" s="261"/>
      <c r="N24" s="34"/>
      <c r="O24" s="34"/>
      <c r="P24" s="34" t="s">
        <v>1446</v>
      </c>
      <c r="Q24" s="34"/>
    </row>
    <row r="25" spans="1:17" s="21" customFormat="1" ht="27.65" customHeight="1">
      <c r="A25" s="30"/>
      <c r="B25" s="258" t="s">
        <v>1457</v>
      </c>
      <c r="C25" s="258"/>
      <c r="D25" s="259"/>
      <c r="E25" s="260" t="s">
        <v>1458</v>
      </c>
      <c r="F25" s="261"/>
      <c r="G25" s="261"/>
      <c r="H25" s="261"/>
      <c r="I25" s="261"/>
      <c r="J25" s="261"/>
      <c r="K25" s="261"/>
      <c r="L25" s="261"/>
      <c r="M25" s="261"/>
      <c r="N25" s="34"/>
      <c r="O25" s="34"/>
      <c r="P25" s="34" t="s">
        <v>1446</v>
      </c>
      <c r="Q25" s="34"/>
    </row>
    <row r="26" spans="1:17" s="21" customFormat="1" ht="27.65" customHeight="1">
      <c r="A26" s="30"/>
      <c r="B26" s="258" t="s">
        <v>1459</v>
      </c>
      <c r="C26" s="258"/>
      <c r="D26" s="259"/>
      <c r="E26" s="260" t="s">
        <v>1460</v>
      </c>
      <c r="F26" s="261"/>
      <c r="G26" s="261"/>
      <c r="H26" s="261"/>
      <c r="I26" s="261"/>
      <c r="J26" s="261"/>
      <c r="K26" s="261"/>
      <c r="L26" s="261"/>
      <c r="M26" s="261"/>
      <c r="N26" s="34"/>
      <c r="O26" s="34"/>
      <c r="P26" s="34" t="s">
        <v>1446</v>
      </c>
      <c r="Q26" s="34" t="s">
        <v>1446</v>
      </c>
    </row>
    <row r="27" spans="1:17" s="21" customFormat="1" ht="27.65" customHeight="1">
      <c r="A27" s="30"/>
      <c r="B27" s="117" t="s">
        <v>1461</v>
      </c>
      <c r="C27" s="117"/>
      <c r="D27" s="118"/>
      <c r="E27" s="260" t="s">
        <v>1462</v>
      </c>
      <c r="F27" s="261"/>
      <c r="G27" s="261"/>
      <c r="H27" s="261"/>
      <c r="I27" s="261"/>
      <c r="J27" s="261"/>
      <c r="K27" s="261"/>
      <c r="L27" s="261"/>
      <c r="M27" s="261"/>
      <c r="N27" s="34"/>
      <c r="O27" s="34"/>
      <c r="P27" s="34" t="s">
        <v>1446</v>
      </c>
      <c r="Q27" s="34"/>
    </row>
    <row r="28" spans="1:17" s="21" customFormat="1" ht="27.65" customHeight="1">
      <c r="A28" s="30"/>
      <c r="B28" s="258" t="s">
        <v>1463</v>
      </c>
      <c r="C28" s="258"/>
      <c r="D28" s="259"/>
      <c r="E28" s="260" t="s">
        <v>1464</v>
      </c>
      <c r="F28" s="261"/>
      <c r="G28" s="261"/>
      <c r="H28" s="261"/>
      <c r="I28" s="261"/>
      <c r="J28" s="261"/>
      <c r="K28" s="261"/>
      <c r="L28" s="261"/>
      <c r="M28" s="261"/>
      <c r="N28" s="34"/>
      <c r="O28" s="34"/>
      <c r="P28" s="34" t="s">
        <v>1446</v>
      </c>
      <c r="Q28" s="34" t="s">
        <v>1446</v>
      </c>
    </row>
    <row r="29" spans="1:17" s="21" customFormat="1" ht="13.4" customHeight="1">
      <c r="A29" s="30"/>
      <c r="B29" s="258" t="s">
        <v>1465</v>
      </c>
      <c r="C29" s="258"/>
      <c r="D29" s="259"/>
      <c r="E29" s="260" t="s">
        <v>1466</v>
      </c>
      <c r="F29" s="261"/>
      <c r="G29" s="261"/>
      <c r="H29" s="261"/>
      <c r="I29" s="261"/>
      <c r="J29" s="261"/>
      <c r="K29" s="261"/>
      <c r="L29" s="261"/>
      <c r="M29" s="261"/>
      <c r="N29" s="34"/>
      <c r="O29" s="34"/>
      <c r="P29" s="34" t="s">
        <v>1446</v>
      </c>
      <c r="Q29" s="34" t="s">
        <v>1446</v>
      </c>
    </row>
    <row r="30" spans="1:17" s="21" customFormat="1" ht="11.5">
      <c r="A30" s="30"/>
      <c r="B30" s="258" t="s">
        <v>6</v>
      </c>
      <c r="C30" s="258"/>
      <c r="D30" s="259"/>
      <c r="E30" s="260" t="s">
        <v>1467</v>
      </c>
      <c r="F30" s="261"/>
      <c r="G30" s="261"/>
      <c r="H30" s="261"/>
      <c r="I30" s="261"/>
      <c r="J30" s="261"/>
      <c r="K30" s="261"/>
      <c r="L30" s="261"/>
      <c r="M30" s="261"/>
      <c r="N30" s="34" t="s">
        <v>1446</v>
      </c>
      <c r="O30" s="34" t="s">
        <v>1446</v>
      </c>
      <c r="P30" s="34" t="s">
        <v>1446</v>
      </c>
      <c r="Q30" s="34" t="s">
        <v>1446</v>
      </c>
    </row>
    <row r="31" spans="1:17" s="21" customFormat="1" ht="26.25" customHeight="1">
      <c r="A31" s="30"/>
      <c r="B31" s="258" t="s">
        <v>1468</v>
      </c>
      <c r="C31" s="258"/>
      <c r="D31" s="259"/>
      <c r="E31" s="260" t="s">
        <v>1469</v>
      </c>
      <c r="F31" s="261"/>
      <c r="G31" s="261"/>
      <c r="H31" s="261"/>
      <c r="I31" s="261"/>
      <c r="J31" s="261"/>
      <c r="K31" s="261"/>
      <c r="L31" s="261"/>
      <c r="M31" s="261"/>
      <c r="N31" s="34"/>
      <c r="O31" s="34"/>
      <c r="P31" s="34" t="s">
        <v>1446</v>
      </c>
      <c r="Q31" s="34" t="s">
        <v>1446</v>
      </c>
    </row>
    <row r="32" spans="1:17" s="21" customFormat="1" ht="27.65" customHeight="1">
      <c r="A32" s="30"/>
      <c r="B32" s="258" t="s">
        <v>1470</v>
      </c>
      <c r="C32" s="258"/>
      <c r="D32" s="259"/>
      <c r="E32" s="260" t="s">
        <v>1471</v>
      </c>
      <c r="F32" s="261"/>
      <c r="G32" s="261"/>
      <c r="H32" s="261"/>
      <c r="I32" s="261"/>
      <c r="J32" s="261"/>
      <c r="K32" s="261"/>
      <c r="L32" s="261"/>
      <c r="M32" s="261"/>
      <c r="N32" s="34"/>
      <c r="O32" s="34" t="s">
        <v>1446</v>
      </c>
      <c r="P32" s="34" t="s">
        <v>1446</v>
      </c>
      <c r="Q32" s="34" t="s">
        <v>1446</v>
      </c>
    </row>
    <row r="33" spans="1:17" s="21" customFormat="1" ht="39" customHeight="1">
      <c r="A33" s="30"/>
      <c r="B33" s="258" t="s">
        <v>1472</v>
      </c>
      <c r="C33" s="258"/>
      <c r="D33" s="259"/>
      <c r="E33" s="260" t="s">
        <v>1473</v>
      </c>
      <c r="F33" s="261"/>
      <c r="G33" s="261"/>
      <c r="H33" s="261"/>
      <c r="I33" s="261"/>
      <c r="J33" s="261"/>
      <c r="K33" s="261"/>
      <c r="L33" s="261"/>
      <c r="M33" s="261"/>
      <c r="N33" s="34"/>
      <c r="O33" s="34"/>
      <c r="P33" s="34"/>
      <c r="Q33" s="34"/>
    </row>
    <row r="34" spans="1:17" s="21" customFormat="1" ht="107" customHeight="1">
      <c r="A34" s="30"/>
      <c r="B34" s="258" t="s">
        <v>1474</v>
      </c>
      <c r="C34" s="258"/>
      <c r="D34" s="259"/>
      <c r="E34" s="260" t="s">
        <v>1475</v>
      </c>
      <c r="F34" s="261"/>
      <c r="G34" s="261"/>
      <c r="H34" s="261"/>
      <c r="I34" s="261"/>
      <c r="J34" s="261"/>
      <c r="K34" s="261"/>
      <c r="L34" s="261"/>
      <c r="M34" s="261"/>
      <c r="N34" s="34" t="s">
        <v>1446</v>
      </c>
      <c r="O34" s="34"/>
      <c r="P34" s="34" t="s">
        <v>1446</v>
      </c>
      <c r="Q34" s="34"/>
    </row>
    <row r="35" spans="1:17" s="21" customFormat="1" ht="62.25" customHeight="1">
      <c r="A35" s="30"/>
      <c r="B35" s="258" t="s">
        <v>1476</v>
      </c>
      <c r="C35" s="258"/>
      <c r="D35" s="259"/>
      <c r="E35" s="260" t="s">
        <v>1477</v>
      </c>
      <c r="F35" s="261"/>
      <c r="G35" s="261"/>
      <c r="H35" s="261"/>
      <c r="I35" s="261"/>
      <c r="J35" s="261"/>
      <c r="K35" s="261"/>
      <c r="L35" s="261"/>
      <c r="M35" s="261"/>
      <c r="N35" s="34"/>
      <c r="O35" s="34"/>
      <c r="P35" s="34"/>
      <c r="Q35" s="34" t="s">
        <v>1446</v>
      </c>
    </row>
    <row r="36" spans="1:17" s="21" customFormat="1" ht="61.5" customHeight="1">
      <c r="A36" s="30"/>
      <c r="B36" s="258" t="s">
        <v>8</v>
      </c>
      <c r="C36" s="258"/>
      <c r="D36" s="259"/>
      <c r="E36" s="260" t="s">
        <v>1478</v>
      </c>
      <c r="F36" s="261"/>
      <c r="G36" s="261"/>
      <c r="H36" s="261"/>
      <c r="I36" s="261"/>
      <c r="J36" s="261"/>
      <c r="K36" s="261"/>
      <c r="L36" s="261"/>
      <c r="M36" s="261"/>
      <c r="N36" s="34" t="s">
        <v>1446</v>
      </c>
      <c r="O36" s="34"/>
      <c r="P36" s="34" t="s">
        <v>1446</v>
      </c>
      <c r="Q36" s="34" t="s">
        <v>1446</v>
      </c>
    </row>
    <row r="37" spans="1:17" s="21" customFormat="1" ht="50.25" customHeight="1">
      <c r="A37" s="30"/>
      <c r="B37" s="258" t="s">
        <v>1479</v>
      </c>
      <c r="C37" s="258"/>
      <c r="D37" s="259"/>
      <c r="E37" s="260" t="s">
        <v>1480</v>
      </c>
      <c r="F37" s="261"/>
      <c r="G37" s="261"/>
      <c r="H37" s="261"/>
      <c r="I37" s="261"/>
      <c r="J37" s="261"/>
      <c r="K37" s="261"/>
      <c r="L37" s="261"/>
      <c r="M37" s="261"/>
      <c r="N37" s="34"/>
      <c r="O37" s="34"/>
      <c r="P37" s="34"/>
      <c r="Q37" s="34"/>
    </row>
    <row r="38" spans="1:17" s="21" customFormat="1" ht="40.5" customHeight="1">
      <c r="A38" s="30"/>
      <c r="B38" s="258" t="s">
        <v>1481</v>
      </c>
      <c r="C38" s="258"/>
      <c r="D38" s="259"/>
      <c r="E38" s="260" t="s">
        <v>1482</v>
      </c>
      <c r="F38" s="261"/>
      <c r="G38" s="261"/>
      <c r="H38" s="261"/>
      <c r="I38" s="261"/>
      <c r="J38" s="261"/>
      <c r="K38" s="261"/>
      <c r="L38" s="261"/>
      <c r="M38" s="261"/>
      <c r="N38" s="34"/>
      <c r="O38" s="34"/>
      <c r="P38" s="34"/>
      <c r="Q38" s="34"/>
    </row>
    <row r="39" spans="1:17" s="21" customFormat="1" ht="175.5" customHeight="1">
      <c r="A39" s="30"/>
      <c r="B39" s="268" t="s">
        <v>1483</v>
      </c>
      <c r="C39" s="268"/>
      <c r="D39" s="268"/>
      <c r="E39" s="260" t="s">
        <v>1484</v>
      </c>
      <c r="F39" s="261"/>
      <c r="G39" s="261"/>
      <c r="H39" s="261"/>
      <c r="I39" s="309"/>
      <c r="J39" s="309"/>
      <c r="K39" s="309"/>
      <c r="L39" s="309"/>
      <c r="M39" s="309"/>
      <c r="N39" s="252"/>
      <c r="O39" s="252"/>
      <c r="P39" s="252"/>
      <c r="Q39" s="252" t="s">
        <v>1446</v>
      </c>
    </row>
    <row r="40" spans="1:17" ht="21">
      <c r="A40" s="23"/>
      <c r="B40" s="269"/>
      <c r="C40" s="269"/>
      <c r="D40" s="269"/>
      <c r="E40" s="266" t="s">
        <v>6</v>
      </c>
      <c r="F40" s="267"/>
      <c r="G40" s="35" t="s">
        <v>1485</v>
      </c>
      <c r="H40" s="36" t="s">
        <v>1486</v>
      </c>
      <c r="I40" s="35" t="s">
        <v>1487</v>
      </c>
      <c r="J40" s="59"/>
      <c r="K40" s="59"/>
      <c r="L40" s="59"/>
      <c r="M40" s="60"/>
      <c r="N40" s="253"/>
      <c r="O40" s="253"/>
      <c r="P40" s="253"/>
      <c r="Q40" s="253"/>
    </row>
    <row r="41" spans="1:17" ht="15" customHeight="1">
      <c r="A41" s="23"/>
      <c r="B41" s="269"/>
      <c r="C41" s="269"/>
      <c r="D41" s="269"/>
      <c r="E41" s="264" t="s">
        <v>1488</v>
      </c>
      <c r="F41" s="265"/>
      <c r="G41" s="112">
        <v>37</v>
      </c>
      <c r="H41" s="37">
        <v>15</v>
      </c>
      <c r="I41" s="115">
        <v>32</v>
      </c>
      <c r="J41" s="59"/>
      <c r="K41" s="59"/>
      <c r="L41" s="59"/>
      <c r="M41" s="59"/>
      <c r="N41" s="253"/>
      <c r="O41" s="253"/>
      <c r="P41" s="253"/>
      <c r="Q41" s="253"/>
    </row>
    <row r="42" spans="1:17">
      <c r="A42" s="23"/>
      <c r="B42" s="269"/>
      <c r="C42" s="269"/>
      <c r="D42" s="269"/>
      <c r="E42" s="264" t="s">
        <v>1489</v>
      </c>
      <c r="F42" s="265"/>
      <c r="G42" s="112">
        <v>42</v>
      </c>
      <c r="H42" s="37">
        <v>9</v>
      </c>
      <c r="I42" s="115">
        <v>32</v>
      </c>
      <c r="J42" s="59"/>
      <c r="K42" s="59"/>
      <c r="L42" s="59"/>
      <c r="M42" s="59"/>
      <c r="N42" s="253"/>
      <c r="O42" s="253"/>
      <c r="P42" s="253"/>
      <c r="Q42" s="253"/>
    </row>
    <row r="43" spans="1:17">
      <c r="A43" s="23"/>
      <c r="B43" s="269"/>
      <c r="C43" s="269"/>
      <c r="D43" s="269"/>
      <c r="E43" s="264" t="s">
        <v>1490</v>
      </c>
      <c r="F43" s="265"/>
      <c r="G43" s="112">
        <v>41</v>
      </c>
      <c r="H43" s="37">
        <v>8</v>
      </c>
      <c r="I43" s="115">
        <v>32</v>
      </c>
      <c r="J43" s="59"/>
      <c r="K43" s="59"/>
      <c r="L43" s="59"/>
      <c r="M43" s="59"/>
      <c r="N43" s="253"/>
      <c r="O43" s="253"/>
      <c r="P43" s="253"/>
      <c r="Q43" s="253"/>
    </row>
    <row r="44" spans="1:17">
      <c r="A44" s="23"/>
      <c r="B44" s="269"/>
      <c r="C44" s="269"/>
      <c r="D44" s="269"/>
      <c r="E44" s="264" t="s">
        <v>1491</v>
      </c>
      <c r="F44" s="265"/>
      <c r="G44" s="112">
        <v>43</v>
      </c>
      <c r="H44" s="37">
        <v>11</v>
      </c>
      <c r="I44" s="115">
        <v>35</v>
      </c>
      <c r="J44" s="59"/>
      <c r="K44" s="59"/>
      <c r="L44" s="59"/>
      <c r="M44" s="59"/>
      <c r="N44" s="253"/>
      <c r="O44" s="253"/>
      <c r="P44" s="253"/>
      <c r="Q44" s="253"/>
    </row>
    <row r="45" spans="1:17">
      <c r="A45" s="23"/>
      <c r="B45" s="269"/>
      <c r="C45" s="269"/>
      <c r="D45" s="269"/>
      <c r="E45" s="264" t="s">
        <v>1492</v>
      </c>
      <c r="F45" s="265"/>
      <c r="G45" s="112">
        <v>7.7</v>
      </c>
      <c r="H45" s="37">
        <v>1.2</v>
      </c>
      <c r="I45" s="115" t="s">
        <v>1493</v>
      </c>
      <c r="J45" s="59"/>
      <c r="K45" s="59"/>
      <c r="L45" s="59"/>
      <c r="M45" s="59"/>
      <c r="N45" s="254"/>
      <c r="O45" s="254"/>
      <c r="P45" s="254"/>
      <c r="Q45" s="254"/>
    </row>
    <row r="46" spans="1:17">
      <c r="A46" s="23"/>
      <c r="B46" s="38"/>
      <c r="C46" s="23"/>
      <c r="D46" s="23"/>
      <c r="E46" s="23"/>
      <c r="F46" s="23"/>
      <c r="G46" s="23"/>
      <c r="H46" s="23"/>
      <c r="I46" s="23"/>
      <c r="J46" s="23"/>
      <c r="K46" s="23"/>
      <c r="L46" s="23"/>
      <c r="M46" s="23"/>
      <c r="N46" s="23"/>
      <c r="O46" s="23"/>
      <c r="P46" s="23"/>
      <c r="Q46" s="23"/>
    </row>
    <row r="47" spans="1:17">
      <c r="A47" s="23"/>
      <c r="B47" s="38"/>
      <c r="C47" s="23"/>
      <c r="D47" s="23"/>
      <c r="E47" s="23"/>
      <c r="F47" s="23"/>
      <c r="G47" s="23"/>
      <c r="H47" s="23"/>
      <c r="I47" s="23"/>
      <c r="J47" s="23"/>
      <c r="K47" s="23"/>
      <c r="L47" s="23"/>
      <c r="M47" s="23"/>
      <c r="N47" s="23"/>
      <c r="O47" s="23"/>
      <c r="P47" s="23"/>
      <c r="Q47" s="23"/>
    </row>
    <row r="48" spans="1:17" ht="18">
      <c r="A48" s="23"/>
      <c r="B48" s="29" t="s">
        <v>1494</v>
      </c>
      <c r="C48" s="23"/>
      <c r="D48" s="23"/>
      <c r="E48" s="23"/>
      <c r="F48" s="23"/>
      <c r="G48" s="23"/>
      <c r="H48" s="23"/>
      <c r="I48" s="23"/>
      <c r="J48" s="23"/>
      <c r="K48" s="23"/>
      <c r="L48" s="23"/>
      <c r="M48" s="23"/>
      <c r="N48" s="23"/>
      <c r="O48" s="23"/>
      <c r="P48" s="23"/>
      <c r="Q48" s="23"/>
    </row>
    <row r="49" spans="1:17">
      <c r="A49" s="23"/>
      <c r="B49" s="123" t="s">
        <v>1495</v>
      </c>
      <c r="C49" s="15"/>
      <c r="D49" s="15"/>
      <c r="E49" s="15"/>
      <c r="F49" s="15"/>
      <c r="G49" s="15"/>
      <c r="H49" s="15"/>
      <c r="I49" s="15"/>
      <c r="J49" s="15"/>
      <c r="K49" s="15"/>
      <c r="L49" s="23"/>
      <c r="M49" s="23"/>
      <c r="N49" s="23"/>
      <c r="O49" s="23"/>
      <c r="P49" s="23"/>
      <c r="Q49" s="23"/>
    </row>
    <row r="50" spans="1:17" ht="32.25" customHeight="1">
      <c r="A50" s="23"/>
      <c r="B50" s="273" t="s">
        <v>1496</v>
      </c>
      <c r="C50" s="273"/>
      <c r="D50" s="273"/>
      <c r="E50" s="273"/>
      <c r="F50" s="273"/>
      <c r="G50" s="273"/>
      <c r="H50" s="273"/>
      <c r="I50" s="273"/>
      <c r="J50" s="273"/>
      <c r="K50" s="273"/>
      <c r="L50" s="23"/>
      <c r="M50" s="23"/>
      <c r="N50" s="23"/>
      <c r="O50" s="23"/>
      <c r="P50" s="23"/>
      <c r="Q50" s="23"/>
    </row>
    <row r="51" spans="1:17" ht="13.4" customHeight="1">
      <c r="A51" s="23"/>
      <c r="B51" s="13"/>
      <c r="C51" s="13"/>
      <c r="D51" s="13"/>
      <c r="E51" s="13"/>
      <c r="F51" s="13"/>
      <c r="G51" s="13"/>
      <c r="H51" s="13"/>
      <c r="I51" s="13"/>
      <c r="J51" s="13"/>
      <c r="K51" s="13"/>
      <c r="L51" s="23"/>
      <c r="M51" s="23"/>
      <c r="N51" s="23"/>
      <c r="O51" s="23"/>
      <c r="P51" s="23"/>
      <c r="Q51" s="23"/>
    </row>
    <row r="52" spans="1:17" ht="13.4" customHeight="1">
      <c r="A52" s="23"/>
      <c r="B52" s="13"/>
      <c r="C52" s="13"/>
      <c r="D52" s="13"/>
      <c r="E52" s="13"/>
      <c r="F52" s="13"/>
      <c r="G52" s="13"/>
      <c r="H52" s="13"/>
      <c r="I52" s="13"/>
      <c r="J52" s="13"/>
      <c r="K52" s="13"/>
      <c r="L52" s="23"/>
      <c r="M52" s="23"/>
      <c r="N52" s="23"/>
      <c r="O52" s="23"/>
      <c r="P52" s="23"/>
      <c r="Q52" s="23"/>
    </row>
    <row r="53" spans="1:17" s="21" customFormat="1" ht="15.75" customHeight="1">
      <c r="A53" s="30"/>
      <c r="B53" s="39" t="s">
        <v>1497</v>
      </c>
      <c r="C53" s="40"/>
      <c r="D53" s="40"/>
      <c r="E53" s="40"/>
      <c r="F53" s="40"/>
      <c r="G53" s="40"/>
      <c r="H53" s="40"/>
      <c r="I53" s="40"/>
      <c r="J53" s="40"/>
      <c r="K53" s="40"/>
      <c r="L53" s="30"/>
      <c r="M53" s="30"/>
      <c r="N53" s="30"/>
      <c r="O53" s="30"/>
      <c r="P53" s="30"/>
      <c r="Q53" s="30"/>
    </row>
    <row r="54" spans="1:17" ht="14.5" thickBot="1">
      <c r="A54" s="23"/>
      <c r="B54" s="41" t="s">
        <v>1498</v>
      </c>
      <c r="C54" s="262" t="s">
        <v>1499</v>
      </c>
      <c r="D54" s="263"/>
      <c r="E54" s="263"/>
      <c r="F54" s="263"/>
      <c r="G54" s="263"/>
      <c r="H54" s="263"/>
      <c r="I54" s="263"/>
      <c r="J54" s="263"/>
      <c r="K54" s="263"/>
      <c r="L54" s="263"/>
      <c r="M54" s="263"/>
      <c r="N54" s="23"/>
      <c r="O54" s="23"/>
      <c r="P54" s="23"/>
      <c r="Q54" s="23"/>
    </row>
    <row r="55" spans="1:17" ht="23.25" customHeight="1" thickTop="1" thickBot="1">
      <c r="A55" s="23"/>
      <c r="B55" s="42" t="s">
        <v>1500</v>
      </c>
      <c r="C55" s="270" t="s">
        <v>1501</v>
      </c>
      <c r="D55" s="271"/>
      <c r="E55" s="271"/>
      <c r="F55" s="271"/>
      <c r="G55" s="271"/>
      <c r="H55" s="271"/>
      <c r="I55" s="271"/>
      <c r="J55" s="271"/>
      <c r="K55" s="271"/>
      <c r="L55" s="271"/>
      <c r="M55" s="271"/>
      <c r="N55" s="23"/>
      <c r="O55" s="23"/>
      <c r="P55" s="23"/>
      <c r="Q55" s="23"/>
    </row>
    <row r="56" spans="1:17" ht="23.25" customHeight="1" thickBot="1">
      <c r="A56" s="23"/>
      <c r="B56" s="42" t="s">
        <v>1502</v>
      </c>
      <c r="C56" s="282" t="s">
        <v>1503</v>
      </c>
      <c r="D56" s="283"/>
      <c r="E56" s="283"/>
      <c r="F56" s="283"/>
      <c r="G56" s="283"/>
      <c r="H56" s="283"/>
      <c r="I56" s="283"/>
      <c r="J56" s="283"/>
      <c r="K56" s="283"/>
      <c r="L56" s="283"/>
      <c r="M56" s="283"/>
      <c r="N56" s="23"/>
      <c r="O56" s="23"/>
      <c r="P56" s="23"/>
      <c r="Q56" s="23"/>
    </row>
    <row r="57" spans="1:17" ht="36" customHeight="1" thickBot="1">
      <c r="A57" s="23"/>
      <c r="B57" s="42" t="s">
        <v>1504</v>
      </c>
      <c r="C57" s="270" t="s">
        <v>1505</v>
      </c>
      <c r="D57" s="271"/>
      <c r="E57" s="271"/>
      <c r="F57" s="271"/>
      <c r="G57" s="271"/>
      <c r="H57" s="271"/>
      <c r="I57" s="271"/>
      <c r="J57" s="271"/>
      <c r="K57" s="271"/>
      <c r="L57" s="271"/>
      <c r="M57" s="271"/>
      <c r="N57" s="23"/>
      <c r="O57" s="23"/>
      <c r="P57" s="23"/>
      <c r="Q57" s="23"/>
    </row>
    <row r="58" spans="1:17" ht="23.25" customHeight="1" thickBot="1">
      <c r="A58" s="23"/>
      <c r="B58" s="42" t="s">
        <v>1506</v>
      </c>
      <c r="C58" s="282" t="s">
        <v>1507</v>
      </c>
      <c r="D58" s="283"/>
      <c r="E58" s="283"/>
      <c r="F58" s="283"/>
      <c r="G58" s="283"/>
      <c r="H58" s="283"/>
      <c r="I58" s="283"/>
      <c r="J58" s="283"/>
      <c r="K58" s="283"/>
      <c r="L58" s="283"/>
      <c r="M58" s="283"/>
      <c r="N58" s="23"/>
      <c r="O58" s="23"/>
      <c r="P58" s="23"/>
      <c r="Q58" s="23"/>
    </row>
    <row r="59" spans="1:17" ht="23.25" customHeight="1" thickBot="1">
      <c r="A59" s="23"/>
      <c r="B59" s="42" t="s">
        <v>1508</v>
      </c>
      <c r="C59" s="270" t="s">
        <v>1509</v>
      </c>
      <c r="D59" s="271"/>
      <c r="E59" s="271"/>
      <c r="F59" s="271"/>
      <c r="G59" s="271"/>
      <c r="H59" s="271"/>
      <c r="I59" s="271"/>
      <c r="J59" s="271"/>
      <c r="K59" s="271"/>
      <c r="L59" s="271"/>
      <c r="M59" s="271"/>
      <c r="N59" s="23"/>
      <c r="O59" s="23"/>
      <c r="P59" s="23"/>
      <c r="Q59" s="23"/>
    </row>
    <row r="60" spans="1:17" ht="13.4" customHeight="1">
      <c r="A60" s="23"/>
      <c r="B60" s="13"/>
      <c r="C60" s="13"/>
      <c r="D60" s="13"/>
      <c r="E60" s="13"/>
      <c r="F60" s="13"/>
      <c r="G60" s="13"/>
      <c r="H60" s="13"/>
      <c r="I60" s="13"/>
      <c r="J60" s="13"/>
      <c r="K60" s="13"/>
      <c r="L60" s="23"/>
      <c r="M60" s="23"/>
      <c r="N60" s="23"/>
      <c r="O60" s="23"/>
      <c r="P60" s="23"/>
      <c r="Q60" s="23"/>
    </row>
    <row r="61" spans="1:17" ht="13.4" customHeight="1">
      <c r="A61" s="23"/>
      <c r="B61" s="13"/>
      <c r="C61" s="13"/>
      <c r="D61" s="13"/>
      <c r="E61" s="13"/>
      <c r="F61" s="13"/>
      <c r="G61" s="13"/>
      <c r="H61" s="13"/>
      <c r="I61" s="13"/>
      <c r="J61" s="13"/>
      <c r="K61" s="13"/>
      <c r="L61" s="23"/>
      <c r="M61" s="23"/>
      <c r="N61" s="23"/>
      <c r="O61" s="23"/>
      <c r="P61" s="23"/>
      <c r="Q61" s="23"/>
    </row>
    <row r="62" spans="1:17" s="21" customFormat="1" ht="15.75" customHeight="1">
      <c r="A62" s="30"/>
      <c r="B62" s="39" t="s">
        <v>1510</v>
      </c>
      <c r="C62" s="40"/>
      <c r="D62" s="40"/>
      <c r="E62" s="40"/>
      <c r="F62" s="40"/>
      <c r="G62" s="40"/>
      <c r="H62" s="40"/>
      <c r="I62" s="40"/>
      <c r="J62" s="40"/>
      <c r="K62" s="40"/>
      <c r="L62" s="30"/>
      <c r="M62" s="30"/>
      <c r="N62" s="30"/>
      <c r="O62" s="30"/>
      <c r="P62" s="30"/>
      <c r="Q62" s="30"/>
    </row>
    <row r="63" spans="1:17" s="21" customFormat="1" ht="21.5" thickBot="1">
      <c r="A63" s="30"/>
      <c r="B63" s="43" t="s">
        <v>1511</v>
      </c>
      <c r="C63" s="119" t="s">
        <v>1512</v>
      </c>
      <c r="D63" s="40"/>
      <c r="E63" s="40"/>
      <c r="F63" s="40"/>
      <c r="G63" s="40"/>
      <c r="H63" s="40"/>
      <c r="I63" s="40"/>
      <c r="J63" s="40"/>
      <c r="K63" s="40"/>
      <c r="L63" s="30"/>
      <c r="M63" s="30"/>
      <c r="N63" s="30"/>
      <c r="O63" s="30"/>
      <c r="P63" s="30"/>
      <c r="Q63" s="30"/>
    </row>
    <row r="64" spans="1:17" s="21" customFormat="1" ht="12" thickBot="1">
      <c r="A64" s="30"/>
      <c r="B64" s="44" t="s">
        <v>1513</v>
      </c>
      <c r="C64" s="124"/>
      <c r="D64" s="40"/>
      <c r="E64" s="40"/>
      <c r="F64" s="40"/>
      <c r="G64" s="40"/>
      <c r="H64" s="40"/>
      <c r="I64" s="40"/>
      <c r="J64" s="40"/>
      <c r="K64" s="40"/>
      <c r="L64" s="30"/>
      <c r="M64" s="30"/>
      <c r="N64" s="30"/>
      <c r="O64" s="30"/>
      <c r="P64" s="30"/>
      <c r="Q64" s="30"/>
    </row>
    <row r="65" spans="1:17" s="21" customFormat="1" ht="12" thickBot="1">
      <c r="A65" s="30"/>
      <c r="B65" s="44" t="s">
        <v>1514</v>
      </c>
      <c r="C65" s="125"/>
      <c r="D65" s="40"/>
      <c r="E65" s="40"/>
      <c r="F65" s="40"/>
      <c r="G65" s="40"/>
      <c r="H65" s="40"/>
      <c r="I65" s="40"/>
      <c r="J65" s="40"/>
      <c r="K65" s="40"/>
      <c r="L65" s="30"/>
      <c r="M65" s="30"/>
      <c r="N65" s="30"/>
      <c r="O65" s="30"/>
      <c r="P65" s="30"/>
      <c r="Q65" s="30"/>
    </row>
    <row r="66" spans="1:17" s="21" customFormat="1" ht="12" thickBot="1">
      <c r="A66" s="30"/>
      <c r="B66" s="44" t="s">
        <v>1515</v>
      </c>
      <c r="C66" s="124"/>
      <c r="D66" s="40"/>
      <c r="E66" s="40"/>
      <c r="F66" s="40"/>
      <c r="G66" s="40"/>
      <c r="H66" s="40"/>
      <c r="I66" s="40"/>
      <c r="J66" s="40"/>
      <c r="K66" s="40"/>
      <c r="L66" s="30"/>
      <c r="M66" s="30"/>
      <c r="N66" s="30"/>
      <c r="O66" s="30"/>
      <c r="P66" s="30"/>
      <c r="Q66" s="30"/>
    </row>
    <row r="67" spans="1:17" s="21" customFormat="1" ht="11.5">
      <c r="A67" s="30"/>
      <c r="B67" s="45" t="s">
        <v>1516</v>
      </c>
      <c r="C67" s="40"/>
      <c r="D67" s="40"/>
      <c r="E67" s="40"/>
      <c r="F67" s="40"/>
      <c r="G67" s="40"/>
      <c r="H67" s="40"/>
      <c r="I67" s="40"/>
      <c r="J67" s="40"/>
      <c r="K67" s="40"/>
      <c r="L67" s="30"/>
      <c r="M67" s="30"/>
      <c r="N67" s="30"/>
      <c r="O67" s="30"/>
      <c r="P67" s="30"/>
      <c r="Q67" s="30"/>
    </row>
    <row r="68" spans="1:17" s="21" customFormat="1" ht="11.5">
      <c r="A68" s="30"/>
      <c r="B68" s="126" t="s">
        <v>1517</v>
      </c>
      <c r="C68" s="40"/>
      <c r="D68" s="40"/>
      <c r="E68" s="40"/>
      <c r="F68" s="40"/>
      <c r="G68" s="40"/>
      <c r="H68" s="40"/>
      <c r="I68" s="40"/>
      <c r="J68" s="40"/>
      <c r="K68" s="40"/>
      <c r="L68" s="30"/>
      <c r="M68" s="30"/>
      <c r="N68" s="30"/>
      <c r="O68" s="30"/>
      <c r="P68" s="30"/>
      <c r="Q68" s="30"/>
    </row>
    <row r="69" spans="1:17" s="21" customFormat="1" ht="11.5">
      <c r="A69" s="30"/>
      <c r="B69" s="126" t="s">
        <v>1518</v>
      </c>
      <c r="C69" s="40"/>
      <c r="D69" s="40"/>
      <c r="E69" s="40"/>
      <c r="F69" s="40"/>
      <c r="G69" s="40"/>
      <c r="H69" s="40"/>
      <c r="I69" s="40"/>
      <c r="J69" s="40"/>
      <c r="K69" s="40"/>
      <c r="L69" s="30"/>
      <c r="M69" s="30"/>
      <c r="N69" s="30"/>
      <c r="O69" s="30"/>
      <c r="P69" s="30"/>
      <c r="Q69" s="30"/>
    </row>
    <row r="70" spans="1:17" ht="13.4" customHeight="1">
      <c r="A70" s="23"/>
      <c r="B70" s="13"/>
      <c r="C70" s="13"/>
      <c r="D70" s="13"/>
      <c r="E70" s="13"/>
      <c r="F70" s="13"/>
      <c r="G70" s="13"/>
      <c r="H70" s="13"/>
      <c r="I70" s="13"/>
      <c r="J70" s="13"/>
      <c r="K70" s="13"/>
      <c r="L70" s="23"/>
      <c r="M70" s="23"/>
      <c r="N70" s="23"/>
      <c r="O70" s="23"/>
      <c r="P70" s="23"/>
      <c r="Q70" s="23"/>
    </row>
    <row r="71" spans="1:17" ht="13.4" customHeight="1">
      <c r="A71" s="23"/>
      <c r="B71" s="13"/>
      <c r="C71" s="13"/>
      <c r="D71" s="13"/>
      <c r="E71" s="13"/>
      <c r="F71" s="13"/>
      <c r="G71" s="13"/>
      <c r="H71" s="13"/>
      <c r="I71" s="13"/>
      <c r="J71" s="13"/>
      <c r="K71" s="13"/>
      <c r="L71" s="23"/>
      <c r="M71" s="23"/>
      <c r="N71" s="23"/>
      <c r="O71" s="23"/>
      <c r="P71" s="23"/>
      <c r="Q71" s="23"/>
    </row>
    <row r="72" spans="1:17" s="21" customFormat="1" ht="15.75" customHeight="1">
      <c r="A72" s="30"/>
      <c r="B72" s="39" t="s">
        <v>1519</v>
      </c>
      <c r="C72" s="40"/>
      <c r="D72" s="40"/>
      <c r="E72" s="40"/>
      <c r="F72" s="40"/>
      <c r="G72" s="40"/>
      <c r="H72" s="40"/>
      <c r="I72" s="40"/>
      <c r="J72" s="40"/>
      <c r="K72" s="40"/>
      <c r="L72" s="30"/>
      <c r="M72" s="30"/>
      <c r="N72" s="30"/>
      <c r="O72" s="30"/>
      <c r="P72" s="30"/>
      <c r="Q72" s="30"/>
    </row>
    <row r="73" spans="1:17" s="21" customFormat="1" ht="26.25" customHeight="1">
      <c r="A73" s="30"/>
      <c r="B73" s="272" t="s">
        <v>1520</v>
      </c>
      <c r="C73" s="272"/>
      <c r="D73" s="272"/>
      <c r="E73" s="272"/>
      <c r="F73" s="272"/>
      <c r="G73" s="272"/>
      <c r="H73" s="272"/>
      <c r="I73" s="272"/>
      <c r="J73" s="272"/>
      <c r="K73" s="272"/>
      <c r="L73" s="272"/>
      <c r="M73" s="272"/>
      <c r="N73" s="30"/>
      <c r="O73" s="30"/>
      <c r="P73" s="30"/>
      <c r="Q73" s="30"/>
    </row>
    <row r="74" spans="1:17" ht="13.4" customHeight="1" thickBot="1">
      <c r="A74" s="23"/>
      <c r="B74" s="13"/>
      <c r="C74" s="13"/>
      <c r="D74" s="13"/>
      <c r="E74" s="13"/>
      <c r="F74" s="13"/>
      <c r="G74" s="13"/>
      <c r="H74" s="13"/>
      <c r="I74" s="13"/>
      <c r="J74" s="13"/>
      <c r="K74" s="13"/>
      <c r="L74" s="23"/>
      <c r="M74" s="23"/>
      <c r="N74" s="23"/>
      <c r="O74" s="23"/>
      <c r="P74" s="23"/>
      <c r="Q74" s="23"/>
    </row>
    <row r="75" spans="1:17" ht="21.75" customHeight="1">
      <c r="A75" s="23"/>
      <c r="B75" s="127"/>
      <c r="C75" s="128"/>
      <c r="D75" s="297" t="s">
        <v>1521</v>
      </c>
      <c r="E75" s="298"/>
      <c r="F75" s="298"/>
      <c r="G75" s="298"/>
      <c r="H75" s="299"/>
      <c r="I75" s="23"/>
      <c r="J75" s="23"/>
      <c r="K75" s="23"/>
      <c r="L75" s="23"/>
      <c r="M75" s="23"/>
      <c r="N75" s="23"/>
      <c r="O75" s="23"/>
      <c r="P75" s="23"/>
      <c r="Q75" s="23"/>
    </row>
    <row r="76" spans="1:17" ht="21.5" thickBot="1">
      <c r="A76" s="23"/>
      <c r="B76" s="46"/>
      <c r="C76" s="47" t="s">
        <v>1522</v>
      </c>
      <c r="D76" s="119" t="s">
        <v>26</v>
      </c>
      <c r="E76" s="274" t="s">
        <v>317</v>
      </c>
      <c r="F76" s="275"/>
      <c r="G76" s="142" t="s">
        <v>27</v>
      </c>
      <c r="H76" s="147" t="s">
        <v>1523</v>
      </c>
      <c r="I76" s="23"/>
      <c r="J76" s="23"/>
      <c r="K76" s="23"/>
      <c r="L76" s="23"/>
      <c r="M76" s="23"/>
      <c r="N76" s="23"/>
      <c r="O76" s="23"/>
      <c r="P76" s="23"/>
      <c r="Q76" s="23"/>
    </row>
    <row r="77" spans="1:17" ht="15.75" customHeight="1" thickBot="1">
      <c r="A77" s="23"/>
      <c r="B77" s="276" t="s">
        <v>1524</v>
      </c>
      <c r="C77" s="48" t="s">
        <v>1500</v>
      </c>
      <c r="D77" s="124"/>
      <c r="E77" s="125"/>
      <c r="F77" s="125"/>
      <c r="G77" s="124"/>
      <c r="H77" s="125"/>
      <c r="I77" s="23"/>
      <c r="J77" s="23"/>
      <c r="K77" s="23"/>
      <c r="L77" s="23"/>
      <c r="M77" s="23"/>
      <c r="N77" s="23"/>
      <c r="O77" s="23"/>
      <c r="P77" s="23"/>
      <c r="Q77" s="23"/>
    </row>
    <row r="78" spans="1:17" ht="15.75" customHeight="1" thickBot="1">
      <c r="A78" s="23"/>
      <c r="B78" s="277"/>
      <c r="C78" s="48" t="s">
        <v>1502</v>
      </c>
      <c r="D78" s="124"/>
      <c r="E78" s="125"/>
      <c r="F78" s="125"/>
      <c r="G78" s="124"/>
      <c r="H78" s="125"/>
      <c r="I78" s="23"/>
      <c r="J78" s="23"/>
      <c r="K78" s="23"/>
      <c r="L78" s="23"/>
      <c r="M78" s="23"/>
      <c r="N78" s="23"/>
      <c r="O78" s="23"/>
      <c r="P78" s="23"/>
      <c r="Q78" s="23"/>
    </row>
    <row r="79" spans="1:17" ht="15.75" customHeight="1" thickBot="1">
      <c r="A79" s="23"/>
      <c r="B79" s="277"/>
      <c r="C79" s="48" t="s">
        <v>1504</v>
      </c>
      <c r="D79" s="124"/>
      <c r="E79" s="125"/>
      <c r="F79" s="125"/>
      <c r="G79" s="124"/>
      <c r="H79" s="125"/>
      <c r="I79" s="23"/>
      <c r="J79" s="23"/>
      <c r="K79" s="23"/>
      <c r="L79" s="23"/>
      <c r="M79" s="23"/>
      <c r="N79" s="23"/>
      <c r="O79" s="23"/>
      <c r="P79" s="23"/>
      <c r="Q79" s="23"/>
    </row>
    <row r="80" spans="1:17" ht="15.75" customHeight="1" thickBot="1">
      <c r="A80" s="23"/>
      <c r="B80" s="277"/>
      <c r="C80" s="48" t="s">
        <v>1506</v>
      </c>
      <c r="D80" s="124"/>
      <c r="E80" s="125"/>
      <c r="F80" s="125"/>
      <c r="G80" s="124"/>
      <c r="H80" s="125"/>
      <c r="I80" s="23"/>
      <c r="J80" s="23"/>
      <c r="K80" s="23"/>
      <c r="L80" s="23"/>
      <c r="M80" s="23"/>
      <c r="N80" s="23"/>
      <c r="O80" s="23"/>
      <c r="P80" s="23"/>
      <c r="Q80" s="23"/>
    </row>
    <row r="81" spans="1:17" ht="15.75" customHeight="1" thickBot="1">
      <c r="A81" s="23"/>
      <c r="B81" s="278"/>
      <c r="C81" s="48" t="s">
        <v>1508</v>
      </c>
      <c r="D81" s="124"/>
      <c r="E81" s="125"/>
      <c r="F81" s="125"/>
      <c r="G81" s="124"/>
      <c r="H81" s="125"/>
      <c r="I81" s="23"/>
      <c r="J81" s="23"/>
      <c r="K81" s="23"/>
      <c r="L81" s="23"/>
      <c r="M81" s="23"/>
      <c r="N81" s="23"/>
      <c r="O81" s="23"/>
      <c r="P81" s="23"/>
      <c r="Q81" s="23"/>
    </row>
    <row r="82" spans="1:17" ht="13.4" customHeight="1">
      <c r="A82" s="23"/>
      <c r="B82" s="13"/>
      <c r="C82" s="13"/>
      <c r="D82" s="13"/>
      <c r="E82" s="13"/>
      <c r="F82" s="13"/>
      <c r="G82" s="13"/>
      <c r="H82" s="13"/>
      <c r="I82" s="13"/>
      <c r="J82" s="13"/>
      <c r="K82" s="13"/>
      <c r="L82" s="23"/>
      <c r="M82" s="23"/>
      <c r="N82" s="23"/>
      <c r="O82" s="23"/>
      <c r="P82" s="23"/>
      <c r="Q82" s="23"/>
    </row>
    <row r="83" spans="1:17" ht="13.4" customHeight="1">
      <c r="A83" s="23"/>
      <c r="B83" s="13"/>
      <c r="C83" s="13"/>
      <c r="D83" s="13"/>
      <c r="E83" s="13"/>
      <c r="F83" s="13"/>
      <c r="G83" s="13"/>
      <c r="H83" s="13"/>
      <c r="I83" s="13"/>
      <c r="J83" s="13"/>
      <c r="K83" s="13"/>
      <c r="L83" s="23"/>
      <c r="M83" s="23"/>
      <c r="N83" s="23"/>
      <c r="O83" s="23"/>
      <c r="P83" s="23"/>
      <c r="Q83" s="23"/>
    </row>
    <row r="84" spans="1:17" s="21" customFormat="1" ht="15.75" customHeight="1">
      <c r="A84" s="30"/>
      <c r="B84" s="39" t="s">
        <v>1525</v>
      </c>
      <c r="C84" s="40"/>
      <c r="D84" s="40"/>
      <c r="E84" s="40"/>
      <c r="F84" s="40"/>
      <c r="G84" s="40"/>
      <c r="H84" s="40"/>
      <c r="I84" s="40"/>
      <c r="J84" s="40"/>
      <c r="K84" s="40"/>
      <c r="L84" s="30"/>
      <c r="M84" s="30"/>
      <c r="N84" s="30"/>
      <c r="O84" s="30"/>
      <c r="P84" s="30"/>
      <c r="Q84" s="30"/>
    </row>
    <row r="85" spans="1:17">
      <c r="A85" s="23"/>
      <c r="B85" s="123" t="s">
        <v>1526</v>
      </c>
      <c r="C85" s="15"/>
      <c r="D85" s="23"/>
      <c r="E85" s="15"/>
      <c r="F85" s="15"/>
      <c r="G85" s="15"/>
      <c r="H85" s="15"/>
      <c r="I85" s="15"/>
      <c r="J85" s="15"/>
      <c r="K85" s="15"/>
      <c r="L85" s="23"/>
      <c r="M85" s="23"/>
      <c r="N85" s="23"/>
      <c r="O85" s="23"/>
      <c r="P85" s="23"/>
      <c r="Q85" s="23"/>
    </row>
    <row r="86" spans="1:17" ht="14.5" thickBot="1">
      <c r="A86" s="23"/>
      <c r="B86" s="123" t="s">
        <v>1527</v>
      </c>
      <c r="C86" s="23"/>
      <c r="D86" s="23"/>
      <c r="E86" s="23"/>
      <c r="F86" s="23"/>
      <c r="G86" s="23"/>
      <c r="H86" s="23"/>
      <c r="I86" s="23"/>
      <c r="J86" s="23"/>
      <c r="K86" s="23"/>
      <c r="L86" s="23"/>
      <c r="M86" s="23"/>
      <c r="N86" s="23"/>
      <c r="O86" s="23"/>
      <c r="P86" s="23"/>
      <c r="Q86" s="23"/>
    </row>
    <row r="87" spans="1:17" s="21" customFormat="1" ht="24.75" customHeight="1" thickBot="1">
      <c r="A87" s="30"/>
      <c r="B87" s="49" t="s">
        <v>1528</v>
      </c>
      <c r="C87" s="50" t="s">
        <v>10</v>
      </c>
      <c r="D87" s="280" t="s">
        <v>1499</v>
      </c>
      <c r="E87" s="263"/>
      <c r="F87" s="263"/>
      <c r="G87" s="263"/>
      <c r="H87" s="263"/>
      <c r="I87" s="263"/>
      <c r="J87" s="263"/>
      <c r="K87" s="263"/>
      <c r="L87" s="263"/>
      <c r="M87" s="281"/>
      <c r="N87" s="30"/>
      <c r="O87" s="30"/>
      <c r="P87" s="30"/>
      <c r="Q87" s="30"/>
    </row>
    <row r="88" spans="1:17" s="21" customFormat="1" ht="23.25" customHeight="1" thickBot="1">
      <c r="A88" s="30"/>
      <c r="B88" s="51" t="s">
        <v>26</v>
      </c>
      <c r="C88" s="52" t="s">
        <v>26</v>
      </c>
      <c r="D88" s="255" t="s">
        <v>1529</v>
      </c>
      <c r="E88" s="256"/>
      <c r="F88" s="256"/>
      <c r="G88" s="256"/>
      <c r="H88" s="256"/>
      <c r="I88" s="256"/>
      <c r="J88" s="256"/>
      <c r="K88" s="256"/>
      <c r="L88" s="256"/>
      <c r="M88" s="257"/>
      <c r="N88" s="30"/>
      <c r="O88" s="30"/>
      <c r="P88" s="30"/>
      <c r="Q88" s="30"/>
    </row>
    <row r="89" spans="1:17" s="21" customFormat="1" ht="37.4" customHeight="1" thickBot="1">
      <c r="A89" s="30"/>
      <c r="B89" s="51" t="s">
        <v>1530</v>
      </c>
      <c r="C89" s="52" t="s">
        <v>26</v>
      </c>
      <c r="D89" s="255" t="s">
        <v>4001</v>
      </c>
      <c r="E89" s="256"/>
      <c r="F89" s="256"/>
      <c r="G89" s="256"/>
      <c r="H89" s="256"/>
      <c r="I89" s="256"/>
      <c r="J89" s="256"/>
      <c r="K89" s="256"/>
      <c r="L89" s="256"/>
      <c r="M89" s="257"/>
      <c r="N89" s="30"/>
      <c r="O89" s="30"/>
      <c r="P89" s="30"/>
      <c r="Q89" s="30"/>
    </row>
    <row r="90" spans="1:17" s="21" customFormat="1" ht="46.4" customHeight="1" thickBot="1">
      <c r="A90" s="30"/>
      <c r="B90" s="51" t="s">
        <v>27</v>
      </c>
      <c r="C90" s="52" t="s">
        <v>28</v>
      </c>
      <c r="D90" s="255" t="s">
        <v>4000</v>
      </c>
      <c r="E90" s="256"/>
      <c r="F90" s="256"/>
      <c r="G90" s="256"/>
      <c r="H90" s="256"/>
      <c r="I90" s="256"/>
      <c r="J90" s="256"/>
      <c r="K90" s="256"/>
      <c r="L90" s="256"/>
      <c r="M90" s="257"/>
      <c r="N90" s="30"/>
      <c r="O90" s="30"/>
      <c r="P90" s="30"/>
      <c r="Q90" s="30"/>
    </row>
    <row r="91" spans="1:17" s="21" customFormat="1" ht="27.65" customHeight="1" thickBot="1">
      <c r="A91" s="30"/>
      <c r="B91" s="51" t="s">
        <v>1531</v>
      </c>
      <c r="C91" s="52" t="s">
        <v>28</v>
      </c>
      <c r="D91" s="255" t="s">
        <v>1532</v>
      </c>
      <c r="E91" s="256"/>
      <c r="F91" s="256"/>
      <c r="G91" s="256"/>
      <c r="H91" s="256"/>
      <c r="I91" s="256"/>
      <c r="J91" s="256"/>
      <c r="K91" s="256"/>
      <c r="L91" s="256"/>
      <c r="M91" s="257"/>
      <c r="N91" s="30"/>
      <c r="O91" s="30"/>
      <c r="P91" s="30"/>
      <c r="Q91" s="30"/>
    </row>
    <row r="92" spans="1:17" ht="13.4" customHeight="1">
      <c r="A92" s="23"/>
      <c r="B92" s="13"/>
      <c r="C92" s="13"/>
      <c r="D92" s="13"/>
      <c r="E92" s="13"/>
      <c r="F92" s="13"/>
      <c r="G92" s="13"/>
      <c r="H92" s="13"/>
      <c r="I92" s="13"/>
      <c r="J92" s="13"/>
      <c r="K92" s="13"/>
      <c r="L92" s="23"/>
      <c r="M92" s="23"/>
      <c r="N92" s="23"/>
      <c r="O92" s="23"/>
      <c r="P92" s="23"/>
      <c r="Q92" s="23"/>
    </row>
    <row r="93" spans="1:17" ht="13.4" customHeight="1">
      <c r="A93" s="23"/>
      <c r="B93" s="13"/>
      <c r="C93" s="13"/>
      <c r="D93" s="13"/>
      <c r="E93" s="13"/>
      <c r="F93" s="13"/>
      <c r="G93" s="13"/>
      <c r="H93" s="13"/>
      <c r="I93" s="13"/>
      <c r="J93" s="13"/>
      <c r="K93" s="13"/>
      <c r="L93" s="23"/>
      <c r="M93" s="23"/>
      <c r="N93" s="23"/>
      <c r="O93" s="23"/>
      <c r="P93" s="23"/>
      <c r="Q93" s="23"/>
    </row>
    <row r="94" spans="1:17" s="21" customFormat="1" ht="15.75" customHeight="1">
      <c r="A94" s="30"/>
      <c r="B94" s="39" t="s">
        <v>1533</v>
      </c>
      <c r="C94" s="40"/>
      <c r="D94" s="40"/>
      <c r="E94" s="40"/>
      <c r="F94" s="40"/>
      <c r="G94" s="40"/>
      <c r="H94" s="40"/>
      <c r="I94" s="40"/>
      <c r="J94" s="40"/>
      <c r="K94" s="40"/>
      <c r="L94" s="30"/>
      <c r="M94" s="30"/>
      <c r="N94" s="30"/>
      <c r="O94" s="30"/>
      <c r="P94" s="30"/>
      <c r="Q94" s="30"/>
    </row>
    <row r="95" spans="1:17" s="21" customFormat="1" ht="11.5">
      <c r="A95" s="30"/>
      <c r="B95" s="129" t="s">
        <v>1469</v>
      </c>
      <c r="C95" s="40"/>
      <c r="D95" s="30"/>
      <c r="E95" s="30"/>
      <c r="F95" s="30"/>
      <c r="G95" s="30"/>
      <c r="H95" s="30"/>
      <c r="I95" s="30"/>
      <c r="J95" s="30"/>
      <c r="K95" s="30"/>
      <c r="L95" s="30"/>
      <c r="M95" s="30"/>
      <c r="N95" s="30"/>
      <c r="O95" s="30"/>
      <c r="P95" s="30"/>
      <c r="Q95" s="30"/>
    </row>
    <row r="96" spans="1:17" s="21" customFormat="1" ht="11.5">
      <c r="A96" s="30"/>
      <c r="B96" s="129"/>
      <c r="C96" s="40"/>
      <c r="D96" s="30"/>
      <c r="E96" s="30"/>
      <c r="F96" s="30"/>
      <c r="G96" s="30"/>
      <c r="H96" s="30"/>
      <c r="I96" s="30"/>
      <c r="J96" s="30"/>
      <c r="K96" s="30"/>
      <c r="L96" s="30"/>
      <c r="M96" s="30"/>
      <c r="N96" s="30"/>
      <c r="O96" s="30"/>
      <c r="P96" s="30"/>
      <c r="Q96" s="30"/>
    </row>
    <row r="97" spans="1:17" s="22" customFormat="1" ht="15.75" customHeight="1">
      <c r="A97" s="15"/>
      <c r="B97" s="53" t="s">
        <v>1534</v>
      </c>
      <c r="C97" s="130"/>
      <c r="D97" s="15"/>
      <c r="E97" s="15"/>
      <c r="F97" s="15"/>
      <c r="G97" s="15"/>
      <c r="H97" s="15"/>
      <c r="I97" s="15"/>
      <c r="J97" s="15"/>
      <c r="K97" s="15"/>
      <c r="L97" s="15"/>
      <c r="M97" s="15"/>
      <c r="N97" s="15"/>
      <c r="O97" s="15"/>
      <c r="P97" s="15"/>
      <c r="Q97" s="15"/>
    </row>
    <row r="98" spans="1:17" s="22" customFormat="1" ht="10">
      <c r="A98" s="15"/>
      <c r="B98" s="131" t="s">
        <v>1535</v>
      </c>
      <c r="C98" s="130"/>
      <c r="D98" s="15"/>
      <c r="E98" s="15"/>
      <c r="F98" s="15"/>
      <c r="G98" s="15"/>
      <c r="H98" s="15"/>
      <c r="I98" s="15"/>
      <c r="J98" s="15"/>
      <c r="K98" s="15"/>
      <c r="L98" s="15"/>
      <c r="M98" s="15"/>
      <c r="N98" s="15"/>
      <c r="O98" s="15"/>
      <c r="P98" s="15"/>
      <c r="Q98" s="15"/>
    </row>
    <row r="99" spans="1:17" s="22" customFormat="1" ht="10">
      <c r="A99" s="15"/>
      <c r="B99" s="132" t="s">
        <v>1536</v>
      </c>
      <c r="C99" s="130"/>
      <c r="D99" s="15"/>
      <c r="E99" s="15"/>
      <c r="F99" s="15"/>
      <c r="G99" s="15"/>
      <c r="H99" s="15"/>
      <c r="I99" s="15"/>
      <c r="J99" s="15"/>
      <c r="K99" s="15"/>
      <c r="L99" s="15"/>
      <c r="M99" s="15"/>
      <c r="N99" s="15"/>
      <c r="O99" s="15"/>
      <c r="P99" s="15"/>
      <c r="Q99" s="15"/>
    </row>
    <row r="100" spans="1:17" s="22" customFormat="1" ht="10">
      <c r="A100" s="15"/>
      <c r="B100" s="132" t="s">
        <v>1537</v>
      </c>
      <c r="C100" s="130"/>
      <c r="D100" s="15"/>
      <c r="E100" s="15"/>
      <c r="F100" s="15"/>
      <c r="G100" s="15"/>
      <c r="H100" s="15"/>
      <c r="I100" s="15"/>
      <c r="J100" s="15"/>
      <c r="K100" s="15"/>
      <c r="L100" s="15"/>
      <c r="M100" s="15"/>
      <c r="N100" s="15"/>
      <c r="O100" s="15"/>
      <c r="P100" s="15"/>
      <c r="Q100" s="15"/>
    </row>
    <row r="101" spans="1:17" s="22" customFormat="1" ht="10">
      <c r="A101" s="15"/>
      <c r="B101" s="132" t="s">
        <v>1538</v>
      </c>
      <c r="C101" s="130"/>
      <c r="D101" s="15"/>
      <c r="E101" s="15"/>
      <c r="F101" s="15"/>
      <c r="G101" s="15"/>
      <c r="H101" s="15"/>
      <c r="I101" s="15"/>
      <c r="J101" s="15"/>
      <c r="K101" s="15"/>
      <c r="L101" s="15"/>
      <c r="M101" s="15"/>
      <c r="N101" s="15"/>
      <c r="O101" s="15"/>
      <c r="P101" s="15"/>
      <c r="Q101" s="15"/>
    </row>
    <row r="102" spans="1:17" s="22" customFormat="1" ht="10">
      <c r="A102" s="15"/>
      <c r="B102" s="126"/>
      <c r="C102" s="130"/>
      <c r="D102" s="15"/>
      <c r="E102" s="15"/>
      <c r="F102" s="15"/>
      <c r="G102" s="15"/>
      <c r="H102" s="15"/>
      <c r="I102" s="15"/>
      <c r="J102" s="15"/>
      <c r="K102" s="15"/>
      <c r="L102" s="15"/>
      <c r="M102" s="15"/>
      <c r="N102" s="15"/>
      <c r="O102" s="15"/>
      <c r="P102" s="15"/>
      <c r="Q102" s="15"/>
    </row>
    <row r="103" spans="1:17" s="21" customFormat="1" ht="11.5">
      <c r="A103" s="30"/>
      <c r="B103" s="61" t="s">
        <v>1539</v>
      </c>
      <c r="C103" s="40"/>
      <c r="D103" s="30"/>
      <c r="E103" s="30"/>
      <c r="F103" s="30"/>
      <c r="G103" s="30"/>
      <c r="H103" s="30"/>
      <c r="I103" s="30"/>
      <c r="J103" s="30"/>
      <c r="K103" s="30"/>
      <c r="L103" s="30"/>
      <c r="M103" s="30"/>
      <c r="N103" s="30"/>
      <c r="O103" s="30"/>
      <c r="P103" s="30"/>
      <c r="Q103" s="30"/>
    </row>
    <row r="104" spans="1:17" s="22" customFormat="1" ht="10">
      <c r="A104" s="15"/>
      <c r="B104" s="133" t="s">
        <v>1540</v>
      </c>
      <c r="C104" s="130"/>
      <c r="D104" s="15"/>
      <c r="E104" s="15"/>
      <c r="F104" s="15"/>
      <c r="G104" s="15"/>
      <c r="H104" s="15"/>
      <c r="I104" s="15"/>
      <c r="J104" s="15"/>
      <c r="K104" s="15"/>
      <c r="L104" s="15"/>
      <c r="M104" s="15"/>
      <c r="N104" s="15"/>
      <c r="O104" s="15"/>
      <c r="P104" s="15"/>
      <c r="Q104" s="15"/>
    </row>
    <row r="105" spans="1:17" s="22" customFormat="1" ht="10">
      <c r="A105" s="15"/>
      <c r="B105" s="131"/>
      <c r="C105" s="130"/>
      <c r="D105" s="15"/>
      <c r="E105" s="15"/>
      <c r="F105" s="15"/>
      <c r="G105" s="15"/>
      <c r="H105" s="15"/>
      <c r="I105" s="15"/>
      <c r="J105" s="15"/>
      <c r="K105" s="15"/>
      <c r="L105" s="15"/>
      <c r="M105" s="15"/>
      <c r="N105" s="15"/>
      <c r="O105" s="15"/>
      <c r="P105" s="15"/>
      <c r="Q105" s="15"/>
    </row>
    <row r="106" spans="1:17" s="21" customFormat="1" ht="11.5">
      <c r="A106" s="30"/>
      <c r="B106" s="55"/>
      <c r="C106" s="40"/>
      <c r="D106" s="30"/>
      <c r="E106" s="30"/>
      <c r="F106" s="30"/>
      <c r="G106" s="30"/>
      <c r="H106" s="30"/>
      <c r="I106" s="30"/>
      <c r="J106" s="30"/>
      <c r="K106" s="30"/>
      <c r="L106" s="30"/>
      <c r="M106" s="30"/>
      <c r="N106" s="30"/>
      <c r="O106" s="30"/>
      <c r="P106" s="30"/>
      <c r="Q106" s="30"/>
    </row>
    <row r="107" spans="1:17" s="21" customFormat="1" ht="11.5">
      <c r="A107" s="30"/>
      <c r="B107" s="54" t="s">
        <v>1541</v>
      </c>
      <c r="C107" s="40"/>
      <c r="D107" s="30"/>
      <c r="E107" s="30"/>
      <c r="F107" s="30"/>
      <c r="G107" s="30"/>
      <c r="H107" s="30"/>
      <c r="I107" s="30"/>
      <c r="J107" s="30"/>
      <c r="K107" s="30"/>
      <c r="L107" s="30"/>
      <c r="M107" s="30"/>
      <c r="N107" s="30"/>
      <c r="O107" s="30"/>
      <c r="P107" s="30"/>
      <c r="Q107" s="30"/>
    </row>
    <row r="108" spans="1:17" s="22" customFormat="1" ht="10">
      <c r="A108" s="15"/>
      <c r="B108" s="131" t="s">
        <v>1542</v>
      </c>
      <c r="C108" s="130"/>
      <c r="D108" s="15"/>
      <c r="E108" s="15"/>
      <c r="F108" s="15"/>
      <c r="G108" s="15"/>
      <c r="H108" s="15"/>
      <c r="I108" s="15"/>
      <c r="J108" s="15"/>
      <c r="K108" s="15"/>
      <c r="L108" s="15"/>
      <c r="M108" s="15"/>
      <c r="N108" s="15"/>
      <c r="O108" s="15"/>
      <c r="P108" s="15"/>
      <c r="Q108" s="15"/>
    </row>
    <row r="109" spans="1:17" s="21" customFormat="1" ht="11.5">
      <c r="A109" s="30"/>
      <c r="B109" s="55"/>
      <c r="C109" s="40"/>
      <c r="D109" s="30"/>
      <c r="E109" s="30"/>
      <c r="F109" s="30"/>
      <c r="G109" s="30"/>
      <c r="H109" s="30"/>
      <c r="I109" s="30"/>
      <c r="J109" s="30"/>
      <c r="K109" s="30"/>
      <c r="L109" s="30"/>
      <c r="M109" s="30"/>
      <c r="N109" s="30"/>
      <c r="O109" s="30"/>
      <c r="P109" s="30"/>
      <c r="Q109" s="30"/>
    </row>
    <row r="110" spans="1:17" s="21" customFormat="1" ht="11.5">
      <c r="A110" s="30"/>
      <c r="B110" s="61" t="s">
        <v>1543</v>
      </c>
      <c r="C110" s="40"/>
      <c r="D110" s="30"/>
      <c r="E110" s="30"/>
      <c r="F110" s="30"/>
      <c r="G110" s="30"/>
      <c r="H110" s="30"/>
      <c r="I110" s="30"/>
      <c r="J110" s="30"/>
      <c r="K110" s="30"/>
      <c r="L110" s="30"/>
      <c r="M110" s="30"/>
      <c r="N110" s="30"/>
      <c r="O110" s="30"/>
      <c r="P110" s="30"/>
      <c r="Q110" s="30"/>
    </row>
    <row r="111" spans="1:17" s="22" customFormat="1" ht="10">
      <c r="A111" s="15"/>
      <c r="B111" s="133" t="s">
        <v>1544</v>
      </c>
      <c r="C111" s="130"/>
      <c r="D111" s="15"/>
      <c r="E111" s="15"/>
      <c r="F111" s="15"/>
      <c r="G111" s="15"/>
      <c r="H111" s="15"/>
      <c r="I111" s="15"/>
      <c r="J111" s="15"/>
      <c r="K111" s="15"/>
      <c r="L111" s="15"/>
      <c r="M111" s="15"/>
      <c r="N111" s="15"/>
      <c r="O111" s="15"/>
      <c r="P111" s="15"/>
      <c r="Q111" s="15"/>
    </row>
    <row r="112" spans="1:17" s="22" customFormat="1" ht="10">
      <c r="A112" s="15"/>
      <c r="B112" s="131"/>
      <c r="C112" s="130"/>
      <c r="D112" s="15"/>
      <c r="E112" s="15"/>
      <c r="F112" s="15"/>
      <c r="G112" s="15"/>
      <c r="H112" s="15"/>
      <c r="I112" s="15"/>
      <c r="J112" s="15"/>
      <c r="K112" s="15"/>
      <c r="L112" s="15"/>
      <c r="M112" s="15"/>
      <c r="N112" s="15"/>
      <c r="O112" s="15"/>
      <c r="P112" s="15"/>
      <c r="Q112" s="15"/>
    </row>
    <row r="113" spans="1:17" s="21" customFormat="1" ht="11.5">
      <c r="A113" s="30"/>
      <c r="B113" s="56"/>
      <c r="C113" s="40"/>
      <c r="D113" s="30"/>
      <c r="E113" s="30"/>
      <c r="F113" s="30"/>
      <c r="G113" s="30"/>
      <c r="H113" s="30"/>
      <c r="I113" s="30"/>
      <c r="J113" s="30"/>
      <c r="K113" s="30"/>
      <c r="L113" s="30"/>
      <c r="M113" s="30"/>
      <c r="N113" s="30"/>
      <c r="O113" s="30"/>
      <c r="P113" s="30"/>
      <c r="Q113" s="30"/>
    </row>
    <row r="114" spans="1:17" s="21" customFormat="1" ht="11.5">
      <c r="A114" s="30"/>
      <c r="B114" s="57" t="s">
        <v>1545</v>
      </c>
      <c r="C114" s="40"/>
      <c r="D114" s="30"/>
      <c r="E114" s="30"/>
      <c r="F114" s="30"/>
      <c r="G114" s="30"/>
      <c r="H114" s="30"/>
      <c r="I114" s="30"/>
      <c r="J114" s="30"/>
      <c r="K114" s="30"/>
      <c r="L114" s="30"/>
      <c r="M114" s="30"/>
      <c r="N114" s="30"/>
      <c r="O114" s="30"/>
      <c r="P114" s="30"/>
      <c r="Q114" s="30"/>
    </row>
    <row r="115" spans="1:17" s="22" customFormat="1" ht="10">
      <c r="A115" s="15"/>
      <c r="B115" s="134" t="s">
        <v>1546</v>
      </c>
      <c r="C115" s="130"/>
      <c r="D115" s="15"/>
      <c r="E115" s="15"/>
      <c r="F115" s="15"/>
      <c r="G115" s="15"/>
      <c r="H115" s="15"/>
      <c r="I115" s="15"/>
      <c r="J115" s="15"/>
      <c r="K115" s="15"/>
      <c r="L115" s="15"/>
      <c r="M115" s="15"/>
      <c r="N115" s="15"/>
      <c r="O115" s="15"/>
      <c r="P115" s="15"/>
      <c r="Q115" s="15"/>
    </row>
    <row r="116" spans="1:17" s="22" customFormat="1" ht="10">
      <c r="A116" s="15"/>
      <c r="B116" s="134" t="s">
        <v>1547</v>
      </c>
      <c r="C116" s="130"/>
      <c r="D116" s="15"/>
      <c r="E116" s="15"/>
      <c r="F116" s="15"/>
      <c r="G116" s="15"/>
      <c r="H116" s="15"/>
      <c r="I116" s="15"/>
      <c r="J116" s="15"/>
      <c r="K116" s="15"/>
      <c r="L116" s="15"/>
      <c r="M116" s="15"/>
      <c r="N116" s="15"/>
      <c r="O116" s="15"/>
      <c r="P116" s="15"/>
      <c r="Q116" s="15"/>
    </row>
    <row r="117" spans="1:17" s="22" customFormat="1" ht="10">
      <c r="A117" s="15"/>
      <c r="B117" s="134" t="s">
        <v>1548</v>
      </c>
      <c r="C117" s="130"/>
      <c r="D117" s="15"/>
      <c r="E117" s="15"/>
      <c r="F117" s="15"/>
      <c r="G117" s="15"/>
      <c r="H117" s="15"/>
      <c r="I117" s="15"/>
      <c r="J117" s="15"/>
      <c r="K117" s="15"/>
      <c r="L117" s="15"/>
      <c r="M117" s="15"/>
      <c r="N117" s="15"/>
      <c r="O117" s="15"/>
      <c r="P117" s="15"/>
      <c r="Q117" s="15"/>
    </row>
    <row r="118" spans="1:17" s="22" customFormat="1" ht="10">
      <c r="A118" s="15"/>
      <c r="B118" s="134" t="s">
        <v>1549</v>
      </c>
      <c r="C118" s="130"/>
      <c r="D118" s="15"/>
      <c r="E118" s="15"/>
      <c r="F118" s="15"/>
      <c r="G118" s="15"/>
      <c r="H118" s="15"/>
      <c r="I118" s="15"/>
      <c r="J118" s="15"/>
      <c r="K118" s="15"/>
      <c r="L118" s="15"/>
      <c r="M118" s="15"/>
      <c r="N118" s="15"/>
      <c r="O118" s="15"/>
      <c r="P118" s="15"/>
      <c r="Q118" s="15"/>
    </row>
    <row r="119" spans="1:17" s="22" customFormat="1" ht="10">
      <c r="A119" s="15"/>
      <c r="B119" s="134" t="s">
        <v>1550</v>
      </c>
      <c r="C119" s="130"/>
      <c r="D119" s="15"/>
      <c r="E119" s="15"/>
      <c r="F119" s="15"/>
      <c r="G119" s="15"/>
      <c r="H119" s="15"/>
      <c r="I119" s="15"/>
      <c r="J119" s="15"/>
      <c r="K119" s="15"/>
      <c r="L119" s="15"/>
      <c r="M119" s="15"/>
      <c r="N119" s="15"/>
      <c r="O119" s="15"/>
      <c r="P119" s="15"/>
      <c r="Q119" s="15"/>
    </row>
    <row r="120" spans="1:17" s="22" customFormat="1" ht="10">
      <c r="A120" s="15"/>
      <c r="B120" s="135"/>
      <c r="C120" s="130"/>
      <c r="D120" s="15"/>
      <c r="E120" s="15"/>
      <c r="F120" s="15"/>
      <c r="G120" s="15"/>
      <c r="H120" s="15"/>
      <c r="I120" s="15"/>
      <c r="J120" s="15"/>
      <c r="K120" s="15"/>
      <c r="L120" s="15"/>
      <c r="M120" s="15"/>
      <c r="N120" s="15"/>
      <c r="O120" s="15"/>
      <c r="P120" s="15"/>
      <c r="Q120" s="15"/>
    </row>
    <row r="121" spans="1:17" s="22" customFormat="1" ht="10">
      <c r="A121" s="15"/>
      <c r="B121" s="135"/>
      <c r="C121" s="130"/>
      <c r="D121" s="15"/>
      <c r="E121" s="15"/>
      <c r="F121" s="15"/>
      <c r="G121" s="15"/>
      <c r="H121" s="15"/>
      <c r="I121" s="15"/>
      <c r="J121" s="15"/>
      <c r="K121" s="15"/>
      <c r="L121" s="15"/>
      <c r="M121" s="15"/>
      <c r="N121" s="15"/>
      <c r="O121" s="15"/>
      <c r="P121" s="15"/>
      <c r="Q121" s="15"/>
    </row>
    <row r="122" spans="1:17" s="22" customFormat="1" ht="13">
      <c r="A122" s="15"/>
      <c r="B122" s="39" t="s">
        <v>1551</v>
      </c>
      <c r="C122" s="130"/>
      <c r="D122" s="15"/>
      <c r="E122" s="15"/>
      <c r="F122" s="15"/>
      <c r="G122" s="15"/>
      <c r="H122" s="15"/>
      <c r="I122" s="15"/>
      <c r="J122" s="15"/>
      <c r="K122" s="15"/>
      <c r="L122" s="15"/>
      <c r="M122" s="15"/>
      <c r="N122" s="15"/>
      <c r="O122" s="15"/>
      <c r="P122" s="15"/>
      <c r="Q122" s="15"/>
    </row>
    <row r="123" spans="1:17" s="22" customFormat="1" ht="10">
      <c r="A123" s="15"/>
      <c r="B123" s="135" t="s">
        <v>1552</v>
      </c>
      <c r="C123" s="130"/>
      <c r="D123" s="15"/>
      <c r="E123" s="15"/>
      <c r="F123" s="15"/>
      <c r="G123" s="15"/>
      <c r="H123" s="15"/>
      <c r="I123" s="15"/>
      <c r="J123" s="15"/>
      <c r="K123" s="15"/>
      <c r="L123" s="15"/>
      <c r="M123" s="15"/>
      <c r="N123" s="15"/>
      <c r="O123" s="15"/>
      <c r="P123" s="15"/>
      <c r="Q123" s="15"/>
    </row>
    <row r="124" spans="1:17" s="22" customFormat="1" ht="10">
      <c r="A124" s="15"/>
      <c r="B124" s="136" t="s">
        <v>1553</v>
      </c>
      <c r="C124" s="130"/>
      <c r="D124" s="15"/>
      <c r="E124" s="15"/>
      <c r="F124" s="15"/>
      <c r="G124" s="15"/>
      <c r="H124" s="15"/>
      <c r="I124" s="15"/>
      <c r="J124" s="15"/>
      <c r="K124" s="15"/>
      <c r="L124" s="15"/>
      <c r="M124" s="15"/>
      <c r="N124" s="15"/>
      <c r="O124" s="15"/>
      <c r="P124" s="15"/>
      <c r="Q124" s="15"/>
    </row>
    <row r="125" spans="1:17" s="22" customFormat="1" ht="10">
      <c r="A125" s="15"/>
      <c r="B125" s="136" t="s">
        <v>1554</v>
      </c>
      <c r="C125" s="130"/>
      <c r="D125" s="15"/>
      <c r="E125" s="15"/>
      <c r="F125" s="15"/>
      <c r="G125" s="15"/>
      <c r="H125" s="15"/>
      <c r="I125" s="15"/>
      <c r="J125" s="15"/>
      <c r="K125" s="15"/>
      <c r="L125" s="15"/>
      <c r="M125" s="15"/>
      <c r="N125" s="15"/>
      <c r="O125" s="15"/>
      <c r="P125" s="15"/>
      <c r="Q125" s="15"/>
    </row>
    <row r="126" spans="1:17" s="22" customFormat="1" ht="10.5" thickBot="1">
      <c r="A126" s="15"/>
      <c r="B126" s="135"/>
      <c r="C126" s="130"/>
      <c r="D126" s="15"/>
      <c r="E126" s="15"/>
      <c r="F126" s="15"/>
      <c r="G126" s="15"/>
      <c r="H126" s="15"/>
      <c r="I126" s="15"/>
      <c r="J126" s="15"/>
      <c r="K126" s="15"/>
      <c r="L126" s="15"/>
      <c r="M126" s="15"/>
      <c r="N126" s="15"/>
      <c r="O126" s="15"/>
      <c r="P126" s="15"/>
      <c r="Q126" s="15"/>
    </row>
    <row r="127" spans="1:17" s="22" customFormat="1" ht="23.25" customHeight="1" thickBot="1">
      <c r="A127" s="15"/>
      <c r="B127" s="306" t="s">
        <v>1468</v>
      </c>
      <c r="C127" s="307"/>
      <c r="D127" s="308"/>
      <c r="E127" s="284" t="s">
        <v>1528</v>
      </c>
      <c r="F127" s="284"/>
      <c r="G127" s="284" t="s">
        <v>1499</v>
      </c>
      <c r="H127" s="284"/>
      <c r="I127" s="284"/>
      <c r="J127" s="284"/>
      <c r="K127" s="284"/>
      <c r="L127" s="284"/>
      <c r="M127" s="285"/>
      <c r="N127" s="15"/>
      <c r="O127" s="15"/>
      <c r="P127" s="15"/>
      <c r="Q127" s="15"/>
    </row>
    <row r="128" spans="1:17" s="22" customFormat="1" ht="28.5" customHeight="1">
      <c r="A128" s="15"/>
      <c r="B128" s="300" t="s">
        <v>1555</v>
      </c>
      <c r="C128" s="301"/>
      <c r="D128" s="302"/>
      <c r="E128" s="296" t="s">
        <v>401</v>
      </c>
      <c r="F128" s="296"/>
      <c r="G128" s="286" t="s">
        <v>4006</v>
      </c>
      <c r="H128" s="286"/>
      <c r="I128" s="286"/>
      <c r="J128" s="286"/>
      <c r="K128" s="286"/>
      <c r="L128" s="286"/>
      <c r="M128" s="287"/>
      <c r="N128" s="15"/>
      <c r="O128" s="15"/>
      <c r="P128" s="15"/>
      <c r="Q128" s="15"/>
    </row>
    <row r="129" spans="1:17" s="22" customFormat="1" ht="28.5" customHeight="1" thickBot="1">
      <c r="A129" s="15"/>
      <c r="B129" s="303"/>
      <c r="C129" s="304"/>
      <c r="D129" s="305"/>
      <c r="E129" s="310" t="s">
        <v>76</v>
      </c>
      <c r="F129" s="310"/>
      <c r="G129" s="288" t="s">
        <v>1556</v>
      </c>
      <c r="H129" s="288"/>
      <c r="I129" s="288"/>
      <c r="J129" s="288"/>
      <c r="K129" s="288"/>
      <c r="L129" s="288"/>
      <c r="M129" s="289"/>
      <c r="N129" s="15"/>
      <c r="O129" s="15"/>
      <c r="P129" s="15"/>
      <c r="Q129" s="15"/>
    </row>
    <row r="130" spans="1:17" s="22" customFormat="1" ht="10">
      <c r="A130" s="15"/>
      <c r="B130" s="58"/>
      <c r="C130" s="137"/>
      <c r="D130" s="138"/>
      <c r="E130" s="279"/>
      <c r="F130" s="279"/>
      <c r="G130" s="279"/>
      <c r="H130" s="279"/>
      <c r="I130" s="279"/>
      <c r="J130" s="279"/>
      <c r="K130" s="279"/>
      <c r="L130" s="279"/>
      <c r="M130" s="279"/>
      <c r="N130" s="15"/>
      <c r="O130" s="15"/>
      <c r="P130" s="15"/>
      <c r="Q130" s="15"/>
    </row>
    <row r="131" spans="1:17" s="22" customFormat="1" ht="32.15" customHeight="1">
      <c r="A131" s="15"/>
      <c r="B131" s="272" t="s">
        <v>1557</v>
      </c>
      <c r="C131" s="272"/>
      <c r="D131" s="272"/>
      <c r="E131" s="272"/>
      <c r="F131" s="272"/>
      <c r="G131" s="272"/>
      <c r="H131" s="272"/>
      <c r="I131" s="272"/>
      <c r="J131" s="272"/>
      <c r="K131" s="272"/>
      <c r="L131" s="272"/>
      <c r="M131" s="272"/>
      <c r="N131" s="15"/>
      <c r="O131" s="15"/>
      <c r="P131" s="15"/>
      <c r="Q131" s="15"/>
    </row>
    <row r="132" spans="1:17" s="21" customFormat="1" ht="11.5">
      <c r="A132" s="30"/>
      <c r="B132" s="30"/>
      <c r="C132" s="30"/>
      <c r="D132" s="30"/>
      <c r="E132" s="30"/>
      <c r="F132" s="30"/>
      <c r="G132" s="30"/>
      <c r="H132" s="30"/>
      <c r="I132" s="30"/>
      <c r="J132" s="30"/>
      <c r="K132" s="30"/>
      <c r="L132" s="30"/>
      <c r="M132" s="30"/>
      <c r="N132" s="30"/>
      <c r="O132" s="30"/>
      <c r="P132" s="30"/>
      <c r="Q132" s="30"/>
    </row>
  </sheetData>
  <sheetProtection algorithmName="SHA-512" hashValue="VezEOtreCL4jtwHf5bJC7CL+/U1+Y3qCo26n7Pm3e95E/xf0Mz87kG2XYnhefUsiKOjd6EYzqz9MqFWEm8HZxw==" saltValue="31+tztGc3eHxkmMx3XK3Qg==" spinCount="100000" sheet="1" formatColumns="0" formatRows="0" sort="0" autoFilter="0" pivotTables="0"/>
  <mergeCells count="86">
    <mergeCell ref="B37:D37"/>
    <mergeCell ref="E128:F128"/>
    <mergeCell ref="D75:H75"/>
    <mergeCell ref="B128:D129"/>
    <mergeCell ref="B127:D127"/>
    <mergeCell ref="E32:M32"/>
    <mergeCell ref="E33:M33"/>
    <mergeCell ref="E35:M35"/>
    <mergeCell ref="E36:M36"/>
    <mergeCell ref="E39:M39"/>
    <mergeCell ref="E37:M37"/>
    <mergeCell ref="E129:F129"/>
    <mergeCell ref="E127:F127"/>
    <mergeCell ref="D90:M90"/>
    <mergeCell ref="E34:M34"/>
    <mergeCell ref="B35:D35"/>
    <mergeCell ref="B36:D36"/>
    <mergeCell ref="E27:M27"/>
    <mergeCell ref="E21:M21"/>
    <mergeCell ref="E22:M22"/>
    <mergeCell ref="E24:M24"/>
    <mergeCell ref="E25:M25"/>
    <mergeCell ref="E26:M26"/>
    <mergeCell ref="E23:M23"/>
    <mergeCell ref="B7:Q7"/>
    <mergeCell ref="B8:Q8"/>
    <mergeCell ref="B9:Q9"/>
    <mergeCell ref="B10:Q10"/>
    <mergeCell ref="B15:Q15"/>
    <mergeCell ref="B17:D17"/>
    <mergeCell ref="B32:D32"/>
    <mergeCell ref="B33:D33"/>
    <mergeCell ref="B34:D34"/>
    <mergeCell ref="B19:D19"/>
    <mergeCell ref="B20:D20"/>
    <mergeCell ref="B21:D21"/>
    <mergeCell ref="B22:D22"/>
    <mergeCell ref="B23:D23"/>
    <mergeCell ref="N16:Q16"/>
    <mergeCell ref="E28:M28"/>
    <mergeCell ref="E29:M29"/>
    <mergeCell ref="E30:M30"/>
    <mergeCell ref="B31:D31"/>
    <mergeCell ref="E31:M31"/>
    <mergeCell ref="E18:M18"/>
    <mergeCell ref="E19:M19"/>
    <mergeCell ref="E20:M20"/>
    <mergeCell ref="B30:D30"/>
    <mergeCell ref="B24:D24"/>
    <mergeCell ref="B25:D25"/>
    <mergeCell ref="B26:D26"/>
    <mergeCell ref="B28:D28"/>
    <mergeCell ref="B29:D29"/>
    <mergeCell ref="B18:D18"/>
    <mergeCell ref="B131:M131"/>
    <mergeCell ref="B73:M73"/>
    <mergeCell ref="D88:M88"/>
    <mergeCell ref="B50:K50"/>
    <mergeCell ref="E76:F76"/>
    <mergeCell ref="B77:B81"/>
    <mergeCell ref="D91:M91"/>
    <mergeCell ref="E130:M130"/>
    <mergeCell ref="D87:M87"/>
    <mergeCell ref="C56:M56"/>
    <mergeCell ref="C57:M57"/>
    <mergeCell ref="C58:M58"/>
    <mergeCell ref="C59:M59"/>
    <mergeCell ref="G127:M127"/>
    <mergeCell ref="G128:M128"/>
    <mergeCell ref="G129:M129"/>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heetViews>
  <sheetFormatPr defaultColWidth="9.453125" defaultRowHeight="14.5"/>
  <cols>
    <col min="1" max="1" width="1.54296875" style="2" customWidth="1"/>
    <col min="2" max="2" width="59.54296875" style="2" customWidth="1"/>
    <col min="3" max="16384" width="9.453125" style="2"/>
  </cols>
  <sheetData>
    <row r="1" spans="1:15" ht="19">
      <c r="A1" s="10"/>
      <c r="B1" s="11" t="s">
        <v>1558</v>
      </c>
      <c r="C1" s="10"/>
      <c r="D1" s="10"/>
      <c r="E1" s="10"/>
      <c r="F1" s="10"/>
      <c r="G1" s="10"/>
      <c r="H1" s="10"/>
      <c r="I1" s="10"/>
      <c r="J1" s="10"/>
      <c r="K1" s="10"/>
      <c r="L1" s="10"/>
      <c r="M1" s="10"/>
      <c r="N1" s="10"/>
      <c r="O1" s="10"/>
    </row>
    <row r="2" spans="1:15" ht="19">
      <c r="A2" s="10"/>
      <c r="B2" s="11"/>
      <c r="C2" s="10"/>
      <c r="D2" s="10"/>
      <c r="E2" s="10"/>
      <c r="F2" s="10"/>
      <c r="G2" s="10"/>
      <c r="H2" s="10"/>
      <c r="I2" s="10"/>
      <c r="J2" s="10"/>
      <c r="K2" s="10"/>
      <c r="L2" s="10"/>
      <c r="M2" s="10"/>
      <c r="N2" s="10"/>
      <c r="O2" s="10"/>
    </row>
    <row r="3" spans="1:15" ht="15.5">
      <c r="A3" s="10"/>
      <c r="B3" s="311" t="s">
        <v>1559</v>
      </c>
      <c r="C3" s="312"/>
      <c r="D3" s="312"/>
      <c r="E3" s="312"/>
      <c r="F3" s="312"/>
      <c r="G3" s="312"/>
      <c r="H3" s="312"/>
      <c r="I3" s="312"/>
      <c r="J3" s="312"/>
      <c r="K3" s="312"/>
      <c r="L3" s="10"/>
      <c r="M3" s="10"/>
      <c r="N3" s="10"/>
      <c r="O3" s="10"/>
    </row>
    <row r="4" spans="1:15" ht="15.5">
      <c r="A4" s="10"/>
      <c r="B4" s="121"/>
      <c r="C4" s="122"/>
      <c r="D4" s="122"/>
      <c r="E4" s="122"/>
      <c r="F4" s="122"/>
      <c r="G4" s="122"/>
      <c r="H4" s="122"/>
      <c r="I4" s="122"/>
      <c r="J4" s="122"/>
      <c r="K4" s="122"/>
      <c r="L4" s="10"/>
      <c r="M4" s="10"/>
      <c r="N4" s="10"/>
      <c r="O4" s="10"/>
    </row>
    <row r="5" spans="1:15">
      <c r="A5" s="10"/>
      <c r="B5" s="12" t="s">
        <v>1560</v>
      </c>
      <c r="C5" s="13"/>
      <c r="D5" s="13"/>
      <c r="E5" s="13"/>
      <c r="F5" s="13"/>
      <c r="G5" s="13"/>
      <c r="H5" s="13"/>
      <c r="I5" s="13"/>
      <c r="J5" s="13"/>
      <c r="K5" s="13"/>
      <c r="L5" s="10"/>
      <c r="M5" s="10"/>
      <c r="N5" s="10"/>
      <c r="O5" s="10"/>
    </row>
    <row r="6" spans="1:15">
      <c r="A6" s="10"/>
      <c r="B6" s="13"/>
      <c r="C6" s="13"/>
      <c r="D6" s="13"/>
      <c r="E6" s="13"/>
      <c r="F6" s="13"/>
      <c r="G6" s="13"/>
      <c r="H6" s="13"/>
      <c r="I6" s="13"/>
      <c r="J6" s="13"/>
      <c r="K6" s="13"/>
      <c r="L6" s="10"/>
      <c r="M6" s="10"/>
      <c r="N6" s="10"/>
      <c r="O6" s="10"/>
    </row>
    <row r="7" spans="1:15">
      <c r="A7" s="10"/>
      <c r="B7" s="13"/>
      <c r="C7" s="13"/>
      <c r="D7" s="13"/>
      <c r="E7" s="13"/>
      <c r="F7" s="13"/>
      <c r="G7" s="13"/>
      <c r="H7" s="13"/>
      <c r="I7" s="13"/>
      <c r="J7" s="13"/>
      <c r="K7" s="13"/>
      <c r="L7" s="10"/>
      <c r="M7" s="10"/>
      <c r="N7" s="10"/>
      <c r="O7" s="10"/>
    </row>
    <row r="8" spans="1:15" ht="19">
      <c r="A8" s="10"/>
      <c r="B8" s="11"/>
      <c r="C8" s="10"/>
      <c r="D8" s="10"/>
      <c r="E8" s="10"/>
      <c r="F8" s="10"/>
      <c r="G8" s="10"/>
      <c r="H8" s="10"/>
      <c r="I8" s="10"/>
      <c r="J8" s="10"/>
      <c r="K8" s="10"/>
      <c r="L8" s="10"/>
      <c r="M8" s="10"/>
      <c r="N8" s="10"/>
      <c r="O8" s="10"/>
    </row>
    <row r="9" spans="1:15" ht="19">
      <c r="A9" s="10"/>
      <c r="B9" s="11"/>
      <c r="C9" s="10"/>
      <c r="D9" s="10"/>
      <c r="E9" s="10"/>
      <c r="F9" s="10"/>
      <c r="G9" s="10"/>
      <c r="H9" s="10"/>
      <c r="I9" s="10"/>
      <c r="J9" s="10"/>
      <c r="K9" s="10"/>
      <c r="L9" s="10"/>
      <c r="M9" s="10"/>
      <c r="N9" s="10"/>
      <c r="O9" s="10"/>
    </row>
    <row r="10" spans="1:15" ht="19">
      <c r="A10" s="10"/>
      <c r="B10" s="11"/>
      <c r="C10" s="10"/>
      <c r="D10" s="10"/>
      <c r="E10" s="10"/>
      <c r="F10" s="10"/>
      <c r="G10" s="10"/>
      <c r="H10" s="10"/>
      <c r="I10" s="10"/>
      <c r="J10" s="10"/>
      <c r="K10" s="10"/>
      <c r="L10" s="10"/>
      <c r="M10" s="10"/>
      <c r="N10" s="10"/>
      <c r="O10" s="10"/>
    </row>
    <row r="11" spans="1:15" ht="19">
      <c r="A11" s="10"/>
      <c r="B11" s="11"/>
      <c r="C11" s="10"/>
      <c r="D11" s="10"/>
      <c r="E11" s="10"/>
      <c r="F11" s="10"/>
      <c r="G11" s="10"/>
      <c r="H11" s="10"/>
      <c r="I11" s="10"/>
      <c r="J11" s="10"/>
      <c r="K11" s="10"/>
      <c r="L11" s="10"/>
      <c r="M11" s="10"/>
      <c r="N11" s="10"/>
      <c r="O11" s="10"/>
    </row>
    <row r="12" spans="1:15" ht="19">
      <c r="A12" s="10"/>
      <c r="B12" s="11"/>
      <c r="C12" s="10"/>
      <c r="D12" s="10"/>
      <c r="E12" s="10"/>
      <c r="F12" s="10"/>
      <c r="G12" s="10"/>
      <c r="H12" s="10"/>
      <c r="I12" s="10"/>
      <c r="J12" s="10"/>
      <c r="K12" s="10"/>
      <c r="L12" s="10"/>
      <c r="M12" s="10"/>
      <c r="N12" s="10"/>
      <c r="O12" s="10"/>
    </row>
    <row r="13" spans="1:15" ht="19">
      <c r="A13" s="10"/>
      <c r="B13" s="11"/>
      <c r="C13" s="10"/>
      <c r="D13" s="10"/>
      <c r="E13" s="10"/>
      <c r="F13" s="10"/>
      <c r="G13" s="10"/>
      <c r="H13" s="10"/>
      <c r="I13" s="10"/>
      <c r="J13" s="10"/>
      <c r="K13" s="10"/>
      <c r="L13" s="10"/>
      <c r="M13" s="10"/>
      <c r="N13" s="10"/>
      <c r="O13" s="10"/>
    </row>
    <row r="14" spans="1:15">
      <c r="A14" s="10"/>
      <c r="B14" s="10"/>
      <c r="C14" s="10"/>
      <c r="D14" s="10"/>
      <c r="E14" s="10"/>
      <c r="F14" s="10"/>
      <c r="G14" s="10"/>
      <c r="H14" s="10"/>
      <c r="I14" s="10"/>
      <c r="J14" s="10"/>
      <c r="K14" s="10"/>
      <c r="L14" s="10"/>
      <c r="M14" s="10"/>
      <c r="N14" s="10"/>
      <c r="O14" s="10"/>
    </row>
    <row r="15" spans="1:15">
      <c r="A15" s="10"/>
      <c r="B15" s="14" t="s">
        <v>1561</v>
      </c>
      <c r="C15" s="10"/>
      <c r="D15" s="10"/>
      <c r="E15" s="10"/>
      <c r="F15" s="10"/>
      <c r="G15" s="10"/>
      <c r="H15" s="10"/>
      <c r="I15" s="10"/>
      <c r="J15" s="10"/>
      <c r="K15" s="10"/>
      <c r="L15" s="10"/>
      <c r="M15" s="10"/>
      <c r="N15" s="10"/>
      <c r="O15" s="10"/>
    </row>
    <row r="16" spans="1:15">
      <c r="A16" s="10"/>
      <c r="B16" s="10"/>
      <c r="C16" s="10"/>
      <c r="D16" s="10"/>
      <c r="E16" s="10"/>
      <c r="F16" s="10"/>
      <c r="G16" s="10"/>
      <c r="H16" s="10"/>
      <c r="I16" s="10"/>
      <c r="J16" s="10"/>
      <c r="K16" s="10"/>
      <c r="L16" s="10"/>
      <c r="M16" s="10"/>
      <c r="N16" s="10"/>
      <c r="O16" s="10"/>
    </row>
    <row r="17" spans="1:15" s="19" customFormat="1" ht="60.75" customHeight="1">
      <c r="A17" s="15"/>
      <c r="B17" s="273" t="s">
        <v>1562</v>
      </c>
      <c r="C17" s="273"/>
      <c r="D17" s="273"/>
      <c r="E17" s="273"/>
      <c r="F17" s="273"/>
      <c r="G17" s="273"/>
      <c r="H17" s="273"/>
      <c r="I17" s="273"/>
      <c r="J17" s="273"/>
      <c r="K17" s="273"/>
      <c r="L17" s="15"/>
      <c r="M17" s="15"/>
      <c r="N17" s="15"/>
      <c r="O17" s="15"/>
    </row>
    <row r="18" spans="1:15">
      <c r="A18" s="10"/>
      <c r="B18" s="10"/>
      <c r="C18" s="10"/>
      <c r="D18" s="10"/>
      <c r="E18" s="10"/>
      <c r="F18" s="10"/>
      <c r="G18" s="10"/>
      <c r="H18" s="10"/>
      <c r="I18" s="10"/>
      <c r="J18" s="10"/>
      <c r="K18" s="10"/>
      <c r="L18" s="10"/>
      <c r="M18" s="10"/>
      <c r="N18" s="10"/>
      <c r="O18" s="10"/>
    </row>
    <row r="19" spans="1:15">
      <c r="A19" s="10"/>
      <c r="B19" s="12" t="s">
        <v>1563</v>
      </c>
      <c r="C19" s="10"/>
      <c r="D19" s="10"/>
      <c r="E19" s="10"/>
      <c r="F19" s="10"/>
      <c r="G19" s="10"/>
      <c r="H19" s="10"/>
      <c r="I19" s="10"/>
      <c r="J19" s="10"/>
      <c r="K19" s="10"/>
      <c r="L19" s="10"/>
      <c r="M19" s="10"/>
      <c r="N19" s="10"/>
      <c r="O19" s="10"/>
    </row>
    <row r="20" spans="1:15">
      <c r="A20" s="10"/>
      <c r="B20" s="10"/>
      <c r="C20" s="10"/>
      <c r="D20" s="10"/>
      <c r="E20" s="10"/>
      <c r="F20" s="10"/>
      <c r="G20" s="10"/>
      <c r="H20" s="10"/>
      <c r="I20" s="10"/>
      <c r="J20" s="10"/>
      <c r="K20" s="10"/>
      <c r="L20" s="10"/>
      <c r="M20" s="10"/>
      <c r="N20" s="10"/>
      <c r="O20" s="10"/>
    </row>
    <row r="21" spans="1:15">
      <c r="A21" s="10"/>
      <c r="B21" s="10"/>
      <c r="C21" s="10"/>
      <c r="D21" s="10"/>
      <c r="E21" s="10"/>
      <c r="F21" s="10"/>
      <c r="G21" s="10"/>
      <c r="H21" s="10"/>
      <c r="I21" s="10"/>
      <c r="J21" s="10"/>
      <c r="K21" s="10"/>
      <c r="L21" s="10"/>
      <c r="M21" s="10"/>
      <c r="N21" s="10"/>
      <c r="O21" s="10"/>
    </row>
    <row r="22" spans="1:15">
      <c r="A22" s="10"/>
      <c r="B22" s="10"/>
      <c r="C22" s="10"/>
      <c r="D22" s="10"/>
      <c r="E22" s="10"/>
      <c r="F22" s="10"/>
      <c r="G22" s="10"/>
      <c r="H22" s="10"/>
      <c r="I22" s="10"/>
      <c r="J22" s="10"/>
      <c r="K22" s="10"/>
      <c r="L22" s="10"/>
      <c r="M22" s="10"/>
      <c r="N22" s="10"/>
      <c r="O22" s="10"/>
    </row>
    <row r="23" spans="1:15">
      <c r="A23" s="10"/>
      <c r="B23" s="10"/>
      <c r="C23" s="10"/>
      <c r="D23" s="10"/>
      <c r="E23" s="10"/>
      <c r="F23" s="10"/>
      <c r="G23" s="10"/>
      <c r="H23" s="10"/>
      <c r="I23" s="10"/>
      <c r="J23" s="10"/>
      <c r="K23" s="10"/>
      <c r="L23" s="10"/>
      <c r="M23" s="10"/>
      <c r="N23" s="10"/>
      <c r="O23" s="10"/>
    </row>
    <row r="24" spans="1:15">
      <c r="A24" s="10"/>
      <c r="B24" s="10"/>
      <c r="C24" s="10"/>
      <c r="D24" s="10"/>
      <c r="E24" s="10"/>
      <c r="F24" s="10"/>
      <c r="G24" s="10"/>
      <c r="H24" s="10"/>
      <c r="I24" s="10"/>
      <c r="J24" s="10"/>
      <c r="K24" s="10"/>
      <c r="L24" s="10"/>
      <c r="M24" s="10"/>
      <c r="N24" s="10"/>
      <c r="O24" s="10"/>
    </row>
    <row r="25" spans="1:15">
      <c r="A25" s="10"/>
      <c r="B25" s="10"/>
      <c r="C25" s="10"/>
      <c r="D25" s="10"/>
      <c r="E25" s="10"/>
      <c r="F25" s="10"/>
      <c r="G25" s="10"/>
      <c r="H25" s="10"/>
      <c r="I25" s="10"/>
      <c r="J25" s="10"/>
      <c r="K25" s="10"/>
      <c r="L25" s="10"/>
      <c r="M25" s="10"/>
      <c r="N25" s="10"/>
      <c r="O25" s="10"/>
    </row>
    <row r="26" spans="1:15">
      <c r="A26" s="10"/>
      <c r="B26" s="10"/>
      <c r="C26" s="10"/>
      <c r="D26" s="10"/>
      <c r="E26" s="10"/>
      <c r="F26" s="10"/>
      <c r="G26" s="10"/>
      <c r="H26" s="10"/>
      <c r="I26" s="10"/>
      <c r="J26" s="10"/>
      <c r="K26" s="10"/>
      <c r="L26" s="10"/>
      <c r="M26" s="10"/>
      <c r="N26" s="10"/>
      <c r="O26" s="10"/>
    </row>
    <row r="27" spans="1:15">
      <c r="A27" s="10"/>
      <c r="B27" s="10"/>
      <c r="C27" s="10"/>
      <c r="D27" s="10"/>
      <c r="E27" s="10"/>
      <c r="F27" s="10"/>
      <c r="G27" s="10"/>
      <c r="H27" s="10"/>
      <c r="I27" s="10"/>
      <c r="J27" s="10"/>
      <c r="K27" s="10"/>
      <c r="L27" s="10"/>
      <c r="M27" s="10"/>
      <c r="N27" s="10"/>
      <c r="O27" s="10"/>
    </row>
    <row r="28" spans="1:15">
      <c r="A28" s="10"/>
      <c r="B28" s="10"/>
      <c r="C28" s="10"/>
      <c r="D28" s="10"/>
      <c r="E28" s="10"/>
      <c r="F28" s="10"/>
      <c r="G28" s="10"/>
      <c r="H28" s="10"/>
      <c r="I28" s="10"/>
      <c r="J28" s="10"/>
      <c r="K28" s="10"/>
      <c r="L28" s="10"/>
      <c r="M28" s="10"/>
      <c r="N28" s="10"/>
      <c r="O28" s="10"/>
    </row>
    <row r="29" spans="1:15">
      <c r="A29" s="10"/>
      <c r="B29" s="10"/>
      <c r="C29" s="10"/>
      <c r="D29" s="10"/>
      <c r="E29" s="10"/>
      <c r="F29" s="10"/>
      <c r="G29" s="10"/>
      <c r="H29" s="10"/>
      <c r="I29" s="10"/>
      <c r="J29" s="10"/>
      <c r="K29" s="10"/>
      <c r="L29" s="10"/>
      <c r="M29" s="10"/>
      <c r="N29" s="10"/>
      <c r="O29" s="10"/>
    </row>
    <row r="30" spans="1:15">
      <c r="A30" s="10"/>
      <c r="B30" s="10"/>
      <c r="C30" s="10"/>
      <c r="D30" s="10"/>
      <c r="E30" s="10"/>
      <c r="F30" s="10"/>
      <c r="G30" s="10"/>
      <c r="H30" s="10"/>
      <c r="I30" s="10"/>
      <c r="J30" s="10"/>
      <c r="K30" s="10"/>
      <c r="L30" s="10"/>
      <c r="M30" s="10"/>
      <c r="N30" s="10"/>
      <c r="O30" s="10"/>
    </row>
    <row r="31" spans="1:15">
      <c r="A31" s="10"/>
      <c r="B31" s="10"/>
      <c r="C31" s="10"/>
      <c r="D31" s="10"/>
      <c r="E31" s="10"/>
      <c r="F31" s="10"/>
      <c r="G31" s="10"/>
      <c r="H31" s="10"/>
      <c r="I31" s="10"/>
      <c r="J31" s="10"/>
      <c r="K31" s="10"/>
      <c r="L31" s="10"/>
      <c r="M31" s="10"/>
      <c r="N31" s="10"/>
      <c r="O31" s="10"/>
    </row>
    <row r="32" spans="1:15">
      <c r="A32" s="10"/>
      <c r="B32" s="10"/>
      <c r="C32" s="10"/>
      <c r="D32" s="10"/>
      <c r="E32" s="10"/>
      <c r="F32" s="10"/>
      <c r="G32" s="10"/>
      <c r="H32" s="10"/>
      <c r="I32" s="10"/>
      <c r="J32" s="10"/>
      <c r="K32" s="10"/>
      <c r="L32" s="10"/>
      <c r="M32" s="10"/>
      <c r="N32" s="10"/>
      <c r="O32" s="10"/>
    </row>
    <row r="33" spans="1:15">
      <c r="A33" s="10"/>
      <c r="B33" s="10"/>
      <c r="C33" s="10"/>
      <c r="D33" s="10"/>
      <c r="E33" s="10"/>
      <c r="F33" s="10"/>
      <c r="G33" s="10"/>
      <c r="H33" s="10"/>
      <c r="I33" s="10"/>
      <c r="J33" s="10"/>
      <c r="K33" s="10"/>
      <c r="L33" s="10"/>
      <c r="M33" s="10"/>
      <c r="N33" s="10"/>
      <c r="O33" s="10"/>
    </row>
    <row r="34" spans="1:15">
      <c r="A34" s="10"/>
      <c r="B34" s="10"/>
      <c r="C34" s="10"/>
      <c r="D34" s="10"/>
      <c r="E34" s="10"/>
      <c r="F34" s="10"/>
      <c r="G34" s="10"/>
      <c r="H34" s="10"/>
      <c r="I34" s="10"/>
      <c r="J34" s="10"/>
      <c r="K34" s="10"/>
      <c r="L34" s="10"/>
      <c r="M34" s="10"/>
      <c r="N34" s="10"/>
      <c r="O34" s="10"/>
    </row>
    <row r="35" spans="1:15">
      <c r="A35" s="10"/>
      <c r="B35" s="10"/>
      <c r="C35" s="10"/>
      <c r="D35" s="10"/>
      <c r="E35" s="10"/>
      <c r="F35" s="10"/>
      <c r="G35" s="10"/>
      <c r="H35" s="10"/>
      <c r="I35" s="10"/>
      <c r="J35" s="10"/>
      <c r="K35" s="10"/>
      <c r="L35" s="10"/>
      <c r="M35" s="10"/>
      <c r="N35" s="10"/>
      <c r="O35" s="10"/>
    </row>
    <row r="36" spans="1:15">
      <c r="A36" s="10"/>
      <c r="B36" s="10"/>
      <c r="C36" s="10"/>
      <c r="D36" s="10"/>
      <c r="E36" s="10"/>
      <c r="F36" s="10"/>
      <c r="G36" s="10"/>
      <c r="H36" s="10"/>
      <c r="I36" s="10"/>
      <c r="J36" s="10"/>
      <c r="K36" s="10"/>
      <c r="L36" s="10"/>
      <c r="M36" s="10"/>
      <c r="N36" s="10"/>
      <c r="O36" s="10"/>
    </row>
    <row r="37" spans="1:15">
      <c r="A37" s="10"/>
      <c r="B37" s="10"/>
      <c r="C37" s="10"/>
      <c r="D37" s="10"/>
      <c r="E37" s="10"/>
      <c r="F37" s="10"/>
      <c r="G37" s="10"/>
      <c r="H37" s="10"/>
      <c r="I37" s="10"/>
      <c r="J37" s="10"/>
      <c r="K37" s="10"/>
      <c r="L37" s="10"/>
      <c r="M37" s="10"/>
      <c r="N37" s="10"/>
      <c r="O37" s="10"/>
    </row>
    <row r="38" spans="1:15">
      <c r="A38" s="10"/>
      <c r="B38" s="10"/>
      <c r="C38" s="10"/>
      <c r="D38" s="10"/>
      <c r="E38" s="10"/>
      <c r="F38" s="10"/>
      <c r="G38" s="10"/>
      <c r="H38" s="10"/>
      <c r="I38" s="10"/>
      <c r="J38" s="10"/>
      <c r="K38" s="10"/>
      <c r="L38" s="10"/>
      <c r="M38" s="10"/>
      <c r="N38" s="10"/>
      <c r="O38" s="10"/>
    </row>
    <row r="39" spans="1:15">
      <c r="A39" s="10"/>
      <c r="B39" s="10"/>
      <c r="C39" s="10"/>
      <c r="D39" s="10"/>
      <c r="E39" s="10"/>
      <c r="F39" s="10"/>
      <c r="G39" s="10"/>
      <c r="H39" s="10"/>
      <c r="I39" s="10"/>
      <c r="J39" s="10"/>
      <c r="K39" s="10"/>
      <c r="L39" s="10"/>
      <c r="M39" s="10"/>
      <c r="N39" s="10"/>
      <c r="O39" s="10"/>
    </row>
    <row r="40" spans="1:15">
      <c r="A40" s="10"/>
      <c r="B40" s="10"/>
      <c r="C40" s="10"/>
      <c r="D40" s="10"/>
      <c r="E40" s="10"/>
      <c r="F40" s="10"/>
      <c r="G40" s="10"/>
      <c r="H40" s="10"/>
      <c r="I40" s="10"/>
      <c r="J40" s="10"/>
      <c r="K40" s="10"/>
      <c r="L40" s="10"/>
      <c r="M40" s="10"/>
      <c r="N40" s="10"/>
      <c r="O40" s="10"/>
    </row>
    <row r="41" spans="1:15">
      <c r="A41" s="10"/>
      <c r="B41" s="10"/>
      <c r="C41" s="10"/>
      <c r="D41" s="10"/>
      <c r="E41" s="10"/>
      <c r="F41" s="10"/>
      <c r="G41" s="10"/>
      <c r="H41" s="10"/>
      <c r="I41" s="10"/>
      <c r="J41" s="10"/>
      <c r="K41" s="10"/>
      <c r="L41" s="10"/>
      <c r="M41" s="10"/>
      <c r="N41" s="10"/>
      <c r="O41" s="10"/>
    </row>
    <row r="42" spans="1:15">
      <c r="A42" s="10"/>
      <c r="B42" s="10"/>
      <c r="C42" s="10"/>
      <c r="D42" s="10"/>
      <c r="E42" s="10"/>
      <c r="F42" s="10"/>
      <c r="G42" s="10"/>
      <c r="H42" s="10"/>
      <c r="I42" s="10"/>
      <c r="J42" s="10"/>
      <c r="K42" s="10"/>
      <c r="L42" s="10"/>
      <c r="M42" s="10"/>
      <c r="N42" s="10"/>
      <c r="O42" s="10"/>
    </row>
    <row r="43" spans="1:15">
      <c r="A43" s="10"/>
      <c r="B43" s="10"/>
      <c r="C43" s="10"/>
      <c r="D43" s="10"/>
      <c r="E43" s="10"/>
      <c r="F43" s="10"/>
      <c r="G43" s="10"/>
      <c r="H43" s="10"/>
      <c r="I43" s="10"/>
      <c r="J43" s="10"/>
      <c r="K43" s="10"/>
      <c r="L43" s="10"/>
      <c r="M43" s="10"/>
      <c r="N43" s="10"/>
      <c r="O43" s="10"/>
    </row>
    <row r="44" spans="1:15">
      <c r="A44" s="10"/>
      <c r="B44" s="10"/>
      <c r="C44" s="10"/>
      <c r="D44" s="10"/>
      <c r="E44" s="10"/>
      <c r="F44" s="10"/>
      <c r="G44" s="10"/>
      <c r="H44" s="10"/>
      <c r="I44" s="10"/>
      <c r="J44" s="10"/>
      <c r="K44" s="10"/>
      <c r="L44" s="10"/>
      <c r="M44" s="10"/>
      <c r="N44" s="10"/>
      <c r="O44" s="10"/>
    </row>
    <row r="45" spans="1:15">
      <c r="A45" s="10"/>
      <c r="B45" s="10"/>
      <c r="C45" s="10"/>
      <c r="D45" s="10"/>
      <c r="E45" s="10"/>
      <c r="F45" s="10"/>
      <c r="G45" s="10"/>
      <c r="H45" s="10"/>
      <c r="I45" s="10"/>
      <c r="J45" s="10"/>
      <c r="K45" s="10"/>
      <c r="L45" s="10"/>
      <c r="M45" s="10"/>
      <c r="N45" s="10"/>
      <c r="O45" s="10"/>
    </row>
    <row r="46" spans="1:15">
      <c r="A46" s="10"/>
      <c r="B46" s="10"/>
      <c r="C46" s="10"/>
      <c r="D46" s="10"/>
      <c r="E46" s="10"/>
      <c r="F46" s="10"/>
      <c r="G46" s="10"/>
      <c r="H46" s="10"/>
      <c r="I46" s="10"/>
      <c r="J46" s="10"/>
      <c r="K46" s="10"/>
      <c r="L46" s="10"/>
      <c r="M46" s="10"/>
      <c r="N46" s="10"/>
      <c r="O46" s="10"/>
    </row>
    <row r="47" spans="1:15">
      <c r="A47" s="10"/>
      <c r="B47" s="10"/>
      <c r="C47" s="10"/>
      <c r="D47" s="10"/>
      <c r="E47" s="10"/>
      <c r="F47" s="10"/>
      <c r="G47" s="10"/>
      <c r="H47" s="10"/>
      <c r="I47" s="10"/>
      <c r="J47" s="10"/>
      <c r="K47" s="10"/>
      <c r="L47" s="10"/>
      <c r="M47" s="10"/>
      <c r="N47" s="10"/>
      <c r="O47" s="10"/>
    </row>
    <row r="48" spans="1:15">
      <c r="A48" s="10"/>
      <c r="B48" s="10"/>
      <c r="C48" s="10"/>
      <c r="D48" s="10"/>
      <c r="E48" s="10"/>
      <c r="F48" s="10"/>
      <c r="G48" s="10"/>
      <c r="H48" s="10"/>
      <c r="I48" s="10"/>
      <c r="J48" s="10"/>
      <c r="K48" s="10"/>
      <c r="L48" s="10"/>
      <c r="M48" s="10"/>
      <c r="N48" s="10"/>
      <c r="O48" s="10"/>
    </row>
    <row r="49" spans="1:15">
      <c r="A49" s="10"/>
      <c r="B49" s="10"/>
      <c r="C49" s="10"/>
      <c r="D49" s="10"/>
      <c r="E49" s="10"/>
      <c r="F49" s="10"/>
      <c r="G49" s="10"/>
      <c r="H49" s="10"/>
      <c r="I49" s="10"/>
      <c r="J49" s="10"/>
      <c r="K49" s="10"/>
      <c r="L49" s="10"/>
      <c r="M49" s="10"/>
      <c r="N49" s="10"/>
      <c r="O49" s="10"/>
    </row>
    <row r="50" spans="1:15">
      <c r="A50" s="10"/>
      <c r="B50" s="10"/>
      <c r="C50" s="10"/>
      <c r="D50" s="10"/>
      <c r="E50" s="10"/>
      <c r="F50" s="10"/>
      <c r="G50" s="10"/>
      <c r="H50" s="10"/>
      <c r="I50" s="10"/>
      <c r="J50" s="10"/>
      <c r="K50" s="10"/>
      <c r="L50" s="10"/>
      <c r="M50" s="10"/>
      <c r="N50" s="10"/>
      <c r="O50" s="10"/>
    </row>
    <row r="51" spans="1:15">
      <c r="A51" s="10"/>
      <c r="B51" s="10"/>
      <c r="C51" s="10"/>
      <c r="D51" s="10"/>
      <c r="E51" s="10"/>
      <c r="F51" s="10"/>
      <c r="G51" s="10"/>
      <c r="H51" s="10"/>
      <c r="I51" s="10"/>
      <c r="J51" s="10"/>
      <c r="K51" s="10"/>
      <c r="L51" s="10"/>
      <c r="M51" s="10"/>
      <c r="N51" s="10"/>
      <c r="O51" s="10"/>
    </row>
    <row r="52" spans="1:15">
      <c r="A52" s="10"/>
      <c r="B52" s="10"/>
      <c r="C52" s="10"/>
      <c r="D52" s="10"/>
      <c r="E52" s="10"/>
      <c r="F52" s="10"/>
      <c r="G52" s="10"/>
      <c r="H52" s="10"/>
      <c r="I52" s="10"/>
      <c r="J52" s="10"/>
      <c r="K52" s="10"/>
      <c r="L52" s="10"/>
      <c r="M52" s="10"/>
      <c r="N52" s="10"/>
      <c r="O52" s="10"/>
    </row>
    <row r="53" spans="1:15">
      <c r="A53" s="10"/>
      <c r="B53" s="10"/>
      <c r="C53" s="10"/>
      <c r="D53" s="10"/>
      <c r="E53" s="10"/>
      <c r="F53" s="10"/>
      <c r="G53" s="10"/>
      <c r="H53" s="10"/>
      <c r="I53" s="10"/>
      <c r="J53" s="10"/>
      <c r="K53" s="10"/>
      <c r="L53" s="10"/>
      <c r="M53" s="10"/>
      <c r="N53" s="10"/>
      <c r="O53" s="10"/>
    </row>
    <row r="54" spans="1:15">
      <c r="A54" s="10"/>
      <c r="B54" s="10"/>
      <c r="C54" s="10"/>
      <c r="D54" s="10"/>
      <c r="E54" s="10"/>
      <c r="F54" s="10"/>
      <c r="G54" s="10"/>
      <c r="H54" s="10"/>
      <c r="I54" s="10"/>
      <c r="J54" s="10"/>
      <c r="K54" s="10"/>
      <c r="L54" s="10"/>
      <c r="M54" s="10"/>
      <c r="N54" s="10"/>
      <c r="O54" s="10"/>
    </row>
    <row r="55" spans="1:15">
      <c r="A55" s="10"/>
      <c r="B55" s="10"/>
      <c r="C55" s="10"/>
      <c r="D55" s="10"/>
      <c r="E55" s="10"/>
      <c r="F55" s="10"/>
      <c r="G55" s="10"/>
      <c r="H55" s="10"/>
      <c r="I55" s="10"/>
      <c r="J55" s="10"/>
      <c r="K55" s="10"/>
      <c r="L55" s="10"/>
      <c r="M55" s="10"/>
      <c r="N55" s="10"/>
      <c r="O55" s="10"/>
    </row>
    <row r="56" spans="1:15">
      <c r="A56" s="10"/>
      <c r="B56" s="10"/>
      <c r="C56" s="10"/>
      <c r="D56" s="10"/>
      <c r="E56" s="10"/>
      <c r="F56" s="10"/>
      <c r="G56" s="10"/>
      <c r="H56" s="10"/>
      <c r="I56" s="10"/>
      <c r="J56" s="10"/>
      <c r="K56" s="10"/>
      <c r="L56" s="10"/>
      <c r="M56" s="10"/>
      <c r="N56" s="10"/>
      <c r="O56" s="10"/>
    </row>
    <row r="57" spans="1:15">
      <c r="A57" s="10"/>
      <c r="B57" s="10"/>
      <c r="C57" s="10"/>
      <c r="D57" s="10"/>
      <c r="E57" s="10"/>
      <c r="F57" s="10"/>
      <c r="G57" s="10"/>
      <c r="H57" s="10"/>
      <c r="I57" s="10"/>
      <c r="J57" s="10"/>
      <c r="K57" s="10"/>
      <c r="L57" s="10"/>
      <c r="M57" s="10"/>
      <c r="N57" s="10"/>
      <c r="O57" s="10"/>
    </row>
    <row r="58" spans="1:15">
      <c r="A58" s="10"/>
      <c r="B58" s="10"/>
      <c r="C58" s="10"/>
      <c r="D58" s="10"/>
      <c r="E58" s="10"/>
      <c r="F58" s="10"/>
      <c r="G58" s="10"/>
      <c r="H58" s="10"/>
      <c r="I58" s="10"/>
      <c r="J58" s="10"/>
      <c r="K58" s="10"/>
      <c r="L58" s="10"/>
      <c r="M58" s="10"/>
      <c r="N58" s="10"/>
      <c r="O58" s="10"/>
    </row>
    <row r="59" spans="1:15">
      <c r="A59" s="10"/>
      <c r="B59" s="10"/>
      <c r="C59" s="10"/>
      <c r="D59" s="10"/>
      <c r="E59" s="10"/>
      <c r="F59" s="10"/>
      <c r="G59" s="10"/>
      <c r="H59" s="10"/>
      <c r="I59" s="10"/>
      <c r="J59" s="10"/>
      <c r="K59" s="10"/>
      <c r="L59" s="10"/>
      <c r="M59" s="10"/>
      <c r="N59" s="10"/>
      <c r="O59" s="10"/>
    </row>
    <row r="60" spans="1:15">
      <c r="A60" s="10"/>
      <c r="B60" s="10"/>
      <c r="C60" s="10"/>
      <c r="D60" s="10"/>
      <c r="E60" s="10"/>
      <c r="F60" s="10"/>
      <c r="G60" s="10"/>
      <c r="H60" s="10"/>
      <c r="I60" s="10"/>
      <c r="J60" s="10"/>
      <c r="K60" s="10"/>
      <c r="L60" s="10"/>
      <c r="M60" s="10"/>
      <c r="N60" s="10"/>
      <c r="O60" s="10"/>
    </row>
    <row r="61" spans="1:15" ht="16.5">
      <c r="A61" s="10"/>
      <c r="B61" s="16" t="s">
        <v>1564</v>
      </c>
      <c r="C61" s="10"/>
      <c r="D61" s="10"/>
      <c r="E61" s="10"/>
      <c r="F61" s="10"/>
      <c r="G61" s="10"/>
      <c r="H61" s="10"/>
      <c r="I61" s="10"/>
      <c r="J61" s="10"/>
      <c r="K61" s="10"/>
      <c r="L61" s="10"/>
      <c r="M61" s="10"/>
      <c r="N61" s="10"/>
      <c r="O61" s="10"/>
    </row>
    <row r="62" spans="1:15">
      <c r="A62" s="10"/>
      <c r="B62" s="10"/>
      <c r="C62" s="10"/>
      <c r="D62" s="10"/>
      <c r="E62" s="10"/>
      <c r="F62" s="10"/>
      <c r="G62" s="10"/>
      <c r="H62" s="10"/>
      <c r="I62" s="10"/>
      <c r="J62" s="10"/>
      <c r="K62" s="10"/>
      <c r="L62" s="10"/>
      <c r="M62" s="10"/>
      <c r="N62" s="10"/>
      <c r="O62" s="10"/>
    </row>
    <row r="63" spans="1:15" ht="51" customHeight="1">
      <c r="A63" s="10"/>
      <c r="B63" s="273" t="s">
        <v>1565</v>
      </c>
      <c r="C63" s="273"/>
      <c r="D63" s="273"/>
      <c r="E63" s="273"/>
      <c r="F63" s="273"/>
      <c r="G63" s="273"/>
      <c r="H63" s="273"/>
      <c r="I63" s="273"/>
      <c r="J63" s="273"/>
      <c r="K63" s="273"/>
      <c r="L63" s="10"/>
      <c r="M63" s="10"/>
      <c r="N63" s="10"/>
      <c r="O63" s="10"/>
    </row>
    <row r="64" spans="1:15">
      <c r="A64" s="10"/>
      <c r="B64" s="10"/>
      <c r="C64" s="10"/>
      <c r="D64" s="10"/>
      <c r="E64" s="10"/>
      <c r="F64" s="10"/>
      <c r="G64" s="10"/>
      <c r="H64" s="10"/>
      <c r="I64" s="10"/>
      <c r="J64" s="10"/>
      <c r="K64" s="10"/>
      <c r="L64" s="10"/>
      <c r="M64" s="10"/>
      <c r="N64" s="10"/>
      <c r="O64" s="10"/>
    </row>
    <row r="65" spans="1:15">
      <c r="A65" s="10"/>
      <c r="B65" s="14" t="s">
        <v>1566</v>
      </c>
      <c r="C65" s="10"/>
      <c r="D65" s="10"/>
      <c r="E65" s="10"/>
      <c r="F65" s="10"/>
      <c r="G65" s="10"/>
      <c r="H65" s="10"/>
      <c r="I65" s="10"/>
      <c r="J65" s="10"/>
      <c r="K65" s="10"/>
      <c r="L65" s="10"/>
      <c r="M65" s="10"/>
      <c r="N65" s="10"/>
      <c r="O65" s="10"/>
    </row>
    <row r="66" spans="1:15">
      <c r="A66" s="10"/>
      <c r="B66" s="14"/>
      <c r="C66" s="10"/>
      <c r="D66" s="10"/>
      <c r="E66" s="10"/>
      <c r="F66" s="10"/>
      <c r="G66" s="10"/>
      <c r="H66" s="10"/>
      <c r="I66" s="10"/>
      <c r="J66" s="10"/>
      <c r="K66" s="10"/>
      <c r="L66" s="10"/>
      <c r="M66" s="10"/>
      <c r="N66" s="10"/>
      <c r="O66" s="10"/>
    </row>
    <row r="67" spans="1:15">
      <c r="A67" s="10"/>
      <c r="B67" s="17" t="s">
        <v>1567</v>
      </c>
      <c r="C67" s="10"/>
      <c r="D67" s="10"/>
      <c r="E67" s="10"/>
      <c r="F67" s="10"/>
      <c r="G67" s="10"/>
      <c r="H67" s="10"/>
      <c r="I67" s="10"/>
      <c r="J67" s="10"/>
      <c r="K67" s="10"/>
      <c r="L67" s="10"/>
      <c r="M67" s="10"/>
      <c r="N67" s="10"/>
      <c r="O67" s="10"/>
    </row>
    <row r="68" spans="1:15">
      <c r="A68" s="10"/>
      <c r="B68" s="4"/>
      <c r="C68" s="10"/>
      <c r="D68" s="10"/>
      <c r="E68" s="10"/>
      <c r="F68" s="10"/>
      <c r="G68" s="10"/>
      <c r="H68" s="10"/>
      <c r="I68" s="10"/>
      <c r="J68" s="10"/>
      <c r="K68" s="10"/>
      <c r="L68" s="10"/>
      <c r="M68" s="10"/>
      <c r="N68" s="10"/>
      <c r="O68" s="10"/>
    </row>
    <row r="69" spans="1:15" ht="27.65" customHeight="1">
      <c r="A69" s="10"/>
      <c r="B69" s="273" t="s">
        <v>1568</v>
      </c>
      <c r="C69" s="273"/>
      <c r="D69" s="273"/>
      <c r="E69" s="273"/>
      <c r="F69" s="273"/>
      <c r="G69" s="273"/>
      <c r="H69" s="273"/>
      <c r="I69" s="273"/>
      <c r="J69" s="273"/>
      <c r="K69" s="273"/>
      <c r="L69" s="10"/>
      <c r="M69" s="10"/>
      <c r="N69" s="10"/>
      <c r="O69" s="10"/>
    </row>
    <row r="70" spans="1:15">
      <c r="A70" s="10"/>
      <c r="B70" s="10"/>
      <c r="C70" s="10"/>
      <c r="D70" s="10"/>
      <c r="E70" s="10"/>
      <c r="F70" s="10"/>
      <c r="G70" s="10"/>
      <c r="H70" s="10"/>
      <c r="I70" s="10"/>
      <c r="J70" s="10"/>
      <c r="K70" s="10"/>
      <c r="L70" s="10"/>
      <c r="M70" s="10"/>
      <c r="N70" s="10"/>
      <c r="O70" s="10"/>
    </row>
    <row r="71" spans="1:15">
      <c r="A71" s="10"/>
      <c r="B71" s="12" t="s">
        <v>1569</v>
      </c>
      <c r="C71" s="10"/>
      <c r="D71" s="10"/>
      <c r="E71" s="10"/>
      <c r="F71" s="10"/>
      <c r="G71" s="10"/>
      <c r="H71" s="10"/>
      <c r="I71" s="10"/>
      <c r="J71" s="10"/>
      <c r="K71" s="10"/>
      <c r="L71" s="10"/>
      <c r="M71" s="10"/>
      <c r="N71" s="10"/>
      <c r="O71" s="10"/>
    </row>
    <row r="72" spans="1:15">
      <c r="A72" s="10"/>
      <c r="B72" s="10"/>
      <c r="C72" s="10"/>
      <c r="D72" s="10"/>
      <c r="E72" s="10"/>
      <c r="F72" s="10"/>
      <c r="G72" s="10"/>
      <c r="H72" s="10"/>
      <c r="I72" s="10"/>
      <c r="J72" s="10"/>
      <c r="K72" s="10"/>
      <c r="L72" s="10"/>
      <c r="M72" s="10"/>
      <c r="N72" s="10"/>
      <c r="O72" s="10"/>
    </row>
    <row r="73" spans="1:15">
      <c r="A73" s="10"/>
      <c r="B73" s="10"/>
      <c r="C73" s="10"/>
      <c r="D73" s="10"/>
      <c r="E73" s="10"/>
      <c r="F73" s="10"/>
      <c r="G73" s="10"/>
      <c r="H73" s="10"/>
      <c r="I73" s="10"/>
      <c r="J73" s="10"/>
      <c r="K73" s="10"/>
      <c r="L73" s="10"/>
      <c r="M73" s="10"/>
      <c r="N73" s="10"/>
      <c r="O73" s="10"/>
    </row>
    <row r="74" spans="1:15">
      <c r="A74" s="10"/>
      <c r="B74" s="10"/>
      <c r="C74" s="10"/>
      <c r="D74" s="10"/>
      <c r="E74" s="10"/>
      <c r="F74" s="10"/>
      <c r="G74" s="10"/>
      <c r="H74" s="10"/>
      <c r="I74" s="10"/>
      <c r="J74" s="10"/>
      <c r="K74" s="10"/>
      <c r="L74" s="10"/>
      <c r="M74" s="10"/>
      <c r="N74" s="10"/>
      <c r="O74" s="10"/>
    </row>
    <row r="75" spans="1:15">
      <c r="A75" s="10"/>
      <c r="B75" s="10"/>
      <c r="C75" s="10"/>
      <c r="D75" s="10"/>
      <c r="E75" s="10"/>
      <c r="F75" s="10"/>
      <c r="G75" s="10"/>
      <c r="H75" s="10"/>
      <c r="I75" s="10"/>
      <c r="J75" s="10"/>
      <c r="K75" s="10"/>
      <c r="L75" s="10"/>
      <c r="M75" s="10"/>
      <c r="N75" s="10"/>
      <c r="O75" s="10"/>
    </row>
    <row r="76" spans="1:15">
      <c r="A76" s="10"/>
      <c r="B76" s="10"/>
      <c r="C76" s="10"/>
      <c r="D76" s="10"/>
      <c r="E76" s="10"/>
      <c r="F76" s="10"/>
      <c r="G76" s="10"/>
      <c r="H76" s="10"/>
      <c r="I76" s="10"/>
      <c r="J76" s="10"/>
      <c r="K76" s="10"/>
      <c r="L76" s="10"/>
      <c r="M76" s="10"/>
      <c r="N76" s="10"/>
      <c r="O76" s="10"/>
    </row>
    <row r="77" spans="1:15">
      <c r="A77" s="10"/>
      <c r="B77" s="10"/>
      <c r="C77" s="10"/>
      <c r="D77" s="10"/>
      <c r="E77" s="10"/>
      <c r="F77" s="10"/>
      <c r="G77" s="10"/>
      <c r="H77" s="10"/>
      <c r="I77" s="10"/>
      <c r="J77" s="10"/>
      <c r="K77" s="10"/>
      <c r="L77" s="10"/>
      <c r="M77" s="10"/>
      <c r="N77" s="10"/>
      <c r="O77" s="10"/>
    </row>
    <row r="78" spans="1:15">
      <c r="A78" s="10"/>
      <c r="B78" s="10"/>
      <c r="C78" s="10"/>
      <c r="D78" s="10"/>
      <c r="E78" s="10"/>
      <c r="F78" s="10"/>
      <c r="G78" s="10"/>
      <c r="H78" s="10"/>
      <c r="I78" s="10"/>
      <c r="J78" s="10"/>
      <c r="K78" s="10"/>
      <c r="L78" s="10"/>
      <c r="M78" s="10"/>
      <c r="N78" s="10"/>
      <c r="O78" s="10"/>
    </row>
    <row r="79" spans="1:15">
      <c r="A79" s="10"/>
      <c r="B79" s="10"/>
      <c r="C79" s="10"/>
      <c r="D79" s="10"/>
      <c r="E79" s="10"/>
      <c r="F79" s="10"/>
      <c r="G79" s="10"/>
      <c r="H79" s="10"/>
      <c r="I79" s="10"/>
      <c r="J79" s="10"/>
      <c r="K79" s="10"/>
      <c r="L79" s="10"/>
      <c r="M79" s="10"/>
      <c r="N79" s="10"/>
      <c r="O79" s="10"/>
    </row>
    <row r="80" spans="1:15">
      <c r="A80" s="10"/>
      <c r="B80" s="10"/>
      <c r="C80" s="10"/>
      <c r="D80" s="10"/>
      <c r="E80" s="10"/>
      <c r="F80" s="10"/>
      <c r="G80" s="10"/>
      <c r="H80" s="10"/>
      <c r="I80" s="10"/>
      <c r="J80" s="10"/>
      <c r="K80" s="10"/>
      <c r="L80" s="10"/>
      <c r="M80" s="10"/>
      <c r="N80" s="10"/>
      <c r="O80" s="10"/>
    </row>
    <row r="81" spans="1:15">
      <c r="A81" s="10"/>
      <c r="B81" s="10"/>
      <c r="C81" s="10"/>
      <c r="D81" s="10"/>
      <c r="E81" s="10"/>
      <c r="F81" s="10"/>
      <c r="G81" s="10"/>
      <c r="H81" s="10"/>
      <c r="I81" s="10"/>
      <c r="J81" s="10"/>
      <c r="K81" s="10"/>
      <c r="L81" s="10"/>
      <c r="M81" s="10"/>
      <c r="N81" s="10"/>
      <c r="O81" s="10"/>
    </row>
    <row r="82" spans="1:15">
      <c r="A82" s="10"/>
      <c r="B82" s="10"/>
      <c r="C82" s="10"/>
      <c r="D82" s="10"/>
      <c r="E82" s="10"/>
      <c r="F82" s="10"/>
      <c r="G82" s="10"/>
      <c r="H82" s="10"/>
      <c r="I82" s="10"/>
      <c r="J82" s="10"/>
      <c r="K82" s="10"/>
      <c r="L82" s="10"/>
      <c r="M82" s="10"/>
      <c r="N82" s="10"/>
      <c r="O82" s="10"/>
    </row>
    <row r="83" spans="1:15">
      <c r="A83" s="10"/>
      <c r="B83" s="10"/>
      <c r="C83" s="10"/>
      <c r="D83" s="10"/>
      <c r="E83" s="10"/>
      <c r="F83" s="10"/>
      <c r="G83" s="10"/>
      <c r="H83" s="10"/>
      <c r="I83" s="10"/>
      <c r="J83" s="10"/>
      <c r="K83" s="10"/>
      <c r="L83" s="10"/>
      <c r="M83" s="10"/>
      <c r="N83" s="10"/>
      <c r="O83" s="10"/>
    </row>
    <row r="84" spans="1:15">
      <c r="A84" s="10"/>
      <c r="B84" s="10"/>
      <c r="C84" s="10"/>
      <c r="D84" s="10"/>
      <c r="E84" s="10"/>
      <c r="F84" s="10"/>
      <c r="G84" s="10"/>
      <c r="H84" s="10"/>
      <c r="I84" s="10"/>
      <c r="J84" s="10"/>
      <c r="K84" s="10"/>
      <c r="L84" s="10"/>
      <c r="M84" s="10"/>
      <c r="N84" s="10"/>
      <c r="O84" s="10"/>
    </row>
    <row r="85" spans="1:15">
      <c r="A85" s="10"/>
      <c r="B85" s="10"/>
      <c r="C85" s="10"/>
      <c r="D85" s="10"/>
      <c r="E85" s="10"/>
      <c r="F85" s="10"/>
      <c r="G85" s="10"/>
      <c r="H85" s="10"/>
      <c r="I85" s="10"/>
      <c r="J85" s="10"/>
      <c r="K85" s="10"/>
      <c r="L85" s="10"/>
      <c r="M85" s="10"/>
      <c r="N85" s="10"/>
      <c r="O85" s="10"/>
    </row>
    <row r="86" spans="1:15">
      <c r="A86" s="10"/>
      <c r="B86" s="10"/>
      <c r="C86" s="10"/>
      <c r="D86" s="10"/>
      <c r="E86" s="10"/>
      <c r="F86" s="10"/>
      <c r="G86" s="10"/>
      <c r="H86" s="10"/>
      <c r="I86" s="10"/>
      <c r="J86" s="10"/>
      <c r="K86" s="10"/>
      <c r="L86" s="10"/>
      <c r="M86" s="10"/>
      <c r="N86" s="10"/>
      <c r="O86" s="10"/>
    </row>
    <row r="87" spans="1:15">
      <c r="A87" s="10"/>
      <c r="B87" s="10"/>
      <c r="C87" s="10"/>
      <c r="D87" s="10"/>
      <c r="E87" s="10"/>
      <c r="F87" s="10"/>
      <c r="G87" s="10"/>
      <c r="H87" s="10"/>
      <c r="I87" s="10"/>
      <c r="J87" s="10"/>
      <c r="K87" s="10"/>
      <c r="L87" s="10"/>
      <c r="M87" s="10"/>
      <c r="N87" s="10"/>
      <c r="O87" s="10"/>
    </row>
    <row r="88" spans="1:15">
      <c r="A88" s="10"/>
      <c r="B88" s="10"/>
      <c r="C88" s="10"/>
      <c r="D88" s="10"/>
      <c r="E88" s="10"/>
      <c r="F88" s="10"/>
      <c r="G88" s="10"/>
      <c r="H88" s="10"/>
      <c r="I88" s="10"/>
      <c r="J88" s="10"/>
      <c r="K88" s="10"/>
      <c r="L88" s="10"/>
      <c r="M88" s="10"/>
      <c r="N88" s="10"/>
      <c r="O88" s="10"/>
    </row>
    <row r="89" spans="1:15">
      <c r="A89" s="10"/>
      <c r="B89" s="10"/>
      <c r="C89" s="10"/>
      <c r="D89" s="10"/>
      <c r="E89" s="10"/>
      <c r="F89" s="10"/>
      <c r="G89" s="10"/>
      <c r="H89" s="10"/>
      <c r="I89" s="10"/>
      <c r="J89" s="10"/>
      <c r="K89" s="10"/>
      <c r="L89" s="10"/>
      <c r="M89" s="10"/>
      <c r="N89" s="10"/>
      <c r="O89" s="10"/>
    </row>
    <row r="90" spans="1:15">
      <c r="A90" s="10"/>
      <c r="B90" s="10"/>
      <c r="C90" s="10"/>
      <c r="D90" s="10"/>
      <c r="E90" s="10"/>
      <c r="F90" s="10"/>
      <c r="G90" s="10"/>
      <c r="H90" s="10"/>
      <c r="I90" s="10"/>
      <c r="J90" s="10"/>
      <c r="K90" s="10"/>
      <c r="L90" s="10"/>
      <c r="M90" s="10"/>
      <c r="N90" s="10"/>
      <c r="O90" s="10"/>
    </row>
    <row r="91" spans="1:15">
      <c r="A91" s="10"/>
      <c r="B91" s="10"/>
      <c r="C91" s="10"/>
      <c r="D91" s="10"/>
      <c r="E91" s="10"/>
      <c r="F91" s="10"/>
      <c r="G91" s="10"/>
      <c r="H91" s="10"/>
      <c r="I91" s="10"/>
      <c r="J91" s="10"/>
      <c r="K91" s="10"/>
      <c r="L91" s="10"/>
      <c r="M91" s="10"/>
      <c r="N91" s="10"/>
      <c r="O91" s="10"/>
    </row>
    <row r="92" spans="1:15">
      <c r="A92" s="10"/>
      <c r="B92" s="10"/>
      <c r="C92" s="10"/>
      <c r="D92" s="10"/>
      <c r="E92" s="10"/>
      <c r="F92" s="10"/>
      <c r="G92" s="10"/>
      <c r="H92" s="10"/>
      <c r="I92" s="10"/>
      <c r="J92" s="10"/>
      <c r="K92" s="10"/>
      <c r="L92" s="10"/>
      <c r="M92" s="10"/>
      <c r="N92" s="10"/>
      <c r="O92" s="10"/>
    </row>
    <row r="93" spans="1:15">
      <c r="A93" s="10"/>
      <c r="B93" s="10"/>
      <c r="C93" s="10"/>
      <c r="D93" s="10"/>
      <c r="E93" s="10"/>
      <c r="F93" s="10"/>
      <c r="G93" s="10"/>
      <c r="H93" s="10"/>
      <c r="I93" s="10"/>
      <c r="J93" s="10"/>
      <c r="K93" s="10"/>
      <c r="L93" s="10"/>
      <c r="M93" s="10"/>
      <c r="N93" s="10"/>
      <c r="O93" s="10"/>
    </row>
    <row r="94" spans="1:15">
      <c r="A94" s="10"/>
      <c r="B94" s="10"/>
      <c r="C94" s="10"/>
      <c r="D94" s="10"/>
      <c r="E94" s="10"/>
      <c r="F94" s="10"/>
      <c r="G94" s="10"/>
      <c r="H94" s="10"/>
      <c r="I94" s="10"/>
      <c r="J94" s="10"/>
      <c r="K94" s="10"/>
      <c r="L94" s="10"/>
      <c r="M94" s="10"/>
      <c r="N94" s="10"/>
      <c r="O94" s="10"/>
    </row>
    <row r="95" spans="1:15">
      <c r="A95" s="10"/>
      <c r="B95" s="10"/>
      <c r="C95" s="10"/>
      <c r="D95" s="10"/>
      <c r="E95" s="10"/>
      <c r="F95" s="10"/>
      <c r="G95" s="10"/>
      <c r="H95" s="10"/>
      <c r="I95" s="10"/>
      <c r="J95" s="10"/>
      <c r="K95" s="10"/>
      <c r="L95" s="10"/>
      <c r="M95" s="10"/>
      <c r="N95" s="10"/>
      <c r="O95" s="10"/>
    </row>
    <row r="96" spans="1:15">
      <c r="A96" s="10"/>
      <c r="B96" s="10"/>
      <c r="C96" s="10"/>
      <c r="D96" s="10"/>
      <c r="E96" s="10"/>
      <c r="F96" s="10"/>
      <c r="G96" s="10"/>
      <c r="H96" s="10"/>
      <c r="I96" s="10"/>
      <c r="J96" s="10"/>
      <c r="K96" s="10"/>
      <c r="L96" s="10"/>
      <c r="M96" s="10"/>
      <c r="N96" s="10"/>
      <c r="O96" s="10"/>
    </row>
    <row r="97" spans="1:15">
      <c r="A97" s="10"/>
      <c r="B97" s="10"/>
      <c r="C97" s="10"/>
      <c r="D97" s="10"/>
      <c r="E97" s="10"/>
      <c r="F97" s="10"/>
      <c r="G97" s="10"/>
      <c r="H97" s="10"/>
      <c r="I97" s="10"/>
      <c r="J97" s="10"/>
      <c r="K97" s="10"/>
      <c r="L97" s="10"/>
      <c r="M97" s="10"/>
      <c r="N97" s="10"/>
      <c r="O97" s="10"/>
    </row>
    <row r="98" spans="1:15">
      <c r="A98" s="10"/>
      <c r="B98" s="10"/>
      <c r="C98" s="10"/>
      <c r="D98" s="10"/>
      <c r="E98" s="10"/>
      <c r="F98" s="10"/>
      <c r="G98" s="10"/>
      <c r="H98" s="10"/>
      <c r="I98" s="10"/>
      <c r="J98" s="10"/>
      <c r="K98" s="10"/>
      <c r="L98" s="10"/>
      <c r="M98" s="10"/>
      <c r="N98" s="10"/>
      <c r="O98" s="10"/>
    </row>
    <row r="99" spans="1:15">
      <c r="A99" s="10"/>
      <c r="B99" s="10"/>
      <c r="C99" s="10"/>
      <c r="D99" s="10"/>
      <c r="E99" s="10"/>
      <c r="F99" s="10"/>
      <c r="G99" s="10"/>
      <c r="H99" s="10"/>
      <c r="I99" s="10"/>
      <c r="J99" s="10"/>
      <c r="K99" s="10"/>
      <c r="L99" s="10"/>
      <c r="M99" s="10"/>
      <c r="N99" s="10"/>
      <c r="O99" s="10"/>
    </row>
    <row r="100" spans="1:15">
      <c r="A100" s="10"/>
      <c r="B100" s="10"/>
      <c r="C100" s="10"/>
      <c r="D100" s="10"/>
      <c r="E100" s="10"/>
      <c r="F100" s="10"/>
      <c r="G100" s="10"/>
      <c r="H100" s="10"/>
      <c r="I100" s="10"/>
      <c r="J100" s="10"/>
      <c r="K100" s="10"/>
      <c r="L100" s="10"/>
      <c r="M100" s="10"/>
      <c r="N100" s="10"/>
      <c r="O100" s="10"/>
    </row>
    <row r="101" spans="1:15">
      <c r="A101" s="10"/>
      <c r="B101" s="10"/>
      <c r="C101" s="10"/>
      <c r="D101" s="10"/>
      <c r="E101" s="10"/>
      <c r="F101" s="10"/>
      <c r="G101" s="10"/>
      <c r="H101" s="10"/>
      <c r="I101" s="10"/>
      <c r="J101" s="10"/>
      <c r="K101" s="10"/>
      <c r="L101" s="10"/>
      <c r="M101" s="10"/>
      <c r="N101" s="10"/>
      <c r="O101" s="10"/>
    </row>
    <row r="102" spans="1:15">
      <c r="A102" s="10"/>
      <c r="B102" s="10"/>
      <c r="C102" s="10"/>
      <c r="D102" s="10"/>
      <c r="E102" s="10"/>
      <c r="F102" s="10"/>
      <c r="G102" s="10"/>
      <c r="H102" s="10"/>
      <c r="I102" s="10"/>
      <c r="J102" s="10"/>
      <c r="K102" s="10"/>
      <c r="L102" s="10"/>
      <c r="M102" s="10"/>
      <c r="N102" s="10"/>
      <c r="O102" s="10"/>
    </row>
    <row r="103" spans="1:15">
      <c r="A103" s="10"/>
      <c r="B103" s="10"/>
      <c r="C103" s="10"/>
      <c r="D103" s="10"/>
      <c r="E103" s="10"/>
      <c r="F103" s="10"/>
      <c r="G103" s="10"/>
      <c r="H103" s="10"/>
      <c r="I103" s="10"/>
      <c r="J103" s="10"/>
      <c r="K103" s="10"/>
      <c r="L103" s="10"/>
      <c r="M103" s="10"/>
      <c r="N103" s="10"/>
      <c r="O103" s="10"/>
    </row>
    <row r="104" spans="1:15">
      <c r="A104" s="10"/>
      <c r="B104" s="10"/>
      <c r="C104" s="10"/>
      <c r="D104" s="10"/>
      <c r="E104" s="10"/>
      <c r="F104" s="10"/>
      <c r="G104" s="10"/>
      <c r="H104" s="10"/>
      <c r="I104" s="10"/>
      <c r="J104" s="10"/>
      <c r="K104" s="10"/>
      <c r="L104" s="10"/>
      <c r="M104" s="10"/>
      <c r="N104" s="10"/>
      <c r="O104" s="10"/>
    </row>
    <row r="105" spans="1:15">
      <c r="A105" s="10"/>
      <c r="B105" s="10"/>
      <c r="C105" s="10"/>
      <c r="D105" s="10"/>
      <c r="E105" s="10"/>
      <c r="F105" s="10"/>
      <c r="G105" s="10"/>
      <c r="H105" s="10"/>
      <c r="I105" s="10"/>
      <c r="J105" s="10"/>
      <c r="K105" s="10"/>
      <c r="L105" s="10"/>
      <c r="M105" s="10"/>
      <c r="N105" s="10"/>
      <c r="O105" s="10"/>
    </row>
    <row r="106" spans="1:15">
      <c r="A106" s="10"/>
      <c r="B106" s="10"/>
      <c r="C106" s="10"/>
      <c r="D106" s="10"/>
      <c r="E106" s="10"/>
      <c r="F106" s="10"/>
      <c r="G106" s="10"/>
      <c r="H106" s="10"/>
      <c r="I106" s="10"/>
      <c r="J106" s="10"/>
      <c r="K106" s="10"/>
      <c r="L106" s="10"/>
      <c r="M106" s="10"/>
      <c r="N106" s="10"/>
      <c r="O106" s="10"/>
    </row>
    <row r="107" spans="1:15">
      <c r="A107" s="10"/>
      <c r="B107" s="10"/>
      <c r="C107" s="10"/>
      <c r="D107" s="10"/>
      <c r="E107" s="10"/>
      <c r="F107" s="10"/>
      <c r="G107" s="10"/>
      <c r="H107" s="10"/>
      <c r="I107" s="10"/>
      <c r="J107" s="10"/>
      <c r="K107" s="10"/>
      <c r="L107" s="10"/>
      <c r="M107" s="10"/>
      <c r="N107" s="10"/>
      <c r="O107" s="10"/>
    </row>
    <row r="108" spans="1:15">
      <c r="A108" s="10"/>
      <c r="B108" s="10"/>
      <c r="C108" s="10"/>
      <c r="D108" s="10"/>
      <c r="E108" s="10"/>
      <c r="F108" s="10"/>
      <c r="G108" s="10"/>
      <c r="H108" s="10"/>
      <c r="I108" s="10"/>
      <c r="J108" s="10"/>
      <c r="K108" s="10"/>
      <c r="L108" s="10"/>
      <c r="M108" s="10"/>
      <c r="N108" s="10"/>
      <c r="O108" s="10"/>
    </row>
    <row r="109" spans="1:15">
      <c r="A109" s="10"/>
      <c r="B109" s="10"/>
      <c r="C109" s="10"/>
      <c r="D109" s="10"/>
      <c r="E109" s="10"/>
      <c r="F109" s="10"/>
      <c r="G109" s="10"/>
      <c r="H109" s="10"/>
      <c r="I109" s="10"/>
      <c r="J109" s="10"/>
      <c r="K109" s="10"/>
      <c r="L109" s="10"/>
      <c r="M109" s="10"/>
      <c r="N109" s="10"/>
      <c r="O109" s="10"/>
    </row>
    <row r="110" spans="1:15">
      <c r="A110" s="10"/>
      <c r="B110" s="10"/>
      <c r="C110" s="10"/>
      <c r="D110" s="10"/>
      <c r="E110" s="10"/>
      <c r="F110" s="10"/>
      <c r="G110" s="10"/>
      <c r="H110" s="10"/>
      <c r="I110" s="10"/>
      <c r="J110" s="10"/>
      <c r="K110" s="10"/>
      <c r="L110" s="10"/>
      <c r="M110" s="10"/>
      <c r="N110" s="10"/>
      <c r="O110" s="10"/>
    </row>
    <row r="111" spans="1:15">
      <c r="A111" s="10"/>
      <c r="B111" s="10"/>
      <c r="C111" s="10"/>
      <c r="D111" s="10"/>
      <c r="E111" s="10"/>
      <c r="F111" s="10"/>
      <c r="G111" s="10"/>
      <c r="H111" s="10"/>
      <c r="I111" s="10"/>
      <c r="J111" s="10"/>
      <c r="K111" s="10"/>
      <c r="L111" s="10"/>
      <c r="M111" s="10"/>
      <c r="N111" s="10"/>
      <c r="O111" s="10"/>
    </row>
    <row r="112" spans="1:15">
      <c r="A112" s="10"/>
      <c r="B112" s="18" t="s">
        <v>1570</v>
      </c>
      <c r="C112" s="10"/>
      <c r="D112" s="10"/>
      <c r="E112" s="10"/>
      <c r="F112" s="10"/>
      <c r="G112" s="10"/>
      <c r="H112" s="10"/>
      <c r="I112" s="10"/>
      <c r="J112" s="10"/>
      <c r="K112" s="10"/>
      <c r="L112" s="10"/>
      <c r="M112" s="10"/>
      <c r="N112" s="10"/>
      <c r="O112" s="10"/>
    </row>
    <row r="113" spans="1:15">
      <c r="A113" s="10"/>
      <c r="B113" s="10"/>
      <c r="C113" s="10"/>
      <c r="D113" s="10"/>
      <c r="E113" s="10"/>
      <c r="F113" s="10"/>
      <c r="G113" s="10"/>
      <c r="H113" s="10"/>
      <c r="I113" s="10"/>
      <c r="J113" s="10"/>
      <c r="K113" s="10"/>
      <c r="L113" s="10"/>
      <c r="M113" s="10"/>
      <c r="N113" s="10"/>
      <c r="O113" s="10"/>
    </row>
    <row r="114" spans="1:15">
      <c r="A114" s="10"/>
      <c r="B114" s="273" t="s">
        <v>1571</v>
      </c>
      <c r="C114" s="273"/>
      <c r="D114" s="273"/>
      <c r="E114" s="273"/>
      <c r="F114" s="273"/>
      <c r="G114" s="273"/>
      <c r="H114" s="273"/>
      <c r="I114" s="273"/>
      <c r="J114" s="273"/>
      <c r="K114" s="273"/>
      <c r="L114" s="10"/>
      <c r="M114" s="10"/>
      <c r="N114" s="10"/>
      <c r="O114" s="10"/>
    </row>
    <row r="115" spans="1:15">
      <c r="A115" s="10"/>
      <c r="B115" s="10"/>
      <c r="C115" s="10"/>
      <c r="D115" s="10"/>
      <c r="E115" s="10"/>
      <c r="F115" s="10"/>
      <c r="G115" s="10"/>
      <c r="H115" s="10"/>
      <c r="I115" s="10"/>
      <c r="J115" s="10"/>
      <c r="K115" s="10"/>
      <c r="L115" s="10"/>
      <c r="M115" s="10"/>
      <c r="N115" s="10"/>
      <c r="O115" s="10"/>
    </row>
    <row r="116" spans="1:15">
      <c r="A116" s="10"/>
      <c r="B116" s="12" t="s">
        <v>1572</v>
      </c>
      <c r="C116" s="10"/>
      <c r="D116" s="10"/>
      <c r="E116" s="10"/>
      <c r="F116" s="10"/>
      <c r="G116" s="10"/>
      <c r="H116" s="10"/>
      <c r="I116" s="10"/>
      <c r="J116" s="10"/>
      <c r="K116" s="10"/>
      <c r="L116" s="10"/>
      <c r="M116" s="10"/>
      <c r="N116" s="10"/>
      <c r="O116" s="10"/>
    </row>
    <row r="117" spans="1:15">
      <c r="A117" s="10"/>
      <c r="B117" s="10"/>
      <c r="C117" s="10"/>
      <c r="D117" s="10"/>
      <c r="E117" s="10"/>
      <c r="F117" s="10"/>
      <c r="G117" s="10"/>
      <c r="H117" s="10"/>
      <c r="I117" s="10"/>
      <c r="J117" s="10"/>
      <c r="K117" s="10"/>
      <c r="L117" s="10"/>
      <c r="M117" s="10"/>
      <c r="N117" s="10"/>
      <c r="O117" s="10"/>
    </row>
    <row r="118" spans="1:15">
      <c r="A118" s="10"/>
      <c r="B118" s="10"/>
      <c r="C118" s="10"/>
      <c r="D118" s="10"/>
      <c r="E118" s="10"/>
      <c r="F118" s="10"/>
      <c r="G118" s="10"/>
      <c r="H118" s="10"/>
      <c r="I118" s="10"/>
      <c r="J118" s="10"/>
      <c r="K118" s="10"/>
      <c r="L118" s="10"/>
      <c r="M118" s="10"/>
      <c r="N118" s="10"/>
      <c r="O118" s="10"/>
    </row>
    <row r="119" spans="1:15">
      <c r="A119" s="10"/>
      <c r="B119" s="10"/>
      <c r="C119" s="10"/>
      <c r="D119" s="10"/>
      <c r="E119" s="10"/>
      <c r="F119" s="10"/>
      <c r="G119" s="10"/>
      <c r="H119" s="10"/>
      <c r="I119" s="10"/>
      <c r="J119" s="10"/>
      <c r="K119" s="10"/>
      <c r="L119" s="10"/>
      <c r="M119" s="10"/>
      <c r="N119" s="10"/>
      <c r="O119" s="10"/>
    </row>
    <row r="120" spans="1:15">
      <c r="A120" s="10"/>
      <c r="B120" s="10"/>
      <c r="C120" s="10"/>
      <c r="D120" s="10"/>
      <c r="E120" s="10"/>
      <c r="F120" s="10"/>
      <c r="G120" s="10"/>
      <c r="H120" s="10"/>
      <c r="I120" s="10"/>
      <c r="J120" s="10"/>
      <c r="K120" s="10"/>
      <c r="L120" s="10"/>
      <c r="M120" s="10"/>
      <c r="N120" s="10"/>
      <c r="O120" s="10"/>
    </row>
    <row r="121" spans="1:15">
      <c r="A121" s="10"/>
      <c r="B121" s="10"/>
      <c r="C121" s="10"/>
      <c r="D121" s="10"/>
      <c r="E121" s="10"/>
      <c r="F121" s="10"/>
      <c r="G121" s="10"/>
      <c r="H121" s="10"/>
      <c r="I121" s="10"/>
      <c r="J121" s="10"/>
      <c r="K121" s="10"/>
      <c r="L121" s="10"/>
      <c r="M121" s="10"/>
      <c r="N121" s="10"/>
      <c r="O121" s="10"/>
    </row>
    <row r="122" spans="1:15">
      <c r="A122" s="10"/>
      <c r="B122" s="10"/>
      <c r="C122" s="10"/>
      <c r="D122" s="10"/>
      <c r="E122" s="10"/>
      <c r="F122" s="10"/>
      <c r="G122" s="10"/>
      <c r="H122" s="10"/>
      <c r="I122" s="10"/>
      <c r="J122" s="10"/>
      <c r="K122" s="10"/>
      <c r="L122" s="10"/>
      <c r="M122" s="10"/>
      <c r="N122" s="10"/>
      <c r="O122" s="10"/>
    </row>
    <row r="123" spans="1:15">
      <c r="A123" s="10"/>
      <c r="B123" s="10"/>
      <c r="C123" s="10"/>
      <c r="D123" s="10"/>
      <c r="E123" s="10"/>
      <c r="F123" s="10"/>
      <c r="G123" s="10"/>
      <c r="H123" s="10"/>
      <c r="I123" s="10"/>
      <c r="J123" s="10"/>
      <c r="K123" s="10"/>
      <c r="L123" s="10"/>
      <c r="M123" s="10"/>
      <c r="N123" s="10"/>
      <c r="O123" s="10"/>
    </row>
    <row r="124" spans="1:15">
      <c r="A124" s="10"/>
      <c r="B124" s="10"/>
      <c r="C124" s="10"/>
      <c r="D124" s="10"/>
      <c r="E124" s="10"/>
      <c r="F124" s="10"/>
      <c r="G124" s="10"/>
      <c r="H124" s="10"/>
      <c r="I124" s="10"/>
      <c r="J124" s="10"/>
      <c r="K124" s="10"/>
      <c r="L124" s="10"/>
      <c r="M124" s="10"/>
      <c r="N124" s="10"/>
      <c r="O124" s="10"/>
    </row>
    <row r="125" spans="1:15">
      <c r="A125" s="10"/>
      <c r="B125" s="10"/>
      <c r="C125" s="10"/>
      <c r="D125" s="10"/>
      <c r="E125" s="10"/>
      <c r="F125" s="10"/>
      <c r="G125" s="10"/>
      <c r="H125" s="10"/>
      <c r="I125" s="10"/>
      <c r="J125" s="10"/>
      <c r="K125" s="10"/>
      <c r="L125" s="10"/>
      <c r="M125" s="10"/>
      <c r="N125" s="10"/>
      <c r="O125" s="10"/>
    </row>
    <row r="126" spans="1:15">
      <c r="A126" s="10"/>
      <c r="B126" s="10"/>
      <c r="C126" s="10"/>
      <c r="D126" s="10"/>
      <c r="E126" s="10"/>
      <c r="F126" s="10"/>
      <c r="G126" s="10"/>
      <c r="H126" s="10"/>
      <c r="I126" s="10"/>
      <c r="J126" s="10"/>
      <c r="K126" s="10"/>
      <c r="L126" s="10"/>
      <c r="M126" s="10"/>
      <c r="N126" s="10"/>
      <c r="O126" s="10"/>
    </row>
    <row r="127" spans="1:15">
      <c r="A127" s="10"/>
      <c r="B127" s="10"/>
      <c r="C127" s="10"/>
      <c r="D127" s="10"/>
      <c r="E127" s="10"/>
      <c r="F127" s="10"/>
      <c r="G127" s="10"/>
      <c r="H127" s="10"/>
      <c r="I127" s="10"/>
      <c r="J127" s="10"/>
      <c r="K127" s="10"/>
      <c r="L127" s="10"/>
      <c r="M127" s="10"/>
      <c r="N127" s="10"/>
      <c r="O127" s="10"/>
    </row>
    <row r="128" spans="1:15">
      <c r="A128" s="10"/>
      <c r="B128" s="10"/>
      <c r="C128" s="10"/>
      <c r="D128" s="10"/>
      <c r="E128" s="10"/>
      <c r="F128" s="10"/>
      <c r="G128" s="10"/>
      <c r="H128" s="10"/>
      <c r="I128" s="10"/>
      <c r="J128" s="10"/>
      <c r="K128" s="10"/>
      <c r="L128" s="10"/>
      <c r="M128" s="10"/>
      <c r="N128" s="10"/>
      <c r="O128" s="10"/>
    </row>
    <row r="129" spans="1:15">
      <c r="A129" s="10"/>
      <c r="B129" s="10"/>
      <c r="C129" s="10"/>
      <c r="D129" s="10"/>
      <c r="E129" s="10"/>
      <c r="F129" s="10"/>
      <c r="G129" s="10"/>
      <c r="H129" s="10"/>
      <c r="I129" s="10"/>
      <c r="J129" s="10"/>
      <c r="K129" s="10"/>
      <c r="L129" s="10"/>
      <c r="M129" s="10"/>
      <c r="N129" s="10"/>
      <c r="O129" s="10"/>
    </row>
    <row r="130" spans="1:15">
      <c r="A130" s="10"/>
      <c r="B130" s="10"/>
      <c r="C130" s="10"/>
      <c r="D130" s="10"/>
      <c r="E130" s="10"/>
      <c r="F130" s="10"/>
      <c r="G130" s="10"/>
      <c r="H130" s="10"/>
      <c r="I130" s="10"/>
      <c r="J130" s="10"/>
      <c r="K130" s="10"/>
      <c r="L130" s="10"/>
      <c r="M130" s="10"/>
      <c r="N130" s="10"/>
      <c r="O130" s="10"/>
    </row>
    <row r="131" spans="1:15">
      <c r="A131" s="10"/>
      <c r="B131" s="10"/>
      <c r="C131" s="10"/>
      <c r="D131" s="10"/>
      <c r="E131" s="10"/>
      <c r="F131" s="10"/>
      <c r="G131" s="10"/>
      <c r="H131" s="10"/>
      <c r="I131" s="10"/>
      <c r="J131" s="10"/>
      <c r="K131" s="10"/>
      <c r="L131" s="10"/>
      <c r="M131" s="10"/>
      <c r="N131" s="10"/>
      <c r="O131" s="10"/>
    </row>
    <row r="132" spans="1:15">
      <c r="A132" s="10"/>
      <c r="B132" s="10"/>
      <c r="C132" s="10"/>
      <c r="D132" s="10"/>
      <c r="E132" s="10"/>
      <c r="F132" s="10"/>
      <c r="G132" s="10"/>
      <c r="H132" s="10"/>
      <c r="I132" s="10"/>
      <c r="J132" s="10"/>
      <c r="K132" s="10"/>
      <c r="L132" s="10"/>
      <c r="M132" s="10"/>
      <c r="N132" s="10"/>
      <c r="O132" s="10"/>
    </row>
    <row r="133" spans="1:15">
      <c r="A133" s="10"/>
      <c r="B133" s="10"/>
      <c r="C133" s="10"/>
      <c r="D133" s="10"/>
      <c r="E133" s="10"/>
      <c r="F133" s="10"/>
      <c r="G133" s="10"/>
      <c r="H133" s="10"/>
      <c r="I133" s="10"/>
      <c r="J133" s="10"/>
      <c r="K133" s="10"/>
      <c r="L133" s="10"/>
      <c r="M133" s="10"/>
      <c r="N133" s="10"/>
      <c r="O133" s="10"/>
    </row>
    <row r="134" spans="1:15">
      <c r="A134" s="10"/>
      <c r="B134" s="10"/>
      <c r="C134" s="10"/>
      <c r="D134" s="10"/>
      <c r="E134" s="10"/>
      <c r="F134" s="10"/>
      <c r="G134" s="10"/>
      <c r="H134" s="10"/>
      <c r="I134" s="10"/>
      <c r="J134" s="10"/>
      <c r="K134" s="10"/>
      <c r="L134" s="10"/>
      <c r="M134" s="10"/>
      <c r="N134" s="10"/>
      <c r="O134" s="10"/>
    </row>
    <row r="135" spans="1:15">
      <c r="A135" s="10"/>
      <c r="B135" s="10"/>
      <c r="C135" s="10"/>
      <c r="D135" s="10"/>
      <c r="E135" s="10"/>
      <c r="F135" s="10"/>
      <c r="G135" s="10"/>
      <c r="H135" s="10"/>
      <c r="I135" s="10"/>
      <c r="J135" s="10"/>
      <c r="K135" s="10"/>
      <c r="L135" s="10"/>
      <c r="M135" s="10"/>
      <c r="N135" s="10"/>
      <c r="O135" s="10"/>
    </row>
    <row r="136" spans="1:15">
      <c r="A136" s="10"/>
      <c r="B136" s="10"/>
      <c r="C136" s="10"/>
      <c r="D136" s="10"/>
      <c r="E136" s="10"/>
      <c r="F136" s="10"/>
      <c r="G136" s="10"/>
      <c r="H136" s="10"/>
      <c r="I136" s="10"/>
      <c r="J136" s="10"/>
      <c r="K136" s="10"/>
      <c r="L136" s="10"/>
      <c r="M136" s="10"/>
      <c r="N136" s="10"/>
      <c r="O136" s="10"/>
    </row>
    <row r="137" spans="1:15">
      <c r="A137" s="10"/>
      <c r="B137" s="10"/>
      <c r="C137" s="10"/>
      <c r="D137" s="10"/>
      <c r="E137" s="10"/>
      <c r="F137" s="10"/>
      <c r="G137" s="10"/>
      <c r="H137" s="10"/>
      <c r="I137" s="10"/>
      <c r="J137" s="10"/>
      <c r="K137" s="10"/>
      <c r="L137" s="10"/>
      <c r="M137" s="10"/>
      <c r="N137" s="10"/>
      <c r="O137" s="10"/>
    </row>
    <row r="138" spans="1:15">
      <c r="A138" s="10"/>
      <c r="B138" s="10"/>
      <c r="C138" s="10"/>
      <c r="D138" s="10"/>
      <c r="E138" s="10"/>
      <c r="F138" s="10"/>
      <c r="G138" s="10"/>
      <c r="H138" s="10"/>
      <c r="I138" s="10"/>
      <c r="J138" s="10"/>
      <c r="K138" s="10"/>
      <c r="L138" s="10"/>
      <c r="M138" s="10"/>
      <c r="N138" s="10"/>
      <c r="O138" s="10"/>
    </row>
    <row r="139" spans="1:15">
      <c r="A139" s="10"/>
      <c r="B139" s="10"/>
      <c r="C139" s="10"/>
      <c r="D139" s="10"/>
      <c r="E139" s="10"/>
      <c r="F139" s="10"/>
      <c r="G139" s="10"/>
      <c r="H139" s="10"/>
      <c r="I139" s="10"/>
      <c r="J139" s="10"/>
      <c r="K139" s="10"/>
      <c r="L139" s="10"/>
      <c r="M139" s="10"/>
      <c r="N139" s="10"/>
      <c r="O139" s="10"/>
    </row>
    <row r="140" spans="1:15">
      <c r="A140" s="10"/>
      <c r="B140" s="10"/>
      <c r="C140" s="10"/>
      <c r="D140" s="10"/>
      <c r="E140" s="10"/>
      <c r="F140" s="10"/>
      <c r="G140" s="10"/>
      <c r="H140" s="10"/>
      <c r="I140" s="10"/>
      <c r="J140" s="10"/>
      <c r="K140" s="10"/>
      <c r="L140" s="10"/>
      <c r="M140" s="10"/>
      <c r="N140" s="10"/>
      <c r="O140" s="10"/>
    </row>
    <row r="141" spans="1:15">
      <c r="A141" s="10"/>
      <c r="B141" s="10"/>
      <c r="C141" s="10"/>
      <c r="D141" s="10"/>
      <c r="E141" s="10"/>
      <c r="F141" s="10"/>
      <c r="G141" s="10"/>
      <c r="H141" s="10"/>
      <c r="I141" s="10"/>
      <c r="J141" s="10"/>
      <c r="K141" s="10"/>
      <c r="L141" s="10"/>
      <c r="M141" s="10"/>
      <c r="N141" s="10"/>
      <c r="O141" s="10"/>
    </row>
    <row r="142" spans="1:15">
      <c r="A142" s="10"/>
      <c r="B142" s="10"/>
      <c r="C142" s="10"/>
      <c r="D142" s="10"/>
      <c r="E142" s="10"/>
      <c r="F142" s="10"/>
      <c r="G142" s="10"/>
      <c r="H142" s="10"/>
      <c r="I142" s="10"/>
      <c r="J142" s="10"/>
      <c r="K142" s="10"/>
      <c r="L142" s="10"/>
      <c r="M142" s="10"/>
      <c r="N142" s="10"/>
      <c r="O142" s="10"/>
    </row>
    <row r="143" spans="1:15">
      <c r="A143" s="10"/>
      <c r="B143" s="10"/>
      <c r="C143" s="10"/>
      <c r="D143" s="10"/>
      <c r="E143" s="10"/>
      <c r="F143" s="10"/>
      <c r="G143" s="10"/>
      <c r="H143" s="10"/>
      <c r="I143" s="10"/>
      <c r="J143" s="10"/>
      <c r="K143" s="10"/>
      <c r="L143" s="10"/>
      <c r="M143" s="10"/>
      <c r="N143" s="10"/>
      <c r="O143" s="10"/>
    </row>
    <row r="144" spans="1:15">
      <c r="A144" s="10"/>
      <c r="B144" s="10"/>
      <c r="C144" s="10"/>
      <c r="D144" s="10"/>
      <c r="E144" s="10"/>
      <c r="F144" s="10"/>
      <c r="G144" s="10"/>
      <c r="H144" s="10"/>
      <c r="I144" s="10"/>
      <c r="J144" s="10"/>
      <c r="K144" s="10"/>
      <c r="L144" s="10"/>
      <c r="M144" s="10"/>
      <c r="N144" s="10"/>
      <c r="O144" s="10"/>
    </row>
    <row r="145" spans="1:15">
      <c r="A145" s="10"/>
      <c r="B145" s="10"/>
      <c r="C145" s="10"/>
      <c r="D145" s="10"/>
      <c r="E145" s="10"/>
      <c r="F145" s="10"/>
      <c r="G145" s="10"/>
      <c r="H145" s="10"/>
      <c r="I145" s="10"/>
      <c r="J145" s="10"/>
      <c r="K145" s="10"/>
      <c r="L145" s="10"/>
      <c r="M145" s="10"/>
      <c r="N145" s="10"/>
      <c r="O145" s="10"/>
    </row>
    <row r="146" spans="1:15">
      <c r="A146" s="10"/>
      <c r="B146" s="10"/>
      <c r="C146" s="10"/>
      <c r="D146" s="10"/>
      <c r="E146" s="10"/>
      <c r="F146" s="10"/>
      <c r="G146" s="10"/>
      <c r="H146" s="10"/>
      <c r="I146" s="10"/>
      <c r="J146" s="10"/>
      <c r="K146" s="10"/>
      <c r="L146" s="10"/>
      <c r="M146" s="10"/>
      <c r="N146" s="10"/>
      <c r="O146" s="10"/>
    </row>
    <row r="147" spans="1:15">
      <c r="A147" s="10"/>
      <c r="B147" s="10"/>
      <c r="C147" s="10"/>
      <c r="D147" s="10"/>
      <c r="E147" s="10"/>
      <c r="F147" s="10"/>
      <c r="G147" s="10"/>
      <c r="H147" s="10"/>
      <c r="I147" s="10"/>
      <c r="J147" s="10"/>
      <c r="K147" s="10"/>
      <c r="L147" s="10"/>
      <c r="M147" s="10"/>
      <c r="N147" s="10"/>
      <c r="O147" s="10"/>
    </row>
    <row r="148" spans="1:15">
      <c r="A148" s="10"/>
      <c r="B148" s="10"/>
      <c r="C148" s="10"/>
      <c r="D148" s="10"/>
      <c r="E148" s="10"/>
      <c r="F148" s="10"/>
      <c r="G148" s="10"/>
      <c r="H148" s="10"/>
      <c r="I148" s="10"/>
      <c r="J148" s="10"/>
      <c r="K148" s="10"/>
      <c r="L148" s="10"/>
      <c r="M148" s="10"/>
      <c r="N148" s="10"/>
      <c r="O148" s="10"/>
    </row>
    <row r="149" spans="1:15">
      <c r="A149" s="10"/>
      <c r="B149" s="10"/>
      <c r="C149" s="10"/>
      <c r="D149" s="10"/>
      <c r="E149" s="10"/>
      <c r="F149" s="10"/>
      <c r="G149" s="10"/>
      <c r="H149" s="10"/>
      <c r="I149" s="10"/>
      <c r="J149" s="10"/>
      <c r="K149" s="10"/>
      <c r="L149" s="10"/>
      <c r="M149" s="10"/>
      <c r="N149" s="10"/>
      <c r="O149" s="10"/>
    </row>
    <row r="150" spans="1:15">
      <c r="A150" s="10"/>
      <c r="B150" s="10"/>
      <c r="C150" s="10"/>
      <c r="D150" s="10"/>
      <c r="E150" s="10"/>
      <c r="F150" s="10"/>
      <c r="G150" s="10"/>
      <c r="H150" s="10"/>
      <c r="I150" s="10"/>
      <c r="J150" s="10"/>
      <c r="K150" s="10"/>
      <c r="L150" s="10"/>
      <c r="M150" s="10"/>
      <c r="N150" s="10"/>
      <c r="O150" s="10"/>
    </row>
    <row r="151" spans="1:15">
      <c r="A151" s="10"/>
      <c r="B151" s="10"/>
      <c r="C151" s="10"/>
      <c r="D151" s="10"/>
      <c r="E151" s="10"/>
      <c r="F151" s="10"/>
      <c r="G151" s="10"/>
      <c r="H151" s="10"/>
      <c r="I151" s="10"/>
      <c r="J151" s="10"/>
      <c r="K151" s="10"/>
      <c r="L151" s="10"/>
      <c r="M151" s="10"/>
      <c r="N151" s="10"/>
      <c r="O151" s="10"/>
    </row>
    <row r="152" spans="1:15">
      <c r="A152" s="10"/>
      <c r="B152" s="10"/>
      <c r="C152" s="10"/>
      <c r="D152" s="10"/>
      <c r="E152" s="10"/>
      <c r="F152" s="10"/>
      <c r="G152" s="10"/>
      <c r="H152" s="10"/>
      <c r="I152" s="10"/>
      <c r="J152" s="10"/>
      <c r="K152" s="10"/>
      <c r="L152" s="10"/>
      <c r="M152" s="10"/>
      <c r="N152" s="10"/>
      <c r="O152" s="10"/>
    </row>
    <row r="153" spans="1:15">
      <c r="A153" s="10"/>
      <c r="B153" s="10"/>
      <c r="C153" s="10"/>
      <c r="D153" s="10"/>
      <c r="E153" s="10"/>
      <c r="F153" s="10"/>
      <c r="G153" s="10"/>
      <c r="H153" s="10"/>
      <c r="I153" s="10"/>
      <c r="J153" s="10"/>
      <c r="K153" s="10"/>
      <c r="L153" s="10"/>
      <c r="M153" s="10"/>
      <c r="N153" s="10"/>
      <c r="O153" s="10"/>
    </row>
    <row r="154" spans="1:15">
      <c r="A154" s="10"/>
      <c r="B154" s="10"/>
      <c r="C154" s="10"/>
      <c r="D154" s="10"/>
      <c r="E154" s="10"/>
      <c r="F154" s="10"/>
      <c r="G154" s="10"/>
      <c r="H154" s="10"/>
      <c r="I154" s="10"/>
      <c r="J154" s="10"/>
      <c r="K154" s="10"/>
      <c r="L154" s="10"/>
      <c r="M154" s="10"/>
      <c r="N154" s="10"/>
      <c r="O154" s="10"/>
    </row>
    <row r="155" spans="1:15">
      <c r="A155" s="10"/>
      <c r="B155" s="10"/>
      <c r="C155" s="10"/>
      <c r="D155" s="10"/>
      <c r="E155" s="10"/>
      <c r="F155" s="10"/>
      <c r="G155" s="10"/>
      <c r="H155" s="10"/>
      <c r="I155" s="10"/>
      <c r="J155" s="10"/>
      <c r="K155" s="10"/>
      <c r="L155" s="10"/>
      <c r="M155" s="10"/>
      <c r="N155" s="10"/>
      <c r="O155" s="10"/>
    </row>
    <row r="156" spans="1:15">
      <c r="A156" s="10"/>
      <c r="B156" s="10"/>
      <c r="C156" s="10"/>
      <c r="D156" s="10"/>
      <c r="E156" s="10"/>
      <c r="F156" s="10"/>
      <c r="G156" s="10"/>
      <c r="H156" s="10"/>
      <c r="I156" s="10"/>
      <c r="J156" s="10"/>
      <c r="K156" s="10"/>
      <c r="L156" s="10"/>
      <c r="M156" s="10"/>
      <c r="N156" s="10"/>
      <c r="O156" s="10"/>
    </row>
    <row r="157" spans="1:15">
      <c r="A157" s="10"/>
      <c r="B157" s="14" t="s">
        <v>1573</v>
      </c>
      <c r="C157" s="10"/>
      <c r="D157" s="10"/>
      <c r="E157" s="10"/>
      <c r="F157" s="10"/>
      <c r="G157" s="10"/>
      <c r="H157" s="10"/>
      <c r="I157" s="10"/>
      <c r="J157" s="10"/>
      <c r="K157" s="10"/>
      <c r="L157" s="10"/>
      <c r="M157" s="10"/>
      <c r="N157" s="10"/>
      <c r="O157" s="10"/>
    </row>
    <row r="158" spans="1:15">
      <c r="A158" s="10"/>
      <c r="B158" s="10"/>
      <c r="C158" s="10"/>
      <c r="D158" s="10"/>
      <c r="E158" s="10"/>
      <c r="F158" s="10"/>
      <c r="G158" s="10"/>
      <c r="H158" s="10"/>
      <c r="I158" s="10"/>
      <c r="J158" s="10"/>
      <c r="K158" s="10"/>
      <c r="L158" s="10"/>
      <c r="M158" s="10"/>
      <c r="N158" s="10"/>
      <c r="O158" s="10"/>
    </row>
    <row r="159" spans="1:15" ht="25.5" customHeight="1">
      <c r="A159" s="10"/>
      <c r="B159" s="273" t="s">
        <v>1574</v>
      </c>
      <c r="C159" s="273"/>
      <c r="D159" s="273"/>
      <c r="E159" s="273"/>
      <c r="F159" s="273"/>
      <c r="G159" s="273"/>
      <c r="H159" s="273"/>
      <c r="I159" s="273"/>
      <c r="J159" s="273"/>
      <c r="K159" s="273"/>
      <c r="L159" s="10"/>
      <c r="M159" s="10"/>
      <c r="N159" s="10"/>
      <c r="O159" s="10"/>
    </row>
    <row r="160" spans="1:15">
      <c r="A160" s="10"/>
      <c r="B160" s="10"/>
      <c r="C160" s="10"/>
      <c r="D160" s="10"/>
      <c r="E160" s="10"/>
      <c r="F160" s="10"/>
      <c r="G160" s="10"/>
      <c r="H160" s="10"/>
      <c r="I160" s="10"/>
      <c r="J160" s="10"/>
      <c r="K160" s="10"/>
      <c r="L160" s="10"/>
      <c r="M160" s="10"/>
      <c r="N160" s="10"/>
      <c r="O160" s="10"/>
    </row>
    <row r="161" spans="1:15">
      <c r="A161" s="10"/>
      <c r="B161" s="12" t="s">
        <v>1575</v>
      </c>
      <c r="C161" s="10"/>
      <c r="D161" s="10"/>
      <c r="E161" s="10"/>
      <c r="F161" s="10"/>
      <c r="G161" s="10"/>
      <c r="H161" s="10"/>
      <c r="I161" s="10"/>
      <c r="J161" s="10"/>
      <c r="K161" s="10"/>
      <c r="L161" s="10"/>
      <c r="M161" s="10"/>
      <c r="N161" s="10"/>
      <c r="O161" s="10"/>
    </row>
    <row r="162" spans="1:15">
      <c r="A162" s="10"/>
      <c r="B162" s="10"/>
      <c r="C162" s="10"/>
      <c r="D162" s="10"/>
      <c r="E162" s="10"/>
      <c r="F162" s="10"/>
      <c r="G162" s="10"/>
      <c r="H162" s="10"/>
      <c r="I162" s="10"/>
      <c r="J162" s="10"/>
      <c r="K162" s="10"/>
      <c r="L162" s="10"/>
      <c r="M162" s="10"/>
      <c r="N162" s="10"/>
      <c r="O162" s="10"/>
    </row>
    <row r="163" spans="1:15">
      <c r="A163" s="10"/>
      <c r="B163" s="10"/>
      <c r="C163" s="10"/>
      <c r="D163" s="10"/>
      <c r="E163" s="10"/>
      <c r="F163" s="10"/>
      <c r="G163" s="10"/>
      <c r="H163" s="10"/>
      <c r="I163" s="10"/>
      <c r="J163" s="10"/>
      <c r="K163" s="10"/>
      <c r="L163" s="10"/>
      <c r="M163" s="10"/>
      <c r="N163" s="10"/>
      <c r="O163" s="10"/>
    </row>
    <row r="164" spans="1:15">
      <c r="A164" s="10"/>
      <c r="B164" s="10"/>
      <c r="C164" s="10"/>
      <c r="D164" s="10"/>
      <c r="E164" s="10"/>
      <c r="F164" s="10"/>
      <c r="G164" s="10"/>
      <c r="H164" s="10"/>
      <c r="I164" s="10"/>
      <c r="J164" s="10"/>
      <c r="K164" s="10"/>
      <c r="L164" s="10"/>
      <c r="M164" s="10"/>
      <c r="N164" s="10"/>
      <c r="O164" s="10"/>
    </row>
    <row r="165" spans="1:15">
      <c r="A165" s="10"/>
      <c r="B165" s="10"/>
      <c r="C165" s="10"/>
      <c r="D165" s="10"/>
      <c r="E165" s="10"/>
      <c r="F165" s="10"/>
      <c r="G165" s="10"/>
      <c r="H165" s="10"/>
      <c r="I165" s="10"/>
      <c r="J165" s="10"/>
      <c r="K165" s="10"/>
      <c r="L165" s="10"/>
      <c r="M165" s="10"/>
      <c r="N165" s="10"/>
      <c r="O165" s="10"/>
    </row>
    <row r="166" spans="1:15">
      <c r="A166" s="10"/>
      <c r="B166" s="10"/>
      <c r="C166" s="10"/>
      <c r="D166" s="10"/>
      <c r="E166" s="10"/>
      <c r="F166" s="10"/>
      <c r="G166" s="10"/>
      <c r="H166" s="10"/>
      <c r="I166" s="10"/>
      <c r="J166" s="10"/>
      <c r="K166" s="10"/>
      <c r="L166" s="10"/>
      <c r="M166" s="10"/>
      <c r="N166" s="10"/>
      <c r="O166" s="10"/>
    </row>
    <row r="167" spans="1:15">
      <c r="A167" s="10"/>
      <c r="B167" s="10"/>
      <c r="C167" s="10"/>
      <c r="D167" s="10"/>
      <c r="E167" s="10"/>
      <c r="F167" s="10"/>
      <c r="G167" s="10"/>
      <c r="H167" s="10"/>
      <c r="I167" s="10"/>
      <c r="J167" s="10"/>
      <c r="K167" s="10"/>
      <c r="L167" s="10"/>
      <c r="M167" s="10"/>
      <c r="N167" s="10"/>
      <c r="O167" s="10"/>
    </row>
    <row r="168" spans="1:15">
      <c r="A168" s="10"/>
      <c r="B168" s="10"/>
      <c r="C168" s="10"/>
      <c r="D168" s="10"/>
      <c r="E168" s="10"/>
      <c r="F168" s="10"/>
      <c r="G168" s="10"/>
      <c r="H168" s="10"/>
      <c r="I168" s="10"/>
      <c r="J168" s="10"/>
      <c r="K168" s="10"/>
      <c r="L168" s="10"/>
      <c r="M168" s="10"/>
      <c r="N168" s="10"/>
      <c r="O168" s="10"/>
    </row>
    <row r="169" spans="1:15">
      <c r="A169" s="10"/>
      <c r="B169" s="10"/>
      <c r="C169" s="10"/>
      <c r="D169" s="10"/>
      <c r="E169" s="10"/>
      <c r="F169" s="10"/>
      <c r="G169" s="10"/>
      <c r="H169" s="10"/>
      <c r="I169" s="10"/>
      <c r="J169" s="10"/>
      <c r="K169" s="10"/>
      <c r="L169" s="10"/>
      <c r="M169" s="10"/>
      <c r="N169" s="10"/>
      <c r="O169" s="10"/>
    </row>
    <row r="170" spans="1:15">
      <c r="A170" s="10"/>
      <c r="B170" s="10"/>
      <c r="C170" s="10"/>
      <c r="D170" s="10"/>
      <c r="E170" s="10"/>
      <c r="F170" s="10"/>
      <c r="G170" s="10"/>
      <c r="H170" s="10"/>
      <c r="I170" s="10"/>
      <c r="J170" s="10"/>
      <c r="K170" s="10"/>
      <c r="L170" s="10"/>
      <c r="M170" s="10"/>
      <c r="N170" s="10"/>
      <c r="O170" s="10"/>
    </row>
    <row r="171" spans="1:15">
      <c r="A171" s="10"/>
      <c r="B171" s="10"/>
      <c r="C171" s="10"/>
      <c r="D171" s="10"/>
      <c r="E171" s="10"/>
      <c r="F171" s="10"/>
      <c r="G171" s="10"/>
      <c r="H171" s="10"/>
      <c r="I171" s="10"/>
      <c r="J171" s="10"/>
      <c r="K171" s="10"/>
      <c r="L171" s="10"/>
      <c r="M171" s="10"/>
      <c r="N171" s="10"/>
      <c r="O171" s="10"/>
    </row>
    <row r="172" spans="1:15">
      <c r="A172" s="10"/>
      <c r="B172" s="10"/>
      <c r="C172" s="10"/>
      <c r="D172" s="10"/>
      <c r="E172" s="10"/>
      <c r="F172" s="10"/>
      <c r="G172" s="10"/>
      <c r="H172" s="10"/>
      <c r="I172" s="10"/>
      <c r="J172" s="10"/>
      <c r="K172" s="10"/>
      <c r="L172" s="10"/>
      <c r="M172" s="10"/>
      <c r="N172" s="10"/>
      <c r="O172" s="10"/>
    </row>
    <row r="173" spans="1:15">
      <c r="A173" s="10"/>
      <c r="B173" s="10"/>
      <c r="C173" s="10"/>
      <c r="D173" s="10"/>
      <c r="E173" s="10"/>
      <c r="F173" s="10"/>
      <c r="G173" s="10"/>
      <c r="H173" s="10"/>
      <c r="I173" s="10"/>
      <c r="J173" s="10"/>
      <c r="K173" s="10"/>
      <c r="L173" s="10"/>
      <c r="M173" s="10"/>
      <c r="N173" s="10"/>
      <c r="O173" s="10"/>
    </row>
    <row r="174" spans="1:15">
      <c r="A174" s="10"/>
      <c r="B174" s="10"/>
      <c r="C174" s="10"/>
      <c r="D174" s="10"/>
      <c r="E174" s="10"/>
      <c r="F174" s="10"/>
      <c r="G174" s="10"/>
      <c r="H174" s="10"/>
      <c r="I174" s="10"/>
      <c r="J174" s="10"/>
      <c r="K174" s="10"/>
      <c r="L174" s="10"/>
      <c r="M174" s="10"/>
      <c r="N174" s="10"/>
      <c r="O174" s="10"/>
    </row>
    <row r="175" spans="1:15">
      <c r="A175" s="10"/>
      <c r="B175" s="10"/>
      <c r="C175" s="10"/>
      <c r="D175" s="10"/>
      <c r="E175" s="10"/>
      <c r="F175" s="10"/>
      <c r="G175" s="10"/>
      <c r="H175" s="10"/>
      <c r="I175" s="10"/>
      <c r="J175" s="10"/>
      <c r="K175" s="10"/>
      <c r="L175" s="10"/>
      <c r="M175" s="10"/>
      <c r="N175" s="10"/>
      <c r="O175" s="10"/>
    </row>
    <row r="176" spans="1:15">
      <c r="A176" s="10"/>
      <c r="B176" s="10"/>
      <c r="C176" s="10"/>
      <c r="D176" s="10"/>
      <c r="E176" s="10"/>
      <c r="F176" s="10"/>
      <c r="G176" s="10"/>
      <c r="H176" s="10"/>
      <c r="I176" s="10"/>
      <c r="J176" s="10"/>
      <c r="K176" s="10"/>
      <c r="L176" s="10"/>
      <c r="M176" s="10"/>
      <c r="N176" s="10"/>
      <c r="O176" s="10"/>
    </row>
    <row r="177" spans="1:15">
      <c r="A177" s="10"/>
      <c r="B177" s="10"/>
      <c r="C177" s="10"/>
      <c r="D177" s="10"/>
      <c r="E177" s="10"/>
      <c r="F177" s="10"/>
      <c r="G177" s="10"/>
      <c r="H177" s="10"/>
      <c r="I177" s="10"/>
      <c r="J177" s="10"/>
      <c r="K177" s="10"/>
      <c r="L177" s="10"/>
      <c r="M177" s="10"/>
      <c r="N177" s="10"/>
      <c r="O177" s="10"/>
    </row>
    <row r="178" spans="1:15">
      <c r="A178" s="10"/>
      <c r="B178" s="10"/>
      <c r="C178" s="10"/>
      <c r="D178" s="10"/>
      <c r="E178" s="10"/>
      <c r="F178" s="10"/>
      <c r="G178" s="10"/>
      <c r="H178" s="10"/>
      <c r="I178" s="10"/>
      <c r="J178" s="10"/>
      <c r="K178" s="10"/>
      <c r="L178" s="10"/>
      <c r="M178" s="10"/>
      <c r="N178" s="10"/>
      <c r="O178" s="10"/>
    </row>
    <row r="179" spans="1:15">
      <c r="A179" s="10"/>
      <c r="B179" s="10"/>
      <c r="C179" s="10"/>
      <c r="D179" s="10"/>
      <c r="E179" s="10"/>
      <c r="F179" s="10"/>
      <c r="G179" s="10"/>
      <c r="H179" s="10"/>
      <c r="I179" s="10"/>
      <c r="J179" s="10"/>
      <c r="K179" s="10"/>
      <c r="L179" s="10"/>
      <c r="M179" s="10"/>
      <c r="N179" s="10"/>
      <c r="O179" s="10"/>
    </row>
    <row r="180" spans="1:15">
      <c r="A180" s="10"/>
      <c r="B180" s="10"/>
      <c r="C180" s="10"/>
      <c r="D180" s="10"/>
      <c r="E180" s="10"/>
      <c r="F180" s="10"/>
      <c r="G180" s="10"/>
      <c r="H180" s="10"/>
      <c r="I180" s="10"/>
      <c r="J180" s="10"/>
      <c r="K180" s="10"/>
      <c r="L180" s="10"/>
      <c r="M180" s="10"/>
      <c r="N180" s="10"/>
      <c r="O180" s="10"/>
    </row>
    <row r="181" spans="1:15">
      <c r="A181" s="10"/>
      <c r="B181" s="10"/>
      <c r="C181" s="10"/>
      <c r="D181" s="10"/>
      <c r="E181" s="10"/>
      <c r="F181" s="10"/>
      <c r="G181" s="10"/>
      <c r="H181" s="10"/>
      <c r="I181" s="10"/>
      <c r="J181" s="10"/>
      <c r="K181" s="10"/>
      <c r="L181" s="10"/>
      <c r="M181" s="10"/>
      <c r="N181" s="10"/>
      <c r="O181" s="10"/>
    </row>
    <row r="182" spans="1:15">
      <c r="A182" s="10"/>
      <c r="B182" s="10"/>
      <c r="C182" s="10"/>
      <c r="D182" s="10"/>
      <c r="E182" s="10"/>
      <c r="F182" s="10"/>
      <c r="G182" s="10"/>
      <c r="H182" s="10"/>
      <c r="I182" s="10"/>
      <c r="J182" s="10"/>
      <c r="K182" s="10"/>
      <c r="L182" s="10"/>
      <c r="M182" s="10"/>
      <c r="N182" s="10"/>
      <c r="O182" s="10"/>
    </row>
    <row r="183" spans="1:15">
      <c r="A183" s="10"/>
      <c r="B183" s="10"/>
      <c r="C183" s="10"/>
      <c r="D183" s="10"/>
      <c r="E183" s="10"/>
      <c r="F183" s="10"/>
      <c r="G183" s="10"/>
      <c r="H183" s="10"/>
      <c r="I183" s="10"/>
      <c r="J183" s="10"/>
      <c r="K183" s="10"/>
      <c r="L183" s="10"/>
      <c r="M183" s="10"/>
      <c r="N183" s="10"/>
      <c r="O183" s="10"/>
    </row>
    <row r="184" spans="1:15">
      <c r="A184" s="10"/>
      <c r="B184" s="10"/>
      <c r="C184" s="10"/>
      <c r="D184" s="10"/>
      <c r="E184" s="10"/>
      <c r="F184" s="10"/>
      <c r="G184" s="10"/>
      <c r="H184" s="10"/>
      <c r="I184" s="10"/>
      <c r="J184" s="10"/>
      <c r="K184" s="10"/>
      <c r="L184" s="10"/>
      <c r="M184" s="10"/>
      <c r="N184" s="10"/>
      <c r="O184" s="10"/>
    </row>
    <row r="185" spans="1:15">
      <c r="A185" s="10"/>
      <c r="B185" s="10"/>
      <c r="C185" s="10"/>
      <c r="D185" s="10"/>
      <c r="E185" s="10"/>
      <c r="F185" s="10"/>
      <c r="G185" s="10"/>
      <c r="H185" s="10"/>
      <c r="I185" s="10"/>
      <c r="J185" s="10"/>
      <c r="K185" s="10"/>
      <c r="L185" s="10"/>
      <c r="M185" s="10"/>
      <c r="N185" s="10"/>
      <c r="O185" s="10"/>
    </row>
    <row r="186" spans="1:15">
      <c r="A186" s="10"/>
      <c r="B186" s="10"/>
      <c r="C186" s="10"/>
      <c r="D186" s="10"/>
      <c r="E186" s="10"/>
      <c r="F186" s="10"/>
      <c r="G186" s="10"/>
      <c r="H186" s="10"/>
      <c r="I186" s="10"/>
      <c r="J186" s="10"/>
      <c r="K186" s="10"/>
      <c r="L186" s="10"/>
      <c r="M186" s="10"/>
      <c r="N186" s="10"/>
      <c r="O186" s="10"/>
    </row>
    <row r="187" spans="1:15">
      <c r="A187" s="10"/>
      <c r="B187" s="10"/>
      <c r="C187" s="10"/>
      <c r="D187" s="10"/>
      <c r="E187" s="10"/>
      <c r="F187" s="10"/>
      <c r="G187" s="10"/>
      <c r="H187" s="10"/>
      <c r="I187" s="10"/>
      <c r="J187" s="10"/>
      <c r="K187" s="10"/>
      <c r="L187" s="10"/>
      <c r="M187" s="10"/>
      <c r="N187" s="10"/>
      <c r="O187" s="10"/>
    </row>
    <row r="188" spans="1:15">
      <c r="A188" s="10"/>
      <c r="B188" s="10"/>
      <c r="C188" s="10"/>
      <c r="D188" s="10"/>
      <c r="E188" s="10"/>
      <c r="F188" s="10"/>
      <c r="G188" s="10"/>
      <c r="H188" s="10"/>
      <c r="I188" s="10"/>
      <c r="J188" s="10"/>
      <c r="K188" s="10"/>
      <c r="L188" s="10"/>
      <c r="M188" s="10"/>
      <c r="N188" s="10"/>
      <c r="O188" s="10"/>
    </row>
    <row r="189" spans="1:15">
      <c r="A189" s="10"/>
      <c r="B189" s="10"/>
      <c r="C189" s="10"/>
      <c r="D189" s="10"/>
      <c r="E189" s="10"/>
      <c r="F189" s="10"/>
      <c r="G189" s="10"/>
      <c r="H189" s="10"/>
      <c r="I189" s="10"/>
      <c r="J189" s="10"/>
      <c r="K189" s="10"/>
      <c r="L189" s="10"/>
      <c r="M189" s="10"/>
      <c r="N189" s="10"/>
      <c r="O189" s="10"/>
    </row>
    <row r="190" spans="1:15">
      <c r="A190" s="10"/>
      <c r="B190" s="10"/>
      <c r="C190" s="10"/>
      <c r="D190" s="10"/>
      <c r="E190" s="10"/>
      <c r="F190" s="10"/>
      <c r="G190" s="10"/>
      <c r="H190" s="10"/>
      <c r="I190" s="10"/>
      <c r="J190" s="10"/>
      <c r="K190" s="10"/>
      <c r="L190" s="10"/>
      <c r="M190" s="10"/>
      <c r="N190" s="10"/>
      <c r="O190" s="10"/>
    </row>
    <row r="191" spans="1:15">
      <c r="A191" s="10"/>
      <c r="B191" s="10"/>
      <c r="C191" s="10"/>
      <c r="D191" s="10"/>
      <c r="E191" s="10"/>
      <c r="F191" s="10"/>
      <c r="G191" s="10"/>
      <c r="H191" s="10"/>
      <c r="I191" s="10"/>
      <c r="J191" s="10"/>
      <c r="K191" s="10"/>
      <c r="L191" s="10"/>
      <c r="M191" s="10"/>
      <c r="N191" s="10"/>
      <c r="O191" s="10"/>
    </row>
    <row r="192" spans="1:15">
      <c r="A192" s="10"/>
      <c r="B192" s="10"/>
      <c r="C192" s="10"/>
      <c r="D192" s="10"/>
      <c r="E192" s="10"/>
      <c r="F192" s="10"/>
      <c r="G192" s="10"/>
      <c r="H192" s="10"/>
      <c r="I192" s="10"/>
      <c r="J192" s="10"/>
      <c r="K192" s="10"/>
      <c r="L192" s="10"/>
      <c r="M192" s="10"/>
      <c r="N192" s="10"/>
      <c r="O192" s="10"/>
    </row>
    <row r="193" spans="1:15">
      <c r="A193" s="10"/>
      <c r="B193" s="10"/>
      <c r="C193" s="10"/>
      <c r="D193" s="10"/>
      <c r="E193" s="10"/>
      <c r="F193" s="10"/>
      <c r="G193" s="10"/>
      <c r="H193" s="10"/>
      <c r="I193" s="10"/>
      <c r="J193" s="10"/>
      <c r="K193" s="10"/>
      <c r="L193" s="10"/>
      <c r="M193" s="10"/>
      <c r="N193" s="10"/>
      <c r="O193" s="10"/>
    </row>
    <row r="194" spans="1:15">
      <c r="A194" s="10"/>
      <c r="B194" s="10"/>
      <c r="C194" s="10"/>
      <c r="D194" s="10"/>
      <c r="E194" s="10"/>
      <c r="F194" s="10"/>
      <c r="G194" s="10"/>
      <c r="H194" s="10"/>
      <c r="I194" s="10"/>
      <c r="J194" s="10"/>
      <c r="K194" s="10"/>
      <c r="L194" s="10"/>
      <c r="M194" s="10"/>
      <c r="N194" s="10"/>
      <c r="O194" s="10"/>
    </row>
    <row r="195" spans="1:15">
      <c r="A195" s="10"/>
      <c r="B195" s="10"/>
      <c r="C195" s="10"/>
      <c r="D195" s="10"/>
      <c r="E195" s="10"/>
      <c r="F195" s="10"/>
      <c r="G195" s="10"/>
      <c r="H195" s="10"/>
      <c r="I195" s="10"/>
      <c r="J195" s="10"/>
      <c r="K195" s="10"/>
      <c r="L195" s="10"/>
      <c r="M195" s="10"/>
      <c r="N195" s="10"/>
      <c r="O195" s="10"/>
    </row>
    <row r="196" spans="1:15">
      <c r="A196" s="10"/>
      <c r="B196" s="10"/>
      <c r="C196" s="10"/>
      <c r="D196" s="10"/>
      <c r="E196" s="10"/>
      <c r="F196" s="10"/>
      <c r="G196" s="10"/>
      <c r="H196" s="10"/>
      <c r="I196" s="10"/>
      <c r="J196" s="10"/>
      <c r="K196" s="10"/>
      <c r="L196" s="10"/>
      <c r="M196" s="10"/>
      <c r="N196" s="10"/>
      <c r="O196" s="10"/>
    </row>
    <row r="197" spans="1:15">
      <c r="A197" s="10"/>
      <c r="B197" s="10"/>
      <c r="C197" s="10"/>
      <c r="D197" s="10"/>
      <c r="E197" s="10"/>
      <c r="F197" s="10"/>
      <c r="G197" s="10"/>
      <c r="H197" s="10"/>
      <c r="I197" s="10"/>
      <c r="J197" s="10"/>
      <c r="K197" s="10"/>
      <c r="L197" s="10"/>
      <c r="M197" s="10"/>
      <c r="N197" s="10"/>
      <c r="O197" s="10"/>
    </row>
    <row r="198" spans="1:15">
      <c r="A198" s="10"/>
      <c r="B198" s="10"/>
      <c r="C198" s="10"/>
      <c r="D198" s="10"/>
      <c r="E198" s="10"/>
      <c r="F198" s="10"/>
      <c r="G198" s="10"/>
      <c r="H198" s="10"/>
      <c r="I198" s="10"/>
      <c r="J198" s="10"/>
      <c r="K198" s="10"/>
      <c r="L198" s="10"/>
      <c r="M198" s="10"/>
      <c r="N198" s="10"/>
      <c r="O198" s="10"/>
    </row>
    <row r="199" spans="1:15">
      <c r="A199" s="10"/>
      <c r="B199" s="10"/>
      <c r="C199" s="10"/>
      <c r="D199" s="10"/>
      <c r="E199" s="10"/>
      <c r="F199" s="10"/>
      <c r="G199" s="10"/>
      <c r="H199" s="10"/>
      <c r="I199" s="10"/>
      <c r="J199" s="10"/>
      <c r="K199" s="10"/>
      <c r="L199" s="10"/>
      <c r="M199" s="10"/>
      <c r="N199" s="10"/>
      <c r="O199" s="10"/>
    </row>
    <row r="200" spans="1:15">
      <c r="A200" s="10"/>
      <c r="B200" s="10"/>
      <c r="C200" s="10"/>
      <c r="D200" s="10"/>
      <c r="E200" s="10"/>
      <c r="F200" s="10"/>
      <c r="G200" s="10"/>
      <c r="H200" s="10"/>
      <c r="I200" s="10"/>
      <c r="J200" s="10"/>
      <c r="K200" s="10"/>
      <c r="L200" s="10"/>
      <c r="M200" s="10"/>
      <c r="N200" s="10"/>
      <c r="O200" s="10"/>
    </row>
    <row r="201" spans="1:15">
      <c r="A201" s="10"/>
      <c r="B201" s="10"/>
      <c r="C201" s="10"/>
      <c r="D201" s="10"/>
      <c r="E201" s="10"/>
      <c r="F201" s="10"/>
      <c r="G201" s="10"/>
      <c r="H201" s="10"/>
      <c r="I201" s="10"/>
      <c r="J201" s="10"/>
      <c r="K201" s="10"/>
      <c r="L201" s="10"/>
      <c r="M201" s="10"/>
      <c r="N201" s="10"/>
      <c r="O201" s="10"/>
    </row>
    <row r="202" spans="1:15">
      <c r="A202" s="10"/>
      <c r="B202" s="14" t="s">
        <v>1175</v>
      </c>
      <c r="C202" s="10"/>
      <c r="D202" s="10"/>
      <c r="E202" s="10"/>
      <c r="F202" s="10"/>
      <c r="G202" s="10"/>
      <c r="H202" s="10"/>
      <c r="I202" s="10"/>
      <c r="J202" s="10"/>
      <c r="K202" s="10"/>
      <c r="L202" s="10"/>
      <c r="M202" s="10"/>
      <c r="N202" s="10"/>
      <c r="O202" s="10"/>
    </row>
    <row r="203" spans="1:15">
      <c r="A203" s="10"/>
      <c r="B203" s="10"/>
      <c r="C203" s="10"/>
      <c r="D203" s="10"/>
      <c r="E203" s="10"/>
      <c r="F203" s="10"/>
      <c r="G203" s="10"/>
      <c r="H203" s="10"/>
      <c r="I203" s="10"/>
      <c r="J203" s="10"/>
      <c r="K203" s="10"/>
      <c r="L203" s="10"/>
      <c r="M203" s="10"/>
      <c r="N203" s="10"/>
      <c r="O203" s="10"/>
    </row>
    <row r="204" spans="1:15" ht="27.65" customHeight="1">
      <c r="A204" s="10"/>
      <c r="B204" s="273" t="s">
        <v>1576</v>
      </c>
      <c r="C204" s="273"/>
      <c r="D204" s="273"/>
      <c r="E204" s="273"/>
      <c r="F204" s="273"/>
      <c r="G204" s="273"/>
      <c r="H204" s="273"/>
      <c r="I204" s="273"/>
      <c r="J204" s="273"/>
      <c r="K204" s="273"/>
      <c r="L204" s="10"/>
      <c r="M204" s="10"/>
      <c r="N204" s="10"/>
      <c r="O204" s="10"/>
    </row>
    <row r="205" spans="1:15">
      <c r="A205" s="10"/>
      <c r="B205" s="10"/>
      <c r="C205" s="10"/>
      <c r="D205" s="10"/>
      <c r="E205" s="10"/>
      <c r="F205" s="10"/>
      <c r="G205" s="10"/>
      <c r="H205" s="10"/>
      <c r="I205" s="10"/>
      <c r="J205" s="10"/>
      <c r="K205" s="10"/>
      <c r="L205" s="10"/>
      <c r="M205" s="10"/>
      <c r="N205" s="10"/>
      <c r="O205" s="10"/>
    </row>
    <row r="206" spans="1:15">
      <c r="A206" s="10"/>
      <c r="B206" s="12" t="s">
        <v>1577</v>
      </c>
      <c r="C206" s="10"/>
      <c r="D206" s="10"/>
      <c r="E206" s="10"/>
      <c r="F206" s="10"/>
      <c r="G206" s="10"/>
      <c r="H206" s="10"/>
      <c r="I206" s="10"/>
      <c r="J206" s="10"/>
      <c r="K206" s="10"/>
      <c r="L206" s="10"/>
      <c r="M206" s="10"/>
      <c r="N206" s="10"/>
      <c r="O206" s="10"/>
    </row>
    <row r="207" spans="1:15">
      <c r="A207" s="10"/>
      <c r="B207" s="10"/>
      <c r="C207" s="10"/>
      <c r="D207" s="10"/>
      <c r="E207" s="10"/>
      <c r="F207" s="10"/>
      <c r="G207" s="10"/>
      <c r="H207" s="10"/>
      <c r="I207" s="10"/>
      <c r="J207" s="10"/>
      <c r="K207" s="10"/>
      <c r="L207" s="10"/>
      <c r="M207" s="10"/>
      <c r="N207" s="10"/>
      <c r="O207" s="10"/>
    </row>
    <row r="208" spans="1:15">
      <c r="A208" s="10"/>
      <c r="B208" s="10"/>
      <c r="C208" s="10"/>
      <c r="D208" s="10"/>
      <c r="E208" s="10"/>
      <c r="F208" s="10"/>
      <c r="G208" s="10"/>
      <c r="H208" s="10"/>
      <c r="I208" s="10"/>
      <c r="J208" s="10"/>
      <c r="K208" s="10"/>
      <c r="L208" s="10"/>
      <c r="M208" s="10"/>
      <c r="N208" s="10"/>
      <c r="O208" s="10"/>
    </row>
    <row r="209" spans="1:15">
      <c r="A209" s="10"/>
      <c r="B209" s="10"/>
      <c r="C209" s="10"/>
      <c r="D209" s="10"/>
      <c r="E209" s="10"/>
      <c r="F209" s="10"/>
      <c r="G209" s="10"/>
      <c r="H209" s="10"/>
      <c r="I209" s="10"/>
      <c r="J209" s="10"/>
      <c r="K209" s="10"/>
      <c r="L209" s="10"/>
      <c r="M209" s="10"/>
      <c r="N209" s="10"/>
      <c r="O209" s="10"/>
    </row>
    <row r="210" spans="1:15">
      <c r="A210" s="10"/>
      <c r="B210" s="10"/>
      <c r="C210" s="10"/>
      <c r="D210" s="10"/>
      <c r="E210" s="10"/>
      <c r="F210" s="10"/>
      <c r="G210" s="10"/>
      <c r="H210" s="10"/>
      <c r="I210" s="10"/>
      <c r="J210" s="10"/>
      <c r="K210" s="10"/>
      <c r="L210" s="10"/>
      <c r="M210" s="10"/>
      <c r="N210" s="10"/>
      <c r="O210" s="10"/>
    </row>
    <row r="211" spans="1:15">
      <c r="A211" s="10"/>
      <c r="B211" s="10"/>
      <c r="C211" s="10"/>
      <c r="D211" s="10"/>
      <c r="E211" s="10"/>
      <c r="F211" s="10"/>
      <c r="G211" s="10"/>
      <c r="H211" s="10"/>
      <c r="I211" s="10"/>
      <c r="J211" s="10"/>
      <c r="K211" s="10"/>
      <c r="L211" s="10"/>
      <c r="M211" s="10"/>
      <c r="N211" s="10"/>
      <c r="O211" s="10"/>
    </row>
    <row r="212" spans="1:15">
      <c r="A212" s="10"/>
      <c r="B212" s="10"/>
      <c r="C212" s="10"/>
      <c r="D212" s="10"/>
      <c r="E212" s="10"/>
      <c r="F212" s="10"/>
      <c r="G212" s="10"/>
      <c r="H212" s="10"/>
      <c r="I212" s="10"/>
      <c r="J212" s="10"/>
      <c r="K212" s="10"/>
      <c r="L212" s="10"/>
      <c r="M212" s="10"/>
      <c r="N212" s="10"/>
      <c r="O212" s="10"/>
    </row>
    <row r="213" spans="1:15">
      <c r="A213" s="10"/>
      <c r="B213" s="10"/>
      <c r="C213" s="10"/>
      <c r="D213" s="10"/>
      <c r="E213" s="10"/>
      <c r="F213" s="10"/>
      <c r="G213" s="10"/>
      <c r="H213" s="10"/>
      <c r="I213" s="10"/>
      <c r="J213" s="10"/>
      <c r="K213" s="10"/>
      <c r="L213" s="10"/>
      <c r="M213" s="10"/>
      <c r="N213" s="10"/>
      <c r="O213" s="10"/>
    </row>
    <row r="214" spans="1:15">
      <c r="A214" s="10"/>
      <c r="B214" s="10"/>
      <c r="C214" s="10"/>
      <c r="D214" s="10"/>
      <c r="E214" s="10"/>
      <c r="F214" s="10"/>
      <c r="G214" s="10"/>
      <c r="H214" s="10"/>
      <c r="I214" s="10"/>
      <c r="J214" s="10"/>
      <c r="K214" s="10"/>
      <c r="L214" s="10"/>
      <c r="M214" s="10"/>
      <c r="N214" s="10"/>
      <c r="O214" s="10"/>
    </row>
    <row r="215" spans="1:15">
      <c r="A215" s="10"/>
      <c r="B215" s="10"/>
      <c r="C215" s="10"/>
      <c r="D215" s="10"/>
      <c r="E215" s="10"/>
      <c r="F215" s="10"/>
      <c r="G215" s="10"/>
      <c r="H215" s="10"/>
      <c r="I215" s="10"/>
      <c r="J215" s="10"/>
      <c r="K215" s="10"/>
      <c r="L215" s="10"/>
      <c r="M215" s="10"/>
      <c r="N215" s="10"/>
      <c r="O215" s="10"/>
    </row>
    <row r="216" spans="1:15">
      <c r="A216" s="10"/>
      <c r="B216" s="10"/>
      <c r="C216" s="10"/>
      <c r="D216" s="10"/>
      <c r="E216" s="10"/>
      <c r="F216" s="10"/>
      <c r="G216" s="10"/>
      <c r="H216" s="10"/>
      <c r="I216" s="10"/>
      <c r="J216" s="10"/>
      <c r="K216" s="10"/>
      <c r="L216" s="10"/>
      <c r="M216" s="10"/>
      <c r="N216" s="10"/>
      <c r="O216" s="10"/>
    </row>
    <row r="217" spans="1:15">
      <c r="A217" s="10"/>
      <c r="B217" s="10"/>
      <c r="C217" s="10"/>
      <c r="D217" s="10"/>
      <c r="E217" s="10"/>
      <c r="F217" s="10"/>
      <c r="G217" s="10"/>
      <c r="H217" s="10"/>
      <c r="I217" s="10"/>
      <c r="J217" s="10"/>
      <c r="K217" s="10"/>
      <c r="L217" s="10"/>
      <c r="M217" s="10"/>
      <c r="N217" s="10"/>
      <c r="O217" s="10"/>
    </row>
    <row r="218" spans="1:15">
      <c r="A218" s="10"/>
      <c r="B218" s="10"/>
      <c r="C218" s="10"/>
      <c r="D218" s="10"/>
      <c r="E218" s="10"/>
      <c r="F218" s="10"/>
      <c r="G218" s="10"/>
      <c r="H218" s="10"/>
      <c r="I218" s="10"/>
      <c r="J218" s="10"/>
      <c r="K218" s="10"/>
      <c r="L218" s="10"/>
      <c r="M218" s="10"/>
      <c r="N218" s="10"/>
      <c r="O218" s="10"/>
    </row>
    <row r="219" spans="1:15">
      <c r="A219" s="10"/>
      <c r="B219" s="10"/>
      <c r="C219" s="10"/>
      <c r="D219" s="10"/>
      <c r="E219" s="10"/>
      <c r="F219" s="10"/>
      <c r="G219" s="10"/>
      <c r="H219" s="10"/>
      <c r="I219" s="10"/>
      <c r="J219" s="10"/>
      <c r="K219" s="10"/>
      <c r="L219" s="10"/>
      <c r="M219" s="10"/>
      <c r="N219" s="10"/>
      <c r="O219" s="10"/>
    </row>
    <row r="220" spans="1:15">
      <c r="A220" s="10"/>
      <c r="B220" s="10"/>
      <c r="C220" s="10"/>
      <c r="D220" s="10"/>
      <c r="E220" s="10"/>
      <c r="F220" s="10"/>
      <c r="G220" s="10"/>
      <c r="H220" s="10"/>
      <c r="I220" s="10"/>
      <c r="J220" s="10"/>
      <c r="K220" s="10"/>
      <c r="L220" s="10"/>
      <c r="M220" s="10"/>
      <c r="N220" s="10"/>
      <c r="O220" s="10"/>
    </row>
    <row r="221" spans="1:15">
      <c r="A221" s="10"/>
      <c r="B221" s="10"/>
      <c r="C221" s="10"/>
      <c r="D221" s="10"/>
      <c r="E221" s="10"/>
      <c r="F221" s="10"/>
      <c r="G221" s="10"/>
      <c r="H221" s="10"/>
      <c r="I221" s="10"/>
      <c r="J221" s="10"/>
      <c r="K221" s="10"/>
      <c r="L221" s="10"/>
      <c r="M221" s="10"/>
      <c r="N221" s="10"/>
      <c r="O221" s="10"/>
    </row>
    <row r="222" spans="1:15">
      <c r="A222" s="10"/>
      <c r="B222" s="10"/>
      <c r="C222" s="10"/>
      <c r="D222" s="10"/>
      <c r="E222" s="10"/>
      <c r="F222" s="10"/>
      <c r="G222" s="10"/>
      <c r="H222" s="10"/>
      <c r="I222" s="10"/>
      <c r="J222" s="10"/>
      <c r="K222" s="10"/>
      <c r="L222" s="10"/>
      <c r="M222" s="10"/>
      <c r="N222" s="10"/>
      <c r="O222" s="10"/>
    </row>
    <row r="223" spans="1:15">
      <c r="A223" s="10"/>
      <c r="B223" s="10"/>
      <c r="C223" s="10"/>
      <c r="D223" s="10"/>
      <c r="E223" s="10"/>
      <c r="F223" s="10"/>
      <c r="G223" s="10"/>
      <c r="H223" s="10"/>
      <c r="I223" s="10"/>
      <c r="J223" s="10"/>
      <c r="K223" s="10"/>
      <c r="L223" s="10"/>
      <c r="M223" s="10"/>
      <c r="N223" s="10"/>
      <c r="O223" s="10"/>
    </row>
    <row r="224" spans="1:15">
      <c r="A224" s="10"/>
      <c r="B224" s="10"/>
      <c r="C224" s="10"/>
      <c r="D224" s="10"/>
      <c r="E224" s="10"/>
      <c r="F224" s="10"/>
      <c r="G224" s="10"/>
      <c r="H224" s="10"/>
      <c r="I224" s="10"/>
      <c r="J224" s="10"/>
      <c r="K224" s="10"/>
      <c r="L224" s="10"/>
      <c r="M224" s="10"/>
      <c r="N224" s="10"/>
      <c r="O224" s="10"/>
    </row>
    <row r="225" spans="1:15">
      <c r="A225" s="10"/>
      <c r="B225" s="10"/>
      <c r="C225" s="10"/>
      <c r="D225" s="10"/>
      <c r="E225" s="10"/>
      <c r="F225" s="10"/>
      <c r="G225" s="10"/>
      <c r="H225" s="10"/>
      <c r="I225" s="10"/>
      <c r="J225" s="10"/>
      <c r="K225" s="10"/>
      <c r="L225" s="10"/>
      <c r="M225" s="10"/>
      <c r="N225" s="10"/>
      <c r="O225" s="10"/>
    </row>
    <row r="226" spans="1:15">
      <c r="A226" s="10"/>
      <c r="B226" s="10"/>
      <c r="C226" s="10"/>
      <c r="D226" s="10"/>
      <c r="E226" s="10"/>
      <c r="F226" s="10"/>
      <c r="G226" s="10"/>
      <c r="H226" s="10"/>
      <c r="I226" s="10"/>
      <c r="J226" s="10"/>
      <c r="K226" s="10"/>
      <c r="L226" s="10"/>
      <c r="M226" s="10"/>
      <c r="N226" s="10"/>
      <c r="O226" s="10"/>
    </row>
    <row r="227" spans="1:15">
      <c r="A227" s="10"/>
      <c r="B227" s="10"/>
      <c r="C227" s="10"/>
      <c r="D227" s="10"/>
      <c r="E227" s="10"/>
      <c r="F227" s="10"/>
      <c r="G227" s="10"/>
      <c r="H227" s="10"/>
      <c r="I227" s="10"/>
      <c r="J227" s="10"/>
      <c r="K227" s="10"/>
      <c r="L227" s="10"/>
      <c r="M227" s="10"/>
      <c r="N227" s="10"/>
      <c r="O227" s="10"/>
    </row>
    <row r="228" spans="1:15">
      <c r="A228" s="10"/>
      <c r="B228" s="10"/>
      <c r="C228" s="10"/>
      <c r="D228" s="10"/>
      <c r="E228" s="10"/>
      <c r="F228" s="10"/>
      <c r="G228" s="10"/>
      <c r="H228" s="10"/>
      <c r="I228" s="10"/>
      <c r="J228" s="10"/>
      <c r="K228" s="10"/>
      <c r="L228" s="10"/>
      <c r="M228" s="10"/>
      <c r="N228" s="10"/>
      <c r="O228" s="10"/>
    </row>
    <row r="229" spans="1:15">
      <c r="A229" s="10"/>
      <c r="B229" s="10"/>
      <c r="C229" s="10"/>
      <c r="D229" s="10"/>
      <c r="E229" s="10"/>
      <c r="F229" s="10"/>
      <c r="G229" s="10"/>
      <c r="H229" s="10"/>
      <c r="I229" s="10"/>
      <c r="J229" s="10"/>
      <c r="K229" s="10"/>
      <c r="L229" s="10"/>
      <c r="M229" s="10"/>
      <c r="N229" s="10"/>
      <c r="O229" s="10"/>
    </row>
    <row r="230" spans="1:15">
      <c r="A230" s="10"/>
      <c r="B230" s="10"/>
      <c r="C230" s="10"/>
      <c r="D230" s="10"/>
      <c r="E230" s="10"/>
      <c r="F230" s="10"/>
      <c r="G230" s="10"/>
      <c r="H230" s="10"/>
      <c r="I230" s="10"/>
      <c r="J230" s="10"/>
      <c r="K230" s="10"/>
      <c r="L230" s="10"/>
      <c r="M230" s="10"/>
      <c r="N230" s="10"/>
      <c r="O230" s="10"/>
    </row>
    <row r="231" spans="1:15">
      <c r="A231" s="10"/>
      <c r="B231" s="10"/>
      <c r="C231" s="10"/>
      <c r="D231" s="10"/>
      <c r="E231" s="10"/>
      <c r="F231" s="10"/>
      <c r="G231" s="10"/>
      <c r="H231" s="10"/>
      <c r="I231" s="10"/>
      <c r="J231" s="10"/>
      <c r="K231" s="10"/>
      <c r="L231" s="10"/>
      <c r="M231" s="10"/>
      <c r="N231" s="10"/>
      <c r="O231" s="10"/>
    </row>
    <row r="232" spans="1:15">
      <c r="A232" s="10"/>
      <c r="B232" s="10"/>
      <c r="C232" s="10"/>
      <c r="D232" s="10"/>
      <c r="E232" s="10"/>
      <c r="F232" s="10"/>
      <c r="G232" s="10"/>
      <c r="H232" s="10"/>
      <c r="I232" s="10"/>
      <c r="J232" s="10"/>
      <c r="K232" s="10"/>
      <c r="L232" s="10"/>
      <c r="M232" s="10"/>
      <c r="N232" s="10"/>
      <c r="O232" s="10"/>
    </row>
    <row r="233" spans="1:15">
      <c r="A233" s="10"/>
      <c r="B233" s="10"/>
      <c r="C233" s="10"/>
      <c r="D233" s="10"/>
      <c r="E233" s="10"/>
      <c r="F233" s="10"/>
      <c r="G233" s="10"/>
      <c r="H233" s="10"/>
      <c r="I233" s="10"/>
      <c r="J233" s="10"/>
      <c r="K233" s="10"/>
      <c r="L233" s="10"/>
      <c r="M233" s="10"/>
      <c r="N233" s="10"/>
      <c r="O233" s="10"/>
    </row>
    <row r="234" spans="1:15">
      <c r="A234" s="10"/>
      <c r="B234" s="10"/>
      <c r="C234" s="10"/>
      <c r="D234" s="10"/>
      <c r="E234" s="10"/>
      <c r="F234" s="10"/>
      <c r="G234" s="10"/>
      <c r="H234" s="10"/>
      <c r="I234" s="10"/>
      <c r="J234" s="10"/>
      <c r="K234" s="10"/>
      <c r="L234" s="10"/>
      <c r="M234" s="10"/>
      <c r="N234" s="10"/>
      <c r="O234" s="10"/>
    </row>
    <row r="235" spans="1:15">
      <c r="A235" s="10"/>
      <c r="B235" s="10"/>
      <c r="C235" s="10"/>
      <c r="D235" s="10"/>
      <c r="E235" s="10"/>
      <c r="F235" s="10"/>
      <c r="G235" s="10"/>
      <c r="H235" s="10"/>
      <c r="I235" s="10"/>
      <c r="J235" s="10"/>
      <c r="K235" s="10"/>
      <c r="L235" s="10"/>
      <c r="M235" s="10"/>
      <c r="N235" s="10"/>
      <c r="O235" s="10"/>
    </row>
    <row r="236" spans="1:15">
      <c r="A236" s="10"/>
      <c r="B236" s="10"/>
      <c r="C236" s="10"/>
      <c r="D236" s="10"/>
      <c r="E236" s="10"/>
      <c r="F236" s="10"/>
      <c r="G236" s="10"/>
      <c r="H236" s="10"/>
      <c r="I236" s="10"/>
      <c r="J236" s="10"/>
      <c r="K236" s="10"/>
      <c r="L236" s="10"/>
      <c r="M236" s="10"/>
      <c r="N236" s="10"/>
      <c r="O236" s="10"/>
    </row>
    <row r="237" spans="1:15">
      <c r="A237" s="10"/>
      <c r="B237" s="10"/>
      <c r="C237" s="10"/>
      <c r="D237" s="10"/>
      <c r="E237" s="10"/>
      <c r="F237" s="10"/>
      <c r="G237" s="10"/>
      <c r="H237" s="10"/>
      <c r="I237" s="10"/>
      <c r="J237" s="10"/>
      <c r="K237" s="10"/>
      <c r="L237" s="10"/>
      <c r="M237" s="10"/>
      <c r="N237" s="10"/>
      <c r="O237" s="10"/>
    </row>
    <row r="238" spans="1:15">
      <c r="A238" s="10"/>
      <c r="B238" s="10"/>
      <c r="C238" s="10"/>
      <c r="D238" s="10"/>
      <c r="E238" s="10"/>
      <c r="F238" s="10"/>
      <c r="G238" s="10"/>
      <c r="H238" s="10"/>
      <c r="I238" s="10"/>
      <c r="J238" s="10"/>
      <c r="K238" s="10"/>
      <c r="L238" s="10"/>
      <c r="M238" s="10"/>
      <c r="N238" s="10"/>
      <c r="O238" s="10"/>
    </row>
    <row r="239" spans="1:15">
      <c r="A239" s="10"/>
      <c r="B239" s="10"/>
      <c r="C239" s="10"/>
      <c r="D239" s="10"/>
      <c r="E239" s="10"/>
      <c r="F239" s="10"/>
      <c r="G239" s="10"/>
      <c r="H239" s="10"/>
      <c r="I239" s="10"/>
      <c r="J239" s="10"/>
      <c r="K239" s="10"/>
      <c r="L239" s="10"/>
      <c r="M239" s="10"/>
      <c r="N239" s="10"/>
      <c r="O239" s="10"/>
    </row>
    <row r="240" spans="1:15">
      <c r="A240" s="10"/>
      <c r="B240" s="10"/>
      <c r="C240" s="10"/>
      <c r="D240" s="10"/>
      <c r="E240" s="10"/>
      <c r="F240" s="10"/>
      <c r="G240" s="10"/>
      <c r="H240" s="10"/>
      <c r="I240" s="10"/>
      <c r="J240" s="10"/>
      <c r="K240" s="10"/>
      <c r="L240" s="10"/>
      <c r="M240" s="10"/>
      <c r="N240" s="10"/>
      <c r="O240" s="10"/>
    </row>
    <row r="241" spans="1:15">
      <c r="A241" s="10"/>
      <c r="B241" s="10"/>
      <c r="C241" s="10"/>
      <c r="D241" s="10"/>
      <c r="E241" s="10"/>
      <c r="F241" s="10"/>
      <c r="G241" s="10"/>
      <c r="H241" s="10"/>
      <c r="I241" s="10"/>
      <c r="J241" s="10"/>
      <c r="K241" s="10"/>
      <c r="L241" s="10"/>
      <c r="M241" s="10"/>
      <c r="N241" s="10"/>
      <c r="O241" s="10"/>
    </row>
    <row r="242" spans="1:15">
      <c r="A242" s="10"/>
      <c r="B242" s="10"/>
      <c r="C242" s="10"/>
      <c r="D242" s="10"/>
      <c r="E242" s="10"/>
      <c r="F242" s="10"/>
      <c r="G242" s="10"/>
      <c r="H242" s="10"/>
      <c r="I242" s="10"/>
      <c r="J242" s="10"/>
      <c r="K242" s="10"/>
      <c r="L242" s="10"/>
      <c r="M242" s="10"/>
      <c r="N242" s="10"/>
      <c r="O242" s="10"/>
    </row>
    <row r="243" spans="1:15">
      <c r="A243" s="10"/>
      <c r="B243" s="10"/>
      <c r="C243" s="10"/>
      <c r="D243" s="10"/>
      <c r="E243" s="10"/>
      <c r="F243" s="10"/>
      <c r="G243" s="10"/>
      <c r="H243" s="10"/>
      <c r="I243" s="10"/>
      <c r="J243" s="10"/>
      <c r="K243" s="10"/>
      <c r="L243" s="10"/>
      <c r="M243" s="10"/>
      <c r="N243" s="10"/>
      <c r="O243" s="10"/>
    </row>
    <row r="244" spans="1:15">
      <c r="A244" s="10"/>
      <c r="B244" s="10"/>
      <c r="C244" s="10"/>
      <c r="D244" s="10"/>
      <c r="E244" s="10"/>
      <c r="F244" s="10"/>
      <c r="G244" s="10"/>
      <c r="H244" s="10"/>
      <c r="I244" s="10"/>
      <c r="J244" s="10"/>
      <c r="K244" s="10"/>
      <c r="L244" s="10"/>
      <c r="M244" s="10"/>
      <c r="N244" s="10"/>
      <c r="O244" s="10"/>
    </row>
    <row r="245" spans="1:15">
      <c r="A245" s="10"/>
      <c r="B245" s="10"/>
      <c r="C245" s="10"/>
      <c r="D245" s="10"/>
      <c r="E245" s="10"/>
      <c r="F245" s="10"/>
      <c r="G245" s="10"/>
      <c r="H245" s="10"/>
      <c r="I245" s="10"/>
      <c r="J245" s="10"/>
      <c r="K245" s="10"/>
      <c r="L245" s="10"/>
      <c r="M245" s="10"/>
      <c r="N245" s="10"/>
      <c r="O245" s="10"/>
    </row>
    <row r="246" spans="1:15">
      <c r="A246" s="10"/>
      <c r="B246" s="10"/>
      <c r="C246" s="10"/>
      <c r="D246" s="10"/>
      <c r="E246" s="10"/>
      <c r="F246" s="10"/>
      <c r="G246" s="10"/>
      <c r="H246" s="10"/>
      <c r="I246" s="10"/>
      <c r="J246" s="10"/>
      <c r="K246" s="10"/>
      <c r="L246" s="10"/>
      <c r="M246" s="10"/>
      <c r="N246" s="10"/>
      <c r="O246" s="10"/>
    </row>
  </sheetData>
  <sheetProtection algorithmName="SHA-512" hashValue="Q97PJY6nmn9R8MzMb8NHhfMPEArdcDdQ38zI+Q0MZM0aRtu/AvSEI6/GSrf/OCQnj4zpFGhQDFc0/ihTeASbBQ==" saltValue="1C6TKpX8wujW25Vv2l5KfA==" spinCount="100000" sheet="1" formatColumns="0" formatRows="0"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D4B4-0910-44AE-A577-92E7A3298109}">
  <sheetPr codeName="Sheet2"/>
  <dimension ref="A1:Y1423"/>
  <sheetViews>
    <sheetView workbookViewId="0"/>
  </sheetViews>
  <sheetFormatPr defaultColWidth="8.54296875" defaultRowHeight="14.5"/>
  <cols>
    <col min="1" max="1" width="6.54296875" style="2" customWidth="1"/>
    <col min="2" max="2" width="13.453125" style="2" bestFit="1" customWidth="1"/>
    <col min="3" max="3" width="40.453125" style="2" customWidth="1"/>
    <col min="4" max="4" width="34.453125" style="2" customWidth="1"/>
    <col min="5" max="5" width="30.453125" style="2" customWidth="1"/>
    <col min="6" max="6" width="19.54296875" style="2" customWidth="1"/>
    <col min="7" max="7" width="10.453125" style="2" customWidth="1"/>
    <col min="8" max="8" width="7.453125" style="2" customWidth="1"/>
    <col min="9" max="9" width="9.36328125" style="2" customWidth="1"/>
    <col min="10" max="10" width="9.453125" style="2" customWidth="1"/>
    <col min="11" max="11" width="10.36328125" style="2" customWidth="1"/>
    <col min="12" max="12" width="10.453125" style="2" customWidth="1"/>
    <col min="13" max="13" width="12.453125" style="157" customWidth="1"/>
    <col min="14" max="14" width="10.54296875" style="2" customWidth="1"/>
    <col min="15" max="15" width="23.453125" style="2" customWidth="1"/>
    <col min="16" max="16" width="7.453125" style="2" customWidth="1"/>
    <col min="17" max="17" width="10.54296875" style="2" customWidth="1"/>
    <col min="18" max="18" width="9.36328125" style="2" customWidth="1"/>
    <col min="19" max="19" width="12" style="2" customWidth="1"/>
    <col min="20" max="20" width="28" style="3" customWidth="1"/>
    <col min="21" max="21" width="12.54296875" style="2" customWidth="1"/>
    <col min="22" max="22" width="8.54296875" style="152" bestFit="1" customWidth="1"/>
    <col min="23" max="23" width="10.54296875" style="2" customWidth="1"/>
    <col min="24" max="24" width="12.08984375" style="2" customWidth="1"/>
    <col min="25" max="25" width="11" style="150" customWidth="1"/>
    <col min="26" max="16384" width="8.54296875" style="2"/>
  </cols>
  <sheetData>
    <row r="1" spans="1:25" ht="19">
      <c r="A1" s="7" t="s">
        <v>1578</v>
      </c>
      <c r="B1" s="4"/>
      <c r="C1" s="4"/>
      <c r="D1" s="4"/>
      <c r="E1" s="4"/>
      <c r="F1" s="4"/>
      <c r="G1" s="4"/>
      <c r="H1" s="4"/>
      <c r="I1" s="4"/>
      <c r="J1" s="4"/>
      <c r="K1" s="4"/>
      <c r="L1" s="4"/>
      <c r="M1" s="156"/>
      <c r="N1" s="4"/>
      <c r="O1" s="4"/>
      <c r="P1" s="4"/>
      <c r="Q1" s="4"/>
      <c r="R1" s="4"/>
      <c r="S1" s="4"/>
      <c r="T1" s="5"/>
      <c r="U1" s="4"/>
      <c r="V1" s="4"/>
      <c r="W1" s="4"/>
      <c r="X1" s="4"/>
      <c r="Y1" s="151"/>
    </row>
    <row r="2" spans="1:25" ht="52.5">
      <c r="A2" s="103" t="s">
        <v>6</v>
      </c>
      <c r="B2" s="104" t="s">
        <v>1468</v>
      </c>
      <c r="C2" s="139" t="s">
        <v>1579</v>
      </c>
      <c r="D2" s="139" t="s">
        <v>41</v>
      </c>
      <c r="E2" s="139" t="s">
        <v>1580</v>
      </c>
      <c r="F2" s="139" t="s">
        <v>1581</v>
      </c>
      <c r="G2" s="139" t="s">
        <v>1470</v>
      </c>
      <c r="H2" s="104" t="s">
        <v>1582</v>
      </c>
      <c r="I2" s="104" t="s">
        <v>1444</v>
      </c>
      <c r="J2" s="104" t="s">
        <v>1447</v>
      </c>
      <c r="K2" s="104" t="s">
        <v>1449</v>
      </c>
      <c r="L2" s="104" t="s">
        <v>1451</v>
      </c>
      <c r="M2" s="104" t="s">
        <v>1583</v>
      </c>
      <c r="N2" s="104" t="s">
        <v>1584</v>
      </c>
      <c r="O2" s="104" t="s">
        <v>766</v>
      </c>
      <c r="P2" s="104" t="s">
        <v>8</v>
      </c>
      <c r="Q2" s="104" t="s">
        <v>746</v>
      </c>
      <c r="R2" s="104" t="s">
        <v>310</v>
      </c>
      <c r="S2" s="104" t="s">
        <v>1457</v>
      </c>
      <c r="T2" s="104" t="s">
        <v>1585</v>
      </c>
      <c r="U2" s="104" t="s">
        <v>1586</v>
      </c>
      <c r="V2" s="153" t="s">
        <v>1459</v>
      </c>
      <c r="W2" s="139" t="s">
        <v>1461</v>
      </c>
      <c r="X2" s="158" t="s">
        <v>1463</v>
      </c>
      <c r="Y2" s="159" t="s">
        <v>1587</v>
      </c>
    </row>
    <row r="3" spans="1:25">
      <c r="A3" s="168" t="s">
        <v>45</v>
      </c>
      <c r="B3" s="162" t="s">
        <v>1555</v>
      </c>
      <c r="C3" s="169" t="s">
        <v>1588</v>
      </c>
      <c r="D3" s="162" t="s">
        <v>136</v>
      </c>
      <c r="E3" s="161" t="s">
        <v>1589</v>
      </c>
      <c r="F3" s="162" t="s">
        <v>1590</v>
      </c>
      <c r="G3" s="161"/>
      <c r="H3" s="214">
        <v>1</v>
      </c>
      <c r="I3" s="171"/>
      <c r="J3" s="170">
        <v>1</v>
      </c>
      <c r="K3" s="172"/>
      <c r="L3" s="170">
        <v>1</v>
      </c>
      <c r="M3" s="171">
        <v>1</v>
      </c>
      <c r="N3" s="170"/>
      <c r="O3" s="177" t="s">
        <v>76</v>
      </c>
      <c r="P3" s="162" t="s">
        <v>1591</v>
      </c>
      <c r="Q3" s="176"/>
      <c r="R3" s="174"/>
      <c r="S3" s="179"/>
      <c r="T3" s="162" t="s">
        <v>24</v>
      </c>
      <c r="U3" s="161" t="s">
        <v>14</v>
      </c>
      <c r="V3" s="174">
        <v>2066</v>
      </c>
      <c r="W3" s="180"/>
      <c r="X3" s="185" t="s">
        <v>259</v>
      </c>
      <c r="Y3" s="187">
        <v>44825.455324074072</v>
      </c>
    </row>
    <row r="4" spans="1:25">
      <c r="A4" s="166" t="s">
        <v>45</v>
      </c>
      <c r="B4" s="162" t="s">
        <v>1555</v>
      </c>
      <c r="C4" s="165" t="s">
        <v>138</v>
      </c>
      <c r="D4" s="162" t="s">
        <v>136</v>
      </c>
      <c r="E4" s="161" t="s">
        <v>1589</v>
      </c>
      <c r="F4" s="162" t="s">
        <v>1592</v>
      </c>
      <c r="G4" s="161"/>
      <c r="H4" s="214">
        <v>1</v>
      </c>
      <c r="I4" s="171">
        <v>0.6</v>
      </c>
      <c r="J4" s="170">
        <v>0.6</v>
      </c>
      <c r="K4" s="172">
        <v>0.6</v>
      </c>
      <c r="L4" s="170">
        <v>0.6</v>
      </c>
      <c r="M4" s="171">
        <v>0.6</v>
      </c>
      <c r="N4" s="170"/>
      <c r="O4" s="177" t="s">
        <v>584</v>
      </c>
      <c r="P4" s="162" t="s">
        <v>1591</v>
      </c>
      <c r="Q4" s="176"/>
      <c r="R4" s="174">
        <v>2022</v>
      </c>
      <c r="S4" s="179"/>
      <c r="T4" s="162" t="s">
        <v>29</v>
      </c>
      <c r="U4" s="161" t="s">
        <v>14</v>
      </c>
      <c r="V4" s="174">
        <v>1366</v>
      </c>
      <c r="W4" s="180"/>
      <c r="X4" s="185">
        <v>44621</v>
      </c>
      <c r="Y4" s="187">
        <v>44981.396689814814</v>
      </c>
    </row>
    <row r="5" spans="1:25">
      <c r="A5" s="166" t="s">
        <v>45</v>
      </c>
      <c r="B5" s="162" t="s">
        <v>1555</v>
      </c>
      <c r="C5" s="165" t="s">
        <v>1593</v>
      </c>
      <c r="D5" s="162" t="s">
        <v>136</v>
      </c>
      <c r="E5" s="161" t="s">
        <v>1589</v>
      </c>
      <c r="F5" s="162" t="s">
        <v>1592</v>
      </c>
      <c r="G5" s="161"/>
      <c r="H5" s="214">
        <v>1</v>
      </c>
      <c r="I5" s="171">
        <v>1.2</v>
      </c>
      <c r="J5" s="170">
        <v>1.2</v>
      </c>
      <c r="K5" s="172">
        <v>1.2</v>
      </c>
      <c r="L5" s="170">
        <v>1.2</v>
      </c>
      <c r="M5" s="171">
        <v>1.2</v>
      </c>
      <c r="N5" s="170"/>
      <c r="O5" s="177" t="s">
        <v>584</v>
      </c>
      <c r="P5" s="162" t="s">
        <v>1591</v>
      </c>
      <c r="Q5" s="176"/>
      <c r="R5" s="174">
        <v>2023</v>
      </c>
      <c r="S5" s="179"/>
      <c r="T5" s="162" t="s">
        <v>29</v>
      </c>
      <c r="U5" s="161" t="s">
        <v>14</v>
      </c>
      <c r="V5" s="174">
        <v>1368</v>
      </c>
      <c r="W5" s="180"/>
      <c r="X5" s="185">
        <v>44621</v>
      </c>
      <c r="Y5" s="187">
        <v>44981.397187499999</v>
      </c>
    </row>
    <row r="6" spans="1:25">
      <c r="A6" s="166" t="s">
        <v>110</v>
      </c>
      <c r="B6" s="162" t="s">
        <v>1555</v>
      </c>
      <c r="C6" s="165" t="s">
        <v>1594</v>
      </c>
      <c r="D6" s="162" t="s">
        <v>1595</v>
      </c>
      <c r="E6" s="161" t="s">
        <v>1596</v>
      </c>
      <c r="F6" s="162" t="s">
        <v>1592</v>
      </c>
      <c r="G6" s="161"/>
      <c r="H6" s="214">
        <v>1</v>
      </c>
      <c r="I6" s="171">
        <v>1.2</v>
      </c>
      <c r="J6" s="170">
        <v>1.2</v>
      </c>
      <c r="K6" s="172">
        <v>1.2</v>
      </c>
      <c r="L6" s="170">
        <v>1.2</v>
      </c>
      <c r="M6" s="171">
        <v>1.2</v>
      </c>
      <c r="N6" s="170"/>
      <c r="O6" s="177" t="s">
        <v>584</v>
      </c>
      <c r="P6" s="162" t="s">
        <v>1591</v>
      </c>
      <c r="Q6" s="176"/>
      <c r="R6" s="174">
        <v>2023</v>
      </c>
      <c r="S6" s="179"/>
      <c r="T6" s="162" t="s">
        <v>29</v>
      </c>
      <c r="U6" s="161" t="s">
        <v>14</v>
      </c>
      <c r="V6" s="174">
        <v>1001</v>
      </c>
      <c r="W6" s="180"/>
      <c r="X6" s="185">
        <v>44621</v>
      </c>
      <c r="Y6" s="187">
        <v>45021.658726851849</v>
      </c>
    </row>
    <row r="7" spans="1:25">
      <c r="A7" s="166" t="s">
        <v>45</v>
      </c>
      <c r="B7" s="162" t="s">
        <v>1555</v>
      </c>
      <c r="C7" s="165" t="s">
        <v>1597</v>
      </c>
      <c r="D7" s="162" t="s">
        <v>136</v>
      </c>
      <c r="E7" s="161" t="s">
        <v>1589</v>
      </c>
      <c r="F7" s="162" t="s">
        <v>1592</v>
      </c>
      <c r="G7" s="161"/>
      <c r="H7" s="214">
        <v>1</v>
      </c>
      <c r="I7" s="171">
        <v>0.8</v>
      </c>
      <c r="J7" s="170">
        <v>0.8</v>
      </c>
      <c r="K7" s="172">
        <v>0.8</v>
      </c>
      <c r="L7" s="170">
        <v>0.8</v>
      </c>
      <c r="M7" s="171">
        <v>0.8</v>
      </c>
      <c r="N7" s="170"/>
      <c r="O7" s="177" t="s">
        <v>584</v>
      </c>
      <c r="P7" s="162" t="s">
        <v>1591</v>
      </c>
      <c r="Q7" s="176"/>
      <c r="R7" s="174">
        <v>2023</v>
      </c>
      <c r="S7" s="179"/>
      <c r="T7" s="162" t="s">
        <v>29</v>
      </c>
      <c r="U7" s="161" t="s">
        <v>14</v>
      </c>
      <c r="V7" s="174">
        <v>1370</v>
      </c>
      <c r="W7" s="180"/>
      <c r="X7" s="185">
        <v>44621</v>
      </c>
      <c r="Y7" s="187">
        <v>44981.397777777776</v>
      </c>
    </row>
    <row r="8" spans="1:25">
      <c r="A8" s="166" t="s">
        <v>45</v>
      </c>
      <c r="B8" s="162" t="s">
        <v>1555</v>
      </c>
      <c r="C8" s="165" t="s">
        <v>139</v>
      </c>
      <c r="D8" s="162" t="s">
        <v>136</v>
      </c>
      <c r="E8" s="161" t="s">
        <v>1589</v>
      </c>
      <c r="F8" s="162" t="s">
        <v>1592</v>
      </c>
      <c r="G8" s="161"/>
      <c r="H8" s="214">
        <v>1</v>
      </c>
      <c r="I8" s="171">
        <v>0.4</v>
      </c>
      <c r="J8" s="170">
        <v>0.4</v>
      </c>
      <c r="K8" s="172">
        <v>0.4</v>
      </c>
      <c r="L8" s="170">
        <v>0.4</v>
      </c>
      <c r="M8" s="171">
        <v>0.4</v>
      </c>
      <c r="N8" s="170"/>
      <c r="O8" s="177" t="s">
        <v>584</v>
      </c>
      <c r="P8" s="162" t="s">
        <v>1591</v>
      </c>
      <c r="Q8" s="176"/>
      <c r="R8" s="174">
        <v>2023</v>
      </c>
      <c r="S8" s="179"/>
      <c r="T8" s="162" t="s">
        <v>29</v>
      </c>
      <c r="U8" s="161" t="s">
        <v>14</v>
      </c>
      <c r="V8" s="174">
        <v>1369</v>
      </c>
      <c r="W8" s="180"/>
      <c r="X8" s="185">
        <v>44621</v>
      </c>
      <c r="Y8" s="187">
        <v>44981.397418981483</v>
      </c>
    </row>
    <row r="9" spans="1:25">
      <c r="A9" s="166" t="s">
        <v>110</v>
      </c>
      <c r="B9" s="162" t="s">
        <v>1555</v>
      </c>
      <c r="C9" s="165" t="s">
        <v>1598</v>
      </c>
      <c r="D9" s="162" t="s">
        <v>136</v>
      </c>
      <c r="E9" s="161" t="s">
        <v>1589</v>
      </c>
      <c r="F9" s="162" t="s">
        <v>1592</v>
      </c>
      <c r="G9" s="161"/>
      <c r="H9" s="214">
        <v>1</v>
      </c>
      <c r="I9" s="171">
        <v>0.39</v>
      </c>
      <c r="J9" s="170">
        <v>0.39</v>
      </c>
      <c r="K9" s="172">
        <v>0.39</v>
      </c>
      <c r="L9" s="170">
        <v>0.39</v>
      </c>
      <c r="M9" s="171">
        <v>0.39</v>
      </c>
      <c r="N9" s="170"/>
      <c r="O9" s="177" t="s">
        <v>76</v>
      </c>
      <c r="P9" s="162" t="s">
        <v>1591</v>
      </c>
      <c r="Q9" s="176"/>
      <c r="R9" s="174">
        <v>2027</v>
      </c>
      <c r="S9" s="179"/>
      <c r="T9" s="162" t="s">
        <v>24</v>
      </c>
      <c r="U9" s="161" t="s">
        <v>14</v>
      </c>
      <c r="V9" s="174">
        <v>1367</v>
      </c>
      <c r="W9" s="180"/>
      <c r="X9" s="185">
        <v>44621</v>
      </c>
      <c r="Y9" s="187">
        <v>45022.416388888887</v>
      </c>
    </row>
    <row r="10" spans="1:25">
      <c r="A10" s="166" t="s">
        <v>77</v>
      </c>
      <c r="B10" s="162" t="s">
        <v>1599</v>
      </c>
      <c r="C10" s="165" t="s">
        <v>1600</v>
      </c>
      <c r="D10" s="162" t="s">
        <v>1601</v>
      </c>
      <c r="E10" s="161" t="s">
        <v>1602</v>
      </c>
      <c r="F10" s="164" t="s">
        <v>1603</v>
      </c>
      <c r="G10" s="161"/>
      <c r="H10" s="215">
        <v>1</v>
      </c>
      <c r="I10" s="171">
        <v>200</v>
      </c>
      <c r="J10" s="173">
        <v>200</v>
      </c>
      <c r="K10" s="172">
        <v>200</v>
      </c>
      <c r="L10" s="173">
        <v>200</v>
      </c>
      <c r="M10" s="171">
        <v>200</v>
      </c>
      <c r="N10" s="170">
        <v>0</v>
      </c>
      <c r="O10" s="177" t="s">
        <v>1523</v>
      </c>
      <c r="P10" s="162" t="s">
        <v>1604</v>
      </c>
      <c r="Q10" s="176"/>
      <c r="R10" s="175"/>
      <c r="S10" s="179"/>
      <c r="T10" s="164" t="s">
        <v>28</v>
      </c>
      <c r="U10" s="161" t="s">
        <v>19</v>
      </c>
      <c r="V10" s="175">
        <v>2489</v>
      </c>
      <c r="W10" s="181" t="s">
        <v>1605</v>
      </c>
      <c r="X10" s="185">
        <v>45017</v>
      </c>
      <c r="Y10" s="187">
        <v>45035.777951388889</v>
      </c>
    </row>
    <row r="11" spans="1:25">
      <c r="A11" s="166" t="s">
        <v>110</v>
      </c>
      <c r="B11" s="162" t="s">
        <v>1599</v>
      </c>
      <c r="C11" s="165" t="s">
        <v>1606</v>
      </c>
      <c r="D11" s="162" t="s">
        <v>1607</v>
      </c>
      <c r="E11" s="161" t="s">
        <v>1608</v>
      </c>
      <c r="F11" s="162" t="s">
        <v>1609</v>
      </c>
      <c r="G11" s="161"/>
      <c r="H11" s="214">
        <v>1</v>
      </c>
      <c r="I11" s="171">
        <v>3100</v>
      </c>
      <c r="J11" s="170">
        <v>3100</v>
      </c>
      <c r="K11" s="172">
        <v>3100</v>
      </c>
      <c r="L11" s="170">
        <v>3100</v>
      </c>
      <c r="M11" s="171">
        <v>3100</v>
      </c>
      <c r="N11" s="170"/>
      <c r="O11" s="177" t="s">
        <v>1523</v>
      </c>
      <c r="P11" s="162" t="s">
        <v>1604</v>
      </c>
      <c r="Q11" s="178"/>
      <c r="R11" s="174"/>
      <c r="S11" s="179"/>
      <c r="T11" s="162" t="s">
        <v>28</v>
      </c>
      <c r="U11" s="161" t="s">
        <v>16</v>
      </c>
      <c r="V11" s="174">
        <v>2392</v>
      </c>
      <c r="W11" s="180" t="s">
        <v>1610</v>
      </c>
      <c r="X11" s="185">
        <v>45017</v>
      </c>
      <c r="Y11" s="187">
        <v>44932.303194444445</v>
      </c>
    </row>
    <row r="12" spans="1:25">
      <c r="A12" s="166" t="s">
        <v>45</v>
      </c>
      <c r="B12" s="162" t="s">
        <v>1599</v>
      </c>
      <c r="C12" s="165" t="s">
        <v>1611</v>
      </c>
      <c r="D12" s="162" t="s">
        <v>1612</v>
      </c>
      <c r="E12" s="161" t="s">
        <v>1613</v>
      </c>
      <c r="F12" s="162" t="s">
        <v>1614</v>
      </c>
      <c r="G12" s="161"/>
      <c r="H12" s="214">
        <v>1</v>
      </c>
      <c r="I12" s="171">
        <v>300</v>
      </c>
      <c r="J12" s="170">
        <v>300</v>
      </c>
      <c r="K12" s="172">
        <v>300</v>
      </c>
      <c r="L12" s="170">
        <v>300</v>
      </c>
      <c r="M12" s="171">
        <v>300</v>
      </c>
      <c r="N12" s="170"/>
      <c r="O12" s="177" t="s">
        <v>1523</v>
      </c>
      <c r="P12" s="162" t="s">
        <v>1604</v>
      </c>
      <c r="Q12" s="176"/>
      <c r="R12" s="174"/>
      <c r="S12" s="179"/>
      <c r="T12" s="162" t="s">
        <v>28</v>
      </c>
      <c r="U12" s="161" t="s">
        <v>1615</v>
      </c>
      <c r="V12" s="174">
        <v>2205</v>
      </c>
      <c r="W12" s="180" t="s">
        <v>1616</v>
      </c>
      <c r="X12" s="185">
        <v>45017</v>
      </c>
      <c r="Y12" s="187">
        <v>44944.420706018522</v>
      </c>
    </row>
    <row r="13" spans="1:25">
      <c r="A13" s="166" t="s">
        <v>91</v>
      </c>
      <c r="B13" s="162" t="s">
        <v>1555</v>
      </c>
      <c r="C13" s="165" t="s">
        <v>1617</v>
      </c>
      <c r="D13" s="162" t="s">
        <v>1618</v>
      </c>
      <c r="E13" s="161" t="s">
        <v>1613</v>
      </c>
      <c r="F13" s="162" t="s">
        <v>1614</v>
      </c>
      <c r="G13" s="161"/>
      <c r="H13" s="214">
        <v>16</v>
      </c>
      <c r="I13" s="171"/>
      <c r="J13" s="170">
        <v>0.06</v>
      </c>
      <c r="K13" s="172"/>
      <c r="L13" s="170">
        <v>0.96</v>
      </c>
      <c r="M13" s="171">
        <v>0.96</v>
      </c>
      <c r="N13" s="170"/>
      <c r="O13" s="177" t="s">
        <v>76</v>
      </c>
      <c r="P13" s="162" t="s">
        <v>1591</v>
      </c>
      <c r="Q13" s="176"/>
      <c r="R13" s="174"/>
      <c r="S13" s="179"/>
      <c r="T13" s="162" t="s">
        <v>24</v>
      </c>
      <c r="U13" s="161" t="s">
        <v>1615</v>
      </c>
      <c r="V13" s="174">
        <v>1536</v>
      </c>
      <c r="W13" s="180"/>
      <c r="X13" s="185">
        <v>44805</v>
      </c>
      <c r="Y13" s="187">
        <v>43247.959537037037</v>
      </c>
    </row>
    <row r="14" spans="1:25">
      <c r="A14" s="166" t="s">
        <v>91</v>
      </c>
      <c r="B14" s="162" t="s">
        <v>1555</v>
      </c>
      <c r="C14" s="165" t="s">
        <v>1617</v>
      </c>
      <c r="D14" s="162" t="s">
        <v>1618</v>
      </c>
      <c r="E14" s="161" t="s">
        <v>1613</v>
      </c>
      <c r="F14" s="162" t="s">
        <v>1614</v>
      </c>
      <c r="G14" s="161"/>
      <c r="H14" s="214">
        <v>2</v>
      </c>
      <c r="I14" s="171"/>
      <c r="J14" s="170">
        <v>0.02</v>
      </c>
      <c r="K14" s="172"/>
      <c r="L14" s="170">
        <v>0.04</v>
      </c>
      <c r="M14" s="171">
        <v>0.04</v>
      </c>
      <c r="N14" s="170"/>
      <c r="O14" s="177" t="s">
        <v>76</v>
      </c>
      <c r="P14" s="162" t="s">
        <v>1591</v>
      </c>
      <c r="Q14" s="176"/>
      <c r="R14" s="174"/>
      <c r="S14" s="179"/>
      <c r="T14" s="162" t="s">
        <v>24</v>
      </c>
      <c r="U14" s="161" t="s">
        <v>1615</v>
      </c>
      <c r="V14" s="174">
        <v>1536</v>
      </c>
      <c r="W14" s="180"/>
      <c r="X14" s="185">
        <v>44805</v>
      </c>
      <c r="Y14" s="187">
        <v>43247.959537037037</v>
      </c>
    </row>
    <row r="15" spans="1:25">
      <c r="A15" s="166" t="s">
        <v>91</v>
      </c>
      <c r="B15" s="162" t="s">
        <v>1555</v>
      </c>
      <c r="C15" s="165" t="s">
        <v>346</v>
      </c>
      <c r="D15" s="162" t="s">
        <v>347</v>
      </c>
      <c r="E15" s="161" t="s">
        <v>1602</v>
      </c>
      <c r="F15" s="162" t="s">
        <v>1603</v>
      </c>
      <c r="G15" s="161" t="s">
        <v>432</v>
      </c>
      <c r="H15" s="214">
        <v>1</v>
      </c>
      <c r="I15" s="171"/>
      <c r="J15" s="170">
        <v>6.27</v>
      </c>
      <c r="K15" s="172"/>
      <c r="L15" s="170">
        <v>6.27</v>
      </c>
      <c r="M15" s="171">
        <v>6.27</v>
      </c>
      <c r="N15" s="170">
        <v>12.6</v>
      </c>
      <c r="O15" s="177" t="s">
        <v>76</v>
      </c>
      <c r="P15" s="162" t="s">
        <v>1619</v>
      </c>
      <c r="Q15" s="176">
        <v>44682</v>
      </c>
      <c r="R15" s="174">
        <v>2041</v>
      </c>
      <c r="S15" s="179"/>
      <c r="T15" s="162" t="s">
        <v>24</v>
      </c>
      <c r="U15" s="161" t="s">
        <v>19</v>
      </c>
      <c r="V15" s="174">
        <v>1844</v>
      </c>
      <c r="W15" s="180"/>
      <c r="X15" s="185">
        <v>45017</v>
      </c>
      <c r="Y15" s="187">
        <v>45022.464386574073</v>
      </c>
    </row>
    <row r="16" spans="1:25">
      <c r="A16" s="166" t="s">
        <v>91</v>
      </c>
      <c r="B16" s="162" t="s">
        <v>1555</v>
      </c>
      <c r="C16" s="165" t="s">
        <v>346</v>
      </c>
      <c r="D16" s="162" t="s">
        <v>347</v>
      </c>
      <c r="E16" s="161" t="s">
        <v>1613</v>
      </c>
      <c r="F16" s="162" t="s">
        <v>1614</v>
      </c>
      <c r="G16" s="161" t="s">
        <v>433</v>
      </c>
      <c r="H16" s="214">
        <v>4</v>
      </c>
      <c r="I16" s="171"/>
      <c r="J16" s="170">
        <v>2.75</v>
      </c>
      <c r="K16" s="172"/>
      <c r="L16" s="170">
        <v>11</v>
      </c>
      <c r="M16" s="171">
        <v>11</v>
      </c>
      <c r="N16" s="170"/>
      <c r="O16" s="177" t="s">
        <v>76</v>
      </c>
      <c r="P16" s="162" t="s">
        <v>1620</v>
      </c>
      <c r="Q16" s="176">
        <v>44682</v>
      </c>
      <c r="R16" s="174">
        <v>2041</v>
      </c>
      <c r="S16" s="179"/>
      <c r="T16" s="162" t="s">
        <v>24</v>
      </c>
      <c r="U16" s="161" t="s">
        <v>1615</v>
      </c>
      <c r="V16" s="174">
        <v>1844</v>
      </c>
      <c r="W16" s="180"/>
      <c r="X16" s="185">
        <v>45017</v>
      </c>
      <c r="Y16" s="187">
        <v>45022.464386574073</v>
      </c>
    </row>
    <row r="17" spans="1:25">
      <c r="A17" s="166" t="s">
        <v>91</v>
      </c>
      <c r="B17" s="162" t="s">
        <v>1555</v>
      </c>
      <c r="C17" s="165" t="s">
        <v>346</v>
      </c>
      <c r="D17" s="162" t="s">
        <v>347</v>
      </c>
      <c r="E17" s="161" t="s">
        <v>1613</v>
      </c>
      <c r="F17" s="162" t="s">
        <v>1614</v>
      </c>
      <c r="G17" s="161" t="s">
        <v>434</v>
      </c>
      <c r="H17" s="214">
        <v>4</v>
      </c>
      <c r="I17" s="171"/>
      <c r="J17" s="170">
        <v>3.43</v>
      </c>
      <c r="K17" s="172"/>
      <c r="L17" s="170">
        <v>13.72</v>
      </c>
      <c r="M17" s="171">
        <v>13.72</v>
      </c>
      <c r="N17" s="170"/>
      <c r="O17" s="177" t="s">
        <v>76</v>
      </c>
      <c r="P17" s="162" t="s">
        <v>1591</v>
      </c>
      <c r="Q17" s="176">
        <v>44743</v>
      </c>
      <c r="R17" s="174">
        <v>2041</v>
      </c>
      <c r="S17" s="179"/>
      <c r="T17" s="162" t="s">
        <v>24</v>
      </c>
      <c r="U17" s="161" t="s">
        <v>1615</v>
      </c>
      <c r="V17" s="174">
        <v>1844</v>
      </c>
      <c r="W17" s="180"/>
      <c r="X17" s="185">
        <v>45017</v>
      </c>
      <c r="Y17" s="187">
        <v>45022.464386574073</v>
      </c>
    </row>
    <row r="18" spans="1:25">
      <c r="A18" s="166" t="s">
        <v>91</v>
      </c>
      <c r="B18" s="162" t="s">
        <v>1555</v>
      </c>
      <c r="C18" s="165" t="s">
        <v>1621</v>
      </c>
      <c r="D18" s="162" t="s">
        <v>1604</v>
      </c>
      <c r="E18" s="161" t="s">
        <v>1613</v>
      </c>
      <c r="F18" s="162" t="s">
        <v>1614</v>
      </c>
      <c r="G18" s="161"/>
      <c r="H18" s="214">
        <v>1</v>
      </c>
      <c r="I18" s="171"/>
      <c r="J18" s="170">
        <v>0.15</v>
      </c>
      <c r="K18" s="172"/>
      <c r="L18" s="170">
        <v>0.15</v>
      </c>
      <c r="M18" s="171">
        <v>0.15</v>
      </c>
      <c r="N18" s="170"/>
      <c r="O18" s="177" t="s">
        <v>76</v>
      </c>
      <c r="P18" s="162" t="s">
        <v>1591</v>
      </c>
      <c r="Q18" s="176"/>
      <c r="R18" s="174"/>
      <c r="S18" s="179"/>
      <c r="T18" s="162" t="s">
        <v>24</v>
      </c>
      <c r="U18" s="161" t="s">
        <v>1615</v>
      </c>
      <c r="V18" s="174">
        <v>2067</v>
      </c>
      <c r="W18" s="180"/>
      <c r="X18" s="185" t="s">
        <v>259</v>
      </c>
      <c r="Y18" s="187">
        <v>44825.459583333337</v>
      </c>
    </row>
    <row r="19" spans="1:25">
      <c r="A19" s="166" t="s">
        <v>110</v>
      </c>
      <c r="B19" s="162" t="s">
        <v>1555</v>
      </c>
      <c r="C19" s="165" t="s">
        <v>1622</v>
      </c>
      <c r="D19" s="162" t="s">
        <v>1604</v>
      </c>
      <c r="E19" s="161" t="s">
        <v>1613</v>
      </c>
      <c r="F19" s="162" t="s">
        <v>1614</v>
      </c>
      <c r="G19" s="161"/>
      <c r="H19" s="214">
        <v>1</v>
      </c>
      <c r="I19" s="171"/>
      <c r="J19" s="170">
        <v>0.2</v>
      </c>
      <c r="K19" s="172"/>
      <c r="L19" s="170">
        <v>0.2</v>
      </c>
      <c r="M19" s="171">
        <v>0.2</v>
      </c>
      <c r="N19" s="170"/>
      <c r="O19" s="177" t="s">
        <v>76</v>
      </c>
      <c r="P19" s="162" t="s">
        <v>1591</v>
      </c>
      <c r="Q19" s="176"/>
      <c r="R19" s="174"/>
      <c r="S19" s="179"/>
      <c r="T19" s="162" t="s">
        <v>24</v>
      </c>
      <c r="U19" s="161" t="s">
        <v>1615</v>
      </c>
      <c r="V19" s="174">
        <v>2068</v>
      </c>
      <c r="W19" s="180"/>
      <c r="X19" s="185" t="s">
        <v>259</v>
      </c>
      <c r="Y19" s="187">
        <v>44825.463564814818</v>
      </c>
    </row>
    <row r="20" spans="1:25">
      <c r="A20" s="166" t="s">
        <v>110</v>
      </c>
      <c r="B20" s="162" t="s">
        <v>1599</v>
      </c>
      <c r="C20" s="165" t="s">
        <v>1623</v>
      </c>
      <c r="D20" s="162" t="s">
        <v>1624</v>
      </c>
      <c r="E20" s="161" t="s">
        <v>1625</v>
      </c>
      <c r="F20" s="162" t="s">
        <v>1609</v>
      </c>
      <c r="G20" s="161"/>
      <c r="H20" s="214">
        <v>34</v>
      </c>
      <c r="I20" s="171">
        <v>3.6</v>
      </c>
      <c r="J20" s="170">
        <v>3.6</v>
      </c>
      <c r="K20" s="172">
        <v>122.4</v>
      </c>
      <c r="L20" s="170">
        <v>122.4</v>
      </c>
      <c r="M20" s="171">
        <v>122.4</v>
      </c>
      <c r="N20" s="170"/>
      <c r="O20" s="177" t="s">
        <v>1523</v>
      </c>
      <c r="P20" s="162" t="s">
        <v>1620</v>
      </c>
      <c r="Q20" s="176"/>
      <c r="R20" s="174"/>
      <c r="S20" s="179"/>
      <c r="T20" s="162" t="s">
        <v>28</v>
      </c>
      <c r="U20" s="161" t="s">
        <v>16</v>
      </c>
      <c r="V20" s="174">
        <v>1547</v>
      </c>
      <c r="W20" s="180"/>
      <c r="X20" s="185">
        <v>45069</v>
      </c>
      <c r="Y20" s="187">
        <v>43246.276261574072</v>
      </c>
    </row>
    <row r="21" spans="1:25">
      <c r="A21" s="166" t="s">
        <v>45</v>
      </c>
      <c r="B21" s="162" t="s">
        <v>1555</v>
      </c>
      <c r="C21" s="165" t="s">
        <v>1626</v>
      </c>
      <c r="D21" s="162" t="s">
        <v>403</v>
      </c>
      <c r="E21" s="161" t="s">
        <v>1596</v>
      </c>
      <c r="F21" s="162" t="s">
        <v>1627</v>
      </c>
      <c r="G21" s="161"/>
      <c r="H21" s="214">
        <v>1</v>
      </c>
      <c r="I21" s="171">
        <v>1.1200000000000001</v>
      </c>
      <c r="J21" s="170">
        <v>1.1200000000000001</v>
      </c>
      <c r="K21" s="172">
        <v>1.1200000000000001</v>
      </c>
      <c r="L21" s="170">
        <v>1.1200000000000001</v>
      </c>
      <c r="M21" s="171">
        <v>1.1200000000000001</v>
      </c>
      <c r="N21" s="170"/>
      <c r="O21" s="177" t="s">
        <v>76</v>
      </c>
      <c r="P21" s="162" t="s">
        <v>1591</v>
      </c>
      <c r="Q21" s="176"/>
      <c r="R21" s="174">
        <v>2037</v>
      </c>
      <c r="S21" s="179"/>
      <c r="T21" s="162" t="s">
        <v>24</v>
      </c>
      <c r="U21" s="161" t="s">
        <v>18</v>
      </c>
      <c r="V21" s="174">
        <v>1355</v>
      </c>
      <c r="W21" s="180"/>
      <c r="X21" s="185">
        <v>44287</v>
      </c>
      <c r="Y21" s="187">
        <v>44685.51048611111</v>
      </c>
    </row>
    <row r="22" spans="1:25">
      <c r="A22" s="166" t="s">
        <v>77</v>
      </c>
      <c r="B22" s="162" t="s">
        <v>1555</v>
      </c>
      <c r="C22" s="165" t="s">
        <v>1628</v>
      </c>
      <c r="D22" s="162" t="s">
        <v>1604</v>
      </c>
      <c r="E22" s="161" t="s">
        <v>1613</v>
      </c>
      <c r="F22" s="162" t="s">
        <v>1614</v>
      </c>
      <c r="G22" s="161"/>
      <c r="H22" s="214">
        <v>1</v>
      </c>
      <c r="I22" s="171"/>
      <c r="J22" s="170">
        <v>0.93</v>
      </c>
      <c r="K22" s="172"/>
      <c r="L22" s="170">
        <v>0.93</v>
      </c>
      <c r="M22" s="171">
        <v>0.93</v>
      </c>
      <c r="N22" s="170"/>
      <c r="O22" s="177" t="s">
        <v>76</v>
      </c>
      <c r="P22" s="162" t="s">
        <v>1591</v>
      </c>
      <c r="Q22" s="176"/>
      <c r="R22" s="174"/>
      <c r="S22" s="179"/>
      <c r="T22" s="162" t="s">
        <v>24</v>
      </c>
      <c r="U22" s="161" t="s">
        <v>1615</v>
      </c>
      <c r="V22" s="174">
        <v>2069</v>
      </c>
      <c r="W22" s="180"/>
      <c r="X22" s="185" t="s">
        <v>259</v>
      </c>
      <c r="Y22" s="187">
        <v>44825.504976851851</v>
      </c>
    </row>
    <row r="23" spans="1:25">
      <c r="A23" s="166" t="s">
        <v>77</v>
      </c>
      <c r="B23" s="162" t="s">
        <v>1599</v>
      </c>
      <c r="C23" s="165" t="s">
        <v>1629</v>
      </c>
      <c r="D23" s="162" t="s">
        <v>1630</v>
      </c>
      <c r="E23" s="161" t="s">
        <v>1631</v>
      </c>
      <c r="F23" s="162" t="s">
        <v>1614</v>
      </c>
      <c r="G23" s="161"/>
      <c r="H23" s="214">
        <v>143</v>
      </c>
      <c r="I23" s="171">
        <v>2.4500000000000002</v>
      </c>
      <c r="J23" s="170">
        <v>2.4500000000000002</v>
      </c>
      <c r="K23" s="172">
        <v>350</v>
      </c>
      <c r="L23" s="170">
        <v>350</v>
      </c>
      <c r="M23" s="171">
        <v>350</v>
      </c>
      <c r="N23" s="170"/>
      <c r="O23" s="177" t="s">
        <v>1523</v>
      </c>
      <c r="P23" s="162" t="s">
        <v>1620</v>
      </c>
      <c r="Q23" s="176"/>
      <c r="R23" s="174"/>
      <c r="S23" s="179"/>
      <c r="T23" s="162" t="s">
        <v>28</v>
      </c>
      <c r="U23" s="161" t="s">
        <v>1615</v>
      </c>
      <c r="V23" s="174">
        <v>1509</v>
      </c>
      <c r="W23" s="180" t="s">
        <v>1632</v>
      </c>
      <c r="X23" s="185">
        <v>45069</v>
      </c>
      <c r="Y23" s="187">
        <v>45021.434189814812</v>
      </c>
    </row>
    <row r="24" spans="1:25">
      <c r="A24" s="166" t="s">
        <v>110</v>
      </c>
      <c r="B24" s="162" t="s">
        <v>1599</v>
      </c>
      <c r="C24" s="165" t="s">
        <v>1633</v>
      </c>
      <c r="D24" s="162" t="s">
        <v>1634</v>
      </c>
      <c r="E24" s="161" t="s">
        <v>1602</v>
      </c>
      <c r="F24" s="162" t="s">
        <v>1603</v>
      </c>
      <c r="G24" s="161"/>
      <c r="H24" s="214">
        <v>1</v>
      </c>
      <c r="I24" s="171"/>
      <c r="J24" s="170">
        <v>100</v>
      </c>
      <c r="K24" s="172"/>
      <c r="L24" s="170">
        <v>100</v>
      </c>
      <c r="M24" s="171">
        <v>100</v>
      </c>
      <c r="N24" s="170">
        <v>200</v>
      </c>
      <c r="O24" s="177" t="s">
        <v>1523</v>
      </c>
      <c r="P24" s="162" t="s">
        <v>1619</v>
      </c>
      <c r="Q24" s="176">
        <v>46082</v>
      </c>
      <c r="R24" s="174"/>
      <c r="S24" s="179"/>
      <c r="T24" s="162" t="s">
        <v>28</v>
      </c>
      <c r="U24" s="161" t="s">
        <v>19</v>
      </c>
      <c r="V24" s="174">
        <v>2435</v>
      </c>
      <c r="W24" s="180" t="s">
        <v>3963</v>
      </c>
      <c r="X24" s="185">
        <v>45069</v>
      </c>
      <c r="Y24" s="187">
        <v>45099.361458333333</v>
      </c>
    </row>
    <row r="25" spans="1:25">
      <c r="A25" s="166" t="s">
        <v>91</v>
      </c>
      <c r="B25" s="162" t="s">
        <v>1555</v>
      </c>
      <c r="C25" s="165" t="s">
        <v>1178</v>
      </c>
      <c r="D25" s="162" t="s">
        <v>805</v>
      </c>
      <c r="E25" s="161" t="s">
        <v>1589</v>
      </c>
      <c r="F25" s="162" t="s">
        <v>1635</v>
      </c>
      <c r="G25" s="161" t="s">
        <v>1636</v>
      </c>
      <c r="H25" s="214">
        <v>1</v>
      </c>
      <c r="I25" s="171"/>
      <c r="J25" s="170">
        <v>21.6</v>
      </c>
      <c r="K25" s="172"/>
      <c r="L25" s="170">
        <v>21.6</v>
      </c>
      <c r="M25" s="171">
        <v>21.6</v>
      </c>
      <c r="N25" s="170"/>
      <c r="O25" s="177" t="s">
        <v>76</v>
      </c>
      <c r="P25" s="162" t="s">
        <v>1619</v>
      </c>
      <c r="Q25" s="176"/>
      <c r="R25" s="174">
        <v>2070</v>
      </c>
      <c r="S25" s="179"/>
      <c r="T25" s="162" t="s">
        <v>24</v>
      </c>
      <c r="U25" s="161" t="s">
        <v>20</v>
      </c>
      <c r="V25" s="174">
        <v>1002</v>
      </c>
      <c r="W25" s="180"/>
      <c r="X25" s="185">
        <v>45017</v>
      </c>
      <c r="Y25" s="187">
        <v>45077.472048611111</v>
      </c>
    </row>
    <row r="26" spans="1:25">
      <c r="A26" s="166" t="s">
        <v>91</v>
      </c>
      <c r="B26" s="162" t="s">
        <v>1555</v>
      </c>
      <c r="C26" s="165" t="s">
        <v>1178</v>
      </c>
      <c r="D26" s="162" t="s">
        <v>805</v>
      </c>
      <c r="E26" s="161" t="s">
        <v>1589</v>
      </c>
      <c r="F26" s="162" t="s">
        <v>1635</v>
      </c>
      <c r="G26" s="161" t="s">
        <v>1636</v>
      </c>
      <c r="H26" s="214">
        <v>1</v>
      </c>
      <c r="I26" s="171"/>
      <c r="J26" s="170">
        <v>14.4</v>
      </c>
      <c r="K26" s="172"/>
      <c r="L26" s="170">
        <v>14.4</v>
      </c>
      <c r="M26" s="171">
        <v>14.4</v>
      </c>
      <c r="N26" s="170"/>
      <c r="O26" s="177" t="s">
        <v>76</v>
      </c>
      <c r="P26" s="162" t="s">
        <v>1619</v>
      </c>
      <c r="Q26" s="176"/>
      <c r="R26" s="174">
        <v>2070</v>
      </c>
      <c r="S26" s="179"/>
      <c r="T26" s="162" t="s">
        <v>24</v>
      </c>
      <c r="U26" s="161" t="s">
        <v>20</v>
      </c>
      <c r="V26" s="174">
        <v>1002</v>
      </c>
      <c r="W26" s="180"/>
      <c r="X26" s="185">
        <v>45017</v>
      </c>
      <c r="Y26" s="187">
        <v>45077.472048611111</v>
      </c>
    </row>
    <row r="27" spans="1:25">
      <c r="A27" s="166" t="s">
        <v>45</v>
      </c>
      <c r="B27" s="162" t="s">
        <v>1555</v>
      </c>
      <c r="C27" s="165" t="s">
        <v>1637</v>
      </c>
      <c r="D27" s="162" t="s">
        <v>1638</v>
      </c>
      <c r="E27" s="161" t="s">
        <v>1596</v>
      </c>
      <c r="F27" s="162" t="s">
        <v>1639</v>
      </c>
      <c r="G27" s="161" t="s">
        <v>1640</v>
      </c>
      <c r="H27" s="214">
        <v>54</v>
      </c>
      <c r="I27" s="171"/>
      <c r="J27" s="170">
        <v>1.03</v>
      </c>
      <c r="K27" s="172"/>
      <c r="L27" s="170">
        <v>55.62</v>
      </c>
      <c r="M27" s="171">
        <v>55.62</v>
      </c>
      <c r="N27" s="170"/>
      <c r="O27" s="177" t="s">
        <v>76</v>
      </c>
      <c r="P27" s="162" t="s">
        <v>1591</v>
      </c>
      <c r="Q27" s="176"/>
      <c r="R27" s="174">
        <v>2036</v>
      </c>
      <c r="S27" s="179"/>
      <c r="T27" s="162" t="s">
        <v>24</v>
      </c>
      <c r="U27" s="161" t="s">
        <v>14</v>
      </c>
      <c r="V27" s="174">
        <v>1003</v>
      </c>
      <c r="W27" s="180"/>
      <c r="X27" s="185">
        <v>45017</v>
      </c>
      <c r="Y27" s="187">
        <v>45077.474305555559</v>
      </c>
    </row>
    <row r="28" spans="1:25">
      <c r="A28" s="166" t="s">
        <v>45</v>
      </c>
      <c r="B28" s="162" t="s">
        <v>1599</v>
      </c>
      <c r="C28" s="165" t="s">
        <v>1641</v>
      </c>
      <c r="D28" s="162" t="s">
        <v>1642</v>
      </c>
      <c r="E28" s="161" t="s">
        <v>1602</v>
      </c>
      <c r="F28" s="162" t="s">
        <v>1603</v>
      </c>
      <c r="G28" s="161"/>
      <c r="H28" s="214">
        <v>1</v>
      </c>
      <c r="I28" s="171">
        <v>120</v>
      </c>
      <c r="J28" s="170">
        <v>120</v>
      </c>
      <c r="K28" s="172">
        <v>120</v>
      </c>
      <c r="L28" s="170">
        <v>120</v>
      </c>
      <c r="M28" s="171">
        <v>120</v>
      </c>
      <c r="N28" s="170">
        <v>260</v>
      </c>
      <c r="O28" s="177" t="s">
        <v>1523</v>
      </c>
      <c r="P28" s="162" t="s">
        <v>1619</v>
      </c>
      <c r="Q28" s="176"/>
      <c r="R28" s="174"/>
      <c r="S28" s="179"/>
      <c r="T28" s="162" t="s">
        <v>28</v>
      </c>
      <c r="U28" s="161" t="s">
        <v>19</v>
      </c>
      <c r="V28" s="174">
        <v>2200</v>
      </c>
      <c r="W28" s="180" t="s">
        <v>1643</v>
      </c>
      <c r="X28" s="185">
        <v>45069</v>
      </c>
      <c r="Y28" s="187">
        <v>45027.682152777779</v>
      </c>
    </row>
    <row r="29" spans="1:25">
      <c r="A29" s="166" t="s">
        <v>45</v>
      </c>
      <c r="B29" s="162" t="s">
        <v>1599</v>
      </c>
      <c r="C29" s="165" t="s">
        <v>1644</v>
      </c>
      <c r="D29" s="162" t="s">
        <v>1645</v>
      </c>
      <c r="E29" s="161" t="s">
        <v>1625</v>
      </c>
      <c r="F29" s="162" t="s">
        <v>1609</v>
      </c>
      <c r="G29" s="161"/>
      <c r="H29" s="214">
        <v>1</v>
      </c>
      <c r="I29" s="171">
        <v>0</v>
      </c>
      <c r="J29" s="170">
        <v>340</v>
      </c>
      <c r="K29" s="172">
        <v>0</v>
      </c>
      <c r="L29" s="170">
        <v>340</v>
      </c>
      <c r="M29" s="171">
        <v>340</v>
      </c>
      <c r="N29" s="170"/>
      <c r="O29" s="177" t="s">
        <v>1523</v>
      </c>
      <c r="P29" s="162" t="s">
        <v>1620</v>
      </c>
      <c r="Q29" s="176"/>
      <c r="R29" s="174"/>
      <c r="S29" s="179"/>
      <c r="T29" s="162" t="s">
        <v>28</v>
      </c>
      <c r="U29" s="161" t="s">
        <v>16</v>
      </c>
      <c r="V29" s="174">
        <v>1957</v>
      </c>
      <c r="W29" s="180" t="s">
        <v>1646</v>
      </c>
      <c r="X29" s="185">
        <v>45069</v>
      </c>
      <c r="Y29" s="187">
        <v>45097.506469907406</v>
      </c>
    </row>
    <row r="30" spans="1:25">
      <c r="A30" s="166" t="s">
        <v>77</v>
      </c>
      <c r="B30" s="162" t="s">
        <v>1599</v>
      </c>
      <c r="C30" s="165" t="s">
        <v>1647</v>
      </c>
      <c r="D30" s="162" t="s">
        <v>1648</v>
      </c>
      <c r="E30" s="161" t="s">
        <v>1631</v>
      </c>
      <c r="F30" s="164" t="s">
        <v>1614</v>
      </c>
      <c r="G30" s="161"/>
      <c r="H30" s="215">
        <v>1</v>
      </c>
      <c r="I30" s="171"/>
      <c r="J30" s="173">
        <v>101.4</v>
      </c>
      <c r="K30" s="172"/>
      <c r="L30" s="173">
        <v>101.4</v>
      </c>
      <c r="M30" s="171">
        <v>101.4</v>
      </c>
      <c r="N30" s="170"/>
      <c r="O30" s="177" t="s">
        <v>27</v>
      </c>
      <c r="P30" s="162" t="s">
        <v>1620</v>
      </c>
      <c r="Q30" s="176">
        <v>45717</v>
      </c>
      <c r="R30" s="175">
        <v>2048</v>
      </c>
      <c r="S30" s="179"/>
      <c r="T30" s="164" t="s">
        <v>27</v>
      </c>
      <c r="U30" s="161" t="s">
        <v>1615</v>
      </c>
      <c r="V30" s="175">
        <v>1426</v>
      </c>
      <c r="W30" s="181"/>
      <c r="X30" s="186">
        <v>45069</v>
      </c>
      <c r="Y30" s="187">
        <v>45097.40425925926</v>
      </c>
    </row>
    <row r="31" spans="1:25">
      <c r="A31" s="166" t="s">
        <v>110</v>
      </c>
      <c r="B31" s="162" t="s">
        <v>1555</v>
      </c>
      <c r="C31" s="165" t="s">
        <v>1220</v>
      </c>
      <c r="D31" s="162" t="s">
        <v>1649</v>
      </c>
      <c r="E31" s="161" t="s">
        <v>1625</v>
      </c>
      <c r="F31" s="162" t="s">
        <v>1609</v>
      </c>
      <c r="G31" s="161" t="s">
        <v>1650</v>
      </c>
      <c r="H31" s="214">
        <v>75</v>
      </c>
      <c r="I31" s="171"/>
      <c r="J31" s="170">
        <v>3.2</v>
      </c>
      <c r="K31" s="172"/>
      <c r="L31" s="170">
        <v>240</v>
      </c>
      <c r="M31" s="171">
        <v>240</v>
      </c>
      <c r="N31" s="170"/>
      <c r="O31" s="177" t="s">
        <v>76</v>
      </c>
      <c r="P31" s="162" t="s">
        <v>1620</v>
      </c>
      <c r="Q31" s="176"/>
      <c r="R31" s="174">
        <v>2047</v>
      </c>
      <c r="S31" s="179"/>
      <c r="T31" s="162" t="s">
        <v>24</v>
      </c>
      <c r="U31" s="161" t="s">
        <v>16</v>
      </c>
      <c r="V31" s="174">
        <v>1462</v>
      </c>
      <c r="W31" s="180"/>
      <c r="X31" s="185">
        <v>45017</v>
      </c>
      <c r="Y31" s="187">
        <v>45020.710034722222</v>
      </c>
    </row>
    <row r="32" spans="1:25">
      <c r="A32" s="166" t="s">
        <v>45</v>
      </c>
      <c r="B32" s="162" t="s">
        <v>1599</v>
      </c>
      <c r="C32" s="165" t="s">
        <v>1651</v>
      </c>
      <c r="D32" s="162" t="s">
        <v>1652</v>
      </c>
      <c r="E32" s="161" t="s">
        <v>1631</v>
      </c>
      <c r="F32" s="162" t="s">
        <v>1614</v>
      </c>
      <c r="G32" s="161"/>
      <c r="H32" s="214">
        <v>1</v>
      </c>
      <c r="I32" s="171"/>
      <c r="J32" s="170">
        <v>59.8</v>
      </c>
      <c r="K32" s="172"/>
      <c r="L32" s="170">
        <v>59.8</v>
      </c>
      <c r="M32" s="171">
        <v>59.8</v>
      </c>
      <c r="N32" s="170"/>
      <c r="O32" s="177" t="s">
        <v>1523</v>
      </c>
      <c r="P32" s="162" t="s">
        <v>1620</v>
      </c>
      <c r="Q32" s="176"/>
      <c r="R32" s="174"/>
      <c r="S32" s="179"/>
      <c r="T32" s="162" t="s">
        <v>28</v>
      </c>
      <c r="U32" s="161" t="s">
        <v>1615</v>
      </c>
      <c r="V32" s="174">
        <v>1947</v>
      </c>
      <c r="W32" s="180"/>
      <c r="X32" s="185">
        <v>45069</v>
      </c>
      <c r="Y32" s="187">
        <v>45028.471979166665</v>
      </c>
    </row>
    <row r="33" spans="1:25">
      <c r="A33" s="166" t="s">
        <v>45</v>
      </c>
      <c r="B33" s="162" t="s">
        <v>1599</v>
      </c>
      <c r="C33" s="165" t="s">
        <v>1653</v>
      </c>
      <c r="D33" s="162" t="s">
        <v>1654</v>
      </c>
      <c r="E33" s="161" t="s">
        <v>1602</v>
      </c>
      <c r="F33" s="164" t="s">
        <v>1603</v>
      </c>
      <c r="G33" s="161"/>
      <c r="H33" s="215">
        <v>1</v>
      </c>
      <c r="I33" s="171">
        <v>150</v>
      </c>
      <c r="J33" s="173">
        <v>150</v>
      </c>
      <c r="K33" s="172">
        <v>150</v>
      </c>
      <c r="L33" s="173">
        <v>150</v>
      </c>
      <c r="M33" s="171">
        <v>150</v>
      </c>
      <c r="N33" s="170">
        <v>300</v>
      </c>
      <c r="O33" s="177" t="s">
        <v>1523</v>
      </c>
      <c r="P33" s="162" t="s">
        <v>1619</v>
      </c>
      <c r="Q33" s="176"/>
      <c r="R33" s="175"/>
      <c r="S33" s="179"/>
      <c r="T33" s="164" t="s">
        <v>28</v>
      </c>
      <c r="U33" s="161" t="s">
        <v>19</v>
      </c>
      <c r="V33" s="175">
        <v>2512</v>
      </c>
      <c r="W33" s="181"/>
      <c r="X33" s="186" t="s">
        <v>259</v>
      </c>
      <c r="Y33" s="187">
        <v>45078.586238425924</v>
      </c>
    </row>
    <row r="34" spans="1:25">
      <c r="A34" s="166" t="s">
        <v>45</v>
      </c>
      <c r="B34" s="162" t="s">
        <v>1599</v>
      </c>
      <c r="C34" s="165" t="s">
        <v>1655</v>
      </c>
      <c r="D34" s="162" t="s">
        <v>1656</v>
      </c>
      <c r="E34" s="161" t="s">
        <v>1657</v>
      </c>
      <c r="F34" s="162" t="s">
        <v>1658</v>
      </c>
      <c r="G34" s="161"/>
      <c r="H34" s="214">
        <v>1</v>
      </c>
      <c r="I34" s="171"/>
      <c r="J34" s="170">
        <v>600</v>
      </c>
      <c r="K34" s="172"/>
      <c r="L34" s="170">
        <v>600</v>
      </c>
      <c r="M34" s="171">
        <v>600</v>
      </c>
      <c r="N34" s="170">
        <v>0</v>
      </c>
      <c r="O34" s="177" t="s">
        <v>1523</v>
      </c>
      <c r="P34" s="162" t="s">
        <v>1619</v>
      </c>
      <c r="Q34" s="176"/>
      <c r="R34" s="174"/>
      <c r="S34" s="179"/>
      <c r="T34" s="162" t="s">
        <v>28</v>
      </c>
      <c r="U34" s="161" t="s">
        <v>17</v>
      </c>
      <c r="V34" s="174">
        <v>2062</v>
      </c>
      <c r="W34" s="180"/>
      <c r="X34" s="185">
        <v>45017</v>
      </c>
      <c r="Y34" s="187">
        <v>44824.69159722222</v>
      </c>
    </row>
    <row r="35" spans="1:25">
      <c r="A35" s="166" t="s">
        <v>91</v>
      </c>
      <c r="B35" s="162" t="s">
        <v>1599</v>
      </c>
      <c r="C35" s="165" t="s">
        <v>1659</v>
      </c>
      <c r="D35" s="162" t="s">
        <v>1660</v>
      </c>
      <c r="E35" s="161" t="s">
        <v>1602</v>
      </c>
      <c r="F35" s="162" t="s">
        <v>1603</v>
      </c>
      <c r="G35" s="161"/>
      <c r="H35" s="214">
        <v>1</v>
      </c>
      <c r="I35" s="171">
        <v>140</v>
      </c>
      <c r="J35" s="170">
        <v>140</v>
      </c>
      <c r="K35" s="172">
        <v>140</v>
      </c>
      <c r="L35" s="170">
        <v>140</v>
      </c>
      <c r="M35" s="171">
        <v>140</v>
      </c>
      <c r="N35" s="170">
        <v>140</v>
      </c>
      <c r="O35" s="177" t="s">
        <v>1523</v>
      </c>
      <c r="P35" s="162" t="s">
        <v>1619</v>
      </c>
      <c r="Q35" s="176"/>
      <c r="R35" s="174">
        <v>2052</v>
      </c>
      <c r="S35" s="179"/>
      <c r="T35" s="162" t="s">
        <v>28</v>
      </c>
      <c r="U35" s="161" t="s">
        <v>19</v>
      </c>
      <c r="V35" s="174">
        <v>1390</v>
      </c>
      <c r="W35" s="180"/>
      <c r="X35" s="185">
        <v>45069</v>
      </c>
      <c r="Y35" s="187">
        <v>45020.601597222223</v>
      </c>
    </row>
    <row r="36" spans="1:25" ht="21">
      <c r="A36" s="166" t="s">
        <v>110</v>
      </c>
      <c r="B36" s="162" t="s">
        <v>1599</v>
      </c>
      <c r="C36" s="165" t="s">
        <v>1661</v>
      </c>
      <c r="D36" s="162" t="s">
        <v>1662</v>
      </c>
      <c r="E36" s="161" t="s">
        <v>1631</v>
      </c>
      <c r="F36" s="162" t="s">
        <v>1614</v>
      </c>
      <c r="G36" s="161"/>
      <c r="H36" s="214">
        <v>1</v>
      </c>
      <c r="I36" s="171"/>
      <c r="J36" s="170">
        <v>7.25</v>
      </c>
      <c r="K36" s="172"/>
      <c r="L36" s="170">
        <v>7.25</v>
      </c>
      <c r="M36" s="171">
        <v>7.25</v>
      </c>
      <c r="N36" s="170"/>
      <c r="O36" s="177" t="s">
        <v>1523</v>
      </c>
      <c r="P36" s="162" t="s">
        <v>1604</v>
      </c>
      <c r="Q36" s="176"/>
      <c r="R36" s="174"/>
      <c r="S36" s="179"/>
      <c r="T36" s="162" t="s">
        <v>28</v>
      </c>
      <c r="U36" s="161" t="s">
        <v>1615</v>
      </c>
      <c r="V36" s="174">
        <v>1721</v>
      </c>
      <c r="W36" s="180"/>
      <c r="X36" s="185">
        <v>45017</v>
      </c>
      <c r="Y36" s="187">
        <v>43559.620486111111</v>
      </c>
    </row>
    <row r="37" spans="1:25">
      <c r="A37" s="166" t="s">
        <v>91</v>
      </c>
      <c r="B37" s="162" t="s">
        <v>1599</v>
      </c>
      <c r="C37" s="165" t="s">
        <v>1663</v>
      </c>
      <c r="D37" s="162" t="s">
        <v>1664</v>
      </c>
      <c r="E37" s="161" t="s">
        <v>1631</v>
      </c>
      <c r="F37" s="162" t="s">
        <v>1614</v>
      </c>
      <c r="G37" s="161"/>
      <c r="H37" s="214">
        <v>1</v>
      </c>
      <c r="I37" s="171">
        <v>0</v>
      </c>
      <c r="J37" s="170">
        <v>200</v>
      </c>
      <c r="K37" s="172">
        <v>0</v>
      </c>
      <c r="L37" s="170">
        <v>200</v>
      </c>
      <c r="M37" s="171">
        <v>200</v>
      </c>
      <c r="N37" s="170"/>
      <c r="O37" s="177" t="s">
        <v>1523</v>
      </c>
      <c r="P37" s="162" t="s">
        <v>1620</v>
      </c>
      <c r="Q37" s="176"/>
      <c r="R37" s="174"/>
      <c r="S37" s="179"/>
      <c r="T37" s="162" t="s">
        <v>28</v>
      </c>
      <c r="U37" s="161" t="s">
        <v>1615</v>
      </c>
      <c r="V37" s="174">
        <v>1952</v>
      </c>
      <c r="W37" s="180" t="s">
        <v>1665</v>
      </c>
      <c r="X37" s="185">
        <v>45069</v>
      </c>
      <c r="Y37" s="187">
        <v>45028.477083333331</v>
      </c>
    </row>
    <row r="38" spans="1:25">
      <c r="A38" s="166" t="s">
        <v>45</v>
      </c>
      <c r="B38" s="162" t="s">
        <v>1555</v>
      </c>
      <c r="C38" s="165" t="s">
        <v>488</v>
      </c>
      <c r="D38" s="162" t="s">
        <v>489</v>
      </c>
      <c r="E38" s="161" t="s">
        <v>1631</v>
      </c>
      <c r="F38" s="162" t="s">
        <v>1614</v>
      </c>
      <c r="G38" s="161"/>
      <c r="H38" s="214">
        <v>70</v>
      </c>
      <c r="I38" s="171">
        <v>0</v>
      </c>
      <c r="J38" s="170">
        <v>3.63</v>
      </c>
      <c r="K38" s="172">
        <v>0</v>
      </c>
      <c r="L38" s="170">
        <v>254.1</v>
      </c>
      <c r="M38" s="171">
        <v>254.1</v>
      </c>
      <c r="N38" s="170"/>
      <c r="O38" s="177" t="s">
        <v>401</v>
      </c>
      <c r="P38" s="162" t="s">
        <v>1620</v>
      </c>
      <c r="Q38" s="176">
        <v>45078</v>
      </c>
      <c r="R38" s="174">
        <v>2058</v>
      </c>
      <c r="S38" s="179"/>
      <c r="T38" s="162" t="s">
        <v>24</v>
      </c>
      <c r="U38" s="161" t="s">
        <v>1615</v>
      </c>
      <c r="V38" s="174">
        <v>1715</v>
      </c>
      <c r="W38" s="180"/>
      <c r="X38" s="185">
        <v>45017</v>
      </c>
      <c r="Y38" s="187">
        <v>45021.653715277775</v>
      </c>
    </row>
    <row r="39" spans="1:25">
      <c r="A39" s="166" t="s">
        <v>45</v>
      </c>
      <c r="B39" s="162" t="s">
        <v>1555</v>
      </c>
      <c r="C39" s="165" t="s">
        <v>1666</v>
      </c>
      <c r="D39" s="162" t="s">
        <v>403</v>
      </c>
      <c r="E39" s="161" t="s">
        <v>1596</v>
      </c>
      <c r="F39" s="162" t="s">
        <v>1603</v>
      </c>
      <c r="G39" s="161" t="s">
        <v>1667</v>
      </c>
      <c r="H39" s="214">
        <v>1</v>
      </c>
      <c r="I39" s="171"/>
      <c r="J39" s="170">
        <v>0.85</v>
      </c>
      <c r="K39" s="172"/>
      <c r="L39" s="170">
        <v>0.85</v>
      </c>
      <c r="M39" s="171">
        <v>0.85</v>
      </c>
      <c r="N39" s="170"/>
      <c r="O39" s="177" t="s">
        <v>76</v>
      </c>
      <c r="P39" s="162" t="s">
        <v>1591</v>
      </c>
      <c r="Q39" s="176"/>
      <c r="R39" s="174">
        <v>2040</v>
      </c>
      <c r="S39" s="179"/>
      <c r="T39" s="162" t="s">
        <v>24</v>
      </c>
      <c r="U39" s="161" t="s">
        <v>20</v>
      </c>
      <c r="V39" s="174">
        <v>1004</v>
      </c>
      <c r="W39" s="180"/>
      <c r="X39" s="185">
        <v>44805</v>
      </c>
      <c r="Y39" s="187">
        <v>44981.380798611113</v>
      </c>
    </row>
    <row r="40" spans="1:25">
      <c r="A40" s="166" t="s">
        <v>110</v>
      </c>
      <c r="B40" s="162" t="s">
        <v>1599</v>
      </c>
      <c r="C40" s="165" t="s">
        <v>1668</v>
      </c>
      <c r="D40" s="162" t="s">
        <v>1669</v>
      </c>
      <c r="E40" s="161" t="s">
        <v>1631</v>
      </c>
      <c r="F40" s="162" t="s">
        <v>1614</v>
      </c>
      <c r="G40" s="161"/>
      <c r="H40" s="214">
        <v>1</v>
      </c>
      <c r="I40" s="171">
        <v>0</v>
      </c>
      <c r="J40" s="170">
        <v>140</v>
      </c>
      <c r="K40" s="172">
        <v>0</v>
      </c>
      <c r="L40" s="170">
        <v>140</v>
      </c>
      <c r="M40" s="171">
        <v>140</v>
      </c>
      <c r="N40" s="170"/>
      <c r="O40" s="177" t="s">
        <v>1523</v>
      </c>
      <c r="P40" s="162" t="s">
        <v>1620</v>
      </c>
      <c r="Q40" s="176"/>
      <c r="R40" s="174"/>
      <c r="S40" s="179"/>
      <c r="T40" s="162" t="s">
        <v>28</v>
      </c>
      <c r="U40" s="161" t="s">
        <v>1615</v>
      </c>
      <c r="V40" s="174">
        <v>1958</v>
      </c>
      <c r="W40" s="180" t="s">
        <v>1670</v>
      </c>
      <c r="X40" s="185">
        <v>45069</v>
      </c>
      <c r="Y40" s="187">
        <v>45097.510393518518</v>
      </c>
    </row>
    <row r="41" spans="1:25">
      <c r="A41" s="166" t="s">
        <v>110</v>
      </c>
      <c r="B41" s="162" t="s">
        <v>1599</v>
      </c>
      <c r="C41" s="165" t="s">
        <v>1668</v>
      </c>
      <c r="D41" s="162" t="s">
        <v>1669</v>
      </c>
      <c r="E41" s="161" t="s">
        <v>1602</v>
      </c>
      <c r="F41" s="162" t="s">
        <v>1603</v>
      </c>
      <c r="G41" s="161"/>
      <c r="H41" s="214">
        <v>1</v>
      </c>
      <c r="I41" s="171"/>
      <c r="J41" s="170">
        <v>50</v>
      </c>
      <c r="K41" s="172"/>
      <c r="L41" s="170">
        <v>50</v>
      </c>
      <c r="M41" s="171">
        <v>50</v>
      </c>
      <c r="N41" s="170">
        <v>100</v>
      </c>
      <c r="O41" s="177" t="s">
        <v>1523</v>
      </c>
      <c r="P41" s="162" t="s">
        <v>1619</v>
      </c>
      <c r="Q41" s="176"/>
      <c r="R41" s="174"/>
      <c r="S41" s="179"/>
      <c r="T41" s="162" t="s">
        <v>28</v>
      </c>
      <c r="U41" s="161" t="s">
        <v>19</v>
      </c>
      <c r="V41" s="174">
        <v>1958</v>
      </c>
      <c r="W41" s="180" t="s">
        <v>1670</v>
      </c>
      <c r="X41" s="185">
        <v>45069</v>
      </c>
      <c r="Y41" s="187">
        <v>45097.510393518518</v>
      </c>
    </row>
    <row r="42" spans="1:25">
      <c r="A42" s="166" t="s">
        <v>110</v>
      </c>
      <c r="B42" s="162" t="s">
        <v>1555</v>
      </c>
      <c r="C42" s="165" t="s">
        <v>1671</v>
      </c>
      <c r="D42" s="162" t="s">
        <v>1672</v>
      </c>
      <c r="E42" s="161" t="s">
        <v>1673</v>
      </c>
      <c r="F42" s="162" t="s">
        <v>1592</v>
      </c>
      <c r="G42" s="161" t="s">
        <v>1674</v>
      </c>
      <c r="H42" s="214">
        <v>1</v>
      </c>
      <c r="I42" s="171"/>
      <c r="J42" s="170">
        <v>47</v>
      </c>
      <c r="K42" s="172"/>
      <c r="L42" s="170">
        <v>47</v>
      </c>
      <c r="M42" s="171">
        <v>47</v>
      </c>
      <c r="N42" s="170"/>
      <c r="O42" s="177" t="s">
        <v>76</v>
      </c>
      <c r="P42" s="162" t="s">
        <v>1619</v>
      </c>
      <c r="Q42" s="176"/>
      <c r="R42" s="174">
        <v>2042</v>
      </c>
      <c r="S42" s="179"/>
      <c r="T42" s="162" t="s">
        <v>24</v>
      </c>
      <c r="U42" s="161" t="s">
        <v>13</v>
      </c>
      <c r="V42" s="174">
        <v>1005</v>
      </c>
      <c r="W42" s="180"/>
      <c r="X42" s="185">
        <v>45017</v>
      </c>
      <c r="Y42" s="187">
        <v>45019.385763888888</v>
      </c>
    </row>
    <row r="43" spans="1:25">
      <c r="A43" s="166" t="s">
        <v>110</v>
      </c>
      <c r="B43" s="162" t="s">
        <v>1555</v>
      </c>
      <c r="C43" s="165" t="s">
        <v>1671</v>
      </c>
      <c r="D43" s="162" t="s">
        <v>1672</v>
      </c>
      <c r="E43" s="161" t="s">
        <v>1673</v>
      </c>
      <c r="F43" s="162" t="s">
        <v>1592</v>
      </c>
      <c r="G43" s="161" t="s">
        <v>1675</v>
      </c>
      <c r="H43" s="214">
        <v>1</v>
      </c>
      <c r="I43" s="171"/>
      <c r="J43" s="170">
        <v>47</v>
      </c>
      <c r="K43" s="172"/>
      <c r="L43" s="170">
        <v>47</v>
      </c>
      <c r="M43" s="171">
        <v>47</v>
      </c>
      <c r="N43" s="170"/>
      <c r="O43" s="177" t="s">
        <v>76</v>
      </c>
      <c r="P43" s="162" t="s">
        <v>1619</v>
      </c>
      <c r="Q43" s="176"/>
      <c r="R43" s="174">
        <v>2042</v>
      </c>
      <c r="S43" s="179"/>
      <c r="T43" s="162" t="s">
        <v>24</v>
      </c>
      <c r="U43" s="161" t="s">
        <v>13</v>
      </c>
      <c r="V43" s="174">
        <v>1005</v>
      </c>
      <c r="W43" s="180"/>
      <c r="X43" s="185">
        <v>45017</v>
      </c>
      <c r="Y43" s="187">
        <v>45019.385763888888</v>
      </c>
    </row>
    <row r="44" spans="1:25">
      <c r="A44" s="166" t="s">
        <v>110</v>
      </c>
      <c r="B44" s="162" t="s">
        <v>1599</v>
      </c>
      <c r="C44" s="165" t="s">
        <v>1676</v>
      </c>
      <c r="D44" s="162" t="s">
        <v>1677</v>
      </c>
      <c r="E44" s="161" t="s">
        <v>1602</v>
      </c>
      <c r="F44" s="162" t="s">
        <v>1603</v>
      </c>
      <c r="G44" s="161"/>
      <c r="H44" s="214">
        <v>1</v>
      </c>
      <c r="I44" s="171"/>
      <c r="J44" s="170">
        <v>85</v>
      </c>
      <c r="K44" s="172"/>
      <c r="L44" s="170">
        <v>85</v>
      </c>
      <c r="M44" s="171">
        <v>85</v>
      </c>
      <c r="N44" s="170">
        <v>85</v>
      </c>
      <c r="O44" s="177" t="s">
        <v>1523</v>
      </c>
      <c r="P44" s="162" t="s">
        <v>1619</v>
      </c>
      <c r="Q44" s="176"/>
      <c r="R44" s="174"/>
      <c r="S44" s="179"/>
      <c r="T44" s="162" t="s">
        <v>28</v>
      </c>
      <c r="U44" s="161" t="s">
        <v>19</v>
      </c>
      <c r="V44" s="174">
        <v>2263</v>
      </c>
      <c r="W44" s="180"/>
      <c r="X44" s="185">
        <v>45069</v>
      </c>
      <c r="Y44" s="187">
        <v>44981.426828703705</v>
      </c>
    </row>
    <row r="45" spans="1:25">
      <c r="A45" s="166" t="s">
        <v>45</v>
      </c>
      <c r="B45" s="162" t="s">
        <v>1555</v>
      </c>
      <c r="C45" s="165" t="s">
        <v>1678</v>
      </c>
      <c r="D45" s="162" t="s">
        <v>1604</v>
      </c>
      <c r="E45" s="161" t="s">
        <v>1613</v>
      </c>
      <c r="F45" s="162" t="s">
        <v>1614</v>
      </c>
      <c r="G45" s="161"/>
      <c r="H45" s="214">
        <v>1</v>
      </c>
      <c r="I45" s="171"/>
      <c r="J45" s="170">
        <v>0.23</v>
      </c>
      <c r="K45" s="172"/>
      <c r="L45" s="170">
        <v>0.23</v>
      </c>
      <c r="M45" s="171">
        <v>0.23</v>
      </c>
      <c r="N45" s="170"/>
      <c r="O45" s="177" t="s">
        <v>76</v>
      </c>
      <c r="P45" s="162" t="s">
        <v>1591</v>
      </c>
      <c r="Q45" s="176"/>
      <c r="R45" s="174"/>
      <c r="S45" s="179"/>
      <c r="T45" s="162" t="s">
        <v>24</v>
      </c>
      <c r="U45" s="161" t="s">
        <v>1615</v>
      </c>
      <c r="V45" s="174">
        <v>2070</v>
      </c>
      <c r="W45" s="180"/>
      <c r="X45" s="185" t="s">
        <v>259</v>
      </c>
      <c r="Y45" s="187">
        <v>44825.509479166663</v>
      </c>
    </row>
    <row r="46" spans="1:25">
      <c r="A46" s="166" t="s">
        <v>77</v>
      </c>
      <c r="B46" s="162" t="s">
        <v>1599</v>
      </c>
      <c r="C46" s="165" t="s">
        <v>1679</v>
      </c>
      <c r="D46" s="162" t="s">
        <v>1680</v>
      </c>
      <c r="E46" s="161" t="s">
        <v>1602</v>
      </c>
      <c r="F46" s="162" t="s">
        <v>1614</v>
      </c>
      <c r="G46" s="161"/>
      <c r="H46" s="214">
        <v>1</v>
      </c>
      <c r="I46" s="171">
        <v>400</v>
      </c>
      <c r="J46" s="170">
        <v>400</v>
      </c>
      <c r="K46" s="172">
        <v>400</v>
      </c>
      <c r="L46" s="170">
        <v>400</v>
      </c>
      <c r="M46" s="171">
        <v>400</v>
      </c>
      <c r="N46" s="170">
        <v>0</v>
      </c>
      <c r="O46" s="177" t="s">
        <v>1523</v>
      </c>
      <c r="P46" s="162" t="s">
        <v>1604</v>
      </c>
      <c r="Q46" s="176"/>
      <c r="R46" s="174"/>
      <c r="S46" s="179"/>
      <c r="T46" s="162" t="s">
        <v>28</v>
      </c>
      <c r="U46" s="161" t="s">
        <v>19</v>
      </c>
      <c r="V46" s="174">
        <v>2278</v>
      </c>
      <c r="W46" s="180" t="s">
        <v>1681</v>
      </c>
      <c r="X46" s="185">
        <v>45017</v>
      </c>
      <c r="Y46" s="187">
        <v>45043.510150462964</v>
      </c>
    </row>
    <row r="47" spans="1:25">
      <c r="A47" s="166" t="s">
        <v>77</v>
      </c>
      <c r="B47" s="162" t="s">
        <v>1599</v>
      </c>
      <c r="C47" s="165" t="s">
        <v>1682</v>
      </c>
      <c r="D47" s="162" t="s">
        <v>1680</v>
      </c>
      <c r="E47" s="161" t="s">
        <v>1613</v>
      </c>
      <c r="F47" s="162" t="s">
        <v>1614</v>
      </c>
      <c r="G47" s="161"/>
      <c r="H47" s="214">
        <v>1</v>
      </c>
      <c r="I47" s="171">
        <v>250</v>
      </c>
      <c r="J47" s="170">
        <v>250</v>
      </c>
      <c r="K47" s="172">
        <v>250</v>
      </c>
      <c r="L47" s="170">
        <v>250</v>
      </c>
      <c r="M47" s="171">
        <v>250</v>
      </c>
      <c r="N47" s="170"/>
      <c r="O47" s="177" t="s">
        <v>1523</v>
      </c>
      <c r="P47" s="162" t="s">
        <v>1604</v>
      </c>
      <c r="Q47" s="176"/>
      <c r="R47" s="174"/>
      <c r="S47" s="179"/>
      <c r="T47" s="162" t="s">
        <v>28</v>
      </c>
      <c r="U47" s="161" t="s">
        <v>1615</v>
      </c>
      <c r="V47" s="174">
        <v>2277</v>
      </c>
      <c r="W47" s="180" t="s">
        <v>1681</v>
      </c>
      <c r="X47" s="185">
        <v>45017</v>
      </c>
      <c r="Y47" s="187">
        <v>44944.431192129632</v>
      </c>
    </row>
    <row r="48" spans="1:25">
      <c r="A48" s="166" t="s">
        <v>77</v>
      </c>
      <c r="B48" s="162" t="s">
        <v>1555</v>
      </c>
      <c r="C48" s="165" t="s">
        <v>1683</v>
      </c>
      <c r="D48" s="162" t="s">
        <v>1684</v>
      </c>
      <c r="E48" s="161" t="s">
        <v>1631</v>
      </c>
      <c r="F48" s="162" t="s">
        <v>1614</v>
      </c>
      <c r="G48" s="161"/>
      <c r="H48" s="214">
        <v>1</v>
      </c>
      <c r="I48" s="171">
        <v>14.7</v>
      </c>
      <c r="J48" s="170">
        <v>14.7</v>
      </c>
      <c r="K48" s="172">
        <v>14.7</v>
      </c>
      <c r="L48" s="170">
        <v>14.7</v>
      </c>
      <c r="M48" s="171">
        <v>14.7</v>
      </c>
      <c r="N48" s="170"/>
      <c r="O48" s="177" t="s">
        <v>76</v>
      </c>
      <c r="P48" s="162" t="s">
        <v>1591</v>
      </c>
      <c r="Q48" s="176">
        <v>43344</v>
      </c>
      <c r="R48" s="174">
        <v>2044</v>
      </c>
      <c r="S48" s="179"/>
      <c r="T48" s="162" t="s">
        <v>24</v>
      </c>
      <c r="U48" s="161" t="s">
        <v>1615</v>
      </c>
      <c r="V48" s="174">
        <v>1642</v>
      </c>
      <c r="W48" s="180"/>
      <c r="X48" s="185">
        <v>44805</v>
      </c>
      <c r="Y48" s="187">
        <v>45029.465127314812</v>
      </c>
    </row>
    <row r="49" spans="1:25">
      <c r="A49" s="166" t="s">
        <v>110</v>
      </c>
      <c r="B49" s="162" t="s">
        <v>1555</v>
      </c>
      <c r="C49" s="165" t="s">
        <v>1685</v>
      </c>
      <c r="D49" s="162" t="s">
        <v>1686</v>
      </c>
      <c r="E49" s="161" t="s">
        <v>1625</v>
      </c>
      <c r="F49" s="162" t="s">
        <v>1609</v>
      </c>
      <c r="G49" s="161" t="s">
        <v>1687</v>
      </c>
      <c r="H49" s="214">
        <v>52</v>
      </c>
      <c r="I49" s="171"/>
      <c r="J49" s="170">
        <v>2.0499999999999998</v>
      </c>
      <c r="K49" s="172"/>
      <c r="L49" s="170">
        <v>106.6</v>
      </c>
      <c r="M49" s="171">
        <v>106.6</v>
      </c>
      <c r="N49" s="170"/>
      <c r="O49" s="177" t="s">
        <v>76</v>
      </c>
      <c r="P49" s="162" t="s">
        <v>1620</v>
      </c>
      <c r="Q49" s="176"/>
      <c r="R49" s="174">
        <v>2040</v>
      </c>
      <c r="S49" s="179"/>
      <c r="T49" s="162" t="s">
        <v>24</v>
      </c>
      <c r="U49" s="161" t="s">
        <v>16</v>
      </c>
      <c r="V49" s="174">
        <v>1006</v>
      </c>
      <c r="W49" s="180"/>
      <c r="X49" s="185">
        <v>45017</v>
      </c>
      <c r="Y49" s="187">
        <v>45014.564571759256</v>
      </c>
    </row>
    <row r="50" spans="1:25">
      <c r="A50" s="166" t="s">
        <v>45</v>
      </c>
      <c r="B50" s="162" t="s">
        <v>1599</v>
      </c>
      <c r="C50" s="165" t="s">
        <v>1688</v>
      </c>
      <c r="D50" s="162" t="s">
        <v>1689</v>
      </c>
      <c r="E50" s="161" t="s">
        <v>1625</v>
      </c>
      <c r="F50" s="162" t="s">
        <v>1609</v>
      </c>
      <c r="G50" s="161"/>
      <c r="H50" s="214">
        <v>1</v>
      </c>
      <c r="I50" s="171">
        <v>300</v>
      </c>
      <c r="J50" s="170">
        <v>300</v>
      </c>
      <c r="K50" s="172">
        <v>300</v>
      </c>
      <c r="L50" s="170">
        <v>300</v>
      </c>
      <c r="M50" s="171">
        <v>300</v>
      </c>
      <c r="N50" s="170"/>
      <c r="O50" s="177" t="s">
        <v>1523</v>
      </c>
      <c r="P50" s="162" t="s">
        <v>1620</v>
      </c>
      <c r="Q50" s="176"/>
      <c r="R50" s="174"/>
      <c r="S50" s="179"/>
      <c r="T50" s="162" t="s">
        <v>28</v>
      </c>
      <c r="U50" s="161" t="s">
        <v>16</v>
      </c>
      <c r="V50" s="174">
        <v>2213</v>
      </c>
      <c r="W50" s="180" t="s">
        <v>1690</v>
      </c>
      <c r="X50" s="185">
        <v>45069</v>
      </c>
      <c r="Y50" s="187">
        <v>45103.867071759261</v>
      </c>
    </row>
    <row r="51" spans="1:25">
      <c r="A51" s="166" t="s">
        <v>110</v>
      </c>
      <c r="B51" s="162" t="s">
        <v>1555</v>
      </c>
      <c r="C51" s="165" t="s">
        <v>1691</v>
      </c>
      <c r="D51" s="162" t="s">
        <v>185</v>
      </c>
      <c r="E51" s="161" t="s">
        <v>1596</v>
      </c>
      <c r="F51" s="162" t="s">
        <v>1627</v>
      </c>
      <c r="G51" s="161"/>
      <c r="H51" s="214">
        <v>2</v>
      </c>
      <c r="I51" s="171"/>
      <c r="J51" s="170">
        <v>0.79</v>
      </c>
      <c r="K51" s="172"/>
      <c r="L51" s="170">
        <v>1.58</v>
      </c>
      <c r="M51" s="171">
        <v>1.58</v>
      </c>
      <c r="N51" s="170"/>
      <c r="O51" s="177" t="s">
        <v>76</v>
      </c>
      <c r="P51" s="162" t="s">
        <v>1591</v>
      </c>
      <c r="Q51" s="176"/>
      <c r="R51" s="174">
        <v>2042</v>
      </c>
      <c r="S51" s="179"/>
      <c r="T51" s="162" t="s">
        <v>24</v>
      </c>
      <c r="U51" s="161" t="s">
        <v>18</v>
      </c>
      <c r="V51" s="174">
        <v>1340</v>
      </c>
      <c r="W51" s="180"/>
      <c r="X51" s="185">
        <v>44805</v>
      </c>
      <c r="Y51" s="187">
        <v>44981.412893518522</v>
      </c>
    </row>
    <row r="52" spans="1:25">
      <c r="A52" s="166" t="s">
        <v>110</v>
      </c>
      <c r="B52" s="162" t="s">
        <v>1555</v>
      </c>
      <c r="C52" s="165" t="s">
        <v>1692</v>
      </c>
      <c r="D52" s="162" t="s">
        <v>1693</v>
      </c>
      <c r="E52" s="161" t="s">
        <v>1589</v>
      </c>
      <c r="F52" s="162" t="s">
        <v>1635</v>
      </c>
      <c r="G52" s="161" t="s">
        <v>1694</v>
      </c>
      <c r="H52" s="214">
        <v>2</v>
      </c>
      <c r="I52" s="171">
        <v>0.8</v>
      </c>
      <c r="J52" s="170">
        <v>0.8</v>
      </c>
      <c r="K52" s="172">
        <v>1.6</v>
      </c>
      <c r="L52" s="170">
        <v>1.6</v>
      </c>
      <c r="M52" s="171">
        <v>1.6</v>
      </c>
      <c r="N52" s="170">
        <v>0</v>
      </c>
      <c r="O52" s="177" t="s">
        <v>76</v>
      </c>
      <c r="P52" s="162" t="s">
        <v>1591</v>
      </c>
      <c r="Q52" s="176"/>
      <c r="R52" s="174"/>
      <c r="S52" s="179"/>
      <c r="T52" s="162" t="s">
        <v>24</v>
      </c>
      <c r="U52" s="161" t="s">
        <v>20</v>
      </c>
      <c r="V52" s="174">
        <v>1007</v>
      </c>
      <c r="W52" s="180"/>
      <c r="X52" s="185">
        <v>44287</v>
      </c>
      <c r="Y52" s="187">
        <v>44981.433969907404</v>
      </c>
    </row>
    <row r="53" spans="1:25">
      <c r="A53" s="166" t="s">
        <v>110</v>
      </c>
      <c r="B53" s="162" t="s">
        <v>1555</v>
      </c>
      <c r="C53" s="165" t="s">
        <v>908</v>
      </c>
      <c r="D53" s="162" t="s">
        <v>1634</v>
      </c>
      <c r="E53" s="161" t="s">
        <v>1602</v>
      </c>
      <c r="F53" s="162" t="s">
        <v>1603</v>
      </c>
      <c r="G53" s="161" t="s">
        <v>1695</v>
      </c>
      <c r="H53" s="214">
        <v>1</v>
      </c>
      <c r="I53" s="171"/>
      <c r="J53" s="170">
        <v>30</v>
      </c>
      <c r="K53" s="172"/>
      <c r="L53" s="170">
        <v>30</v>
      </c>
      <c r="M53" s="171">
        <v>30</v>
      </c>
      <c r="N53" s="170">
        <v>30</v>
      </c>
      <c r="O53" s="177" t="s">
        <v>76</v>
      </c>
      <c r="P53" s="162" t="s">
        <v>1619</v>
      </c>
      <c r="Q53" s="176"/>
      <c r="R53" s="174">
        <v>2033</v>
      </c>
      <c r="S53" s="179"/>
      <c r="T53" s="162" t="s">
        <v>24</v>
      </c>
      <c r="U53" s="161" t="s">
        <v>19</v>
      </c>
      <c r="V53" s="174">
        <v>1469</v>
      </c>
      <c r="W53" s="180"/>
      <c r="X53" s="185">
        <v>45017</v>
      </c>
      <c r="Y53" s="187">
        <v>45021.403310185182</v>
      </c>
    </row>
    <row r="54" spans="1:25">
      <c r="A54" s="166" t="s">
        <v>77</v>
      </c>
      <c r="B54" s="162" t="s">
        <v>1599</v>
      </c>
      <c r="C54" s="165" t="s">
        <v>1696</v>
      </c>
      <c r="D54" s="162" t="s">
        <v>1697</v>
      </c>
      <c r="E54" s="161" t="s">
        <v>1625</v>
      </c>
      <c r="F54" s="162" t="s">
        <v>1609</v>
      </c>
      <c r="G54" s="161"/>
      <c r="H54" s="214">
        <v>75</v>
      </c>
      <c r="I54" s="171">
        <v>0</v>
      </c>
      <c r="J54" s="170">
        <v>6</v>
      </c>
      <c r="K54" s="172">
        <v>0</v>
      </c>
      <c r="L54" s="170">
        <v>450</v>
      </c>
      <c r="M54" s="171">
        <v>450</v>
      </c>
      <c r="N54" s="170"/>
      <c r="O54" s="177" t="s">
        <v>1523</v>
      </c>
      <c r="P54" s="162" t="s">
        <v>1620</v>
      </c>
      <c r="Q54" s="176">
        <v>46357</v>
      </c>
      <c r="R54" s="174">
        <v>2056</v>
      </c>
      <c r="S54" s="179"/>
      <c r="T54" s="162" t="s">
        <v>28</v>
      </c>
      <c r="U54" s="161" t="s">
        <v>16</v>
      </c>
      <c r="V54" s="174">
        <v>1986</v>
      </c>
      <c r="W54" s="180" t="s">
        <v>1698</v>
      </c>
      <c r="X54" s="185">
        <v>45069</v>
      </c>
      <c r="Y54" s="187">
        <v>45097.56355324074</v>
      </c>
    </row>
    <row r="55" spans="1:25">
      <c r="A55" s="166" t="s">
        <v>45</v>
      </c>
      <c r="B55" s="162" t="s">
        <v>1555</v>
      </c>
      <c r="C55" s="165" t="s">
        <v>595</v>
      </c>
      <c r="D55" s="162" t="s">
        <v>48</v>
      </c>
      <c r="E55" s="161" t="s">
        <v>1625</v>
      </c>
      <c r="F55" s="162" t="s">
        <v>1609</v>
      </c>
      <c r="G55" s="161" t="s">
        <v>596</v>
      </c>
      <c r="H55" s="214">
        <v>30</v>
      </c>
      <c r="I55" s="171">
        <v>5.3</v>
      </c>
      <c r="J55" s="170">
        <v>5.3</v>
      </c>
      <c r="K55" s="172">
        <v>159</v>
      </c>
      <c r="L55" s="170">
        <v>159</v>
      </c>
      <c r="M55" s="171">
        <v>159</v>
      </c>
      <c r="N55" s="170"/>
      <c r="O55" s="177" t="s">
        <v>76</v>
      </c>
      <c r="P55" s="162" t="s">
        <v>1620</v>
      </c>
      <c r="Q55" s="176">
        <v>44805</v>
      </c>
      <c r="R55" s="174">
        <v>2045</v>
      </c>
      <c r="S55" s="179"/>
      <c r="T55" s="162" t="s">
        <v>24</v>
      </c>
      <c r="U55" s="161" t="s">
        <v>16</v>
      </c>
      <c r="V55" s="174">
        <v>1282</v>
      </c>
      <c r="W55" s="180"/>
      <c r="X55" s="185">
        <v>45069</v>
      </c>
      <c r="Y55" s="187">
        <v>45006.612662037034</v>
      </c>
    </row>
    <row r="56" spans="1:25">
      <c r="A56" s="166" t="s">
        <v>45</v>
      </c>
      <c r="B56" s="162" t="s">
        <v>1555</v>
      </c>
      <c r="C56" s="165" t="s">
        <v>47</v>
      </c>
      <c r="D56" s="162" t="s">
        <v>48</v>
      </c>
      <c r="E56" s="161" t="s">
        <v>1625</v>
      </c>
      <c r="F56" s="162" t="s">
        <v>1609</v>
      </c>
      <c r="G56" s="161" t="s">
        <v>49</v>
      </c>
      <c r="H56" s="214">
        <v>16</v>
      </c>
      <c r="I56" s="171">
        <v>0</v>
      </c>
      <c r="J56" s="170">
        <v>5.3</v>
      </c>
      <c r="K56" s="172">
        <v>0</v>
      </c>
      <c r="L56" s="170">
        <v>84.8</v>
      </c>
      <c r="M56" s="171">
        <v>84.8</v>
      </c>
      <c r="N56" s="170"/>
      <c r="O56" s="177" t="s">
        <v>76</v>
      </c>
      <c r="P56" s="162" t="s">
        <v>1620</v>
      </c>
      <c r="Q56" s="176">
        <v>44805</v>
      </c>
      <c r="R56" s="174">
        <v>2045</v>
      </c>
      <c r="S56" s="179"/>
      <c r="T56" s="162" t="s">
        <v>24</v>
      </c>
      <c r="U56" s="161" t="s">
        <v>16</v>
      </c>
      <c r="V56" s="174">
        <v>1843</v>
      </c>
      <c r="W56" s="180"/>
      <c r="X56" s="185">
        <v>45017</v>
      </c>
      <c r="Y56" s="187">
        <v>45006.614930555559</v>
      </c>
    </row>
    <row r="57" spans="1:25">
      <c r="A57" s="166" t="s">
        <v>110</v>
      </c>
      <c r="B57" s="162" t="s">
        <v>1555</v>
      </c>
      <c r="C57" s="165" t="s">
        <v>1699</v>
      </c>
      <c r="D57" s="162" t="s">
        <v>396</v>
      </c>
      <c r="E57" s="161" t="s">
        <v>1700</v>
      </c>
      <c r="F57" s="162" t="s">
        <v>1658</v>
      </c>
      <c r="G57" s="161" t="s">
        <v>1701</v>
      </c>
      <c r="H57" s="214">
        <v>1</v>
      </c>
      <c r="I57" s="171">
        <v>0</v>
      </c>
      <c r="J57" s="170">
        <v>10</v>
      </c>
      <c r="K57" s="172">
        <v>0</v>
      </c>
      <c r="L57" s="170">
        <v>10</v>
      </c>
      <c r="M57" s="171">
        <v>10</v>
      </c>
      <c r="N57" s="170"/>
      <c r="O57" s="177" t="s">
        <v>76</v>
      </c>
      <c r="P57" s="162" t="s">
        <v>1591</v>
      </c>
      <c r="Q57" s="176"/>
      <c r="R57" s="174">
        <v>2057</v>
      </c>
      <c r="S57" s="179"/>
      <c r="T57" s="162" t="s">
        <v>24</v>
      </c>
      <c r="U57" s="161" t="s">
        <v>17</v>
      </c>
      <c r="V57" s="174">
        <v>1008</v>
      </c>
      <c r="W57" s="180"/>
      <c r="X57" s="185">
        <v>44621</v>
      </c>
      <c r="Y57" s="187">
        <v>45021.660486111112</v>
      </c>
    </row>
    <row r="58" spans="1:25">
      <c r="A58" s="166" t="s">
        <v>110</v>
      </c>
      <c r="B58" s="162" t="s">
        <v>1555</v>
      </c>
      <c r="C58" s="165" t="s">
        <v>1699</v>
      </c>
      <c r="D58" s="162" t="s">
        <v>396</v>
      </c>
      <c r="E58" s="161" t="s">
        <v>1700</v>
      </c>
      <c r="F58" s="162" t="s">
        <v>1658</v>
      </c>
      <c r="G58" s="161" t="s">
        <v>1701</v>
      </c>
      <c r="H58" s="214">
        <v>1</v>
      </c>
      <c r="I58" s="171">
        <v>0</v>
      </c>
      <c r="J58" s="170">
        <v>2.2000000000000002</v>
      </c>
      <c r="K58" s="172">
        <v>0</v>
      </c>
      <c r="L58" s="170">
        <v>2.2000000000000002</v>
      </c>
      <c r="M58" s="171">
        <v>2.2000000000000002</v>
      </c>
      <c r="N58" s="170"/>
      <c r="O58" s="177" t="s">
        <v>76</v>
      </c>
      <c r="P58" s="162" t="s">
        <v>1591</v>
      </c>
      <c r="Q58" s="176"/>
      <c r="R58" s="174">
        <v>2057</v>
      </c>
      <c r="S58" s="179"/>
      <c r="T58" s="162" t="s">
        <v>24</v>
      </c>
      <c r="U58" s="161" t="s">
        <v>17</v>
      </c>
      <c r="V58" s="174">
        <v>1008</v>
      </c>
      <c r="W58" s="180"/>
      <c r="X58" s="185">
        <v>44621</v>
      </c>
      <c r="Y58" s="187">
        <v>45021.660486111112</v>
      </c>
    </row>
    <row r="59" spans="1:25">
      <c r="A59" s="166" t="s">
        <v>45</v>
      </c>
      <c r="B59" s="162" t="s">
        <v>1555</v>
      </c>
      <c r="C59" s="165" t="s">
        <v>1702</v>
      </c>
      <c r="D59" s="162" t="s">
        <v>1702</v>
      </c>
      <c r="E59" s="161" t="s">
        <v>1589</v>
      </c>
      <c r="F59" s="162" t="s">
        <v>1635</v>
      </c>
      <c r="G59" s="161" t="s">
        <v>1703</v>
      </c>
      <c r="H59" s="214">
        <v>1</v>
      </c>
      <c r="I59" s="171"/>
      <c r="J59" s="170">
        <v>0.8</v>
      </c>
      <c r="K59" s="172"/>
      <c r="L59" s="170">
        <v>0.8</v>
      </c>
      <c r="M59" s="171">
        <v>0.8</v>
      </c>
      <c r="N59" s="170"/>
      <c r="O59" s="177" t="s">
        <v>76</v>
      </c>
      <c r="P59" s="162" t="s">
        <v>1591</v>
      </c>
      <c r="Q59" s="176"/>
      <c r="R59" s="174"/>
      <c r="S59" s="179"/>
      <c r="T59" s="162" t="s">
        <v>24</v>
      </c>
      <c r="U59" s="161" t="s">
        <v>20</v>
      </c>
      <c r="V59" s="174">
        <v>1009</v>
      </c>
      <c r="W59" s="180"/>
      <c r="X59" s="185" t="s">
        <v>259</v>
      </c>
      <c r="Y59" s="187">
        <v>43241.21912037037</v>
      </c>
    </row>
    <row r="60" spans="1:25">
      <c r="A60" s="166" t="s">
        <v>45</v>
      </c>
      <c r="B60" s="162" t="s">
        <v>1555</v>
      </c>
      <c r="C60" s="165" t="s">
        <v>1702</v>
      </c>
      <c r="D60" s="162" t="s">
        <v>1702</v>
      </c>
      <c r="E60" s="161" t="s">
        <v>1589</v>
      </c>
      <c r="F60" s="162" t="s">
        <v>1635</v>
      </c>
      <c r="G60" s="161" t="s">
        <v>1704</v>
      </c>
      <c r="H60" s="214">
        <v>1</v>
      </c>
      <c r="I60" s="171"/>
      <c r="J60" s="170">
        <v>1.34</v>
      </c>
      <c r="K60" s="172"/>
      <c r="L60" s="170">
        <v>1.34</v>
      </c>
      <c r="M60" s="171">
        <v>1.34</v>
      </c>
      <c r="N60" s="170"/>
      <c r="O60" s="177" t="s">
        <v>76</v>
      </c>
      <c r="P60" s="162" t="s">
        <v>1591</v>
      </c>
      <c r="Q60" s="176"/>
      <c r="R60" s="174"/>
      <c r="S60" s="179"/>
      <c r="T60" s="162" t="s">
        <v>24</v>
      </c>
      <c r="U60" s="161" t="s">
        <v>20</v>
      </c>
      <c r="V60" s="174">
        <v>1009</v>
      </c>
      <c r="W60" s="180"/>
      <c r="X60" s="185" t="s">
        <v>259</v>
      </c>
      <c r="Y60" s="187">
        <v>43241.21912037037</v>
      </c>
    </row>
    <row r="61" spans="1:25">
      <c r="A61" s="166" t="s">
        <v>110</v>
      </c>
      <c r="B61" s="162" t="s">
        <v>1555</v>
      </c>
      <c r="C61" s="165" t="s">
        <v>876</v>
      </c>
      <c r="D61" s="162" t="s">
        <v>877</v>
      </c>
      <c r="E61" s="161" t="s">
        <v>1631</v>
      </c>
      <c r="F61" s="162" t="s">
        <v>1614</v>
      </c>
      <c r="G61" s="161" t="s">
        <v>878</v>
      </c>
      <c r="H61" s="214">
        <v>40</v>
      </c>
      <c r="I61" s="171"/>
      <c r="J61" s="170">
        <v>2.5</v>
      </c>
      <c r="K61" s="172"/>
      <c r="L61" s="170">
        <v>100</v>
      </c>
      <c r="M61" s="171">
        <v>100</v>
      </c>
      <c r="N61" s="170"/>
      <c r="O61" s="177" t="s">
        <v>76</v>
      </c>
      <c r="P61" s="162" t="s">
        <v>1620</v>
      </c>
      <c r="Q61" s="176">
        <v>43617</v>
      </c>
      <c r="R61" s="174">
        <v>2049</v>
      </c>
      <c r="S61" s="179"/>
      <c r="T61" s="162" t="s">
        <v>24</v>
      </c>
      <c r="U61" s="161" t="s">
        <v>1615</v>
      </c>
      <c r="V61" s="174">
        <v>1492</v>
      </c>
      <c r="W61" s="180"/>
      <c r="X61" s="185">
        <v>45017</v>
      </c>
      <c r="Y61" s="187">
        <v>45021.422002314815</v>
      </c>
    </row>
    <row r="62" spans="1:25">
      <c r="A62" s="166" t="s">
        <v>77</v>
      </c>
      <c r="B62" s="162" t="s">
        <v>1555</v>
      </c>
      <c r="C62" s="165" t="s">
        <v>1200</v>
      </c>
      <c r="D62" s="162" t="s">
        <v>1705</v>
      </c>
      <c r="E62" s="161" t="s">
        <v>1673</v>
      </c>
      <c r="F62" s="162" t="s">
        <v>1592</v>
      </c>
      <c r="G62" s="161" t="s">
        <v>1706</v>
      </c>
      <c r="H62" s="214">
        <v>1</v>
      </c>
      <c r="I62" s="171"/>
      <c r="J62" s="170">
        <v>37</v>
      </c>
      <c r="K62" s="172"/>
      <c r="L62" s="170">
        <v>37</v>
      </c>
      <c r="M62" s="171">
        <v>37</v>
      </c>
      <c r="N62" s="170"/>
      <c r="O62" s="177" t="s">
        <v>76</v>
      </c>
      <c r="P62" s="162" t="s">
        <v>1619</v>
      </c>
      <c r="Q62" s="176"/>
      <c r="R62" s="174">
        <v>2034</v>
      </c>
      <c r="S62" s="179"/>
      <c r="T62" s="162" t="s">
        <v>24</v>
      </c>
      <c r="U62" s="161" t="s">
        <v>13</v>
      </c>
      <c r="V62" s="174">
        <v>1010</v>
      </c>
      <c r="W62" s="180"/>
      <c r="X62" s="185">
        <v>45017</v>
      </c>
      <c r="Y62" s="187">
        <v>45014.573553240742</v>
      </c>
    </row>
    <row r="63" spans="1:25">
      <c r="A63" s="166" t="s">
        <v>77</v>
      </c>
      <c r="B63" s="162" t="s">
        <v>1555</v>
      </c>
      <c r="C63" s="165" t="s">
        <v>1103</v>
      </c>
      <c r="D63" s="162" t="s">
        <v>1707</v>
      </c>
      <c r="E63" s="161" t="s">
        <v>1631</v>
      </c>
      <c r="F63" s="162" t="s">
        <v>1614</v>
      </c>
      <c r="G63" s="161" t="s">
        <v>1708</v>
      </c>
      <c r="H63" s="214">
        <v>1</v>
      </c>
      <c r="I63" s="171">
        <v>20</v>
      </c>
      <c r="J63" s="170">
        <v>20</v>
      </c>
      <c r="K63" s="172">
        <v>20</v>
      </c>
      <c r="L63" s="170">
        <v>20</v>
      </c>
      <c r="M63" s="171">
        <v>20</v>
      </c>
      <c r="N63" s="170"/>
      <c r="O63" s="177" t="s">
        <v>76</v>
      </c>
      <c r="P63" s="162" t="s">
        <v>1591</v>
      </c>
      <c r="Q63" s="176"/>
      <c r="R63" s="174">
        <v>2049</v>
      </c>
      <c r="S63" s="179"/>
      <c r="T63" s="162" t="s">
        <v>24</v>
      </c>
      <c r="U63" s="161" t="s">
        <v>1615</v>
      </c>
      <c r="V63" s="174">
        <v>1389</v>
      </c>
      <c r="W63" s="180"/>
      <c r="X63" s="185">
        <v>44287</v>
      </c>
      <c r="Y63" s="187">
        <v>45029.583182870374</v>
      </c>
    </row>
    <row r="64" spans="1:25">
      <c r="A64" s="166" t="s">
        <v>91</v>
      </c>
      <c r="B64" s="162" t="s">
        <v>1555</v>
      </c>
      <c r="C64" s="165" t="s">
        <v>731</v>
      </c>
      <c r="D64" s="162" t="s">
        <v>732</v>
      </c>
      <c r="E64" s="161" t="s">
        <v>1596</v>
      </c>
      <c r="F64" s="162" t="s">
        <v>1592</v>
      </c>
      <c r="G64" s="161" t="s">
        <v>733</v>
      </c>
      <c r="H64" s="214">
        <v>12</v>
      </c>
      <c r="I64" s="171"/>
      <c r="J64" s="170">
        <v>17.5</v>
      </c>
      <c r="K64" s="172"/>
      <c r="L64" s="170">
        <v>210</v>
      </c>
      <c r="M64" s="171">
        <v>210</v>
      </c>
      <c r="N64" s="170"/>
      <c r="O64" s="177" t="s">
        <v>76</v>
      </c>
      <c r="P64" s="162" t="s">
        <v>1619</v>
      </c>
      <c r="Q64" s="176">
        <v>43831</v>
      </c>
      <c r="R64" s="174">
        <v>2044</v>
      </c>
      <c r="S64" s="179"/>
      <c r="T64" s="162" t="s">
        <v>24</v>
      </c>
      <c r="U64" s="161" t="s">
        <v>14</v>
      </c>
      <c r="V64" s="174">
        <v>1463</v>
      </c>
      <c r="W64" s="180"/>
      <c r="X64" s="185">
        <v>45017</v>
      </c>
      <c r="Y64" s="187">
        <v>45021.379965277774</v>
      </c>
    </row>
    <row r="65" spans="1:25">
      <c r="A65" s="166" t="s">
        <v>91</v>
      </c>
      <c r="B65" s="162" t="s">
        <v>1599</v>
      </c>
      <c r="C65" s="165" t="s">
        <v>1709</v>
      </c>
      <c r="D65" s="162" t="s">
        <v>1710</v>
      </c>
      <c r="E65" s="161" t="s">
        <v>1625</v>
      </c>
      <c r="F65" s="162" t="s">
        <v>1609</v>
      </c>
      <c r="G65" s="161"/>
      <c r="H65" s="214">
        <v>62</v>
      </c>
      <c r="I65" s="171">
        <v>2</v>
      </c>
      <c r="J65" s="170">
        <v>3</v>
      </c>
      <c r="K65" s="172">
        <v>124</v>
      </c>
      <c r="L65" s="170">
        <v>186</v>
      </c>
      <c r="M65" s="171" t="s">
        <v>1711</v>
      </c>
      <c r="N65" s="170"/>
      <c r="O65" s="177" t="s">
        <v>1523</v>
      </c>
      <c r="P65" s="162" t="s">
        <v>1620</v>
      </c>
      <c r="Q65" s="176"/>
      <c r="R65" s="174"/>
      <c r="S65" s="179"/>
      <c r="T65" s="162" t="s">
        <v>28</v>
      </c>
      <c r="U65" s="161" t="s">
        <v>16</v>
      </c>
      <c r="V65" s="174">
        <v>1011</v>
      </c>
      <c r="W65" s="180"/>
      <c r="X65" s="185">
        <v>45069</v>
      </c>
      <c r="Y65" s="187">
        <v>45103.779270833336</v>
      </c>
    </row>
    <row r="66" spans="1:25">
      <c r="A66" s="166" t="s">
        <v>91</v>
      </c>
      <c r="B66" s="162" t="s">
        <v>1599</v>
      </c>
      <c r="C66" s="165" t="s">
        <v>1712</v>
      </c>
      <c r="D66" s="162" t="s">
        <v>1713</v>
      </c>
      <c r="E66" s="161" t="s">
        <v>1700</v>
      </c>
      <c r="F66" s="162" t="s">
        <v>1658</v>
      </c>
      <c r="G66" s="161"/>
      <c r="H66" s="214">
        <v>2</v>
      </c>
      <c r="I66" s="171">
        <v>125</v>
      </c>
      <c r="J66" s="170">
        <v>125</v>
      </c>
      <c r="K66" s="172">
        <v>250</v>
      </c>
      <c r="L66" s="170">
        <v>250</v>
      </c>
      <c r="M66" s="171">
        <v>250</v>
      </c>
      <c r="N66" s="170">
        <v>0</v>
      </c>
      <c r="O66" s="177" t="s">
        <v>1523</v>
      </c>
      <c r="P66" s="162" t="s">
        <v>1619</v>
      </c>
      <c r="Q66" s="176">
        <v>45992</v>
      </c>
      <c r="R66" s="174">
        <v>2072</v>
      </c>
      <c r="S66" s="179"/>
      <c r="T66" s="162" t="s">
        <v>28</v>
      </c>
      <c r="U66" s="161" t="s">
        <v>17</v>
      </c>
      <c r="V66" s="174">
        <v>1682</v>
      </c>
      <c r="W66" s="180"/>
      <c r="X66" s="185">
        <v>45069</v>
      </c>
      <c r="Y66" s="187">
        <v>45097.4684375</v>
      </c>
    </row>
    <row r="67" spans="1:25">
      <c r="A67" s="166" t="s">
        <v>77</v>
      </c>
      <c r="B67" s="162" t="s">
        <v>1555</v>
      </c>
      <c r="C67" s="165" t="s">
        <v>1714</v>
      </c>
      <c r="D67" s="162" t="s">
        <v>1715</v>
      </c>
      <c r="E67" s="161" t="s">
        <v>1716</v>
      </c>
      <c r="F67" s="162" t="s">
        <v>1658</v>
      </c>
      <c r="G67" s="161" t="s">
        <v>1717</v>
      </c>
      <c r="H67" s="214">
        <v>1</v>
      </c>
      <c r="I67" s="171"/>
      <c r="J67" s="170">
        <v>33</v>
      </c>
      <c r="K67" s="172"/>
      <c r="L67" s="170">
        <v>33</v>
      </c>
      <c r="M67" s="171">
        <v>33</v>
      </c>
      <c r="N67" s="170"/>
      <c r="O67" s="177" t="s">
        <v>76</v>
      </c>
      <c r="P67" s="162" t="s">
        <v>1619</v>
      </c>
      <c r="Q67" s="176"/>
      <c r="R67" s="174">
        <v>2042</v>
      </c>
      <c r="S67" s="179"/>
      <c r="T67" s="162" t="s">
        <v>24</v>
      </c>
      <c r="U67" s="161" t="s">
        <v>17</v>
      </c>
      <c r="V67" s="174">
        <v>1012</v>
      </c>
      <c r="W67" s="180"/>
      <c r="X67" s="185">
        <v>45017</v>
      </c>
      <c r="Y67" s="187">
        <v>45085.459872685184</v>
      </c>
    </row>
    <row r="68" spans="1:25">
      <c r="A68" s="166" t="s">
        <v>77</v>
      </c>
      <c r="B68" s="162" t="s">
        <v>1555</v>
      </c>
      <c r="C68" s="165" t="s">
        <v>1714</v>
      </c>
      <c r="D68" s="162" t="s">
        <v>1715</v>
      </c>
      <c r="E68" s="161" t="s">
        <v>1716</v>
      </c>
      <c r="F68" s="162" t="s">
        <v>1658</v>
      </c>
      <c r="G68" s="161" t="s">
        <v>1718</v>
      </c>
      <c r="H68" s="214">
        <v>1</v>
      </c>
      <c r="I68" s="171"/>
      <c r="J68" s="170">
        <v>33</v>
      </c>
      <c r="K68" s="172"/>
      <c r="L68" s="170">
        <v>33</v>
      </c>
      <c r="M68" s="171">
        <v>33</v>
      </c>
      <c r="N68" s="170"/>
      <c r="O68" s="177" t="s">
        <v>76</v>
      </c>
      <c r="P68" s="162" t="s">
        <v>1619</v>
      </c>
      <c r="Q68" s="176"/>
      <c r="R68" s="174">
        <v>2042</v>
      </c>
      <c r="S68" s="179"/>
      <c r="T68" s="162" t="s">
        <v>24</v>
      </c>
      <c r="U68" s="161" t="s">
        <v>17</v>
      </c>
      <c r="V68" s="174">
        <v>1012</v>
      </c>
      <c r="W68" s="180"/>
      <c r="X68" s="185">
        <v>45017</v>
      </c>
      <c r="Y68" s="187">
        <v>45085.459872685184</v>
      </c>
    </row>
    <row r="69" spans="1:25">
      <c r="A69" s="166" t="s">
        <v>77</v>
      </c>
      <c r="B69" s="162" t="s">
        <v>1599</v>
      </c>
      <c r="C69" s="165" t="s">
        <v>1719</v>
      </c>
      <c r="D69" s="162" t="s">
        <v>1720</v>
      </c>
      <c r="E69" s="161" t="s">
        <v>1602</v>
      </c>
      <c r="F69" s="162" t="s">
        <v>1603</v>
      </c>
      <c r="G69" s="161"/>
      <c r="H69" s="214">
        <v>1</v>
      </c>
      <c r="I69" s="171">
        <v>0</v>
      </c>
      <c r="J69" s="170">
        <v>100</v>
      </c>
      <c r="K69" s="172">
        <v>0</v>
      </c>
      <c r="L69" s="170">
        <v>100</v>
      </c>
      <c r="M69" s="171">
        <v>100</v>
      </c>
      <c r="N69" s="170">
        <v>0</v>
      </c>
      <c r="O69" s="177" t="s">
        <v>1523</v>
      </c>
      <c r="P69" s="162" t="s">
        <v>1619</v>
      </c>
      <c r="Q69" s="176"/>
      <c r="R69" s="174"/>
      <c r="S69" s="179"/>
      <c r="T69" s="162" t="s">
        <v>28</v>
      </c>
      <c r="U69" s="161" t="s">
        <v>19</v>
      </c>
      <c r="V69" s="174">
        <v>2281</v>
      </c>
      <c r="W69" s="180" t="s">
        <v>1721</v>
      </c>
      <c r="X69" s="185">
        <v>45017</v>
      </c>
      <c r="Y69" s="187">
        <v>44944.430277777778</v>
      </c>
    </row>
    <row r="70" spans="1:25">
      <c r="A70" s="166" t="s">
        <v>77</v>
      </c>
      <c r="B70" s="162" t="s">
        <v>1599</v>
      </c>
      <c r="C70" s="165" t="s">
        <v>1722</v>
      </c>
      <c r="D70" s="162" t="s">
        <v>1723</v>
      </c>
      <c r="E70" s="161" t="s">
        <v>1613</v>
      </c>
      <c r="F70" s="162" t="s">
        <v>1614</v>
      </c>
      <c r="G70" s="161"/>
      <c r="H70" s="214">
        <v>1</v>
      </c>
      <c r="I70" s="171">
        <v>315</v>
      </c>
      <c r="J70" s="170">
        <v>315</v>
      </c>
      <c r="K70" s="172">
        <v>315</v>
      </c>
      <c r="L70" s="170">
        <v>315</v>
      </c>
      <c r="M70" s="171">
        <v>315</v>
      </c>
      <c r="N70" s="170"/>
      <c r="O70" s="177" t="s">
        <v>1523</v>
      </c>
      <c r="P70" s="162" t="s">
        <v>1604</v>
      </c>
      <c r="Q70" s="176"/>
      <c r="R70" s="174"/>
      <c r="S70" s="179"/>
      <c r="T70" s="162" t="s">
        <v>28</v>
      </c>
      <c r="U70" s="161" t="s">
        <v>1615</v>
      </c>
      <c r="V70" s="174">
        <v>2280</v>
      </c>
      <c r="W70" s="180" t="s">
        <v>1721</v>
      </c>
      <c r="X70" s="185">
        <v>45017</v>
      </c>
      <c r="Y70" s="187">
        <v>44984.643518518518</v>
      </c>
    </row>
    <row r="71" spans="1:25">
      <c r="A71" s="166" t="s">
        <v>45</v>
      </c>
      <c r="B71" s="162" t="s">
        <v>1599</v>
      </c>
      <c r="C71" s="165" t="s">
        <v>1724</v>
      </c>
      <c r="D71" s="162" t="s">
        <v>1725</v>
      </c>
      <c r="E71" s="161" t="s">
        <v>1613</v>
      </c>
      <c r="F71" s="164" t="s">
        <v>1614</v>
      </c>
      <c r="G71" s="161"/>
      <c r="H71" s="215">
        <v>1</v>
      </c>
      <c r="I71" s="171"/>
      <c r="J71" s="173">
        <v>250</v>
      </c>
      <c r="K71" s="172"/>
      <c r="L71" s="173">
        <v>250</v>
      </c>
      <c r="M71" s="171">
        <v>250</v>
      </c>
      <c r="N71" s="170"/>
      <c r="O71" s="177" t="s">
        <v>1523</v>
      </c>
      <c r="P71" s="162" t="s">
        <v>1604</v>
      </c>
      <c r="Q71" s="176"/>
      <c r="R71" s="175"/>
      <c r="S71" s="179"/>
      <c r="T71" s="164" t="s">
        <v>28</v>
      </c>
      <c r="U71" s="161" t="s">
        <v>1615</v>
      </c>
      <c r="V71" s="175">
        <v>2467</v>
      </c>
      <c r="W71" s="181"/>
      <c r="X71" s="185">
        <v>45069</v>
      </c>
      <c r="Y71" s="187">
        <v>45096.4765162037</v>
      </c>
    </row>
    <row r="72" spans="1:25">
      <c r="A72" s="166" t="s">
        <v>105</v>
      </c>
      <c r="B72" s="162" t="s">
        <v>1599</v>
      </c>
      <c r="C72" s="165" t="s">
        <v>1726</v>
      </c>
      <c r="D72" s="162" t="s">
        <v>1727</v>
      </c>
      <c r="E72" s="161" t="s">
        <v>1625</v>
      </c>
      <c r="F72" s="164" t="s">
        <v>1609</v>
      </c>
      <c r="G72" s="161"/>
      <c r="H72" s="215">
        <v>20</v>
      </c>
      <c r="I72" s="171">
        <v>7.2</v>
      </c>
      <c r="J72" s="173">
        <v>7.2</v>
      </c>
      <c r="K72" s="172">
        <v>144</v>
      </c>
      <c r="L72" s="173">
        <v>144</v>
      </c>
      <c r="M72" s="171">
        <v>144</v>
      </c>
      <c r="N72" s="170"/>
      <c r="O72" s="177" t="s">
        <v>1523</v>
      </c>
      <c r="P72" s="162" t="s">
        <v>1604</v>
      </c>
      <c r="Q72" s="176"/>
      <c r="R72" s="175"/>
      <c r="S72" s="179"/>
      <c r="T72" s="164" t="s">
        <v>28</v>
      </c>
      <c r="U72" s="161" t="s">
        <v>16</v>
      </c>
      <c r="V72" s="175">
        <v>2470</v>
      </c>
      <c r="W72" s="181" t="s">
        <v>1728</v>
      </c>
      <c r="X72" s="185">
        <v>45017</v>
      </c>
      <c r="Y72" s="187">
        <v>45035.503912037035</v>
      </c>
    </row>
    <row r="73" spans="1:25">
      <c r="A73" s="166" t="s">
        <v>105</v>
      </c>
      <c r="B73" s="162" t="s">
        <v>1599</v>
      </c>
      <c r="C73" s="165" t="s">
        <v>1729</v>
      </c>
      <c r="D73" s="162" t="s">
        <v>1727</v>
      </c>
      <c r="E73" s="161" t="s">
        <v>1625</v>
      </c>
      <c r="F73" s="164" t="s">
        <v>1609</v>
      </c>
      <c r="G73" s="161"/>
      <c r="H73" s="215">
        <v>20</v>
      </c>
      <c r="I73" s="171">
        <v>7.2</v>
      </c>
      <c r="J73" s="173">
        <v>7.2</v>
      </c>
      <c r="K73" s="172">
        <v>144</v>
      </c>
      <c r="L73" s="173">
        <v>144</v>
      </c>
      <c r="M73" s="171">
        <v>144</v>
      </c>
      <c r="N73" s="170"/>
      <c r="O73" s="177" t="s">
        <v>1523</v>
      </c>
      <c r="P73" s="162" t="s">
        <v>1604</v>
      </c>
      <c r="Q73" s="176"/>
      <c r="R73" s="175"/>
      <c r="S73" s="179"/>
      <c r="T73" s="164" t="s">
        <v>28</v>
      </c>
      <c r="U73" s="161" t="s">
        <v>16</v>
      </c>
      <c r="V73" s="175">
        <v>2471</v>
      </c>
      <c r="W73" s="181" t="s">
        <v>1730</v>
      </c>
      <c r="X73" s="185">
        <v>45017</v>
      </c>
      <c r="Y73" s="187">
        <v>45035.508229166669</v>
      </c>
    </row>
    <row r="74" spans="1:25">
      <c r="A74" s="166" t="s">
        <v>105</v>
      </c>
      <c r="B74" s="162" t="s">
        <v>1599</v>
      </c>
      <c r="C74" s="165" t="s">
        <v>1731</v>
      </c>
      <c r="D74" s="162" t="s">
        <v>1732</v>
      </c>
      <c r="E74" s="161" t="s">
        <v>1608</v>
      </c>
      <c r="F74" s="162" t="s">
        <v>1609</v>
      </c>
      <c r="G74" s="161"/>
      <c r="H74" s="214">
        <v>1</v>
      </c>
      <c r="I74" s="171">
        <v>500</v>
      </c>
      <c r="J74" s="170">
        <v>500</v>
      </c>
      <c r="K74" s="172">
        <v>500</v>
      </c>
      <c r="L74" s="170">
        <v>500</v>
      </c>
      <c r="M74" s="171">
        <v>500</v>
      </c>
      <c r="N74" s="170"/>
      <c r="O74" s="177" t="s">
        <v>1523</v>
      </c>
      <c r="P74" s="162" t="s">
        <v>1604</v>
      </c>
      <c r="Q74" s="176"/>
      <c r="R74" s="174"/>
      <c r="S74" s="179"/>
      <c r="T74" s="162" t="s">
        <v>28</v>
      </c>
      <c r="U74" s="161" t="s">
        <v>16</v>
      </c>
      <c r="V74" s="174">
        <v>2231</v>
      </c>
      <c r="W74" s="180" t="s">
        <v>1733</v>
      </c>
      <c r="X74" s="185">
        <v>45017</v>
      </c>
      <c r="Y74" s="187">
        <v>44944.431689814817</v>
      </c>
    </row>
    <row r="75" spans="1:25">
      <c r="A75" s="166" t="s">
        <v>105</v>
      </c>
      <c r="B75" s="162" t="s">
        <v>1555</v>
      </c>
      <c r="C75" s="165" t="s">
        <v>1734</v>
      </c>
      <c r="D75" s="162" t="s">
        <v>1735</v>
      </c>
      <c r="E75" s="161" t="s">
        <v>1700</v>
      </c>
      <c r="F75" s="162" t="s">
        <v>1658</v>
      </c>
      <c r="G75" s="161" t="s">
        <v>1736</v>
      </c>
      <c r="H75" s="214">
        <v>1</v>
      </c>
      <c r="I75" s="171"/>
      <c r="J75" s="170">
        <v>79.900000000000006</v>
      </c>
      <c r="K75" s="172"/>
      <c r="L75" s="170">
        <v>79.900000000000006</v>
      </c>
      <c r="M75" s="171">
        <v>79.900000000000006</v>
      </c>
      <c r="N75" s="170"/>
      <c r="O75" s="177" t="s">
        <v>76</v>
      </c>
      <c r="P75" s="162" t="s">
        <v>1619</v>
      </c>
      <c r="Q75" s="176"/>
      <c r="R75" s="174">
        <v>2100</v>
      </c>
      <c r="S75" s="179"/>
      <c r="T75" s="162" t="s">
        <v>24</v>
      </c>
      <c r="U75" s="161" t="s">
        <v>17</v>
      </c>
      <c r="V75" s="174">
        <v>1013</v>
      </c>
      <c r="W75" s="180"/>
      <c r="X75" s="185">
        <v>45017</v>
      </c>
      <c r="Y75" s="187">
        <v>45086.827141203707</v>
      </c>
    </row>
    <row r="76" spans="1:25">
      <c r="A76" s="166" t="s">
        <v>105</v>
      </c>
      <c r="B76" s="162" t="s">
        <v>1599</v>
      </c>
      <c r="C76" s="165" t="s">
        <v>1737</v>
      </c>
      <c r="D76" s="162" t="s">
        <v>229</v>
      </c>
      <c r="E76" s="161" t="s">
        <v>1657</v>
      </c>
      <c r="F76" s="162" t="s">
        <v>1658</v>
      </c>
      <c r="G76" s="161"/>
      <c r="H76" s="214">
        <v>4</v>
      </c>
      <c r="I76" s="171"/>
      <c r="J76" s="170">
        <v>187.5</v>
      </c>
      <c r="K76" s="172"/>
      <c r="L76" s="170">
        <v>750</v>
      </c>
      <c r="M76" s="171">
        <v>750</v>
      </c>
      <c r="N76" s="170">
        <v>12000</v>
      </c>
      <c r="O76" s="177" t="s">
        <v>1523</v>
      </c>
      <c r="P76" s="162" t="s">
        <v>1619</v>
      </c>
      <c r="Q76" s="176"/>
      <c r="R76" s="174"/>
      <c r="S76" s="179"/>
      <c r="T76" s="162" t="s">
        <v>28</v>
      </c>
      <c r="U76" s="161" t="s">
        <v>17</v>
      </c>
      <c r="V76" s="174">
        <v>1480</v>
      </c>
      <c r="W76" s="180"/>
      <c r="X76" s="185">
        <v>45017</v>
      </c>
      <c r="Y76" s="187">
        <v>45086.835277777776</v>
      </c>
    </row>
    <row r="77" spans="1:25">
      <c r="A77" s="166" t="s">
        <v>105</v>
      </c>
      <c r="B77" s="162" t="s">
        <v>1599</v>
      </c>
      <c r="C77" s="165" t="s">
        <v>1738</v>
      </c>
      <c r="D77" s="162" t="s">
        <v>229</v>
      </c>
      <c r="E77" s="161" t="s">
        <v>1657</v>
      </c>
      <c r="F77" s="162" t="s">
        <v>1658</v>
      </c>
      <c r="G77" s="161"/>
      <c r="H77" s="214">
        <v>4</v>
      </c>
      <c r="I77" s="171"/>
      <c r="J77" s="170">
        <v>187.5</v>
      </c>
      <c r="K77" s="172"/>
      <c r="L77" s="170">
        <v>750</v>
      </c>
      <c r="M77" s="171">
        <v>750</v>
      </c>
      <c r="N77" s="170">
        <v>12000</v>
      </c>
      <c r="O77" s="177" t="s">
        <v>1523</v>
      </c>
      <c r="P77" s="162" t="s">
        <v>1619</v>
      </c>
      <c r="Q77" s="176"/>
      <c r="R77" s="174"/>
      <c r="S77" s="179"/>
      <c r="T77" s="162" t="s">
        <v>28</v>
      </c>
      <c r="U77" s="161" t="s">
        <v>17</v>
      </c>
      <c r="V77" s="174">
        <v>1482</v>
      </c>
      <c r="W77" s="180"/>
      <c r="X77" s="185">
        <v>45017</v>
      </c>
      <c r="Y77" s="187">
        <v>45086.834988425922</v>
      </c>
    </row>
    <row r="78" spans="1:25">
      <c r="A78" s="166" t="s">
        <v>45</v>
      </c>
      <c r="B78" s="162" t="s">
        <v>1555</v>
      </c>
      <c r="C78" s="165" t="s">
        <v>467</v>
      </c>
      <c r="D78" s="162" t="s">
        <v>53</v>
      </c>
      <c r="E78" s="161" t="s">
        <v>1739</v>
      </c>
      <c r="F78" s="162" t="s">
        <v>1740</v>
      </c>
      <c r="G78" s="161" t="s">
        <v>1741</v>
      </c>
      <c r="H78" s="214">
        <v>1</v>
      </c>
      <c r="I78" s="171">
        <v>0</v>
      </c>
      <c r="J78" s="170">
        <v>660</v>
      </c>
      <c r="K78" s="172">
        <v>0</v>
      </c>
      <c r="L78" s="170">
        <v>660</v>
      </c>
      <c r="M78" s="171">
        <v>660</v>
      </c>
      <c r="N78" s="170"/>
      <c r="O78" s="177" t="s">
        <v>76</v>
      </c>
      <c r="P78" s="162" t="s">
        <v>1619</v>
      </c>
      <c r="Q78" s="176"/>
      <c r="R78" s="174">
        <v>2033</v>
      </c>
      <c r="S78" s="179"/>
      <c r="T78" s="162" t="s">
        <v>24</v>
      </c>
      <c r="U78" s="161" t="s">
        <v>11</v>
      </c>
      <c r="V78" s="174">
        <v>1014</v>
      </c>
      <c r="W78" s="180"/>
      <c r="X78" s="185">
        <v>45017</v>
      </c>
      <c r="Y78" s="187">
        <v>45014.59039351852</v>
      </c>
    </row>
    <row r="79" spans="1:25">
      <c r="A79" s="166" t="s">
        <v>45</v>
      </c>
      <c r="B79" s="162" t="s">
        <v>1555</v>
      </c>
      <c r="C79" s="165" t="s">
        <v>467</v>
      </c>
      <c r="D79" s="162" t="s">
        <v>53</v>
      </c>
      <c r="E79" s="161" t="s">
        <v>1739</v>
      </c>
      <c r="F79" s="162" t="s">
        <v>1740</v>
      </c>
      <c r="G79" s="161" t="s">
        <v>1742</v>
      </c>
      <c r="H79" s="214">
        <v>1</v>
      </c>
      <c r="I79" s="171">
        <v>0</v>
      </c>
      <c r="J79" s="170">
        <v>685</v>
      </c>
      <c r="K79" s="172">
        <v>0</v>
      </c>
      <c r="L79" s="170">
        <v>685</v>
      </c>
      <c r="M79" s="171">
        <v>685</v>
      </c>
      <c r="N79" s="170"/>
      <c r="O79" s="177" t="s">
        <v>76</v>
      </c>
      <c r="P79" s="162" t="s">
        <v>1619</v>
      </c>
      <c r="Q79" s="176"/>
      <c r="R79" s="174">
        <v>2033</v>
      </c>
      <c r="S79" s="179"/>
      <c r="T79" s="162" t="s">
        <v>24</v>
      </c>
      <c r="U79" s="161" t="s">
        <v>11</v>
      </c>
      <c r="V79" s="174">
        <v>1014</v>
      </c>
      <c r="W79" s="180"/>
      <c r="X79" s="185">
        <v>45017</v>
      </c>
      <c r="Y79" s="187">
        <v>45014.59039351852</v>
      </c>
    </row>
    <row r="80" spans="1:25">
      <c r="A80" s="166" t="s">
        <v>45</v>
      </c>
      <c r="B80" s="162" t="s">
        <v>1555</v>
      </c>
      <c r="C80" s="165" t="s">
        <v>467</v>
      </c>
      <c r="D80" s="162" t="s">
        <v>53</v>
      </c>
      <c r="E80" s="161" t="s">
        <v>1739</v>
      </c>
      <c r="F80" s="162" t="s">
        <v>1740</v>
      </c>
      <c r="G80" s="161" t="s">
        <v>1743</v>
      </c>
      <c r="H80" s="214">
        <v>1</v>
      </c>
      <c r="I80" s="171">
        <v>0</v>
      </c>
      <c r="J80" s="170">
        <v>685</v>
      </c>
      <c r="K80" s="172">
        <v>0</v>
      </c>
      <c r="L80" s="170">
        <v>685</v>
      </c>
      <c r="M80" s="171">
        <v>685</v>
      </c>
      <c r="N80" s="170"/>
      <c r="O80" s="177" t="s">
        <v>76</v>
      </c>
      <c r="P80" s="162" t="s">
        <v>1619</v>
      </c>
      <c r="Q80" s="176"/>
      <c r="R80" s="174">
        <v>2033</v>
      </c>
      <c r="S80" s="179"/>
      <c r="T80" s="162" t="s">
        <v>24</v>
      </c>
      <c r="U80" s="161" t="s">
        <v>11</v>
      </c>
      <c r="V80" s="174">
        <v>1014</v>
      </c>
      <c r="W80" s="180"/>
      <c r="X80" s="185">
        <v>45017</v>
      </c>
      <c r="Y80" s="187">
        <v>45014.59039351852</v>
      </c>
    </row>
    <row r="81" spans="1:25">
      <c r="A81" s="166" t="s">
        <v>45</v>
      </c>
      <c r="B81" s="162" t="s">
        <v>1555</v>
      </c>
      <c r="C81" s="165" t="s">
        <v>467</v>
      </c>
      <c r="D81" s="162" t="s">
        <v>53</v>
      </c>
      <c r="E81" s="161" t="s">
        <v>1739</v>
      </c>
      <c r="F81" s="162" t="s">
        <v>1740</v>
      </c>
      <c r="G81" s="161" t="s">
        <v>1744</v>
      </c>
      <c r="H81" s="214">
        <v>1</v>
      </c>
      <c r="I81" s="171">
        <v>0</v>
      </c>
      <c r="J81" s="170">
        <v>685</v>
      </c>
      <c r="K81" s="172">
        <v>0</v>
      </c>
      <c r="L81" s="170">
        <v>685</v>
      </c>
      <c r="M81" s="171">
        <v>685</v>
      </c>
      <c r="N81" s="170"/>
      <c r="O81" s="177" t="s">
        <v>76</v>
      </c>
      <c r="P81" s="162" t="s">
        <v>1619</v>
      </c>
      <c r="Q81" s="176"/>
      <c r="R81" s="174">
        <v>2033</v>
      </c>
      <c r="S81" s="179"/>
      <c r="T81" s="162" t="s">
        <v>24</v>
      </c>
      <c r="U81" s="161" t="s">
        <v>11</v>
      </c>
      <c r="V81" s="174">
        <v>1014</v>
      </c>
      <c r="W81" s="180"/>
      <c r="X81" s="185">
        <v>45017</v>
      </c>
      <c r="Y81" s="187">
        <v>45014.59039351852</v>
      </c>
    </row>
    <row r="82" spans="1:25">
      <c r="A82" s="166" t="s">
        <v>110</v>
      </c>
      <c r="B82" s="162" t="s">
        <v>1555</v>
      </c>
      <c r="C82" s="165" t="s">
        <v>1745</v>
      </c>
      <c r="D82" s="162" t="s">
        <v>1746</v>
      </c>
      <c r="E82" s="161" t="s">
        <v>1613</v>
      </c>
      <c r="F82" s="162" t="s">
        <v>1614</v>
      </c>
      <c r="G82" s="161"/>
      <c r="H82" s="214">
        <v>1</v>
      </c>
      <c r="I82" s="171"/>
      <c r="J82" s="170">
        <v>0.15</v>
      </c>
      <c r="K82" s="172"/>
      <c r="L82" s="170">
        <v>0.15</v>
      </c>
      <c r="M82" s="171">
        <v>0.15</v>
      </c>
      <c r="N82" s="170"/>
      <c r="O82" s="177" t="s">
        <v>76</v>
      </c>
      <c r="P82" s="162" t="s">
        <v>1591</v>
      </c>
      <c r="Q82" s="176"/>
      <c r="R82" s="174"/>
      <c r="S82" s="179"/>
      <c r="T82" s="162" t="s">
        <v>24</v>
      </c>
      <c r="U82" s="161" t="s">
        <v>1615</v>
      </c>
      <c r="V82" s="174">
        <v>2071</v>
      </c>
      <c r="W82" s="180"/>
      <c r="X82" s="185" t="s">
        <v>259</v>
      </c>
      <c r="Y82" s="187">
        <v>44825.518506944441</v>
      </c>
    </row>
    <row r="83" spans="1:25">
      <c r="A83" s="166" t="s">
        <v>110</v>
      </c>
      <c r="B83" s="162" t="s">
        <v>1555</v>
      </c>
      <c r="C83" s="165" t="s">
        <v>1747</v>
      </c>
      <c r="D83" s="162" t="s">
        <v>1604</v>
      </c>
      <c r="E83" s="161" t="s">
        <v>1613</v>
      </c>
      <c r="F83" s="162" t="s">
        <v>1614</v>
      </c>
      <c r="G83" s="161"/>
      <c r="H83" s="214">
        <v>1</v>
      </c>
      <c r="I83" s="171"/>
      <c r="J83" s="170">
        <v>0.2</v>
      </c>
      <c r="K83" s="172"/>
      <c r="L83" s="170">
        <v>0.2</v>
      </c>
      <c r="M83" s="171">
        <v>0.2</v>
      </c>
      <c r="N83" s="170"/>
      <c r="O83" s="177" t="s">
        <v>76</v>
      </c>
      <c r="P83" s="162" t="s">
        <v>1591</v>
      </c>
      <c r="Q83" s="176"/>
      <c r="R83" s="174"/>
      <c r="S83" s="179"/>
      <c r="T83" s="162" t="s">
        <v>24</v>
      </c>
      <c r="U83" s="161" t="s">
        <v>1615</v>
      </c>
      <c r="V83" s="174">
        <v>2072</v>
      </c>
      <c r="W83" s="180"/>
      <c r="X83" s="185" t="s">
        <v>259</v>
      </c>
      <c r="Y83" s="187">
        <v>44825.527083333334</v>
      </c>
    </row>
    <row r="84" spans="1:25">
      <c r="A84" s="166" t="s">
        <v>77</v>
      </c>
      <c r="B84" s="162" t="s">
        <v>1599</v>
      </c>
      <c r="C84" s="165" t="s">
        <v>1748</v>
      </c>
      <c r="D84" s="162" t="s">
        <v>827</v>
      </c>
      <c r="E84" s="161" t="s">
        <v>1631</v>
      </c>
      <c r="F84" s="162" t="s">
        <v>1614</v>
      </c>
      <c r="G84" s="161"/>
      <c r="H84" s="214">
        <v>1</v>
      </c>
      <c r="I84" s="171">
        <v>200</v>
      </c>
      <c r="J84" s="170">
        <v>200</v>
      </c>
      <c r="K84" s="172">
        <v>200</v>
      </c>
      <c r="L84" s="170">
        <v>200</v>
      </c>
      <c r="M84" s="171">
        <v>200</v>
      </c>
      <c r="N84" s="170"/>
      <c r="O84" s="177" t="s">
        <v>1523</v>
      </c>
      <c r="P84" s="162" t="s">
        <v>1620</v>
      </c>
      <c r="Q84" s="176"/>
      <c r="R84" s="174"/>
      <c r="S84" s="179"/>
      <c r="T84" s="162" t="s">
        <v>28</v>
      </c>
      <c r="U84" s="161" t="s">
        <v>1615</v>
      </c>
      <c r="V84" s="174">
        <v>1550</v>
      </c>
      <c r="W84" s="180"/>
      <c r="X84" s="185">
        <v>45069</v>
      </c>
      <c r="Y84" s="187">
        <v>45021.508356481485</v>
      </c>
    </row>
    <row r="85" spans="1:25">
      <c r="A85" s="166" t="s">
        <v>45</v>
      </c>
      <c r="B85" s="162" t="s">
        <v>1599</v>
      </c>
      <c r="C85" s="165" t="s">
        <v>1749</v>
      </c>
      <c r="D85" s="162" t="s">
        <v>1750</v>
      </c>
      <c r="E85" s="161" t="s">
        <v>1602</v>
      </c>
      <c r="F85" s="162" t="s">
        <v>1603</v>
      </c>
      <c r="G85" s="161"/>
      <c r="H85" s="214">
        <v>1</v>
      </c>
      <c r="I85" s="171">
        <v>408</v>
      </c>
      <c r="J85" s="170">
        <v>408</v>
      </c>
      <c r="K85" s="172">
        <v>408</v>
      </c>
      <c r="L85" s="170">
        <v>408</v>
      </c>
      <c r="M85" s="171">
        <v>408</v>
      </c>
      <c r="N85" s="170">
        <v>816</v>
      </c>
      <c r="O85" s="177" t="s">
        <v>1523</v>
      </c>
      <c r="P85" s="162" t="s">
        <v>1619</v>
      </c>
      <c r="Q85" s="176"/>
      <c r="R85" s="174"/>
      <c r="S85" s="179"/>
      <c r="T85" s="162" t="s">
        <v>28</v>
      </c>
      <c r="U85" s="161" t="s">
        <v>19</v>
      </c>
      <c r="V85" s="174">
        <v>2210</v>
      </c>
      <c r="W85" s="180" t="s">
        <v>1751</v>
      </c>
      <c r="X85" s="185">
        <v>45017</v>
      </c>
      <c r="Y85" s="187">
        <v>45027.6799537037</v>
      </c>
    </row>
    <row r="86" spans="1:25">
      <c r="A86" s="166" t="s">
        <v>105</v>
      </c>
      <c r="B86" s="162" t="s">
        <v>1555</v>
      </c>
      <c r="C86" s="165" t="s">
        <v>1752</v>
      </c>
      <c r="D86" s="162" t="s">
        <v>438</v>
      </c>
      <c r="E86" s="161" t="s">
        <v>1673</v>
      </c>
      <c r="F86" s="162" t="s">
        <v>1592</v>
      </c>
      <c r="G86" s="161" t="s">
        <v>1753</v>
      </c>
      <c r="H86" s="214">
        <v>1</v>
      </c>
      <c r="I86" s="171"/>
      <c r="J86" s="170">
        <v>40</v>
      </c>
      <c r="K86" s="172"/>
      <c r="L86" s="170">
        <v>40</v>
      </c>
      <c r="M86" s="171">
        <v>40</v>
      </c>
      <c r="N86" s="170"/>
      <c r="O86" s="177" t="s">
        <v>76</v>
      </c>
      <c r="P86" s="162" t="s">
        <v>1619</v>
      </c>
      <c r="Q86" s="176"/>
      <c r="R86" s="174">
        <v>2040</v>
      </c>
      <c r="S86" s="179"/>
      <c r="T86" s="162" t="s">
        <v>24</v>
      </c>
      <c r="U86" s="161" t="s">
        <v>13</v>
      </c>
      <c r="V86" s="174">
        <v>1015</v>
      </c>
      <c r="W86" s="180"/>
      <c r="X86" s="185">
        <v>45017</v>
      </c>
      <c r="Y86" s="187">
        <v>45086.827303240738</v>
      </c>
    </row>
    <row r="87" spans="1:25">
      <c r="A87" s="166" t="s">
        <v>105</v>
      </c>
      <c r="B87" s="162" t="s">
        <v>1555</v>
      </c>
      <c r="C87" s="165" t="s">
        <v>1752</v>
      </c>
      <c r="D87" s="162" t="s">
        <v>438</v>
      </c>
      <c r="E87" s="161" t="s">
        <v>1673</v>
      </c>
      <c r="F87" s="162" t="s">
        <v>1592</v>
      </c>
      <c r="G87" s="161" t="s">
        <v>1754</v>
      </c>
      <c r="H87" s="214">
        <v>1</v>
      </c>
      <c r="I87" s="171"/>
      <c r="J87" s="170">
        <v>40</v>
      </c>
      <c r="K87" s="172"/>
      <c r="L87" s="170">
        <v>40</v>
      </c>
      <c r="M87" s="171">
        <v>40</v>
      </c>
      <c r="N87" s="170"/>
      <c r="O87" s="177" t="s">
        <v>76</v>
      </c>
      <c r="P87" s="162" t="s">
        <v>1619</v>
      </c>
      <c r="Q87" s="176"/>
      <c r="R87" s="174">
        <v>2040</v>
      </c>
      <c r="S87" s="179"/>
      <c r="T87" s="162" t="s">
        <v>24</v>
      </c>
      <c r="U87" s="161" t="s">
        <v>13</v>
      </c>
      <c r="V87" s="174">
        <v>1015</v>
      </c>
      <c r="W87" s="180"/>
      <c r="X87" s="185">
        <v>45017</v>
      </c>
      <c r="Y87" s="187">
        <v>45086.827303240738</v>
      </c>
    </row>
    <row r="88" spans="1:25">
      <c r="A88" s="166" t="s">
        <v>105</v>
      </c>
      <c r="B88" s="162" t="s">
        <v>1555</v>
      </c>
      <c r="C88" s="165" t="s">
        <v>1752</v>
      </c>
      <c r="D88" s="162" t="s">
        <v>438</v>
      </c>
      <c r="E88" s="161" t="s">
        <v>1673</v>
      </c>
      <c r="F88" s="162" t="s">
        <v>1592</v>
      </c>
      <c r="G88" s="161" t="s">
        <v>1755</v>
      </c>
      <c r="H88" s="214">
        <v>1</v>
      </c>
      <c r="I88" s="171"/>
      <c r="J88" s="170">
        <v>40</v>
      </c>
      <c r="K88" s="172"/>
      <c r="L88" s="170">
        <v>40</v>
      </c>
      <c r="M88" s="171">
        <v>40</v>
      </c>
      <c r="N88" s="170"/>
      <c r="O88" s="177" t="s">
        <v>76</v>
      </c>
      <c r="P88" s="162" t="s">
        <v>1619</v>
      </c>
      <c r="Q88" s="176"/>
      <c r="R88" s="174">
        <v>2040</v>
      </c>
      <c r="S88" s="179"/>
      <c r="T88" s="162" t="s">
        <v>24</v>
      </c>
      <c r="U88" s="161" t="s">
        <v>13</v>
      </c>
      <c r="V88" s="174">
        <v>1015</v>
      </c>
      <c r="W88" s="180"/>
      <c r="X88" s="185">
        <v>45017</v>
      </c>
      <c r="Y88" s="187">
        <v>45086.827303240738</v>
      </c>
    </row>
    <row r="89" spans="1:25">
      <c r="A89" s="166" t="s">
        <v>45</v>
      </c>
      <c r="B89" s="162" t="s">
        <v>1599</v>
      </c>
      <c r="C89" s="165" t="s">
        <v>1756</v>
      </c>
      <c r="D89" s="162" t="s">
        <v>155</v>
      </c>
      <c r="E89" s="161" t="s">
        <v>1602</v>
      </c>
      <c r="F89" s="162" t="s">
        <v>1603</v>
      </c>
      <c r="G89" s="161"/>
      <c r="H89" s="214">
        <v>1</v>
      </c>
      <c r="I89" s="171"/>
      <c r="J89" s="170">
        <v>408</v>
      </c>
      <c r="K89" s="172"/>
      <c r="L89" s="170">
        <v>408</v>
      </c>
      <c r="M89" s="171">
        <v>408</v>
      </c>
      <c r="N89" s="170">
        <v>816</v>
      </c>
      <c r="O89" s="177" t="s">
        <v>1523</v>
      </c>
      <c r="P89" s="162" t="s">
        <v>1620</v>
      </c>
      <c r="Q89" s="176"/>
      <c r="R89" s="174"/>
      <c r="S89" s="179"/>
      <c r="T89" s="162" t="s">
        <v>28</v>
      </c>
      <c r="U89" s="161" t="s">
        <v>19</v>
      </c>
      <c r="V89" s="174">
        <v>1580</v>
      </c>
      <c r="W89" s="180"/>
      <c r="X89" s="185">
        <v>45069</v>
      </c>
      <c r="Y89" s="187">
        <v>45021.57503472222</v>
      </c>
    </row>
    <row r="90" spans="1:25" ht="24.75" customHeight="1">
      <c r="A90" s="166" t="s">
        <v>105</v>
      </c>
      <c r="B90" s="162" t="s">
        <v>1599</v>
      </c>
      <c r="C90" s="165" t="s">
        <v>1757</v>
      </c>
      <c r="D90" s="162" t="s">
        <v>1758</v>
      </c>
      <c r="E90" s="161" t="s">
        <v>1625</v>
      </c>
      <c r="F90" s="162" t="s">
        <v>1609</v>
      </c>
      <c r="G90" s="161"/>
      <c r="H90" s="214">
        <v>18</v>
      </c>
      <c r="I90" s="171">
        <v>8</v>
      </c>
      <c r="J90" s="170">
        <v>8</v>
      </c>
      <c r="K90" s="172">
        <v>144</v>
      </c>
      <c r="L90" s="170">
        <v>144</v>
      </c>
      <c r="M90" s="171">
        <v>144</v>
      </c>
      <c r="N90" s="170"/>
      <c r="O90" s="177" t="s">
        <v>1523</v>
      </c>
      <c r="P90" s="162" t="s">
        <v>1604</v>
      </c>
      <c r="Q90" s="176"/>
      <c r="R90" s="174"/>
      <c r="S90" s="179"/>
      <c r="T90" s="162" t="s">
        <v>28</v>
      </c>
      <c r="U90" s="161" t="s">
        <v>16</v>
      </c>
      <c r="V90" s="174">
        <v>2408</v>
      </c>
      <c r="W90" s="180" t="s">
        <v>3964</v>
      </c>
      <c r="X90" s="185">
        <v>45017</v>
      </c>
      <c r="Y90" s="187">
        <v>45034.59516203704</v>
      </c>
    </row>
    <row r="91" spans="1:25">
      <c r="A91" s="166" t="s">
        <v>45</v>
      </c>
      <c r="B91" s="162" t="s">
        <v>1599</v>
      </c>
      <c r="C91" s="165" t="s">
        <v>1759</v>
      </c>
      <c r="D91" s="162" t="s">
        <v>1760</v>
      </c>
      <c r="E91" s="161" t="s">
        <v>1602</v>
      </c>
      <c r="F91" s="164" t="s">
        <v>1603</v>
      </c>
      <c r="G91" s="161"/>
      <c r="H91" s="215">
        <v>1</v>
      </c>
      <c r="I91" s="171">
        <v>20</v>
      </c>
      <c r="J91" s="173">
        <v>20</v>
      </c>
      <c r="K91" s="172">
        <v>20</v>
      </c>
      <c r="L91" s="173">
        <v>20</v>
      </c>
      <c r="M91" s="171">
        <v>20</v>
      </c>
      <c r="N91" s="170">
        <v>0</v>
      </c>
      <c r="O91" s="177" t="s">
        <v>1523</v>
      </c>
      <c r="P91" s="162" t="s">
        <v>1619</v>
      </c>
      <c r="Q91" s="176"/>
      <c r="R91" s="175"/>
      <c r="S91" s="179"/>
      <c r="T91" s="164" t="s">
        <v>28</v>
      </c>
      <c r="U91" s="161" t="s">
        <v>19</v>
      </c>
      <c r="V91" s="175">
        <v>2511</v>
      </c>
      <c r="W91" s="181"/>
      <c r="X91" s="186" t="s">
        <v>259</v>
      </c>
      <c r="Y91" s="187">
        <v>45042.635150462964</v>
      </c>
    </row>
    <row r="92" spans="1:25">
      <c r="A92" s="166" t="s">
        <v>45</v>
      </c>
      <c r="B92" s="162" t="s">
        <v>1599</v>
      </c>
      <c r="C92" s="165" t="s">
        <v>1761</v>
      </c>
      <c r="D92" s="162" t="s">
        <v>1760</v>
      </c>
      <c r="E92" s="161" t="s">
        <v>1613</v>
      </c>
      <c r="F92" s="164" t="s">
        <v>1614</v>
      </c>
      <c r="G92" s="161"/>
      <c r="H92" s="215">
        <v>1</v>
      </c>
      <c r="I92" s="171">
        <v>20</v>
      </c>
      <c r="J92" s="173">
        <v>20</v>
      </c>
      <c r="K92" s="172">
        <v>20</v>
      </c>
      <c r="L92" s="173">
        <v>20</v>
      </c>
      <c r="M92" s="171">
        <v>20</v>
      </c>
      <c r="N92" s="170"/>
      <c r="O92" s="177" t="s">
        <v>1523</v>
      </c>
      <c r="P92" s="162" t="s">
        <v>1620</v>
      </c>
      <c r="Q92" s="176"/>
      <c r="R92" s="175"/>
      <c r="S92" s="179"/>
      <c r="T92" s="164" t="s">
        <v>28</v>
      </c>
      <c r="U92" s="161" t="s">
        <v>1615</v>
      </c>
      <c r="V92" s="175">
        <v>2510</v>
      </c>
      <c r="W92" s="181"/>
      <c r="X92" s="186" t="s">
        <v>259</v>
      </c>
      <c r="Y92" s="187">
        <v>45042.631585648145</v>
      </c>
    </row>
    <row r="93" spans="1:25">
      <c r="A93" s="166" t="s">
        <v>45</v>
      </c>
      <c r="B93" s="162" t="s">
        <v>1599</v>
      </c>
      <c r="C93" s="165" t="s">
        <v>1762</v>
      </c>
      <c r="D93" s="162" t="s">
        <v>1760</v>
      </c>
      <c r="E93" s="161" t="s">
        <v>1625</v>
      </c>
      <c r="F93" s="164" t="s">
        <v>1609</v>
      </c>
      <c r="G93" s="161"/>
      <c r="H93" s="215">
        <v>1</v>
      </c>
      <c r="I93" s="171">
        <v>160</v>
      </c>
      <c r="J93" s="173">
        <v>160</v>
      </c>
      <c r="K93" s="172">
        <v>160</v>
      </c>
      <c r="L93" s="173">
        <v>160</v>
      </c>
      <c r="M93" s="171">
        <v>160</v>
      </c>
      <c r="N93" s="170"/>
      <c r="O93" s="177" t="s">
        <v>1523</v>
      </c>
      <c r="P93" s="162" t="s">
        <v>1620</v>
      </c>
      <c r="Q93" s="176"/>
      <c r="R93" s="175"/>
      <c r="S93" s="179"/>
      <c r="T93" s="164" t="s">
        <v>28</v>
      </c>
      <c r="U93" s="161" t="s">
        <v>16</v>
      </c>
      <c r="V93" s="175">
        <v>2509</v>
      </c>
      <c r="W93" s="181"/>
      <c r="X93" s="186" t="s">
        <v>259</v>
      </c>
      <c r="Y93" s="187">
        <v>45042.628171296295</v>
      </c>
    </row>
    <row r="94" spans="1:25">
      <c r="A94" s="166" t="s">
        <v>45</v>
      </c>
      <c r="B94" s="162" t="s">
        <v>1599</v>
      </c>
      <c r="C94" s="165" t="s">
        <v>1763</v>
      </c>
      <c r="D94" s="162" t="s">
        <v>1764</v>
      </c>
      <c r="E94" s="161" t="s">
        <v>1613</v>
      </c>
      <c r="F94" s="162" t="s">
        <v>1614</v>
      </c>
      <c r="G94" s="161"/>
      <c r="H94" s="214">
        <v>1</v>
      </c>
      <c r="I94" s="171">
        <v>218</v>
      </c>
      <c r="J94" s="170">
        <v>218</v>
      </c>
      <c r="K94" s="172">
        <v>218</v>
      </c>
      <c r="L94" s="170">
        <v>218</v>
      </c>
      <c r="M94" s="171">
        <v>218</v>
      </c>
      <c r="N94" s="170"/>
      <c r="O94" s="177" t="s">
        <v>1523</v>
      </c>
      <c r="P94" s="162" t="s">
        <v>1604</v>
      </c>
      <c r="Q94" s="176"/>
      <c r="R94" s="174"/>
      <c r="S94" s="179"/>
      <c r="T94" s="162" t="s">
        <v>28</v>
      </c>
      <c r="U94" s="161" t="s">
        <v>1615</v>
      </c>
      <c r="V94" s="174">
        <v>2372</v>
      </c>
      <c r="W94" s="180" t="s">
        <v>1765</v>
      </c>
      <c r="X94" s="185">
        <v>45017</v>
      </c>
      <c r="Y94" s="187">
        <v>44931.492430555554</v>
      </c>
    </row>
    <row r="95" spans="1:25">
      <c r="A95" s="166" t="s">
        <v>45</v>
      </c>
      <c r="B95" s="162" t="s">
        <v>1599</v>
      </c>
      <c r="C95" s="165" t="s">
        <v>1766</v>
      </c>
      <c r="D95" s="162" t="s">
        <v>1764</v>
      </c>
      <c r="E95" s="161" t="s">
        <v>1602</v>
      </c>
      <c r="F95" s="162" t="s">
        <v>1603</v>
      </c>
      <c r="G95" s="161"/>
      <c r="H95" s="214">
        <v>1</v>
      </c>
      <c r="I95" s="171">
        <v>100</v>
      </c>
      <c r="J95" s="170">
        <v>100</v>
      </c>
      <c r="K95" s="172">
        <v>100</v>
      </c>
      <c r="L95" s="170">
        <v>100</v>
      </c>
      <c r="M95" s="171">
        <v>100</v>
      </c>
      <c r="N95" s="170">
        <v>0</v>
      </c>
      <c r="O95" s="177" t="s">
        <v>1523</v>
      </c>
      <c r="P95" s="162" t="s">
        <v>1604</v>
      </c>
      <c r="Q95" s="176"/>
      <c r="R95" s="174"/>
      <c r="S95" s="179"/>
      <c r="T95" s="162" t="s">
        <v>28</v>
      </c>
      <c r="U95" s="161" t="s">
        <v>19</v>
      </c>
      <c r="V95" s="174">
        <v>2374</v>
      </c>
      <c r="W95" s="180" t="s">
        <v>1765</v>
      </c>
      <c r="X95" s="185">
        <v>45017</v>
      </c>
      <c r="Y95" s="187">
        <v>44931.501192129632</v>
      </c>
    </row>
    <row r="96" spans="1:25">
      <c r="A96" s="166" t="s">
        <v>45</v>
      </c>
      <c r="B96" s="162" t="s">
        <v>1599</v>
      </c>
      <c r="C96" s="165" t="s">
        <v>1767</v>
      </c>
      <c r="D96" s="162" t="s">
        <v>1764</v>
      </c>
      <c r="E96" s="161" t="s">
        <v>1625</v>
      </c>
      <c r="F96" s="162" t="s">
        <v>1609</v>
      </c>
      <c r="G96" s="161"/>
      <c r="H96" s="214">
        <v>1</v>
      </c>
      <c r="I96" s="171">
        <v>380</v>
      </c>
      <c r="J96" s="170">
        <v>380</v>
      </c>
      <c r="K96" s="172">
        <v>380</v>
      </c>
      <c r="L96" s="170">
        <v>380</v>
      </c>
      <c r="M96" s="171">
        <v>380</v>
      </c>
      <c r="N96" s="170"/>
      <c r="O96" s="177" t="s">
        <v>1523</v>
      </c>
      <c r="P96" s="162" t="s">
        <v>1604</v>
      </c>
      <c r="Q96" s="176"/>
      <c r="R96" s="174"/>
      <c r="S96" s="179"/>
      <c r="T96" s="162" t="s">
        <v>28</v>
      </c>
      <c r="U96" s="161" t="s">
        <v>16</v>
      </c>
      <c r="V96" s="174">
        <v>2373</v>
      </c>
      <c r="W96" s="180" t="s">
        <v>1765</v>
      </c>
      <c r="X96" s="185">
        <v>45017</v>
      </c>
      <c r="Y96" s="187">
        <v>44931.496307870373</v>
      </c>
    </row>
    <row r="97" spans="1:25">
      <c r="A97" s="166" t="s">
        <v>110</v>
      </c>
      <c r="B97" s="162" t="s">
        <v>1555</v>
      </c>
      <c r="C97" s="165" t="s">
        <v>1768</v>
      </c>
      <c r="D97" s="162" t="s">
        <v>185</v>
      </c>
      <c r="E97" s="161" t="s">
        <v>1596</v>
      </c>
      <c r="F97" s="162" t="s">
        <v>1627</v>
      </c>
      <c r="G97" s="161"/>
      <c r="H97" s="214">
        <v>1</v>
      </c>
      <c r="I97" s="171"/>
      <c r="J97" s="170">
        <v>0.5</v>
      </c>
      <c r="K97" s="172"/>
      <c r="L97" s="170">
        <v>0.5</v>
      </c>
      <c r="M97" s="171">
        <v>0.5</v>
      </c>
      <c r="N97" s="170"/>
      <c r="O97" s="177" t="s">
        <v>76</v>
      </c>
      <c r="P97" s="162" t="s">
        <v>1591</v>
      </c>
      <c r="Q97" s="176"/>
      <c r="R97" s="174">
        <v>2042</v>
      </c>
      <c r="S97" s="179"/>
      <c r="T97" s="162" t="s">
        <v>24</v>
      </c>
      <c r="U97" s="161" t="s">
        <v>18</v>
      </c>
      <c r="V97" s="174">
        <v>1341</v>
      </c>
      <c r="W97" s="180"/>
      <c r="X97" s="185">
        <v>44805</v>
      </c>
      <c r="Y97" s="187">
        <v>44981.41306712963</v>
      </c>
    </row>
    <row r="98" spans="1:25">
      <c r="A98" s="166" t="s">
        <v>110</v>
      </c>
      <c r="B98" s="162" t="s">
        <v>1599</v>
      </c>
      <c r="C98" s="165" t="s">
        <v>1769</v>
      </c>
      <c r="D98" s="162" t="s">
        <v>1770</v>
      </c>
      <c r="E98" s="161" t="s">
        <v>1625</v>
      </c>
      <c r="F98" s="162" t="s">
        <v>1609</v>
      </c>
      <c r="G98" s="161"/>
      <c r="H98" s="214">
        <v>16</v>
      </c>
      <c r="I98" s="171">
        <v>4.5</v>
      </c>
      <c r="J98" s="170">
        <v>4.5</v>
      </c>
      <c r="K98" s="172">
        <v>72</v>
      </c>
      <c r="L98" s="170">
        <v>72</v>
      </c>
      <c r="M98" s="171">
        <v>72</v>
      </c>
      <c r="N98" s="170">
        <v>0</v>
      </c>
      <c r="O98" s="177" t="s">
        <v>1523</v>
      </c>
      <c r="P98" s="162" t="s">
        <v>1620</v>
      </c>
      <c r="Q98" s="176"/>
      <c r="R98" s="174"/>
      <c r="S98" s="179"/>
      <c r="T98" s="162" t="s">
        <v>28</v>
      </c>
      <c r="U98" s="161" t="s">
        <v>16</v>
      </c>
      <c r="V98" s="174">
        <v>1508</v>
      </c>
      <c r="W98" s="180"/>
      <c r="X98" s="185">
        <v>45017</v>
      </c>
      <c r="Y98" s="187">
        <v>45021.432893518519</v>
      </c>
    </row>
    <row r="99" spans="1:25">
      <c r="A99" s="166" t="s">
        <v>110</v>
      </c>
      <c r="B99" s="162" t="s">
        <v>1599</v>
      </c>
      <c r="C99" s="165" t="s">
        <v>1771</v>
      </c>
      <c r="D99" s="162" t="s">
        <v>334</v>
      </c>
      <c r="E99" s="161" t="s">
        <v>1602</v>
      </c>
      <c r="F99" s="162" t="s">
        <v>1603</v>
      </c>
      <c r="G99" s="161"/>
      <c r="H99" s="214">
        <v>1</v>
      </c>
      <c r="I99" s="171">
        <v>200</v>
      </c>
      <c r="J99" s="170">
        <v>200</v>
      </c>
      <c r="K99" s="172">
        <v>200</v>
      </c>
      <c r="L99" s="170">
        <v>200</v>
      </c>
      <c r="M99" s="171">
        <v>200</v>
      </c>
      <c r="N99" s="170">
        <v>0</v>
      </c>
      <c r="O99" s="177" t="s">
        <v>1523</v>
      </c>
      <c r="P99" s="162" t="s">
        <v>1604</v>
      </c>
      <c r="Q99" s="176"/>
      <c r="R99" s="174"/>
      <c r="S99" s="179"/>
      <c r="T99" s="162" t="s">
        <v>28</v>
      </c>
      <c r="U99" s="161" t="s">
        <v>19</v>
      </c>
      <c r="V99" s="174">
        <v>2393</v>
      </c>
      <c r="W99" s="180" t="s">
        <v>1772</v>
      </c>
      <c r="X99" s="185">
        <v>45017</v>
      </c>
      <c r="Y99" s="187">
        <v>44986.417384259257</v>
      </c>
    </row>
    <row r="100" spans="1:25">
      <c r="A100" s="166" t="s">
        <v>110</v>
      </c>
      <c r="B100" s="162" t="s">
        <v>1555</v>
      </c>
      <c r="C100" s="165" t="s">
        <v>111</v>
      </c>
      <c r="D100" s="162" t="s">
        <v>112</v>
      </c>
      <c r="E100" s="161" t="s">
        <v>1625</v>
      </c>
      <c r="F100" s="162" t="s">
        <v>1609</v>
      </c>
      <c r="G100" s="161" t="s">
        <v>561</v>
      </c>
      <c r="H100" s="214">
        <v>43</v>
      </c>
      <c r="I100" s="171">
        <v>4.2</v>
      </c>
      <c r="J100" s="170">
        <v>4.2</v>
      </c>
      <c r="K100" s="172">
        <v>180.6</v>
      </c>
      <c r="L100" s="170">
        <v>180.6</v>
      </c>
      <c r="M100" s="171">
        <v>180.6</v>
      </c>
      <c r="N100" s="170">
        <v>0</v>
      </c>
      <c r="O100" s="177" t="s">
        <v>76</v>
      </c>
      <c r="P100" s="162" t="s">
        <v>1620</v>
      </c>
      <c r="Q100" s="176">
        <v>44287</v>
      </c>
      <c r="R100" s="174">
        <v>2050</v>
      </c>
      <c r="S100" s="179"/>
      <c r="T100" s="162" t="s">
        <v>24</v>
      </c>
      <c r="U100" s="161" t="s">
        <v>16</v>
      </c>
      <c r="V100" s="174">
        <v>1018</v>
      </c>
      <c r="W100" s="180"/>
      <c r="X100" s="185">
        <v>45069</v>
      </c>
      <c r="Y100" s="187">
        <v>45104.347534722219</v>
      </c>
    </row>
    <row r="101" spans="1:25">
      <c r="A101" s="166" t="s">
        <v>110</v>
      </c>
      <c r="B101" s="162" t="s">
        <v>1555</v>
      </c>
      <c r="C101" s="165" t="s">
        <v>111</v>
      </c>
      <c r="D101" s="162" t="s">
        <v>112</v>
      </c>
      <c r="E101" s="161" t="s">
        <v>1625</v>
      </c>
      <c r="F101" s="162" t="s">
        <v>1609</v>
      </c>
      <c r="G101" s="161" t="s">
        <v>113</v>
      </c>
      <c r="H101" s="214">
        <v>26</v>
      </c>
      <c r="I101" s="171">
        <v>4.2</v>
      </c>
      <c r="J101" s="170">
        <v>4.2</v>
      </c>
      <c r="K101" s="172">
        <v>109.2</v>
      </c>
      <c r="L101" s="170">
        <v>109.2</v>
      </c>
      <c r="M101" s="171">
        <v>109.2</v>
      </c>
      <c r="N101" s="170"/>
      <c r="O101" s="177" t="s">
        <v>401</v>
      </c>
      <c r="P101" s="162" t="s">
        <v>1620</v>
      </c>
      <c r="Q101" s="176">
        <v>44774</v>
      </c>
      <c r="R101" s="174">
        <v>2052</v>
      </c>
      <c r="S101" s="179"/>
      <c r="T101" s="162" t="s">
        <v>24</v>
      </c>
      <c r="U101" s="161" t="s">
        <v>16</v>
      </c>
      <c r="V101" s="174">
        <v>1018</v>
      </c>
      <c r="W101" s="180"/>
      <c r="X101" s="185">
        <v>45069</v>
      </c>
      <c r="Y101" s="187">
        <v>45104.347534722219</v>
      </c>
    </row>
    <row r="102" spans="1:25">
      <c r="A102" s="166" t="s">
        <v>45</v>
      </c>
      <c r="B102" s="162" t="s">
        <v>1599</v>
      </c>
      <c r="C102" s="165" t="s">
        <v>1773</v>
      </c>
      <c r="D102" s="162" t="s">
        <v>1774</v>
      </c>
      <c r="E102" s="161" t="s">
        <v>1602</v>
      </c>
      <c r="F102" s="162" t="s">
        <v>1603</v>
      </c>
      <c r="G102" s="161"/>
      <c r="H102" s="214">
        <v>20</v>
      </c>
      <c r="I102" s="171"/>
      <c r="J102" s="170">
        <v>5</v>
      </c>
      <c r="K102" s="172"/>
      <c r="L102" s="170">
        <v>100</v>
      </c>
      <c r="M102" s="171">
        <v>100</v>
      </c>
      <c r="N102" s="170">
        <v>200</v>
      </c>
      <c r="O102" s="177" t="s">
        <v>1523</v>
      </c>
      <c r="P102" s="162" t="s">
        <v>1619</v>
      </c>
      <c r="Q102" s="176"/>
      <c r="R102" s="174"/>
      <c r="S102" s="179"/>
      <c r="T102" s="162" t="s">
        <v>28</v>
      </c>
      <c r="U102" s="161" t="s">
        <v>19</v>
      </c>
      <c r="V102" s="174">
        <v>2448</v>
      </c>
      <c r="W102" s="180" t="s">
        <v>3965</v>
      </c>
      <c r="X102" s="185">
        <v>45017</v>
      </c>
      <c r="Y102" s="187">
        <v>45027.626851851855</v>
      </c>
    </row>
    <row r="103" spans="1:25">
      <c r="A103" s="166" t="s">
        <v>45</v>
      </c>
      <c r="B103" s="162" t="s">
        <v>1555</v>
      </c>
      <c r="C103" s="165" t="s">
        <v>776</v>
      </c>
      <c r="D103" s="162" t="s">
        <v>777</v>
      </c>
      <c r="E103" s="161" t="s">
        <v>1631</v>
      </c>
      <c r="F103" s="162" t="s">
        <v>1614</v>
      </c>
      <c r="G103" s="161" t="s">
        <v>1775</v>
      </c>
      <c r="H103" s="214">
        <v>60</v>
      </c>
      <c r="I103" s="171">
        <v>1.64</v>
      </c>
      <c r="J103" s="170">
        <v>1.64</v>
      </c>
      <c r="K103" s="172">
        <v>98.4</v>
      </c>
      <c r="L103" s="170">
        <v>98.4</v>
      </c>
      <c r="M103" s="171">
        <v>98.4</v>
      </c>
      <c r="N103" s="170">
        <v>0</v>
      </c>
      <c r="O103" s="177" t="s">
        <v>76</v>
      </c>
      <c r="P103" s="162" t="s">
        <v>1620</v>
      </c>
      <c r="Q103" s="176">
        <v>43586</v>
      </c>
      <c r="R103" s="174">
        <v>2049</v>
      </c>
      <c r="S103" s="179"/>
      <c r="T103" s="162" t="s">
        <v>24</v>
      </c>
      <c r="U103" s="161" t="s">
        <v>1615</v>
      </c>
      <c r="V103" s="174">
        <v>1416</v>
      </c>
      <c r="W103" s="180"/>
      <c r="X103" s="185">
        <v>45017</v>
      </c>
      <c r="Y103" s="187">
        <v>45084.524733796294</v>
      </c>
    </row>
    <row r="104" spans="1:25">
      <c r="A104" s="166" t="s">
        <v>45</v>
      </c>
      <c r="B104" s="162" t="s">
        <v>1599</v>
      </c>
      <c r="C104" s="165" t="s">
        <v>1776</v>
      </c>
      <c r="D104" s="162" t="s">
        <v>1777</v>
      </c>
      <c r="E104" s="161" t="s">
        <v>1602</v>
      </c>
      <c r="F104" s="164" t="s">
        <v>1603</v>
      </c>
      <c r="G104" s="161"/>
      <c r="H104" s="215">
        <v>40</v>
      </c>
      <c r="I104" s="171"/>
      <c r="J104" s="173">
        <v>5</v>
      </c>
      <c r="K104" s="172"/>
      <c r="L104" s="173">
        <v>200</v>
      </c>
      <c r="M104" s="171">
        <v>200</v>
      </c>
      <c r="N104" s="170">
        <v>0</v>
      </c>
      <c r="O104" s="177" t="s">
        <v>1523</v>
      </c>
      <c r="P104" s="162" t="s">
        <v>1604</v>
      </c>
      <c r="Q104" s="176"/>
      <c r="R104" s="175"/>
      <c r="S104" s="179"/>
      <c r="T104" s="164" t="s">
        <v>28</v>
      </c>
      <c r="U104" s="161" t="s">
        <v>19</v>
      </c>
      <c r="V104" s="175">
        <v>2478</v>
      </c>
      <c r="W104" s="181" t="s">
        <v>1778</v>
      </c>
      <c r="X104" s="185">
        <v>45017</v>
      </c>
      <c r="Y104" s="187">
        <v>45035.612141203703</v>
      </c>
    </row>
    <row r="105" spans="1:25">
      <c r="A105" s="166" t="s">
        <v>45</v>
      </c>
      <c r="B105" s="162" t="s">
        <v>1599</v>
      </c>
      <c r="C105" s="165" t="s">
        <v>1779</v>
      </c>
      <c r="D105" s="162" t="s">
        <v>1780</v>
      </c>
      <c r="E105" s="161" t="s">
        <v>1602</v>
      </c>
      <c r="F105" s="162" t="s">
        <v>1603</v>
      </c>
      <c r="G105" s="161"/>
      <c r="H105" s="214">
        <v>1</v>
      </c>
      <c r="I105" s="171">
        <v>100</v>
      </c>
      <c r="J105" s="170">
        <v>100</v>
      </c>
      <c r="K105" s="172">
        <v>100</v>
      </c>
      <c r="L105" s="170">
        <v>100</v>
      </c>
      <c r="M105" s="171">
        <v>100</v>
      </c>
      <c r="N105" s="170">
        <v>0</v>
      </c>
      <c r="O105" s="177" t="s">
        <v>1523</v>
      </c>
      <c r="P105" s="162" t="s">
        <v>1604</v>
      </c>
      <c r="Q105" s="176"/>
      <c r="R105" s="174"/>
      <c r="S105" s="179"/>
      <c r="T105" s="162" t="s">
        <v>28</v>
      </c>
      <c r="U105" s="161" t="s">
        <v>19</v>
      </c>
      <c r="V105" s="174">
        <v>2375</v>
      </c>
      <c r="W105" s="180" t="s">
        <v>1781</v>
      </c>
      <c r="X105" s="185">
        <v>45017</v>
      </c>
      <c r="Y105" s="187">
        <v>44931.505659722221</v>
      </c>
    </row>
    <row r="106" spans="1:25">
      <c r="A106" s="166" t="s">
        <v>91</v>
      </c>
      <c r="B106" s="162" t="s">
        <v>1555</v>
      </c>
      <c r="C106" s="165" t="s">
        <v>933</v>
      </c>
      <c r="D106" s="162" t="s">
        <v>1782</v>
      </c>
      <c r="E106" s="161" t="s">
        <v>1589</v>
      </c>
      <c r="F106" s="162" t="s">
        <v>1635</v>
      </c>
      <c r="G106" s="161"/>
      <c r="H106" s="215">
        <v>1</v>
      </c>
      <c r="I106" s="171"/>
      <c r="J106" s="173">
        <v>30</v>
      </c>
      <c r="K106" s="172"/>
      <c r="L106" s="173">
        <v>30</v>
      </c>
      <c r="M106" s="171">
        <v>30</v>
      </c>
      <c r="N106" s="170"/>
      <c r="O106" s="177" t="s">
        <v>76</v>
      </c>
      <c r="P106" s="162" t="s">
        <v>1591</v>
      </c>
      <c r="Q106" s="176"/>
      <c r="R106" s="174"/>
      <c r="S106" s="179"/>
      <c r="T106" s="162" t="s">
        <v>24</v>
      </c>
      <c r="U106" s="161" t="s">
        <v>20</v>
      </c>
      <c r="V106" s="174">
        <v>2073</v>
      </c>
      <c r="W106" s="180"/>
      <c r="X106" s="185" t="s">
        <v>259</v>
      </c>
      <c r="Y106" s="187">
        <v>44829.951585648145</v>
      </c>
    </row>
    <row r="107" spans="1:25">
      <c r="A107" s="166" t="s">
        <v>77</v>
      </c>
      <c r="B107" s="162" t="s">
        <v>1599</v>
      </c>
      <c r="C107" s="165" t="s">
        <v>1783</v>
      </c>
      <c r="D107" s="162" t="s">
        <v>1784</v>
      </c>
      <c r="E107" s="161" t="s">
        <v>1657</v>
      </c>
      <c r="F107" s="162" t="s">
        <v>1658</v>
      </c>
      <c r="G107" s="161"/>
      <c r="H107" s="214">
        <v>1</v>
      </c>
      <c r="I107" s="171">
        <v>0</v>
      </c>
      <c r="J107" s="170">
        <v>400</v>
      </c>
      <c r="K107" s="172">
        <v>0</v>
      </c>
      <c r="L107" s="170">
        <v>400</v>
      </c>
      <c r="M107" s="171">
        <v>400</v>
      </c>
      <c r="N107" s="170">
        <v>4000</v>
      </c>
      <c r="O107" s="177" t="s">
        <v>1523</v>
      </c>
      <c r="P107" s="162" t="s">
        <v>1619</v>
      </c>
      <c r="Q107" s="176"/>
      <c r="R107" s="174"/>
      <c r="S107" s="179"/>
      <c r="T107" s="162" t="s">
        <v>28</v>
      </c>
      <c r="U107" s="161" t="s">
        <v>17</v>
      </c>
      <c r="V107" s="174">
        <v>1968</v>
      </c>
      <c r="W107" s="180" t="s">
        <v>1785</v>
      </c>
      <c r="X107" s="185">
        <v>45017</v>
      </c>
      <c r="Y107" s="187">
        <v>44937.62</v>
      </c>
    </row>
    <row r="108" spans="1:25">
      <c r="A108" s="166" t="s">
        <v>110</v>
      </c>
      <c r="B108" s="162" t="s">
        <v>1599</v>
      </c>
      <c r="C108" s="165" t="s">
        <v>1786</v>
      </c>
      <c r="D108" s="162" t="s">
        <v>1787</v>
      </c>
      <c r="E108" s="161" t="s">
        <v>1602</v>
      </c>
      <c r="F108" s="162" t="s">
        <v>1603</v>
      </c>
      <c r="G108" s="161"/>
      <c r="H108" s="215">
        <v>1</v>
      </c>
      <c r="I108" s="171">
        <v>402</v>
      </c>
      <c r="J108" s="173">
        <v>402</v>
      </c>
      <c r="K108" s="172">
        <v>402</v>
      </c>
      <c r="L108" s="173">
        <v>402</v>
      </c>
      <c r="M108" s="171">
        <v>402</v>
      </c>
      <c r="N108" s="170">
        <v>0</v>
      </c>
      <c r="O108" s="177" t="s">
        <v>1523</v>
      </c>
      <c r="P108" s="162" t="s">
        <v>1604</v>
      </c>
      <c r="Q108" s="176"/>
      <c r="R108" s="174"/>
      <c r="S108" s="179"/>
      <c r="T108" s="162" t="s">
        <v>28</v>
      </c>
      <c r="U108" s="161" t="s">
        <v>19</v>
      </c>
      <c r="V108" s="174">
        <v>2326</v>
      </c>
      <c r="W108" s="180" t="s">
        <v>1788</v>
      </c>
      <c r="X108" s="185">
        <v>45017</v>
      </c>
      <c r="Y108" s="187">
        <v>44944.432187500002</v>
      </c>
    </row>
    <row r="109" spans="1:25">
      <c r="A109" s="166" t="s">
        <v>77</v>
      </c>
      <c r="B109" s="162" t="s">
        <v>1555</v>
      </c>
      <c r="C109" s="165" t="s">
        <v>184</v>
      </c>
      <c r="D109" s="162" t="s">
        <v>185</v>
      </c>
      <c r="E109" s="161" t="s">
        <v>1596</v>
      </c>
      <c r="F109" s="162" t="s">
        <v>1627</v>
      </c>
      <c r="G109" s="161"/>
      <c r="H109" s="214">
        <v>1</v>
      </c>
      <c r="I109" s="171">
        <v>0.79</v>
      </c>
      <c r="J109" s="170">
        <v>0.79</v>
      </c>
      <c r="K109" s="172">
        <v>0.79</v>
      </c>
      <c r="L109" s="170">
        <v>0.79</v>
      </c>
      <c r="M109" s="171">
        <v>0.79</v>
      </c>
      <c r="N109" s="170"/>
      <c r="O109" s="177" t="s">
        <v>584</v>
      </c>
      <c r="P109" s="162" t="s">
        <v>1591</v>
      </c>
      <c r="Q109" s="176"/>
      <c r="R109" s="174">
        <v>2022</v>
      </c>
      <c r="S109" s="179"/>
      <c r="T109" s="162" t="s">
        <v>29</v>
      </c>
      <c r="U109" s="161" t="s">
        <v>18</v>
      </c>
      <c r="V109" s="174">
        <v>1343</v>
      </c>
      <c r="W109" s="180"/>
      <c r="X109" s="185">
        <v>44805</v>
      </c>
      <c r="Y109" s="187">
        <v>44981.413414351853</v>
      </c>
    </row>
    <row r="110" spans="1:25">
      <c r="A110" s="166" t="s">
        <v>110</v>
      </c>
      <c r="B110" s="162" t="s">
        <v>1599</v>
      </c>
      <c r="C110" s="165" t="s">
        <v>1789</v>
      </c>
      <c r="D110" s="162" t="s">
        <v>1790</v>
      </c>
      <c r="E110" s="161" t="s">
        <v>1603</v>
      </c>
      <c r="F110" s="162" t="s">
        <v>1603</v>
      </c>
      <c r="G110" s="161" t="s">
        <v>1791</v>
      </c>
      <c r="H110" s="215">
        <v>1</v>
      </c>
      <c r="I110" s="171">
        <v>100</v>
      </c>
      <c r="J110" s="173">
        <v>100</v>
      </c>
      <c r="K110" s="172">
        <v>100</v>
      </c>
      <c r="L110" s="173">
        <v>100</v>
      </c>
      <c r="M110" s="171">
        <v>100</v>
      </c>
      <c r="N110" s="170"/>
      <c r="O110" s="177" t="s">
        <v>1523</v>
      </c>
      <c r="P110" s="162" t="s">
        <v>1619</v>
      </c>
      <c r="Q110" s="176"/>
      <c r="R110" s="174"/>
      <c r="S110" s="179"/>
      <c r="T110" s="162" t="s">
        <v>28</v>
      </c>
      <c r="U110" s="161" t="s">
        <v>20</v>
      </c>
      <c r="V110" s="174">
        <v>2329</v>
      </c>
      <c r="W110" s="180" t="s">
        <v>1792</v>
      </c>
      <c r="X110" s="185">
        <v>45017</v>
      </c>
      <c r="Y110" s="187">
        <v>45027.653715277775</v>
      </c>
    </row>
    <row r="111" spans="1:25">
      <c r="A111" s="166" t="s">
        <v>110</v>
      </c>
      <c r="B111" s="162" t="s">
        <v>1599</v>
      </c>
      <c r="C111" s="165" t="s">
        <v>1793</v>
      </c>
      <c r="D111" s="162" t="s">
        <v>1790</v>
      </c>
      <c r="E111" s="161" t="s">
        <v>1631</v>
      </c>
      <c r="F111" s="162" t="s">
        <v>1614</v>
      </c>
      <c r="G111" s="161" t="s">
        <v>1794</v>
      </c>
      <c r="H111" s="214">
        <v>114</v>
      </c>
      <c r="I111" s="171">
        <v>3.5</v>
      </c>
      <c r="J111" s="170">
        <v>3.5</v>
      </c>
      <c r="K111" s="172">
        <v>399</v>
      </c>
      <c r="L111" s="170">
        <v>399</v>
      </c>
      <c r="M111" s="171">
        <v>399</v>
      </c>
      <c r="N111" s="170"/>
      <c r="O111" s="177" t="s">
        <v>1523</v>
      </c>
      <c r="P111" s="162" t="s">
        <v>1620</v>
      </c>
      <c r="Q111" s="176"/>
      <c r="R111" s="174"/>
      <c r="S111" s="179"/>
      <c r="T111" s="162" t="s">
        <v>28</v>
      </c>
      <c r="U111" s="161" t="s">
        <v>1615</v>
      </c>
      <c r="V111" s="174">
        <v>2328</v>
      </c>
      <c r="W111" s="180" t="s">
        <v>1795</v>
      </c>
      <c r="X111" s="185">
        <v>45017</v>
      </c>
      <c r="Y111" s="187">
        <v>45027.654745370368</v>
      </c>
    </row>
    <row r="112" spans="1:25">
      <c r="A112" s="166" t="s">
        <v>110</v>
      </c>
      <c r="B112" s="162" t="s">
        <v>1599</v>
      </c>
      <c r="C112" s="165" t="s">
        <v>1796</v>
      </c>
      <c r="D112" s="162" t="s">
        <v>1790</v>
      </c>
      <c r="E112" s="161" t="s">
        <v>1602</v>
      </c>
      <c r="F112" s="162" t="s">
        <v>1614</v>
      </c>
      <c r="G112" s="161" t="s">
        <v>1797</v>
      </c>
      <c r="H112" s="215">
        <v>57</v>
      </c>
      <c r="I112" s="171">
        <v>3.5</v>
      </c>
      <c r="J112" s="173">
        <v>3.5</v>
      </c>
      <c r="K112" s="172">
        <v>199.5</v>
      </c>
      <c r="L112" s="173">
        <v>199.5</v>
      </c>
      <c r="M112" s="171">
        <v>199.5</v>
      </c>
      <c r="N112" s="170">
        <v>400</v>
      </c>
      <c r="O112" s="177" t="s">
        <v>1523</v>
      </c>
      <c r="P112" s="162" t="s">
        <v>1619</v>
      </c>
      <c r="Q112" s="176"/>
      <c r="R112" s="174"/>
      <c r="S112" s="179"/>
      <c r="T112" s="162" t="s">
        <v>28</v>
      </c>
      <c r="U112" s="161" t="s">
        <v>19</v>
      </c>
      <c r="V112" s="174">
        <v>2327</v>
      </c>
      <c r="W112" s="180" t="s">
        <v>1798</v>
      </c>
      <c r="X112" s="185">
        <v>45017</v>
      </c>
      <c r="Y112" s="187">
        <v>45027.655659722222</v>
      </c>
    </row>
    <row r="113" spans="1:25">
      <c r="A113" s="166" t="s">
        <v>77</v>
      </c>
      <c r="B113" s="162" t="s">
        <v>1599</v>
      </c>
      <c r="C113" s="165" t="s">
        <v>1799</v>
      </c>
      <c r="D113" s="162" t="s">
        <v>1601</v>
      </c>
      <c r="E113" s="161" t="s">
        <v>1602</v>
      </c>
      <c r="F113" s="164" t="s">
        <v>1603</v>
      </c>
      <c r="G113" s="161"/>
      <c r="H113" s="214">
        <v>1</v>
      </c>
      <c r="I113" s="171">
        <v>250</v>
      </c>
      <c r="J113" s="170">
        <v>250</v>
      </c>
      <c r="K113" s="172">
        <v>250</v>
      </c>
      <c r="L113" s="170">
        <v>250</v>
      </c>
      <c r="M113" s="171">
        <v>250</v>
      </c>
      <c r="N113" s="170">
        <v>0</v>
      </c>
      <c r="O113" s="177" t="s">
        <v>1523</v>
      </c>
      <c r="P113" s="162" t="s">
        <v>1604</v>
      </c>
      <c r="Q113" s="176"/>
      <c r="R113" s="175"/>
      <c r="S113" s="179"/>
      <c r="T113" s="164" t="s">
        <v>28</v>
      </c>
      <c r="U113" s="161" t="s">
        <v>19</v>
      </c>
      <c r="V113" s="175">
        <v>2490</v>
      </c>
      <c r="W113" s="181" t="s">
        <v>1800</v>
      </c>
      <c r="X113" s="185">
        <v>45017</v>
      </c>
      <c r="Y113" s="187">
        <v>45035.781550925924</v>
      </c>
    </row>
    <row r="114" spans="1:25">
      <c r="A114" s="166" t="s">
        <v>91</v>
      </c>
      <c r="B114" s="162" t="s">
        <v>1599</v>
      </c>
      <c r="C114" s="165" t="s">
        <v>1801</v>
      </c>
      <c r="D114" s="162" t="s">
        <v>1802</v>
      </c>
      <c r="E114" s="161" t="s">
        <v>1602</v>
      </c>
      <c r="F114" s="162" t="s">
        <v>1603</v>
      </c>
      <c r="G114" s="161"/>
      <c r="H114" s="215">
        <v>1</v>
      </c>
      <c r="I114" s="171">
        <v>100</v>
      </c>
      <c r="J114" s="173">
        <v>100</v>
      </c>
      <c r="K114" s="172">
        <v>100</v>
      </c>
      <c r="L114" s="173">
        <v>100</v>
      </c>
      <c r="M114" s="171">
        <v>100</v>
      </c>
      <c r="N114" s="170">
        <v>0</v>
      </c>
      <c r="O114" s="177" t="s">
        <v>1523</v>
      </c>
      <c r="P114" s="162" t="s">
        <v>1604</v>
      </c>
      <c r="Q114" s="176"/>
      <c r="R114" s="174"/>
      <c r="S114" s="179"/>
      <c r="T114" s="162" t="s">
        <v>28</v>
      </c>
      <c r="U114" s="161" t="s">
        <v>19</v>
      </c>
      <c r="V114" s="174">
        <v>2305</v>
      </c>
      <c r="W114" s="180" t="s">
        <v>1803</v>
      </c>
      <c r="X114" s="185">
        <v>45017</v>
      </c>
      <c r="Y114" s="187">
        <v>44944.434004629627</v>
      </c>
    </row>
    <row r="115" spans="1:25">
      <c r="A115" s="166" t="s">
        <v>77</v>
      </c>
      <c r="B115" s="162" t="s">
        <v>1599</v>
      </c>
      <c r="C115" s="165" t="s">
        <v>1804</v>
      </c>
      <c r="D115" s="162" t="s">
        <v>1805</v>
      </c>
      <c r="E115" s="161" t="s">
        <v>1602</v>
      </c>
      <c r="F115" s="162" t="s">
        <v>1614</v>
      </c>
      <c r="G115" s="161"/>
      <c r="H115" s="214">
        <v>68</v>
      </c>
      <c r="I115" s="171"/>
      <c r="J115" s="170">
        <v>2.94</v>
      </c>
      <c r="K115" s="172"/>
      <c r="L115" s="170">
        <v>199.99</v>
      </c>
      <c r="M115" s="171">
        <v>199.99</v>
      </c>
      <c r="N115" s="170">
        <v>400</v>
      </c>
      <c r="O115" s="177" t="s">
        <v>1523</v>
      </c>
      <c r="P115" s="162" t="s">
        <v>1619</v>
      </c>
      <c r="Q115" s="176">
        <v>46296</v>
      </c>
      <c r="R115" s="174"/>
      <c r="S115" s="179"/>
      <c r="T115" s="162" t="s">
        <v>28</v>
      </c>
      <c r="U115" s="161" t="s">
        <v>19</v>
      </c>
      <c r="V115" s="174">
        <v>2432</v>
      </c>
      <c r="W115" s="180" t="s">
        <v>1806</v>
      </c>
      <c r="X115" s="185">
        <v>45017</v>
      </c>
      <c r="Y115" s="187">
        <v>45082.747974537036</v>
      </c>
    </row>
    <row r="116" spans="1:25">
      <c r="A116" s="166" t="s">
        <v>77</v>
      </c>
      <c r="B116" s="162" t="s">
        <v>1599</v>
      </c>
      <c r="C116" s="165" t="s">
        <v>1804</v>
      </c>
      <c r="D116" s="162" t="s">
        <v>1805</v>
      </c>
      <c r="E116" s="161" t="s">
        <v>1631</v>
      </c>
      <c r="F116" s="162" t="s">
        <v>1614</v>
      </c>
      <c r="G116" s="161"/>
      <c r="H116" s="215">
        <v>52</v>
      </c>
      <c r="I116" s="171">
        <v>5.19</v>
      </c>
      <c r="J116" s="173">
        <v>5.19</v>
      </c>
      <c r="K116" s="172">
        <v>270</v>
      </c>
      <c r="L116" s="173">
        <v>270</v>
      </c>
      <c r="M116" s="171">
        <v>270</v>
      </c>
      <c r="N116" s="170"/>
      <c r="O116" s="177" t="s">
        <v>1523</v>
      </c>
      <c r="P116" s="162" t="s">
        <v>1620</v>
      </c>
      <c r="Q116" s="176">
        <v>46296</v>
      </c>
      <c r="R116" s="174"/>
      <c r="S116" s="179"/>
      <c r="T116" s="162" t="s">
        <v>28</v>
      </c>
      <c r="U116" s="161" t="s">
        <v>1615</v>
      </c>
      <c r="V116" s="174">
        <v>2432</v>
      </c>
      <c r="W116" s="180" t="s">
        <v>1806</v>
      </c>
      <c r="X116" s="185">
        <v>45017</v>
      </c>
      <c r="Y116" s="187">
        <v>45082.747974537036</v>
      </c>
    </row>
    <row r="117" spans="1:25">
      <c r="A117" s="166" t="s">
        <v>77</v>
      </c>
      <c r="B117" s="162" t="s">
        <v>1599</v>
      </c>
      <c r="C117" s="165" t="s">
        <v>1807</v>
      </c>
      <c r="D117" s="162" t="s">
        <v>1808</v>
      </c>
      <c r="E117" s="161" t="s">
        <v>1613</v>
      </c>
      <c r="F117" s="162" t="s">
        <v>1614</v>
      </c>
      <c r="G117" s="161"/>
      <c r="H117" s="214">
        <v>1</v>
      </c>
      <c r="I117" s="171"/>
      <c r="J117" s="170">
        <v>60</v>
      </c>
      <c r="K117" s="172"/>
      <c r="L117" s="170">
        <v>60</v>
      </c>
      <c r="M117" s="171">
        <v>60</v>
      </c>
      <c r="N117" s="170"/>
      <c r="O117" s="177" t="s">
        <v>1523</v>
      </c>
      <c r="P117" s="162" t="s">
        <v>1620</v>
      </c>
      <c r="Q117" s="184"/>
      <c r="R117" s="174"/>
      <c r="S117" s="179"/>
      <c r="T117" s="162" t="s">
        <v>28</v>
      </c>
      <c r="U117" s="161" t="s">
        <v>1615</v>
      </c>
      <c r="V117" s="174">
        <v>2042</v>
      </c>
      <c r="W117" s="180"/>
      <c r="X117" s="185">
        <v>45017</v>
      </c>
      <c r="Y117" s="187">
        <v>44824.515231481484</v>
      </c>
    </row>
    <row r="118" spans="1:25">
      <c r="A118" s="166" t="s">
        <v>45</v>
      </c>
      <c r="B118" s="162" t="s">
        <v>1555</v>
      </c>
      <c r="C118" s="165" t="s">
        <v>1809</v>
      </c>
      <c r="D118" s="162" t="s">
        <v>1810</v>
      </c>
      <c r="E118" s="161" t="s">
        <v>1625</v>
      </c>
      <c r="F118" s="162" t="s">
        <v>1609</v>
      </c>
      <c r="G118" s="161"/>
      <c r="H118" s="215">
        <v>15</v>
      </c>
      <c r="I118" s="171">
        <v>0.66</v>
      </c>
      <c r="J118" s="173">
        <v>0.66</v>
      </c>
      <c r="K118" s="172">
        <v>9.9</v>
      </c>
      <c r="L118" s="173">
        <v>9.9</v>
      </c>
      <c r="M118" s="171">
        <v>9.9</v>
      </c>
      <c r="N118" s="170"/>
      <c r="O118" s="177" t="s">
        <v>76</v>
      </c>
      <c r="P118" s="162" t="s">
        <v>1591</v>
      </c>
      <c r="Q118" s="176"/>
      <c r="R118" s="174">
        <v>2030</v>
      </c>
      <c r="S118" s="179"/>
      <c r="T118" s="162" t="s">
        <v>24</v>
      </c>
      <c r="U118" s="161" t="s">
        <v>16</v>
      </c>
      <c r="V118" s="174">
        <v>1020</v>
      </c>
      <c r="W118" s="180"/>
      <c r="X118" s="185">
        <v>44621</v>
      </c>
      <c r="Y118" s="187">
        <v>45021.662476851852</v>
      </c>
    </row>
    <row r="119" spans="1:25">
      <c r="A119" s="166" t="s">
        <v>77</v>
      </c>
      <c r="B119" s="162" t="s">
        <v>1599</v>
      </c>
      <c r="C119" s="165" t="s">
        <v>1811</v>
      </c>
      <c r="D119" s="162" t="s">
        <v>1812</v>
      </c>
      <c r="E119" s="161" t="s">
        <v>1602</v>
      </c>
      <c r="F119" s="162" t="s">
        <v>1614</v>
      </c>
      <c r="G119" s="161"/>
      <c r="H119" s="214">
        <v>1</v>
      </c>
      <c r="I119" s="171">
        <v>29.25</v>
      </c>
      <c r="J119" s="170">
        <v>29.25</v>
      </c>
      <c r="K119" s="172">
        <v>29.25</v>
      </c>
      <c r="L119" s="170">
        <v>29.25</v>
      </c>
      <c r="M119" s="171">
        <v>29.25</v>
      </c>
      <c r="N119" s="170">
        <v>0</v>
      </c>
      <c r="O119" s="177" t="s">
        <v>1523</v>
      </c>
      <c r="P119" s="162" t="s">
        <v>1604</v>
      </c>
      <c r="Q119" s="176"/>
      <c r="R119" s="174"/>
      <c r="S119" s="179"/>
      <c r="T119" s="162" t="s">
        <v>28</v>
      </c>
      <c r="U119" s="161" t="s">
        <v>19</v>
      </c>
      <c r="V119" s="174">
        <v>2286</v>
      </c>
      <c r="W119" s="180" t="s">
        <v>1813</v>
      </c>
      <c r="X119" s="185">
        <v>45017</v>
      </c>
      <c r="Y119" s="187">
        <v>45043.514201388891</v>
      </c>
    </row>
    <row r="120" spans="1:25">
      <c r="A120" s="166" t="s">
        <v>77</v>
      </c>
      <c r="B120" s="162" t="s">
        <v>1599</v>
      </c>
      <c r="C120" s="165" t="s">
        <v>1814</v>
      </c>
      <c r="D120" s="162" t="s">
        <v>1812</v>
      </c>
      <c r="E120" s="161" t="s">
        <v>1613</v>
      </c>
      <c r="F120" s="162" t="s">
        <v>1614</v>
      </c>
      <c r="G120" s="161"/>
      <c r="H120" s="215">
        <v>1</v>
      </c>
      <c r="I120" s="171">
        <v>106</v>
      </c>
      <c r="J120" s="173">
        <v>106</v>
      </c>
      <c r="K120" s="172">
        <v>106</v>
      </c>
      <c r="L120" s="173">
        <v>106</v>
      </c>
      <c r="M120" s="171">
        <v>106</v>
      </c>
      <c r="N120" s="170"/>
      <c r="O120" s="177" t="s">
        <v>1523</v>
      </c>
      <c r="P120" s="162" t="s">
        <v>1604</v>
      </c>
      <c r="Q120" s="176"/>
      <c r="R120" s="174"/>
      <c r="S120" s="179"/>
      <c r="T120" s="162" t="s">
        <v>28</v>
      </c>
      <c r="U120" s="161" t="s">
        <v>1615</v>
      </c>
      <c r="V120" s="174">
        <v>2285</v>
      </c>
      <c r="W120" s="180" t="s">
        <v>1813</v>
      </c>
      <c r="X120" s="185">
        <v>45017</v>
      </c>
      <c r="Y120" s="187">
        <v>44944.434687499997</v>
      </c>
    </row>
    <row r="121" spans="1:25">
      <c r="A121" s="166" t="s">
        <v>45</v>
      </c>
      <c r="B121" s="162" t="s">
        <v>1599</v>
      </c>
      <c r="C121" s="165" t="s">
        <v>1815</v>
      </c>
      <c r="D121" s="162" t="s">
        <v>1816</v>
      </c>
      <c r="E121" s="161" t="s">
        <v>1631</v>
      </c>
      <c r="F121" s="162" t="s">
        <v>1614</v>
      </c>
      <c r="G121" s="161"/>
      <c r="H121" s="214">
        <v>93</v>
      </c>
      <c r="I121" s="171"/>
      <c r="J121" s="170">
        <v>4.2</v>
      </c>
      <c r="K121" s="172"/>
      <c r="L121" s="170">
        <v>390.6</v>
      </c>
      <c r="M121" s="171">
        <v>390.6</v>
      </c>
      <c r="N121" s="170"/>
      <c r="O121" s="177" t="s">
        <v>1523</v>
      </c>
      <c r="P121" s="162" t="s">
        <v>1620</v>
      </c>
      <c r="Q121" s="176"/>
      <c r="R121" s="174"/>
      <c r="S121" s="179"/>
      <c r="T121" s="162" t="s">
        <v>28</v>
      </c>
      <c r="U121" s="161" t="s">
        <v>1615</v>
      </c>
      <c r="V121" s="174">
        <v>2017</v>
      </c>
      <c r="W121" s="180" t="s">
        <v>1817</v>
      </c>
      <c r="X121" s="185">
        <v>45069</v>
      </c>
      <c r="Y121" s="187">
        <v>45028.420451388891</v>
      </c>
    </row>
    <row r="122" spans="1:25">
      <c r="A122" s="166" t="s">
        <v>45</v>
      </c>
      <c r="B122" s="162" t="s">
        <v>1599</v>
      </c>
      <c r="C122" s="165" t="s">
        <v>1815</v>
      </c>
      <c r="D122" s="162" t="s">
        <v>1816</v>
      </c>
      <c r="E122" s="161" t="s">
        <v>1602</v>
      </c>
      <c r="F122" s="162" t="s">
        <v>1614</v>
      </c>
      <c r="G122" s="161"/>
      <c r="H122" s="215">
        <v>93</v>
      </c>
      <c r="I122" s="171"/>
      <c r="J122" s="173">
        <v>2.7</v>
      </c>
      <c r="K122" s="172"/>
      <c r="L122" s="173">
        <v>251.1</v>
      </c>
      <c r="M122" s="171">
        <v>251.1</v>
      </c>
      <c r="N122" s="170">
        <v>250</v>
      </c>
      <c r="O122" s="177" t="s">
        <v>1523</v>
      </c>
      <c r="P122" s="162" t="s">
        <v>1619</v>
      </c>
      <c r="Q122" s="176"/>
      <c r="R122" s="174"/>
      <c r="S122" s="179"/>
      <c r="T122" s="162" t="s">
        <v>28</v>
      </c>
      <c r="U122" s="161" t="s">
        <v>19</v>
      </c>
      <c r="V122" s="174">
        <v>2017</v>
      </c>
      <c r="W122" s="180" t="s">
        <v>1817</v>
      </c>
      <c r="X122" s="185">
        <v>45069</v>
      </c>
      <c r="Y122" s="187">
        <v>45028.420451388891</v>
      </c>
    </row>
    <row r="123" spans="1:25">
      <c r="A123" s="166" t="s">
        <v>45</v>
      </c>
      <c r="B123" s="162" t="s">
        <v>1555</v>
      </c>
      <c r="C123" s="165" t="s">
        <v>1818</v>
      </c>
      <c r="D123" s="162" t="s">
        <v>805</v>
      </c>
      <c r="E123" s="161" t="s">
        <v>1700</v>
      </c>
      <c r="F123" s="162" t="s">
        <v>1658</v>
      </c>
      <c r="G123" s="161" t="s">
        <v>1819</v>
      </c>
      <c r="H123" s="214">
        <v>1</v>
      </c>
      <c r="I123" s="171">
        <v>80</v>
      </c>
      <c r="J123" s="170">
        <v>80</v>
      </c>
      <c r="K123" s="172">
        <v>80</v>
      </c>
      <c r="L123" s="170">
        <v>80</v>
      </c>
      <c r="M123" s="171">
        <v>80</v>
      </c>
      <c r="N123" s="170"/>
      <c r="O123" s="177" t="s">
        <v>76</v>
      </c>
      <c r="P123" s="162" t="s">
        <v>1619</v>
      </c>
      <c r="Q123" s="176"/>
      <c r="R123" s="174">
        <v>2070</v>
      </c>
      <c r="S123" s="179"/>
      <c r="T123" s="162" t="s">
        <v>24</v>
      </c>
      <c r="U123" s="161" t="s">
        <v>17</v>
      </c>
      <c r="V123" s="174">
        <v>1021</v>
      </c>
      <c r="W123" s="180"/>
      <c r="X123" s="185">
        <v>45017</v>
      </c>
      <c r="Y123" s="187">
        <v>45014.592650462961</v>
      </c>
    </row>
    <row r="124" spans="1:25">
      <c r="A124" s="166" t="s">
        <v>91</v>
      </c>
      <c r="B124" s="162" t="s">
        <v>1555</v>
      </c>
      <c r="C124" s="165" t="s">
        <v>1820</v>
      </c>
      <c r="D124" s="162" t="s">
        <v>1821</v>
      </c>
      <c r="E124" s="161" t="s">
        <v>1589</v>
      </c>
      <c r="F124" s="162" t="s">
        <v>1635</v>
      </c>
      <c r="G124" s="161" t="s">
        <v>1822</v>
      </c>
      <c r="H124" s="215">
        <v>1</v>
      </c>
      <c r="I124" s="171">
        <v>0.51</v>
      </c>
      <c r="J124" s="173">
        <v>0.51</v>
      </c>
      <c r="K124" s="172">
        <v>0.51</v>
      </c>
      <c r="L124" s="173">
        <v>0.51</v>
      </c>
      <c r="M124" s="171">
        <v>0.51</v>
      </c>
      <c r="N124" s="170"/>
      <c r="O124" s="177" t="s">
        <v>76</v>
      </c>
      <c r="P124" s="162" t="s">
        <v>1591</v>
      </c>
      <c r="Q124" s="176"/>
      <c r="R124" s="174"/>
      <c r="S124" s="179"/>
      <c r="T124" s="162" t="s">
        <v>24</v>
      </c>
      <c r="U124" s="161" t="s">
        <v>20</v>
      </c>
      <c r="V124" s="174">
        <v>1302</v>
      </c>
      <c r="W124" s="180"/>
      <c r="X124" s="185">
        <v>44621</v>
      </c>
      <c r="Y124" s="187">
        <v>44981.405590277776</v>
      </c>
    </row>
    <row r="125" spans="1:25">
      <c r="A125" s="237" t="s">
        <v>110</v>
      </c>
      <c r="B125" s="221" t="s">
        <v>1599</v>
      </c>
      <c r="C125" s="238" t="s">
        <v>3871</v>
      </c>
      <c r="D125" s="221" t="s">
        <v>3872</v>
      </c>
      <c r="E125" s="223" t="s">
        <v>1608</v>
      </c>
      <c r="F125" s="224" t="s">
        <v>16</v>
      </c>
      <c r="G125" s="161"/>
      <c r="H125" s="214">
        <v>1</v>
      </c>
      <c r="I125" s="171"/>
      <c r="J125" s="170">
        <v>1819</v>
      </c>
      <c r="K125" s="172"/>
      <c r="L125" s="170">
        <v>1819</v>
      </c>
      <c r="M125" s="171">
        <v>1819</v>
      </c>
      <c r="N125" s="170"/>
      <c r="O125" s="230" t="s">
        <v>1523</v>
      </c>
      <c r="P125" s="221" t="s">
        <v>1604</v>
      </c>
      <c r="Q125" s="231"/>
      <c r="R125" s="232"/>
      <c r="S125" s="233"/>
      <c r="T125" s="224" t="s">
        <v>28</v>
      </c>
      <c r="U125" s="223" t="s">
        <v>16</v>
      </c>
      <c r="V125" s="232">
        <v>2542</v>
      </c>
      <c r="W125" s="234" t="s">
        <v>3934</v>
      </c>
      <c r="X125" s="235"/>
      <c r="Y125" s="236">
        <v>45111.457048611112</v>
      </c>
    </row>
    <row r="126" spans="1:25">
      <c r="A126" s="166" t="s">
        <v>77</v>
      </c>
      <c r="B126" s="162" t="s">
        <v>1555</v>
      </c>
      <c r="C126" s="165" t="s">
        <v>574</v>
      </c>
      <c r="D126" s="162" t="s">
        <v>160</v>
      </c>
      <c r="E126" s="161" t="s">
        <v>1631</v>
      </c>
      <c r="F126" s="162" t="s">
        <v>1614</v>
      </c>
      <c r="G126" s="161" t="s">
        <v>1823</v>
      </c>
      <c r="H126" s="215">
        <v>1</v>
      </c>
      <c r="I126" s="171">
        <v>148</v>
      </c>
      <c r="J126" s="173">
        <v>148</v>
      </c>
      <c r="K126" s="172">
        <v>148</v>
      </c>
      <c r="L126" s="173">
        <v>148</v>
      </c>
      <c r="M126" s="171">
        <v>148</v>
      </c>
      <c r="N126" s="170">
        <v>0</v>
      </c>
      <c r="O126" s="177" t="s">
        <v>401</v>
      </c>
      <c r="P126" s="162" t="s">
        <v>1620</v>
      </c>
      <c r="Q126" s="176">
        <v>45078</v>
      </c>
      <c r="R126" s="174">
        <v>2057</v>
      </c>
      <c r="S126" s="179"/>
      <c r="T126" s="162" t="s">
        <v>24</v>
      </c>
      <c r="U126" s="161" t="s">
        <v>1615</v>
      </c>
      <c r="V126" s="174">
        <v>1903</v>
      </c>
      <c r="W126" s="180"/>
      <c r="X126" s="185">
        <v>45069</v>
      </c>
      <c r="Y126" s="187">
        <v>45028.423854166664</v>
      </c>
    </row>
    <row r="127" spans="1:25">
      <c r="A127" s="166" t="s">
        <v>77</v>
      </c>
      <c r="B127" s="162" t="s">
        <v>1599</v>
      </c>
      <c r="C127" s="165" t="s">
        <v>1824</v>
      </c>
      <c r="D127" s="162" t="s">
        <v>1825</v>
      </c>
      <c r="E127" s="161" t="s">
        <v>1613</v>
      </c>
      <c r="F127" s="162" t="s">
        <v>1614</v>
      </c>
      <c r="G127" s="161"/>
      <c r="H127" s="214">
        <v>1</v>
      </c>
      <c r="I127" s="171">
        <v>1</v>
      </c>
      <c r="J127" s="170">
        <v>85</v>
      </c>
      <c r="K127" s="172">
        <v>1</v>
      </c>
      <c r="L127" s="170">
        <v>85</v>
      </c>
      <c r="M127" s="171" t="s">
        <v>1826</v>
      </c>
      <c r="N127" s="170"/>
      <c r="O127" s="177" t="s">
        <v>1523</v>
      </c>
      <c r="P127" s="162" t="s">
        <v>1620</v>
      </c>
      <c r="Q127" s="176"/>
      <c r="R127" s="174"/>
      <c r="S127" s="179"/>
      <c r="T127" s="162" t="s">
        <v>28</v>
      </c>
      <c r="U127" s="161" t="s">
        <v>1615</v>
      </c>
      <c r="V127" s="174">
        <v>1449</v>
      </c>
      <c r="W127" s="180"/>
      <c r="X127" s="185">
        <v>45017</v>
      </c>
      <c r="Y127" s="187">
        <v>45020.704675925925</v>
      </c>
    </row>
    <row r="128" spans="1:25">
      <c r="A128" s="166" t="s">
        <v>91</v>
      </c>
      <c r="B128" s="162" t="s">
        <v>1599</v>
      </c>
      <c r="C128" s="165" t="s">
        <v>284</v>
      </c>
      <c r="D128" s="162" t="s">
        <v>142</v>
      </c>
      <c r="E128" s="161" t="s">
        <v>1602</v>
      </c>
      <c r="F128" s="162" t="s">
        <v>1603</v>
      </c>
      <c r="G128" s="161"/>
      <c r="H128" s="215">
        <v>64</v>
      </c>
      <c r="I128" s="171">
        <v>0</v>
      </c>
      <c r="J128" s="173">
        <v>3.13</v>
      </c>
      <c r="K128" s="172">
        <v>0</v>
      </c>
      <c r="L128" s="173">
        <v>200</v>
      </c>
      <c r="M128" s="171">
        <v>200</v>
      </c>
      <c r="N128" s="170">
        <v>400</v>
      </c>
      <c r="O128" s="177" t="s">
        <v>27</v>
      </c>
      <c r="P128" s="162" t="s">
        <v>1619</v>
      </c>
      <c r="Q128" s="176">
        <v>45627</v>
      </c>
      <c r="R128" s="174">
        <v>2044</v>
      </c>
      <c r="S128" s="179"/>
      <c r="T128" s="162" t="s">
        <v>27</v>
      </c>
      <c r="U128" s="161" t="s">
        <v>19</v>
      </c>
      <c r="V128" s="174">
        <v>2248</v>
      </c>
      <c r="W128" s="180" t="s">
        <v>1827</v>
      </c>
      <c r="X128" s="185">
        <v>45069</v>
      </c>
      <c r="Y128" s="187">
        <v>45099.520613425928</v>
      </c>
    </row>
    <row r="129" spans="1:25">
      <c r="A129" s="166" t="s">
        <v>45</v>
      </c>
      <c r="B129" s="162" t="s">
        <v>1599</v>
      </c>
      <c r="C129" s="165" t="s">
        <v>1268</v>
      </c>
      <c r="D129" s="162" t="s">
        <v>1828</v>
      </c>
      <c r="E129" s="161" t="s">
        <v>1625</v>
      </c>
      <c r="F129" s="162" t="s">
        <v>1609</v>
      </c>
      <c r="G129" s="161" t="s">
        <v>1829</v>
      </c>
      <c r="H129" s="214">
        <v>15</v>
      </c>
      <c r="I129" s="171">
        <v>0</v>
      </c>
      <c r="J129" s="170">
        <v>5.3</v>
      </c>
      <c r="K129" s="172">
        <v>0</v>
      </c>
      <c r="L129" s="170">
        <v>79.5</v>
      </c>
      <c r="M129" s="171">
        <v>79.5</v>
      </c>
      <c r="N129" s="170"/>
      <c r="O129" s="177" t="s">
        <v>1523</v>
      </c>
      <c r="P129" s="162" t="s">
        <v>1620</v>
      </c>
      <c r="Q129" s="176"/>
      <c r="R129" s="174">
        <v>2046</v>
      </c>
      <c r="S129" s="179"/>
      <c r="T129" s="162" t="s">
        <v>28</v>
      </c>
      <c r="U129" s="161" t="s">
        <v>16</v>
      </c>
      <c r="V129" s="174">
        <v>1022</v>
      </c>
      <c r="W129" s="180"/>
      <c r="X129" s="185">
        <v>45069</v>
      </c>
      <c r="Y129" s="187">
        <v>45014.595358796294</v>
      </c>
    </row>
    <row r="130" spans="1:25">
      <c r="A130" s="166" t="s">
        <v>45</v>
      </c>
      <c r="B130" s="162" t="s">
        <v>1555</v>
      </c>
      <c r="C130" s="165" t="s">
        <v>1268</v>
      </c>
      <c r="D130" s="162" t="s">
        <v>1828</v>
      </c>
      <c r="E130" s="161" t="s">
        <v>1625</v>
      </c>
      <c r="F130" s="162" t="s">
        <v>1609</v>
      </c>
      <c r="G130" s="161" t="s">
        <v>1830</v>
      </c>
      <c r="H130" s="215">
        <v>58</v>
      </c>
      <c r="I130" s="171"/>
      <c r="J130" s="173">
        <v>1.7</v>
      </c>
      <c r="K130" s="172"/>
      <c r="L130" s="173">
        <v>98.6</v>
      </c>
      <c r="M130" s="171">
        <v>98.6</v>
      </c>
      <c r="N130" s="170"/>
      <c r="O130" s="177" t="s">
        <v>76</v>
      </c>
      <c r="P130" s="162" t="s">
        <v>1620</v>
      </c>
      <c r="Q130" s="176"/>
      <c r="R130" s="174">
        <v>2040</v>
      </c>
      <c r="S130" s="179"/>
      <c r="T130" s="162" t="s">
        <v>24</v>
      </c>
      <c r="U130" s="161" t="s">
        <v>16</v>
      </c>
      <c r="V130" s="174">
        <v>1022</v>
      </c>
      <c r="W130" s="180"/>
      <c r="X130" s="185">
        <v>45069</v>
      </c>
      <c r="Y130" s="187">
        <v>45014.595358796294</v>
      </c>
    </row>
    <row r="131" spans="1:25">
      <c r="A131" s="166" t="s">
        <v>45</v>
      </c>
      <c r="B131" s="162" t="s">
        <v>1555</v>
      </c>
      <c r="C131" s="165" t="s">
        <v>1268</v>
      </c>
      <c r="D131" s="162" t="s">
        <v>1828</v>
      </c>
      <c r="E131" s="161" t="s">
        <v>1625</v>
      </c>
      <c r="F131" s="162" t="s">
        <v>1609</v>
      </c>
      <c r="G131" s="161" t="s">
        <v>1830</v>
      </c>
      <c r="H131" s="214">
        <v>9</v>
      </c>
      <c r="I131" s="171"/>
      <c r="J131" s="170">
        <v>1.6</v>
      </c>
      <c r="K131" s="172"/>
      <c r="L131" s="170">
        <v>14.4</v>
      </c>
      <c r="M131" s="171">
        <v>14.4</v>
      </c>
      <c r="N131" s="170"/>
      <c r="O131" s="177" t="s">
        <v>76</v>
      </c>
      <c r="P131" s="162" t="s">
        <v>1620</v>
      </c>
      <c r="Q131" s="176"/>
      <c r="R131" s="174">
        <v>2040</v>
      </c>
      <c r="S131" s="179"/>
      <c r="T131" s="162" t="s">
        <v>24</v>
      </c>
      <c r="U131" s="161" t="s">
        <v>16</v>
      </c>
      <c r="V131" s="174">
        <v>1022</v>
      </c>
      <c r="W131" s="180"/>
      <c r="X131" s="185">
        <v>45069</v>
      </c>
      <c r="Y131" s="187">
        <v>45014.595358796294</v>
      </c>
    </row>
    <row r="132" spans="1:25">
      <c r="A132" s="166" t="s">
        <v>45</v>
      </c>
      <c r="B132" s="162" t="s">
        <v>1555</v>
      </c>
      <c r="C132" s="165" t="s">
        <v>780</v>
      </c>
      <c r="D132" s="162" t="s">
        <v>781</v>
      </c>
      <c r="E132" s="161" t="s">
        <v>1625</v>
      </c>
      <c r="F132" s="162" t="s">
        <v>1609</v>
      </c>
      <c r="G132" s="161" t="s">
        <v>1831</v>
      </c>
      <c r="H132" s="215">
        <v>33</v>
      </c>
      <c r="I132" s="171">
        <v>3.43</v>
      </c>
      <c r="J132" s="173">
        <v>3.43</v>
      </c>
      <c r="K132" s="172">
        <v>113.19</v>
      </c>
      <c r="L132" s="173">
        <v>113.19</v>
      </c>
      <c r="M132" s="171">
        <v>113.19</v>
      </c>
      <c r="N132" s="170"/>
      <c r="O132" s="177" t="s">
        <v>76</v>
      </c>
      <c r="P132" s="162" t="s">
        <v>1620</v>
      </c>
      <c r="Q132" s="176">
        <v>43497</v>
      </c>
      <c r="R132" s="174">
        <v>2049</v>
      </c>
      <c r="S132" s="179"/>
      <c r="T132" s="162" t="s">
        <v>24</v>
      </c>
      <c r="U132" s="161" t="s">
        <v>16</v>
      </c>
      <c r="V132" s="174">
        <v>1259</v>
      </c>
      <c r="W132" s="180"/>
      <c r="X132" s="185">
        <v>45017</v>
      </c>
      <c r="Y132" s="187">
        <v>45020.584363425929</v>
      </c>
    </row>
    <row r="133" spans="1:25">
      <c r="A133" s="166" t="s">
        <v>45</v>
      </c>
      <c r="B133" s="162" t="s">
        <v>1599</v>
      </c>
      <c r="C133" s="165" t="s">
        <v>1832</v>
      </c>
      <c r="D133" s="162" t="s">
        <v>150</v>
      </c>
      <c r="E133" s="161" t="s">
        <v>1602</v>
      </c>
      <c r="F133" s="162" t="s">
        <v>1614</v>
      </c>
      <c r="G133" s="161"/>
      <c r="H133" s="214">
        <v>1</v>
      </c>
      <c r="I133" s="171"/>
      <c r="J133" s="170">
        <v>9.8000000000000007</v>
      </c>
      <c r="K133" s="172"/>
      <c r="L133" s="170">
        <v>9.8000000000000007</v>
      </c>
      <c r="M133" s="171">
        <v>9.8000000000000007</v>
      </c>
      <c r="N133" s="170">
        <v>10</v>
      </c>
      <c r="O133" s="177" t="s">
        <v>1523</v>
      </c>
      <c r="P133" s="162" t="s">
        <v>1619</v>
      </c>
      <c r="Q133" s="176"/>
      <c r="R133" s="174"/>
      <c r="S133" s="179"/>
      <c r="T133" s="162" t="s">
        <v>28</v>
      </c>
      <c r="U133" s="161" t="s">
        <v>19</v>
      </c>
      <c r="V133" s="174">
        <v>2265</v>
      </c>
      <c r="W133" s="180"/>
      <c r="X133" s="185">
        <v>45017</v>
      </c>
      <c r="Y133" s="187">
        <v>44902.580405092594</v>
      </c>
    </row>
    <row r="134" spans="1:25">
      <c r="A134" s="166" t="s">
        <v>110</v>
      </c>
      <c r="B134" s="162" t="s">
        <v>1555</v>
      </c>
      <c r="C134" s="165" t="s">
        <v>771</v>
      </c>
      <c r="D134" s="162" t="s">
        <v>396</v>
      </c>
      <c r="E134" s="161" t="s">
        <v>1700</v>
      </c>
      <c r="F134" s="162" t="s">
        <v>1658</v>
      </c>
      <c r="G134" s="161" t="s">
        <v>773</v>
      </c>
      <c r="H134" s="215">
        <v>6</v>
      </c>
      <c r="I134" s="171">
        <v>0</v>
      </c>
      <c r="J134" s="173">
        <v>26.67</v>
      </c>
      <c r="K134" s="172">
        <v>0</v>
      </c>
      <c r="L134" s="173">
        <v>160.02000000000001</v>
      </c>
      <c r="M134" s="171">
        <v>160.02000000000001</v>
      </c>
      <c r="N134" s="170"/>
      <c r="O134" s="177" t="s">
        <v>76</v>
      </c>
      <c r="P134" s="162" t="s">
        <v>1619</v>
      </c>
      <c r="Q134" s="176"/>
      <c r="R134" s="174">
        <v>2057</v>
      </c>
      <c r="S134" s="179"/>
      <c r="T134" s="162" t="s">
        <v>24</v>
      </c>
      <c r="U134" s="161" t="s">
        <v>17</v>
      </c>
      <c r="V134" s="174">
        <v>1023</v>
      </c>
      <c r="W134" s="180"/>
      <c r="X134" s="185">
        <v>45017</v>
      </c>
      <c r="Y134" s="187">
        <v>45014.596944444442</v>
      </c>
    </row>
    <row r="135" spans="1:25">
      <c r="A135" s="166" t="s">
        <v>110</v>
      </c>
      <c r="B135" s="162" t="s">
        <v>1555</v>
      </c>
      <c r="C135" s="165" t="s">
        <v>771</v>
      </c>
      <c r="D135" s="162" t="s">
        <v>396</v>
      </c>
      <c r="E135" s="161" t="s">
        <v>1700</v>
      </c>
      <c r="F135" s="162" t="s">
        <v>1658</v>
      </c>
      <c r="G135" s="161" t="s">
        <v>773</v>
      </c>
      <c r="H135" s="214">
        <v>2</v>
      </c>
      <c r="I135" s="171">
        <v>0</v>
      </c>
      <c r="J135" s="170">
        <v>70</v>
      </c>
      <c r="K135" s="172">
        <v>0</v>
      </c>
      <c r="L135" s="170">
        <v>140</v>
      </c>
      <c r="M135" s="171">
        <v>140</v>
      </c>
      <c r="N135" s="170"/>
      <c r="O135" s="177" t="s">
        <v>76</v>
      </c>
      <c r="P135" s="162" t="s">
        <v>1619</v>
      </c>
      <c r="Q135" s="176"/>
      <c r="R135" s="174">
        <v>2057</v>
      </c>
      <c r="S135" s="179"/>
      <c r="T135" s="162" t="s">
        <v>24</v>
      </c>
      <c r="U135" s="161" t="s">
        <v>17</v>
      </c>
      <c r="V135" s="174">
        <v>1023</v>
      </c>
      <c r="W135" s="180"/>
      <c r="X135" s="185">
        <v>45017</v>
      </c>
      <c r="Y135" s="187">
        <v>45014.596944444442</v>
      </c>
    </row>
    <row r="136" spans="1:25">
      <c r="A136" s="166" t="s">
        <v>45</v>
      </c>
      <c r="B136" s="162" t="s">
        <v>1599</v>
      </c>
      <c r="C136" s="165" t="s">
        <v>1833</v>
      </c>
      <c r="D136" s="162" t="s">
        <v>1834</v>
      </c>
      <c r="E136" s="161" t="s">
        <v>1602</v>
      </c>
      <c r="F136" s="164" t="s">
        <v>1603</v>
      </c>
      <c r="G136" s="161"/>
      <c r="H136" s="215">
        <v>65</v>
      </c>
      <c r="I136" s="171"/>
      <c r="J136" s="173">
        <v>3.07</v>
      </c>
      <c r="K136" s="172"/>
      <c r="L136" s="173">
        <v>200</v>
      </c>
      <c r="M136" s="171">
        <v>200</v>
      </c>
      <c r="N136" s="170">
        <v>0</v>
      </c>
      <c r="O136" s="177" t="s">
        <v>1523</v>
      </c>
      <c r="P136" s="162" t="s">
        <v>1604</v>
      </c>
      <c r="Q136" s="176"/>
      <c r="R136" s="175"/>
      <c r="S136" s="179"/>
      <c r="T136" s="164" t="s">
        <v>28</v>
      </c>
      <c r="U136" s="161" t="s">
        <v>19</v>
      </c>
      <c r="V136" s="175">
        <v>2476</v>
      </c>
      <c r="W136" s="181" t="s">
        <v>1835</v>
      </c>
      <c r="X136" s="185">
        <v>45017</v>
      </c>
      <c r="Y136" s="187">
        <v>45035.552986111114</v>
      </c>
    </row>
    <row r="137" spans="1:25">
      <c r="A137" s="166" t="s">
        <v>91</v>
      </c>
      <c r="B137" s="162" t="s">
        <v>1555</v>
      </c>
      <c r="C137" s="165" t="s">
        <v>210</v>
      </c>
      <c r="D137" s="162" t="s">
        <v>211</v>
      </c>
      <c r="E137" s="161" t="s">
        <v>1673</v>
      </c>
      <c r="F137" s="162" t="s">
        <v>1592</v>
      </c>
      <c r="G137" s="161" t="s">
        <v>212</v>
      </c>
      <c r="H137" s="214">
        <v>4</v>
      </c>
      <c r="I137" s="171"/>
      <c r="J137" s="170">
        <v>30.8</v>
      </c>
      <c r="K137" s="172"/>
      <c r="L137" s="170">
        <v>123.2</v>
      </c>
      <c r="M137" s="171">
        <v>123.2</v>
      </c>
      <c r="N137" s="170"/>
      <c r="O137" s="177" t="s">
        <v>76</v>
      </c>
      <c r="P137" s="162" t="s">
        <v>1619</v>
      </c>
      <c r="Q137" s="176">
        <v>44896</v>
      </c>
      <c r="R137" s="174">
        <v>2045</v>
      </c>
      <c r="S137" s="179"/>
      <c r="T137" s="162" t="s">
        <v>24</v>
      </c>
      <c r="U137" s="161" t="s">
        <v>13</v>
      </c>
      <c r="V137" s="174">
        <v>1533</v>
      </c>
      <c r="W137" s="180"/>
      <c r="X137" s="185">
        <v>45017</v>
      </c>
      <c r="Y137" s="187">
        <v>45021.489652777775</v>
      </c>
    </row>
    <row r="138" spans="1:25">
      <c r="A138" s="166" t="s">
        <v>91</v>
      </c>
      <c r="B138" s="162" t="s">
        <v>1555</v>
      </c>
      <c r="C138" s="165" t="s">
        <v>349</v>
      </c>
      <c r="D138" s="162" t="s">
        <v>347</v>
      </c>
      <c r="E138" s="161" t="s">
        <v>1602</v>
      </c>
      <c r="F138" s="162" t="s">
        <v>1603</v>
      </c>
      <c r="G138" s="161" t="s">
        <v>457</v>
      </c>
      <c r="H138" s="215">
        <v>1</v>
      </c>
      <c r="I138" s="171"/>
      <c r="J138" s="173">
        <v>2.46</v>
      </c>
      <c r="K138" s="172"/>
      <c r="L138" s="173">
        <v>2.46</v>
      </c>
      <c r="M138" s="171">
        <v>2.46</v>
      </c>
      <c r="N138" s="170">
        <v>5.04</v>
      </c>
      <c r="O138" s="177" t="s">
        <v>76</v>
      </c>
      <c r="P138" s="162" t="s">
        <v>1619</v>
      </c>
      <c r="Q138" s="176">
        <v>44958</v>
      </c>
      <c r="R138" s="174">
        <v>2045</v>
      </c>
      <c r="S138" s="179"/>
      <c r="T138" s="162" t="s">
        <v>24</v>
      </c>
      <c r="U138" s="161" t="s">
        <v>19</v>
      </c>
      <c r="V138" s="174">
        <v>1393</v>
      </c>
      <c r="W138" s="180"/>
      <c r="X138" s="185">
        <v>45017</v>
      </c>
      <c r="Y138" s="187">
        <v>45020.605613425927</v>
      </c>
    </row>
    <row r="139" spans="1:25">
      <c r="A139" s="166" t="s">
        <v>91</v>
      </c>
      <c r="B139" s="162" t="s">
        <v>1555</v>
      </c>
      <c r="C139" s="165" t="s">
        <v>349</v>
      </c>
      <c r="D139" s="162" t="s">
        <v>347</v>
      </c>
      <c r="E139" s="161" t="s">
        <v>1613</v>
      </c>
      <c r="F139" s="162" t="s">
        <v>1614</v>
      </c>
      <c r="G139" s="161" t="s">
        <v>435</v>
      </c>
      <c r="H139" s="214">
        <v>3</v>
      </c>
      <c r="I139" s="171"/>
      <c r="J139" s="170">
        <v>3.75</v>
      </c>
      <c r="K139" s="172"/>
      <c r="L139" s="170">
        <v>11.25</v>
      </c>
      <c r="M139" s="171">
        <v>11.25</v>
      </c>
      <c r="N139" s="170"/>
      <c r="O139" s="177" t="s">
        <v>76</v>
      </c>
      <c r="P139" s="162" t="s">
        <v>1620</v>
      </c>
      <c r="Q139" s="176">
        <v>44835</v>
      </c>
      <c r="R139" s="174">
        <v>2045</v>
      </c>
      <c r="S139" s="179"/>
      <c r="T139" s="162" t="s">
        <v>24</v>
      </c>
      <c r="U139" s="161" t="s">
        <v>1615</v>
      </c>
      <c r="V139" s="174">
        <v>1393</v>
      </c>
      <c r="W139" s="180"/>
      <c r="X139" s="185">
        <v>45017</v>
      </c>
      <c r="Y139" s="187">
        <v>45020.605613425927</v>
      </c>
    </row>
    <row r="140" spans="1:25">
      <c r="A140" s="166" t="s">
        <v>91</v>
      </c>
      <c r="B140" s="162" t="s">
        <v>1555</v>
      </c>
      <c r="C140" s="165" t="s">
        <v>349</v>
      </c>
      <c r="D140" s="162" t="s">
        <v>347</v>
      </c>
      <c r="E140" s="161" t="s">
        <v>1596</v>
      </c>
      <c r="F140" s="162" t="s">
        <v>1836</v>
      </c>
      <c r="G140" s="161"/>
      <c r="H140" s="215">
        <v>3</v>
      </c>
      <c r="I140" s="171"/>
      <c r="J140" s="173">
        <v>2.5</v>
      </c>
      <c r="K140" s="172"/>
      <c r="L140" s="173">
        <v>7.5</v>
      </c>
      <c r="M140" s="171">
        <v>7.5</v>
      </c>
      <c r="N140" s="170"/>
      <c r="O140" s="177" t="s">
        <v>76</v>
      </c>
      <c r="P140" s="162" t="s">
        <v>1591</v>
      </c>
      <c r="Q140" s="176"/>
      <c r="R140" s="174">
        <v>2045</v>
      </c>
      <c r="S140" s="179"/>
      <c r="T140" s="162" t="s">
        <v>24</v>
      </c>
      <c r="U140" s="161" t="s">
        <v>18</v>
      </c>
      <c r="V140" s="174">
        <v>1393</v>
      </c>
      <c r="W140" s="180"/>
      <c r="X140" s="185">
        <v>45017</v>
      </c>
      <c r="Y140" s="187">
        <v>45020.605613425927</v>
      </c>
    </row>
    <row r="141" spans="1:25">
      <c r="A141" s="166" t="s">
        <v>77</v>
      </c>
      <c r="B141" s="162" t="s">
        <v>1599</v>
      </c>
      <c r="C141" s="165" t="s">
        <v>1837</v>
      </c>
      <c r="D141" s="162" t="s">
        <v>1838</v>
      </c>
      <c r="E141" s="161" t="s">
        <v>1631</v>
      </c>
      <c r="F141" s="162" t="s">
        <v>1614</v>
      </c>
      <c r="G141" s="161"/>
      <c r="H141" s="214">
        <v>1</v>
      </c>
      <c r="I141" s="171"/>
      <c r="J141" s="170">
        <v>15</v>
      </c>
      <c r="K141" s="172"/>
      <c r="L141" s="170">
        <v>15</v>
      </c>
      <c r="M141" s="171">
        <v>15</v>
      </c>
      <c r="N141" s="170"/>
      <c r="O141" s="177" t="s">
        <v>1523</v>
      </c>
      <c r="P141" s="162" t="s">
        <v>1604</v>
      </c>
      <c r="Q141" s="176"/>
      <c r="R141" s="174"/>
      <c r="S141" s="179"/>
      <c r="T141" s="162" t="s">
        <v>28</v>
      </c>
      <c r="U141" s="161" t="s">
        <v>1615</v>
      </c>
      <c r="V141" s="174">
        <v>1719</v>
      </c>
      <c r="W141" s="180"/>
      <c r="X141" s="185">
        <v>45017</v>
      </c>
      <c r="Y141" s="187">
        <v>43559.612847222219</v>
      </c>
    </row>
    <row r="142" spans="1:25">
      <c r="A142" s="166" t="s">
        <v>45</v>
      </c>
      <c r="B142" s="162" t="s">
        <v>1555</v>
      </c>
      <c r="C142" s="165" t="s">
        <v>602</v>
      </c>
      <c r="D142" s="162" t="s">
        <v>603</v>
      </c>
      <c r="E142" s="161" t="s">
        <v>1631</v>
      </c>
      <c r="F142" s="162" t="s">
        <v>1614</v>
      </c>
      <c r="G142" s="161" t="s">
        <v>604</v>
      </c>
      <c r="H142" s="215">
        <v>44</v>
      </c>
      <c r="I142" s="171">
        <v>2.75</v>
      </c>
      <c r="J142" s="173">
        <v>2.75</v>
      </c>
      <c r="K142" s="172">
        <v>121</v>
      </c>
      <c r="L142" s="173">
        <v>121</v>
      </c>
      <c r="M142" s="171">
        <v>121</v>
      </c>
      <c r="N142" s="170">
        <v>0</v>
      </c>
      <c r="O142" s="177" t="s">
        <v>76</v>
      </c>
      <c r="P142" s="162" t="s">
        <v>1620</v>
      </c>
      <c r="Q142" s="176">
        <v>44136</v>
      </c>
      <c r="R142" s="174">
        <v>2050</v>
      </c>
      <c r="S142" s="179"/>
      <c r="T142" s="162" t="s">
        <v>24</v>
      </c>
      <c r="U142" s="161" t="s">
        <v>1615</v>
      </c>
      <c r="V142" s="174">
        <v>1554</v>
      </c>
      <c r="W142" s="180"/>
      <c r="X142" s="185">
        <v>45017</v>
      </c>
      <c r="Y142" s="187">
        <v>45084.515266203707</v>
      </c>
    </row>
    <row r="143" spans="1:25">
      <c r="A143" s="166" t="s">
        <v>45</v>
      </c>
      <c r="B143" s="162" t="s">
        <v>1599</v>
      </c>
      <c r="C143" s="165" t="s">
        <v>144</v>
      </c>
      <c r="D143" s="162" t="s">
        <v>145</v>
      </c>
      <c r="E143" s="161" t="s">
        <v>1631</v>
      </c>
      <c r="F143" s="162" t="s">
        <v>1614</v>
      </c>
      <c r="G143" s="161"/>
      <c r="H143" s="214">
        <v>1</v>
      </c>
      <c r="I143" s="171">
        <v>0</v>
      </c>
      <c r="J143" s="170">
        <v>200</v>
      </c>
      <c r="K143" s="172">
        <v>0</v>
      </c>
      <c r="L143" s="170">
        <v>200</v>
      </c>
      <c r="M143" s="171">
        <v>200</v>
      </c>
      <c r="N143" s="170"/>
      <c r="O143" s="177" t="s">
        <v>1523</v>
      </c>
      <c r="P143" s="162" t="s">
        <v>1620</v>
      </c>
      <c r="Q143" s="176">
        <v>45809</v>
      </c>
      <c r="R143" s="174">
        <v>2053</v>
      </c>
      <c r="S143" s="179"/>
      <c r="T143" s="162" t="s">
        <v>28</v>
      </c>
      <c r="U143" s="161" t="s">
        <v>1615</v>
      </c>
      <c r="V143" s="174">
        <v>1906</v>
      </c>
      <c r="W143" s="180" t="s">
        <v>1839</v>
      </c>
      <c r="X143" s="185">
        <v>45017</v>
      </c>
      <c r="Y143" s="187">
        <v>44938.445729166669</v>
      </c>
    </row>
    <row r="144" spans="1:25">
      <c r="A144" s="166" t="s">
        <v>77</v>
      </c>
      <c r="B144" s="162" t="s">
        <v>1599</v>
      </c>
      <c r="C144" s="165" t="s">
        <v>1840</v>
      </c>
      <c r="D144" s="162" t="s">
        <v>1841</v>
      </c>
      <c r="E144" s="161" t="s">
        <v>1625</v>
      </c>
      <c r="F144" s="162" t="s">
        <v>1609</v>
      </c>
      <c r="G144" s="161"/>
      <c r="H144" s="215">
        <v>152</v>
      </c>
      <c r="I144" s="171"/>
      <c r="J144" s="173">
        <v>7.8</v>
      </c>
      <c r="K144" s="172"/>
      <c r="L144" s="173">
        <v>1185.5999999999999</v>
      </c>
      <c r="M144" s="171">
        <v>1185.5999999999999</v>
      </c>
      <c r="N144" s="170"/>
      <c r="O144" s="177" t="s">
        <v>1523</v>
      </c>
      <c r="P144" s="162" t="s">
        <v>1604</v>
      </c>
      <c r="Q144" s="176"/>
      <c r="R144" s="174"/>
      <c r="S144" s="179"/>
      <c r="T144" s="162" t="s">
        <v>28</v>
      </c>
      <c r="U144" s="161" t="s">
        <v>16</v>
      </c>
      <c r="V144" s="174">
        <v>2519</v>
      </c>
      <c r="W144" s="180"/>
      <c r="X144" s="185"/>
      <c r="Y144" s="187">
        <v>45100.417523148149</v>
      </c>
    </row>
    <row r="145" spans="1:25">
      <c r="A145" s="237" t="s">
        <v>77</v>
      </c>
      <c r="B145" s="221" t="s">
        <v>1599</v>
      </c>
      <c r="C145" s="238" t="s">
        <v>3906</v>
      </c>
      <c r="D145" s="221" t="s">
        <v>1845</v>
      </c>
      <c r="E145" s="223" t="s">
        <v>1603</v>
      </c>
      <c r="F145" s="224" t="s">
        <v>20</v>
      </c>
      <c r="G145" s="161"/>
      <c r="H145" s="214">
        <v>1</v>
      </c>
      <c r="I145" s="171"/>
      <c r="J145" s="170">
        <v>500</v>
      </c>
      <c r="K145" s="172"/>
      <c r="L145" s="170">
        <v>500</v>
      </c>
      <c r="M145" s="171">
        <v>500</v>
      </c>
      <c r="N145" s="170"/>
      <c r="O145" s="230" t="s">
        <v>1523</v>
      </c>
      <c r="P145" s="221" t="s">
        <v>1604</v>
      </c>
      <c r="Q145" s="231"/>
      <c r="R145" s="232"/>
      <c r="S145" s="233"/>
      <c r="T145" s="224" t="s">
        <v>28</v>
      </c>
      <c r="U145" s="223" t="s">
        <v>20</v>
      </c>
      <c r="V145" s="232">
        <v>2567</v>
      </c>
      <c r="W145" s="234" t="s">
        <v>3953</v>
      </c>
      <c r="X145" s="235"/>
      <c r="Y145" s="236">
        <v>45111.62096064815</v>
      </c>
    </row>
    <row r="146" spans="1:25">
      <c r="A146" s="166" t="s">
        <v>91</v>
      </c>
      <c r="B146" s="162" t="s">
        <v>1555</v>
      </c>
      <c r="C146" s="165" t="s">
        <v>1842</v>
      </c>
      <c r="D146" s="162" t="s">
        <v>1821</v>
      </c>
      <c r="E146" s="161" t="s">
        <v>1589</v>
      </c>
      <c r="F146" s="162" t="s">
        <v>1635</v>
      </c>
      <c r="G146" s="161"/>
      <c r="H146" s="215">
        <v>1</v>
      </c>
      <c r="I146" s="171">
        <v>0.8</v>
      </c>
      <c r="J146" s="173">
        <v>5</v>
      </c>
      <c r="K146" s="172">
        <v>0.8</v>
      </c>
      <c r="L146" s="173">
        <v>5</v>
      </c>
      <c r="M146" s="171">
        <v>5</v>
      </c>
      <c r="N146" s="170">
        <v>0</v>
      </c>
      <c r="O146" s="177" t="s">
        <v>76</v>
      </c>
      <c r="P146" s="162" t="s">
        <v>1591</v>
      </c>
      <c r="Q146" s="176"/>
      <c r="R146" s="174"/>
      <c r="S146" s="179"/>
      <c r="T146" s="162" t="s">
        <v>24</v>
      </c>
      <c r="U146" s="161" t="s">
        <v>20</v>
      </c>
      <c r="V146" s="174">
        <v>1511</v>
      </c>
      <c r="W146" s="180"/>
      <c r="X146" s="185">
        <v>44287</v>
      </c>
      <c r="Y146" s="187">
        <v>44981.403090277781</v>
      </c>
    </row>
    <row r="147" spans="1:25">
      <c r="A147" s="166" t="s">
        <v>110</v>
      </c>
      <c r="B147" s="162" t="s">
        <v>1555</v>
      </c>
      <c r="C147" s="165" t="s">
        <v>1843</v>
      </c>
      <c r="D147" s="162" t="s">
        <v>1604</v>
      </c>
      <c r="E147" s="161" t="s">
        <v>1700</v>
      </c>
      <c r="F147" s="162" t="s">
        <v>1658</v>
      </c>
      <c r="G147" s="161"/>
      <c r="H147" s="214">
        <v>1</v>
      </c>
      <c r="I147" s="171"/>
      <c r="J147" s="170">
        <v>0.11</v>
      </c>
      <c r="K147" s="172"/>
      <c r="L147" s="170">
        <v>0.11</v>
      </c>
      <c r="M147" s="171">
        <v>0.11</v>
      </c>
      <c r="N147" s="170"/>
      <c r="O147" s="177" t="s">
        <v>76</v>
      </c>
      <c r="P147" s="162" t="s">
        <v>1591</v>
      </c>
      <c r="Q147" s="176"/>
      <c r="R147" s="174"/>
      <c r="S147" s="179"/>
      <c r="T147" s="162" t="s">
        <v>24</v>
      </c>
      <c r="U147" s="161" t="s">
        <v>17</v>
      </c>
      <c r="V147" s="174">
        <v>2074</v>
      </c>
      <c r="W147" s="180"/>
      <c r="X147" s="185" t="s">
        <v>259</v>
      </c>
      <c r="Y147" s="187">
        <v>44829.97216435185</v>
      </c>
    </row>
    <row r="148" spans="1:25">
      <c r="A148" s="166" t="s">
        <v>77</v>
      </c>
      <c r="B148" s="162" t="s">
        <v>1599</v>
      </c>
      <c r="C148" s="165" t="s">
        <v>3999</v>
      </c>
      <c r="D148" s="162" t="s">
        <v>79</v>
      </c>
      <c r="E148" s="161" t="s">
        <v>1657</v>
      </c>
      <c r="F148" s="162" t="s">
        <v>1658</v>
      </c>
      <c r="G148" s="161"/>
      <c r="H148" s="215">
        <v>6</v>
      </c>
      <c r="I148" s="171">
        <v>333</v>
      </c>
      <c r="J148" s="173">
        <v>333</v>
      </c>
      <c r="K148" s="172">
        <v>1998</v>
      </c>
      <c r="L148" s="173">
        <v>1998</v>
      </c>
      <c r="M148" s="171">
        <v>1998</v>
      </c>
      <c r="N148" s="170">
        <v>48000</v>
      </c>
      <c r="O148" s="177" t="s">
        <v>27</v>
      </c>
      <c r="P148" s="162" t="s">
        <v>1619</v>
      </c>
      <c r="Q148" s="176">
        <v>47635</v>
      </c>
      <c r="R148" s="174">
        <v>2070</v>
      </c>
      <c r="S148" s="179"/>
      <c r="T148" s="162" t="s">
        <v>27</v>
      </c>
      <c r="U148" s="161" t="s">
        <v>17</v>
      </c>
      <c r="V148" s="174">
        <v>1921</v>
      </c>
      <c r="W148" s="180"/>
      <c r="X148" s="185">
        <v>45069</v>
      </c>
      <c r="Y148" s="187">
        <v>45097.494398148148</v>
      </c>
    </row>
    <row r="149" spans="1:25">
      <c r="A149" s="167" t="s">
        <v>77</v>
      </c>
      <c r="B149" s="162" t="s">
        <v>1599</v>
      </c>
      <c r="C149" s="163" t="s">
        <v>1844</v>
      </c>
      <c r="D149" s="162" t="s">
        <v>1845</v>
      </c>
      <c r="E149" s="161" t="s">
        <v>1625</v>
      </c>
      <c r="F149" s="162" t="s">
        <v>1609</v>
      </c>
      <c r="G149" s="161"/>
      <c r="H149" s="214">
        <v>60</v>
      </c>
      <c r="I149" s="171"/>
      <c r="J149" s="170">
        <v>6.2</v>
      </c>
      <c r="K149" s="172"/>
      <c r="L149" s="170">
        <v>372</v>
      </c>
      <c r="M149" s="171">
        <v>372</v>
      </c>
      <c r="N149" s="170"/>
      <c r="O149" s="177" t="s">
        <v>1523</v>
      </c>
      <c r="P149" s="162" t="s">
        <v>1604</v>
      </c>
      <c r="Q149" s="176"/>
      <c r="R149" s="174"/>
      <c r="S149" s="179"/>
      <c r="T149" s="162" t="s">
        <v>28</v>
      </c>
      <c r="U149" s="161" t="s">
        <v>16</v>
      </c>
      <c r="V149" s="174">
        <v>2003</v>
      </c>
      <c r="W149" s="180" t="s">
        <v>3966</v>
      </c>
      <c r="X149" s="185">
        <v>45017</v>
      </c>
      <c r="Y149" s="187">
        <v>45099.433171296296</v>
      </c>
    </row>
    <row r="150" spans="1:25">
      <c r="A150" s="167" t="s">
        <v>77</v>
      </c>
      <c r="B150" s="162" t="s">
        <v>1599</v>
      </c>
      <c r="C150" s="163" t="s">
        <v>80</v>
      </c>
      <c r="D150" s="162" t="s">
        <v>81</v>
      </c>
      <c r="E150" s="161" t="s">
        <v>1602</v>
      </c>
      <c r="F150" s="162" t="s">
        <v>1603</v>
      </c>
      <c r="G150" s="161"/>
      <c r="H150" s="215">
        <v>40</v>
      </c>
      <c r="I150" s="171"/>
      <c r="J150" s="173">
        <v>1.25</v>
      </c>
      <c r="K150" s="172"/>
      <c r="L150" s="173">
        <v>50</v>
      </c>
      <c r="M150" s="171">
        <v>50</v>
      </c>
      <c r="N150" s="170">
        <v>100</v>
      </c>
      <c r="O150" s="177" t="s">
        <v>27</v>
      </c>
      <c r="P150" s="162" t="s">
        <v>1619</v>
      </c>
      <c r="Q150" s="176"/>
      <c r="R150" s="174">
        <v>2042</v>
      </c>
      <c r="S150" s="179"/>
      <c r="T150" s="162" t="s">
        <v>27</v>
      </c>
      <c r="U150" s="161" t="s">
        <v>19</v>
      </c>
      <c r="V150" s="174">
        <v>1873</v>
      </c>
      <c r="W150" s="180" t="s">
        <v>1846</v>
      </c>
      <c r="X150" s="185">
        <v>45017</v>
      </c>
      <c r="Y150" s="187">
        <v>45110</v>
      </c>
    </row>
    <row r="151" spans="1:25">
      <c r="A151" s="167" t="s">
        <v>77</v>
      </c>
      <c r="B151" s="162" t="s">
        <v>1599</v>
      </c>
      <c r="C151" s="163" t="s">
        <v>1847</v>
      </c>
      <c r="D151" s="162" t="s">
        <v>1848</v>
      </c>
      <c r="E151" s="161" t="s">
        <v>1613</v>
      </c>
      <c r="F151" s="162" t="s">
        <v>1614</v>
      </c>
      <c r="G151" s="161"/>
      <c r="H151" s="214">
        <v>1</v>
      </c>
      <c r="I151" s="171">
        <v>200</v>
      </c>
      <c r="J151" s="170">
        <v>200</v>
      </c>
      <c r="K151" s="172">
        <v>200</v>
      </c>
      <c r="L151" s="170">
        <v>200</v>
      </c>
      <c r="M151" s="171">
        <v>200</v>
      </c>
      <c r="N151" s="170"/>
      <c r="O151" s="177" t="s">
        <v>1523</v>
      </c>
      <c r="P151" s="162" t="s">
        <v>1620</v>
      </c>
      <c r="Q151" s="184"/>
      <c r="R151" s="174"/>
      <c r="S151" s="179"/>
      <c r="T151" s="162" t="s">
        <v>28</v>
      </c>
      <c r="U151" s="161" t="s">
        <v>1615</v>
      </c>
      <c r="V151" s="174">
        <v>1458</v>
      </c>
      <c r="W151" s="180"/>
      <c r="X151" s="185">
        <v>45069</v>
      </c>
      <c r="Y151" s="187">
        <v>43307.293310185189</v>
      </c>
    </row>
    <row r="152" spans="1:25">
      <c r="A152" s="167" t="s">
        <v>77</v>
      </c>
      <c r="B152" s="162" t="s">
        <v>1599</v>
      </c>
      <c r="C152" s="163" t="s">
        <v>1849</v>
      </c>
      <c r="D152" s="162" t="s">
        <v>1850</v>
      </c>
      <c r="E152" s="161" t="s">
        <v>1613</v>
      </c>
      <c r="F152" s="162" t="s">
        <v>1614</v>
      </c>
      <c r="G152" s="161"/>
      <c r="H152" s="215">
        <v>1</v>
      </c>
      <c r="I152" s="171">
        <v>286</v>
      </c>
      <c r="J152" s="173">
        <v>286</v>
      </c>
      <c r="K152" s="172">
        <v>286</v>
      </c>
      <c r="L152" s="173">
        <v>286</v>
      </c>
      <c r="M152" s="171">
        <v>286</v>
      </c>
      <c r="N152" s="170"/>
      <c r="O152" s="177" t="s">
        <v>1523</v>
      </c>
      <c r="P152" s="162" t="s">
        <v>1604</v>
      </c>
      <c r="Q152" s="176"/>
      <c r="R152" s="174"/>
      <c r="S152" s="179"/>
      <c r="T152" s="162" t="s">
        <v>28</v>
      </c>
      <c r="U152" s="161" t="s">
        <v>1615</v>
      </c>
      <c r="V152" s="174">
        <v>2283</v>
      </c>
      <c r="W152" s="180" t="s">
        <v>1851</v>
      </c>
      <c r="X152" s="185">
        <v>45017</v>
      </c>
      <c r="Y152" s="187">
        <v>44986.364548611113</v>
      </c>
    </row>
    <row r="153" spans="1:25">
      <c r="A153" s="167" t="s">
        <v>77</v>
      </c>
      <c r="B153" s="162" t="s">
        <v>1599</v>
      </c>
      <c r="C153" s="163" t="s">
        <v>1852</v>
      </c>
      <c r="D153" s="162" t="s">
        <v>1850</v>
      </c>
      <c r="E153" s="161" t="s">
        <v>1602</v>
      </c>
      <c r="F153" s="162" t="s">
        <v>1614</v>
      </c>
      <c r="G153" s="161"/>
      <c r="H153" s="214">
        <v>1</v>
      </c>
      <c r="I153" s="171">
        <v>150</v>
      </c>
      <c r="J153" s="170">
        <v>150</v>
      </c>
      <c r="K153" s="172">
        <v>150</v>
      </c>
      <c r="L153" s="170">
        <v>150</v>
      </c>
      <c r="M153" s="171">
        <v>150</v>
      </c>
      <c r="N153" s="170">
        <v>0</v>
      </c>
      <c r="O153" s="177" t="s">
        <v>1523</v>
      </c>
      <c r="P153" s="162" t="s">
        <v>1604</v>
      </c>
      <c r="Q153" s="176"/>
      <c r="R153" s="174"/>
      <c r="S153" s="179"/>
      <c r="T153" s="162" t="s">
        <v>28</v>
      </c>
      <c r="U153" s="161" t="s">
        <v>19</v>
      </c>
      <c r="V153" s="174">
        <v>2284</v>
      </c>
      <c r="W153" s="180" t="s">
        <v>1851</v>
      </c>
      <c r="X153" s="185">
        <v>45017</v>
      </c>
      <c r="Y153" s="187">
        <v>44984.643090277779</v>
      </c>
    </row>
    <row r="154" spans="1:25">
      <c r="A154" s="167" t="s">
        <v>77</v>
      </c>
      <c r="B154" s="162" t="s">
        <v>1599</v>
      </c>
      <c r="C154" s="163" t="s">
        <v>1853</v>
      </c>
      <c r="D154" s="162" t="s">
        <v>1854</v>
      </c>
      <c r="E154" s="161" t="s">
        <v>1700</v>
      </c>
      <c r="F154" s="162" t="s">
        <v>1658</v>
      </c>
      <c r="G154" s="161"/>
      <c r="H154" s="215">
        <v>1</v>
      </c>
      <c r="I154" s="171">
        <v>750</v>
      </c>
      <c r="J154" s="173">
        <v>750</v>
      </c>
      <c r="K154" s="172">
        <v>750</v>
      </c>
      <c r="L154" s="173">
        <v>750</v>
      </c>
      <c r="M154" s="171">
        <v>750</v>
      </c>
      <c r="N154" s="170"/>
      <c r="O154" s="177" t="s">
        <v>1523</v>
      </c>
      <c r="P154" s="162" t="s">
        <v>1604</v>
      </c>
      <c r="Q154" s="176"/>
      <c r="R154" s="174"/>
      <c r="S154" s="179"/>
      <c r="T154" s="162" t="s">
        <v>28</v>
      </c>
      <c r="U154" s="161" t="s">
        <v>17</v>
      </c>
      <c r="V154" s="174">
        <v>2292</v>
      </c>
      <c r="W154" s="180" t="s">
        <v>1855</v>
      </c>
      <c r="X154" s="185">
        <v>45017</v>
      </c>
      <c r="Y154" s="187">
        <v>44944.527118055557</v>
      </c>
    </row>
    <row r="155" spans="1:25">
      <c r="A155" s="167" t="s">
        <v>45</v>
      </c>
      <c r="B155" s="162" t="s">
        <v>1599</v>
      </c>
      <c r="C155" s="163" t="s">
        <v>1856</v>
      </c>
      <c r="D155" s="162" t="s">
        <v>1845</v>
      </c>
      <c r="E155" s="161" t="s">
        <v>1625</v>
      </c>
      <c r="F155" s="162" t="s">
        <v>1609</v>
      </c>
      <c r="G155" s="161"/>
      <c r="H155" s="214">
        <v>56</v>
      </c>
      <c r="I155" s="171"/>
      <c r="J155" s="170">
        <v>6.19</v>
      </c>
      <c r="K155" s="172"/>
      <c r="L155" s="170">
        <v>346.64</v>
      </c>
      <c r="M155" s="171">
        <v>346.64</v>
      </c>
      <c r="N155" s="170"/>
      <c r="O155" s="177" t="s">
        <v>1523</v>
      </c>
      <c r="P155" s="162" t="s">
        <v>1604</v>
      </c>
      <c r="Q155" s="176"/>
      <c r="R155" s="174"/>
      <c r="S155" s="179"/>
      <c r="T155" s="162" t="s">
        <v>28</v>
      </c>
      <c r="U155" s="161" t="s">
        <v>16</v>
      </c>
      <c r="V155" s="174">
        <v>2005</v>
      </c>
      <c r="W155" s="180" t="s">
        <v>3967</v>
      </c>
      <c r="X155" s="185">
        <v>45017</v>
      </c>
      <c r="Y155" s="187">
        <v>45099.699548611112</v>
      </c>
    </row>
    <row r="156" spans="1:25">
      <c r="A156" s="167" t="s">
        <v>77</v>
      </c>
      <c r="B156" s="162" t="s">
        <v>1555</v>
      </c>
      <c r="C156" s="163" t="s">
        <v>186</v>
      </c>
      <c r="D156" s="162" t="s">
        <v>187</v>
      </c>
      <c r="E156" s="161" t="s">
        <v>1673</v>
      </c>
      <c r="F156" s="162" t="s">
        <v>1857</v>
      </c>
      <c r="G156" s="161" t="s">
        <v>188</v>
      </c>
      <c r="H156" s="215">
        <v>1</v>
      </c>
      <c r="I156" s="171"/>
      <c r="J156" s="173">
        <v>188</v>
      </c>
      <c r="K156" s="172"/>
      <c r="L156" s="173">
        <v>188</v>
      </c>
      <c r="M156" s="171">
        <v>188</v>
      </c>
      <c r="N156" s="170"/>
      <c r="O156" s="177" t="s">
        <v>76</v>
      </c>
      <c r="P156" s="162" t="s">
        <v>1619</v>
      </c>
      <c r="Q156" s="176"/>
      <c r="R156" s="174">
        <v>2046</v>
      </c>
      <c r="S156" s="179"/>
      <c r="T156" s="162" t="s">
        <v>24</v>
      </c>
      <c r="U156" s="161" t="s">
        <v>13</v>
      </c>
      <c r="V156" s="174">
        <v>1026</v>
      </c>
      <c r="W156" s="180"/>
      <c r="X156" s="185">
        <v>45017</v>
      </c>
      <c r="Y156" s="187">
        <v>45014.598483796297</v>
      </c>
    </row>
    <row r="157" spans="1:25">
      <c r="A157" s="167" t="s">
        <v>77</v>
      </c>
      <c r="B157" s="162" t="s">
        <v>1555</v>
      </c>
      <c r="C157" s="163" t="s">
        <v>186</v>
      </c>
      <c r="D157" s="162" t="s">
        <v>187</v>
      </c>
      <c r="E157" s="161" t="s">
        <v>1673</v>
      </c>
      <c r="F157" s="162" t="s">
        <v>1857</v>
      </c>
      <c r="G157" s="161" t="s">
        <v>1858</v>
      </c>
      <c r="H157" s="214">
        <v>1</v>
      </c>
      <c r="I157" s="171"/>
      <c r="J157" s="170">
        <v>188</v>
      </c>
      <c r="K157" s="172"/>
      <c r="L157" s="170">
        <v>188</v>
      </c>
      <c r="M157" s="171">
        <v>188</v>
      </c>
      <c r="N157" s="170"/>
      <c r="O157" s="177" t="s">
        <v>76</v>
      </c>
      <c r="P157" s="162" t="s">
        <v>1619</v>
      </c>
      <c r="Q157" s="176"/>
      <c r="R157" s="174">
        <v>2046</v>
      </c>
      <c r="S157" s="179"/>
      <c r="T157" s="162" t="s">
        <v>24</v>
      </c>
      <c r="U157" s="161" t="s">
        <v>13</v>
      </c>
      <c r="V157" s="174">
        <v>1026</v>
      </c>
      <c r="W157" s="180"/>
      <c r="X157" s="185">
        <v>45017</v>
      </c>
      <c r="Y157" s="187">
        <v>45014.598483796297</v>
      </c>
    </row>
    <row r="158" spans="1:25">
      <c r="A158" s="167" t="s">
        <v>77</v>
      </c>
      <c r="B158" s="162" t="s">
        <v>1555</v>
      </c>
      <c r="C158" s="163" t="s">
        <v>186</v>
      </c>
      <c r="D158" s="162" t="s">
        <v>187</v>
      </c>
      <c r="E158" s="161" t="s">
        <v>1673</v>
      </c>
      <c r="F158" s="162" t="s">
        <v>1857</v>
      </c>
      <c r="G158" s="161" t="s">
        <v>1859</v>
      </c>
      <c r="H158" s="215">
        <v>1</v>
      </c>
      <c r="I158" s="171"/>
      <c r="J158" s="173">
        <v>188</v>
      </c>
      <c r="K158" s="172"/>
      <c r="L158" s="173">
        <v>188</v>
      </c>
      <c r="M158" s="171">
        <v>188</v>
      </c>
      <c r="N158" s="170"/>
      <c r="O158" s="177" t="s">
        <v>76</v>
      </c>
      <c r="P158" s="162" t="s">
        <v>1619</v>
      </c>
      <c r="Q158" s="176"/>
      <c r="R158" s="174">
        <v>2046</v>
      </c>
      <c r="S158" s="179"/>
      <c r="T158" s="162" t="s">
        <v>24</v>
      </c>
      <c r="U158" s="161" t="s">
        <v>13</v>
      </c>
      <c r="V158" s="174">
        <v>1026</v>
      </c>
      <c r="W158" s="180"/>
      <c r="X158" s="185">
        <v>45017</v>
      </c>
      <c r="Y158" s="187">
        <v>45014.598483796297</v>
      </c>
    </row>
    <row r="159" spans="1:25">
      <c r="A159" s="167" t="s">
        <v>77</v>
      </c>
      <c r="B159" s="162" t="s">
        <v>1555</v>
      </c>
      <c r="C159" s="163" t="s">
        <v>1860</v>
      </c>
      <c r="D159" s="162" t="s">
        <v>1861</v>
      </c>
      <c r="E159" s="161" t="s">
        <v>1673</v>
      </c>
      <c r="F159" s="162" t="s">
        <v>1857</v>
      </c>
      <c r="G159" s="161" t="s">
        <v>1862</v>
      </c>
      <c r="H159" s="214">
        <v>1</v>
      </c>
      <c r="I159" s="171"/>
      <c r="J159" s="170">
        <v>173</v>
      </c>
      <c r="K159" s="172"/>
      <c r="L159" s="170">
        <v>173</v>
      </c>
      <c r="M159" s="171">
        <v>173</v>
      </c>
      <c r="N159" s="170"/>
      <c r="O159" s="177" t="s">
        <v>76</v>
      </c>
      <c r="P159" s="162" t="s">
        <v>1619</v>
      </c>
      <c r="Q159" s="176"/>
      <c r="R159" s="174">
        <v>2049</v>
      </c>
      <c r="S159" s="179"/>
      <c r="T159" s="162" t="s">
        <v>24</v>
      </c>
      <c r="U159" s="161" t="s">
        <v>13</v>
      </c>
      <c r="V159" s="174">
        <v>1027</v>
      </c>
      <c r="W159" s="180"/>
      <c r="X159" s="185">
        <v>45017</v>
      </c>
      <c r="Y159" s="187">
        <v>45014.618506944447</v>
      </c>
    </row>
    <row r="160" spans="1:25">
      <c r="A160" s="167" t="s">
        <v>77</v>
      </c>
      <c r="B160" s="162" t="s">
        <v>1555</v>
      </c>
      <c r="C160" s="163" t="s">
        <v>1860</v>
      </c>
      <c r="D160" s="162" t="s">
        <v>1861</v>
      </c>
      <c r="E160" s="161" t="s">
        <v>1673</v>
      </c>
      <c r="F160" s="162" t="s">
        <v>1857</v>
      </c>
      <c r="G160" s="161" t="s">
        <v>1863</v>
      </c>
      <c r="H160" s="215">
        <v>1</v>
      </c>
      <c r="I160" s="171"/>
      <c r="J160" s="173">
        <v>173</v>
      </c>
      <c r="K160" s="172"/>
      <c r="L160" s="173">
        <v>173</v>
      </c>
      <c r="M160" s="171">
        <v>173</v>
      </c>
      <c r="N160" s="170"/>
      <c r="O160" s="177" t="s">
        <v>76</v>
      </c>
      <c r="P160" s="162" t="s">
        <v>1619</v>
      </c>
      <c r="Q160" s="176"/>
      <c r="R160" s="174">
        <v>2049</v>
      </c>
      <c r="S160" s="179"/>
      <c r="T160" s="162" t="s">
        <v>24</v>
      </c>
      <c r="U160" s="161" t="s">
        <v>13</v>
      </c>
      <c r="V160" s="174">
        <v>1027</v>
      </c>
      <c r="W160" s="180"/>
      <c r="X160" s="185">
        <v>45017</v>
      </c>
      <c r="Y160" s="187">
        <v>45014.618506944447</v>
      </c>
    </row>
    <row r="161" spans="1:25">
      <c r="A161" s="167" t="s">
        <v>77</v>
      </c>
      <c r="B161" s="162" t="s">
        <v>1555</v>
      </c>
      <c r="C161" s="163" t="s">
        <v>1860</v>
      </c>
      <c r="D161" s="162" t="s">
        <v>1861</v>
      </c>
      <c r="E161" s="161" t="s">
        <v>1673</v>
      </c>
      <c r="F161" s="164" t="s">
        <v>1857</v>
      </c>
      <c r="G161" s="161" t="s">
        <v>1864</v>
      </c>
      <c r="H161" s="214">
        <v>1</v>
      </c>
      <c r="I161" s="171"/>
      <c r="J161" s="170">
        <v>173</v>
      </c>
      <c r="K161" s="172"/>
      <c r="L161" s="170">
        <v>173</v>
      </c>
      <c r="M161" s="171">
        <v>173</v>
      </c>
      <c r="N161" s="170"/>
      <c r="O161" s="177" t="s">
        <v>76</v>
      </c>
      <c r="P161" s="162" t="s">
        <v>1619</v>
      </c>
      <c r="Q161" s="176"/>
      <c r="R161" s="175">
        <v>2049</v>
      </c>
      <c r="S161" s="179"/>
      <c r="T161" s="164" t="s">
        <v>24</v>
      </c>
      <c r="U161" s="161" t="s">
        <v>13</v>
      </c>
      <c r="V161" s="175">
        <v>1027</v>
      </c>
      <c r="W161" s="181"/>
      <c r="X161" s="185">
        <v>45017</v>
      </c>
      <c r="Y161" s="187">
        <v>45014.618506944447</v>
      </c>
    </row>
    <row r="162" spans="1:25">
      <c r="A162" s="167" t="s">
        <v>77</v>
      </c>
      <c r="B162" s="162" t="s">
        <v>1599</v>
      </c>
      <c r="C162" s="163" t="s">
        <v>1865</v>
      </c>
      <c r="D162" s="162" t="s">
        <v>326</v>
      </c>
      <c r="E162" s="161" t="s">
        <v>1625</v>
      </c>
      <c r="F162" s="162" t="s">
        <v>1609</v>
      </c>
      <c r="G162" s="161"/>
      <c r="H162" s="215">
        <v>1</v>
      </c>
      <c r="I162" s="171">
        <v>58</v>
      </c>
      <c r="J162" s="173">
        <v>58</v>
      </c>
      <c r="K162" s="172">
        <v>58</v>
      </c>
      <c r="L162" s="173">
        <v>58</v>
      </c>
      <c r="M162" s="171">
        <v>58</v>
      </c>
      <c r="N162" s="170"/>
      <c r="O162" s="177" t="s">
        <v>1523</v>
      </c>
      <c r="P162" s="162" t="s">
        <v>1604</v>
      </c>
      <c r="Q162" s="176"/>
      <c r="R162" s="174"/>
      <c r="S162" s="179"/>
      <c r="T162" s="162" t="s">
        <v>28</v>
      </c>
      <c r="U162" s="161" t="s">
        <v>16</v>
      </c>
      <c r="V162" s="174">
        <v>2487</v>
      </c>
      <c r="W162" s="180" t="s">
        <v>1866</v>
      </c>
      <c r="X162" s="185">
        <v>45017</v>
      </c>
      <c r="Y162" s="187">
        <v>45035.70888888889</v>
      </c>
    </row>
    <row r="163" spans="1:25">
      <c r="A163" s="220" t="s">
        <v>77</v>
      </c>
      <c r="B163" s="221" t="s">
        <v>1599</v>
      </c>
      <c r="C163" s="222" t="s">
        <v>3847</v>
      </c>
      <c r="D163" s="221" t="s">
        <v>455</v>
      </c>
      <c r="E163" s="223" t="s">
        <v>1602</v>
      </c>
      <c r="F163" s="224" t="s">
        <v>20</v>
      </c>
      <c r="G163" s="161"/>
      <c r="H163" s="214">
        <v>68</v>
      </c>
      <c r="I163" s="171"/>
      <c r="J163" s="170">
        <v>2.95</v>
      </c>
      <c r="K163" s="172"/>
      <c r="L163" s="170">
        <v>200.6</v>
      </c>
      <c r="M163" s="171">
        <v>200.6</v>
      </c>
      <c r="N163" s="170">
        <v>400</v>
      </c>
      <c r="O163" s="230" t="s">
        <v>1523</v>
      </c>
      <c r="P163" s="221" t="s">
        <v>1604</v>
      </c>
      <c r="Q163" s="231"/>
      <c r="R163" s="232"/>
      <c r="S163" s="233"/>
      <c r="T163" s="224" t="s">
        <v>28</v>
      </c>
      <c r="U163" s="223" t="s">
        <v>19</v>
      </c>
      <c r="V163" s="232">
        <v>2526</v>
      </c>
      <c r="W163" s="234"/>
      <c r="X163" s="235"/>
      <c r="Y163" s="236">
        <v>45107.431712962964</v>
      </c>
    </row>
    <row r="164" spans="1:25">
      <c r="A164" s="167" t="s">
        <v>45</v>
      </c>
      <c r="B164" s="162" t="s">
        <v>1599</v>
      </c>
      <c r="C164" s="163" t="s">
        <v>1867</v>
      </c>
      <c r="D164" s="162" t="s">
        <v>150</v>
      </c>
      <c r="E164" s="161" t="s">
        <v>1613</v>
      </c>
      <c r="F164" s="162" t="s">
        <v>1614</v>
      </c>
      <c r="G164" s="161"/>
      <c r="H164" s="215">
        <v>440000</v>
      </c>
      <c r="I164" s="171"/>
      <c r="J164" s="173"/>
      <c r="K164" s="172"/>
      <c r="L164" s="173"/>
      <c r="M164" s="171"/>
      <c r="N164" s="170"/>
      <c r="O164" s="177" t="s">
        <v>1523</v>
      </c>
      <c r="P164" s="162" t="s">
        <v>1620</v>
      </c>
      <c r="Q164" s="176"/>
      <c r="R164" s="174"/>
      <c r="S164" s="179"/>
      <c r="T164" s="162" t="s">
        <v>28</v>
      </c>
      <c r="U164" s="161" t="s">
        <v>1615</v>
      </c>
      <c r="V164" s="174">
        <v>1592</v>
      </c>
      <c r="W164" s="180"/>
      <c r="X164" s="185">
        <v>45069</v>
      </c>
      <c r="Y164" s="187">
        <v>43259.324374999997</v>
      </c>
    </row>
    <row r="165" spans="1:25">
      <c r="A165" s="167" t="s">
        <v>110</v>
      </c>
      <c r="B165" s="162" t="s">
        <v>1555</v>
      </c>
      <c r="C165" s="163" t="s">
        <v>1868</v>
      </c>
      <c r="D165" s="162" t="s">
        <v>1869</v>
      </c>
      <c r="E165" s="161" t="s">
        <v>1613</v>
      </c>
      <c r="F165" s="162" t="s">
        <v>1614</v>
      </c>
      <c r="G165" s="161"/>
      <c r="H165" s="214">
        <v>1</v>
      </c>
      <c r="I165" s="171"/>
      <c r="J165" s="170">
        <v>1.3</v>
      </c>
      <c r="K165" s="172"/>
      <c r="L165" s="170">
        <v>1.3</v>
      </c>
      <c r="M165" s="171">
        <v>1.3</v>
      </c>
      <c r="N165" s="170"/>
      <c r="O165" s="177" t="s">
        <v>76</v>
      </c>
      <c r="P165" s="162" t="s">
        <v>1591</v>
      </c>
      <c r="Q165" s="176"/>
      <c r="R165" s="174"/>
      <c r="S165" s="179"/>
      <c r="T165" s="162" t="s">
        <v>24</v>
      </c>
      <c r="U165" s="161" t="s">
        <v>1615</v>
      </c>
      <c r="V165" s="174">
        <v>2075</v>
      </c>
      <c r="W165" s="180"/>
      <c r="X165" s="185" t="s">
        <v>259</v>
      </c>
      <c r="Y165" s="187">
        <v>44830.448935185188</v>
      </c>
    </row>
    <row r="166" spans="1:25">
      <c r="A166" s="167" t="s">
        <v>105</v>
      </c>
      <c r="B166" s="162" t="s">
        <v>1599</v>
      </c>
      <c r="C166" s="163" t="s">
        <v>1870</v>
      </c>
      <c r="D166" s="162" t="s">
        <v>1871</v>
      </c>
      <c r="E166" s="161" t="s">
        <v>1602</v>
      </c>
      <c r="F166" s="162" t="s">
        <v>1603</v>
      </c>
      <c r="G166" s="161"/>
      <c r="H166" s="215">
        <v>1</v>
      </c>
      <c r="I166" s="171">
        <v>100</v>
      </c>
      <c r="J166" s="173">
        <v>100</v>
      </c>
      <c r="K166" s="172">
        <v>100</v>
      </c>
      <c r="L166" s="173">
        <v>100</v>
      </c>
      <c r="M166" s="171">
        <v>100</v>
      </c>
      <c r="N166" s="170">
        <v>0</v>
      </c>
      <c r="O166" s="177" t="s">
        <v>1523</v>
      </c>
      <c r="P166" s="162" t="s">
        <v>1604</v>
      </c>
      <c r="Q166" s="176"/>
      <c r="R166" s="174"/>
      <c r="S166" s="179"/>
      <c r="T166" s="162" t="s">
        <v>28</v>
      </c>
      <c r="U166" s="161" t="s">
        <v>19</v>
      </c>
      <c r="V166" s="174">
        <v>2230</v>
      </c>
      <c r="W166" s="180" t="s">
        <v>1872</v>
      </c>
      <c r="X166" s="185">
        <v>45017</v>
      </c>
      <c r="Y166" s="187">
        <v>44986.36346064815</v>
      </c>
    </row>
    <row r="167" spans="1:25">
      <c r="A167" s="167" t="s">
        <v>91</v>
      </c>
      <c r="B167" s="162" t="s">
        <v>1599</v>
      </c>
      <c r="C167" s="163" t="s">
        <v>1873</v>
      </c>
      <c r="D167" s="162" t="s">
        <v>1713</v>
      </c>
      <c r="E167" s="161" t="s">
        <v>1631</v>
      </c>
      <c r="F167" s="162" t="s">
        <v>1614</v>
      </c>
      <c r="G167" s="161"/>
      <c r="H167" s="214">
        <v>1</v>
      </c>
      <c r="I167" s="171">
        <v>300</v>
      </c>
      <c r="J167" s="170">
        <v>300</v>
      </c>
      <c r="K167" s="172">
        <v>300</v>
      </c>
      <c r="L167" s="170">
        <v>300</v>
      </c>
      <c r="M167" s="171">
        <v>300</v>
      </c>
      <c r="N167" s="170">
        <v>0</v>
      </c>
      <c r="O167" s="177" t="s">
        <v>1523</v>
      </c>
      <c r="P167" s="162" t="s">
        <v>1620</v>
      </c>
      <c r="Q167" s="176"/>
      <c r="R167" s="174">
        <v>2051</v>
      </c>
      <c r="S167" s="179"/>
      <c r="T167" s="162" t="s">
        <v>28</v>
      </c>
      <c r="U167" s="161" t="s">
        <v>1615</v>
      </c>
      <c r="V167" s="174">
        <v>1686</v>
      </c>
      <c r="W167" s="180"/>
      <c r="X167" s="185">
        <v>45069</v>
      </c>
      <c r="Y167" s="187">
        <v>45097.469606481478</v>
      </c>
    </row>
    <row r="168" spans="1:25">
      <c r="A168" s="220" t="s">
        <v>77</v>
      </c>
      <c r="B168" s="221" t="s">
        <v>1599</v>
      </c>
      <c r="C168" s="222" t="s">
        <v>3907</v>
      </c>
      <c r="D168" s="221" t="s">
        <v>1943</v>
      </c>
      <c r="E168" s="223" t="s">
        <v>1603</v>
      </c>
      <c r="F168" s="224" t="s">
        <v>20</v>
      </c>
      <c r="G168" s="161"/>
      <c r="H168" s="215">
        <v>1</v>
      </c>
      <c r="I168" s="171"/>
      <c r="J168" s="173">
        <v>180</v>
      </c>
      <c r="K168" s="172"/>
      <c r="L168" s="173">
        <v>180</v>
      </c>
      <c r="M168" s="171">
        <v>180</v>
      </c>
      <c r="N168" s="170"/>
      <c r="O168" s="230" t="s">
        <v>1523</v>
      </c>
      <c r="P168" s="221" t="s">
        <v>1604</v>
      </c>
      <c r="Q168" s="231"/>
      <c r="R168" s="232"/>
      <c r="S168" s="233"/>
      <c r="T168" s="224" t="s">
        <v>28</v>
      </c>
      <c r="U168" s="223" t="s">
        <v>20</v>
      </c>
      <c r="V168" s="232">
        <v>2568</v>
      </c>
      <c r="W168" s="234" t="s">
        <v>3954</v>
      </c>
      <c r="X168" s="235"/>
      <c r="Y168" s="236">
        <v>45111.625833333332</v>
      </c>
    </row>
    <row r="169" spans="1:25">
      <c r="A169" s="167" t="s">
        <v>91</v>
      </c>
      <c r="B169" s="162" t="s">
        <v>1599</v>
      </c>
      <c r="C169" s="163" t="s">
        <v>1874</v>
      </c>
      <c r="D169" s="162" t="s">
        <v>1875</v>
      </c>
      <c r="E169" s="161" t="s">
        <v>1602</v>
      </c>
      <c r="F169" s="162" t="s">
        <v>1603</v>
      </c>
      <c r="G169" s="161"/>
      <c r="H169" s="214">
        <v>1</v>
      </c>
      <c r="I169" s="171">
        <v>200</v>
      </c>
      <c r="J169" s="170">
        <v>200</v>
      </c>
      <c r="K169" s="172">
        <v>200</v>
      </c>
      <c r="L169" s="170">
        <v>200</v>
      </c>
      <c r="M169" s="171">
        <v>200</v>
      </c>
      <c r="N169" s="170">
        <v>400</v>
      </c>
      <c r="O169" s="177" t="s">
        <v>1523</v>
      </c>
      <c r="P169" s="162" t="s">
        <v>1619</v>
      </c>
      <c r="Q169" s="176"/>
      <c r="R169" s="174"/>
      <c r="S169" s="179"/>
      <c r="T169" s="162" t="s">
        <v>28</v>
      </c>
      <c r="U169" s="161" t="s">
        <v>19</v>
      </c>
      <c r="V169" s="174">
        <v>2388</v>
      </c>
      <c r="W169" s="180" t="s">
        <v>1876</v>
      </c>
      <c r="X169" s="185">
        <v>45017</v>
      </c>
      <c r="Y169" s="187">
        <v>45027.641944444447</v>
      </c>
    </row>
    <row r="170" spans="1:25">
      <c r="A170" s="167" t="s">
        <v>77</v>
      </c>
      <c r="B170" s="162" t="s">
        <v>1599</v>
      </c>
      <c r="C170" s="163" t="s">
        <v>1877</v>
      </c>
      <c r="D170" s="162" t="s">
        <v>1878</v>
      </c>
      <c r="E170" s="161" t="s">
        <v>1631</v>
      </c>
      <c r="F170" s="162" t="s">
        <v>1614</v>
      </c>
      <c r="G170" s="161"/>
      <c r="H170" s="215">
        <v>1</v>
      </c>
      <c r="I170" s="171">
        <v>90</v>
      </c>
      <c r="J170" s="173">
        <v>90</v>
      </c>
      <c r="K170" s="172">
        <v>90</v>
      </c>
      <c r="L170" s="173">
        <v>90</v>
      </c>
      <c r="M170" s="171">
        <v>90</v>
      </c>
      <c r="N170" s="170"/>
      <c r="O170" s="177" t="s">
        <v>1523</v>
      </c>
      <c r="P170" s="162" t="s">
        <v>1591</v>
      </c>
      <c r="Q170" s="176"/>
      <c r="R170" s="174"/>
      <c r="S170" s="179"/>
      <c r="T170" s="162" t="s">
        <v>28</v>
      </c>
      <c r="U170" s="161" t="s">
        <v>1615</v>
      </c>
      <c r="V170" s="174">
        <v>1475</v>
      </c>
      <c r="W170" s="180"/>
      <c r="X170" s="185">
        <v>45017</v>
      </c>
      <c r="Y170" s="187">
        <v>44273.496562499997</v>
      </c>
    </row>
    <row r="171" spans="1:25">
      <c r="A171" s="167" t="s">
        <v>110</v>
      </c>
      <c r="B171" s="162" t="s">
        <v>1555</v>
      </c>
      <c r="C171" s="163" t="s">
        <v>1879</v>
      </c>
      <c r="D171" s="162" t="s">
        <v>241</v>
      </c>
      <c r="E171" s="161" t="s">
        <v>1596</v>
      </c>
      <c r="F171" s="162" t="s">
        <v>1603</v>
      </c>
      <c r="G171" s="161"/>
      <c r="H171" s="214">
        <v>6</v>
      </c>
      <c r="I171" s="171"/>
      <c r="J171" s="170">
        <v>1.03</v>
      </c>
      <c r="K171" s="172"/>
      <c r="L171" s="170">
        <v>6.18</v>
      </c>
      <c r="M171" s="171">
        <v>6.18</v>
      </c>
      <c r="N171" s="170"/>
      <c r="O171" s="177" t="s">
        <v>76</v>
      </c>
      <c r="P171" s="162" t="s">
        <v>1591</v>
      </c>
      <c r="Q171" s="176"/>
      <c r="R171" s="174">
        <v>2029</v>
      </c>
      <c r="S171" s="179"/>
      <c r="T171" s="162" t="s">
        <v>24</v>
      </c>
      <c r="U171" s="161" t="s">
        <v>20</v>
      </c>
      <c r="V171" s="174">
        <v>1029</v>
      </c>
      <c r="W171" s="180"/>
      <c r="X171" s="185">
        <v>44621</v>
      </c>
      <c r="Y171" s="187">
        <v>44981.413819444446</v>
      </c>
    </row>
    <row r="172" spans="1:25">
      <c r="A172" s="167" t="s">
        <v>77</v>
      </c>
      <c r="B172" s="162" t="s">
        <v>1599</v>
      </c>
      <c r="C172" s="163" t="s">
        <v>1880</v>
      </c>
      <c r="D172" s="162" t="s">
        <v>1881</v>
      </c>
      <c r="E172" s="161" t="s">
        <v>1631</v>
      </c>
      <c r="F172" s="162" t="s">
        <v>1614</v>
      </c>
      <c r="G172" s="161"/>
      <c r="H172" s="215">
        <v>142</v>
      </c>
      <c r="I172" s="171">
        <v>2.8</v>
      </c>
      <c r="J172" s="173">
        <v>2.8</v>
      </c>
      <c r="K172" s="172">
        <v>400</v>
      </c>
      <c r="L172" s="173">
        <v>400</v>
      </c>
      <c r="M172" s="171">
        <v>400</v>
      </c>
      <c r="N172" s="170">
        <v>0</v>
      </c>
      <c r="O172" s="177" t="s">
        <v>1523</v>
      </c>
      <c r="P172" s="162" t="s">
        <v>1620</v>
      </c>
      <c r="Q172" s="176"/>
      <c r="R172" s="174"/>
      <c r="S172" s="179"/>
      <c r="T172" s="162" t="s">
        <v>28</v>
      </c>
      <c r="U172" s="161" t="s">
        <v>1615</v>
      </c>
      <c r="V172" s="174">
        <v>1718</v>
      </c>
      <c r="W172" s="180" t="s">
        <v>1882</v>
      </c>
      <c r="X172" s="185">
        <v>45069</v>
      </c>
      <c r="Y172" s="187">
        <v>44937.626597222225</v>
      </c>
    </row>
    <row r="173" spans="1:25">
      <c r="A173" s="167" t="s">
        <v>45</v>
      </c>
      <c r="B173" s="162" t="s">
        <v>1555</v>
      </c>
      <c r="C173" s="163" t="s">
        <v>1883</v>
      </c>
      <c r="D173" s="162" t="s">
        <v>1884</v>
      </c>
      <c r="E173" s="161" t="s">
        <v>1739</v>
      </c>
      <c r="F173" s="162" t="s">
        <v>1885</v>
      </c>
      <c r="G173" s="161" t="s">
        <v>1886</v>
      </c>
      <c r="H173" s="214">
        <v>1</v>
      </c>
      <c r="I173" s="171">
        <v>38</v>
      </c>
      <c r="J173" s="170">
        <v>38</v>
      </c>
      <c r="K173" s="172">
        <v>38</v>
      </c>
      <c r="L173" s="170">
        <v>38</v>
      </c>
      <c r="M173" s="171">
        <v>38</v>
      </c>
      <c r="N173" s="170"/>
      <c r="O173" s="177" t="s">
        <v>76</v>
      </c>
      <c r="P173" s="162" t="s">
        <v>1591</v>
      </c>
      <c r="Q173" s="176"/>
      <c r="R173" s="174">
        <v>2038</v>
      </c>
      <c r="S173" s="179"/>
      <c r="T173" s="162" t="s">
        <v>24</v>
      </c>
      <c r="U173" s="161" t="s">
        <v>18</v>
      </c>
      <c r="V173" s="174">
        <v>1439</v>
      </c>
      <c r="W173" s="180"/>
      <c r="X173" s="185">
        <v>45017</v>
      </c>
      <c r="Y173" s="187">
        <v>45022.420729166668</v>
      </c>
    </row>
    <row r="174" spans="1:25">
      <c r="A174" s="167" t="s">
        <v>45</v>
      </c>
      <c r="B174" s="162" t="s">
        <v>1599</v>
      </c>
      <c r="C174" s="163" t="s">
        <v>1887</v>
      </c>
      <c r="D174" s="162" t="s">
        <v>1604</v>
      </c>
      <c r="E174" s="161" t="s">
        <v>1613</v>
      </c>
      <c r="F174" s="164" t="s">
        <v>1614</v>
      </c>
      <c r="G174" s="161"/>
      <c r="H174" s="215">
        <v>1</v>
      </c>
      <c r="I174" s="171">
        <v>29</v>
      </c>
      <c r="J174" s="173">
        <v>29</v>
      </c>
      <c r="K174" s="172">
        <v>29</v>
      </c>
      <c r="L174" s="173">
        <v>29</v>
      </c>
      <c r="M174" s="171">
        <v>29</v>
      </c>
      <c r="N174" s="170"/>
      <c r="O174" s="177" t="s">
        <v>1523</v>
      </c>
      <c r="P174" s="162" t="s">
        <v>1591</v>
      </c>
      <c r="Q174" s="176"/>
      <c r="R174" s="175"/>
      <c r="S174" s="179"/>
      <c r="T174" s="164" t="s">
        <v>28</v>
      </c>
      <c r="U174" s="161" t="s">
        <v>1615</v>
      </c>
      <c r="V174" s="175">
        <v>1640</v>
      </c>
      <c r="W174" s="181"/>
      <c r="X174" s="186" t="s">
        <v>259</v>
      </c>
      <c r="Y174" s="187">
        <v>43283.222696759258</v>
      </c>
    </row>
    <row r="175" spans="1:25">
      <c r="A175" s="167" t="s">
        <v>45</v>
      </c>
      <c r="B175" s="162" t="s">
        <v>1599</v>
      </c>
      <c r="C175" s="163" t="s">
        <v>315</v>
      </c>
      <c r="D175" s="162" t="s">
        <v>316</v>
      </c>
      <c r="E175" s="161" t="s">
        <v>1602</v>
      </c>
      <c r="F175" s="162" t="s">
        <v>1603</v>
      </c>
      <c r="G175" s="161"/>
      <c r="H175" s="214">
        <v>1</v>
      </c>
      <c r="I175" s="171"/>
      <c r="J175" s="170">
        <v>50</v>
      </c>
      <c r="K175" s="172"/>
      <c r="L175" s="170">
        <v>50</v>
      </c>
      <c r="M175" s="171">
        <v>50</v>
      </c>
      <c r="N175" s="170">
        <v>50</v>
      </c>
      <c r="O175" s="177" t="s">
        <v>317</v>
      </c>
      <c r="P175" s="162" t="s">
        <v>1619</v>
      </c>
      <c r="Q175" s="176">
        <v>45200</v>
      </c>
      <c r="R175" s="174">
        <v>2043</v>
      </c>
      <c r="S175" s="179"/>
      <c r="T175" s="162" t="s">
        <v>26</v>
      </c>
      <c r="U175" s="161" t="s">
        <v>19</v>
      </c>
      <c r="V175" s="174">
        <v>2172</v>
      </c>
      <c r="W175" s="180"/>
      <c r="X175" s="185">
        <v>45069</v>
      </c>
      <c r="Y175" s="187">
        <v>45097.61042824074</v>
      </c>
    </row>
    <row r="176" spans="1:25">
      <c r="A176" s="167" t="s">
        <v>45</v>
      </c>
      <c r="B176" s="162" t="s">
        <v>1555</v>
      </c>
      <c r="C176" s="163" t="s">
        <v>1888</v>
      </c>
      <c r="D176" s="162" t="s">
        <v>1889</v>
      </c>
      <c r="E176" s="161" t="s">
        <v>1673</v>
      </c>
      <c r="F176" s="162" t="s">
        <v>1635</v>
      </c>
      <c r="G176" s="161" t="s">
        <v>1890</v>
      </c>
      <c r="H176" s="215">
        <v>1</v>
      </c>
      <c r="I176" s="171">
        <v>25</v>
      </c>
      <c r="J176" s="173">
        <v>50</v>
      </c>
      <c r="K176" s="172">
        <v>25</v>
      </c>
      <c r="L176" s="173">
        <v>50</v>
      </c>
      <c r="M176" s="171">
        <v>50</v>
      </c>
      <c r="N176" s="170"/>
      <c r="O176" s="177" t="s">
        <v>76</v>
      </c>
      <c r="P176" s="162" t="s">
        <v>1591</v>
      </c>
      <c r="Q176" s="176"/>
      <c r="R176" s="174">
        <v>2027</v>
      </c>
      <c r="S176" s="179"/>
      <c r="T176" s="162" t="s">
        <v>24</v>
      </c>
      <c r="U176" s="161" t="s">
        <v>13</v>
      </c>
      <c r="V176" s="174">
        <v>1030</v>
      </c>
      <c r="W176" s="180"/>
      <c r="X176" s="185">
        <v>45017</v>
      </c>
      <c r="Y176" s="187">
        <v>45021.665335648147</v>
      </c>
    </row>
    <row r="177" spans="1:25">
      <c r="A177" s="167" t="s">
        <v>45</v>
      </c>
      <c r="B177" s="162" t="s">
        <v>1555</v>
      </c>
      <c r="C177" s="163" t="s">
        <v>1225</v>
      </c>
      <c r="D177" s="162" t="s">
        <v>193</v>
      </c>
      <c r="E177" s="161" t="s">
        <v>1613</v>
      </c>
      <c r="F177" s="164" t="s">
        <v>1614</v>
      </c>
      <c r="G177" s="161" t="s">
        <v>1891</v>
      </c>
      <c r="H177" s="214">
        <v>40</v>
      </c>
      <c r="I177" s="171"/>
      <c r="J177" s="170">
        <v>1.33</v>
      </c>
      <c r="K177" s="172"/>
      <c r="L177" s="170">
        <v>53</v>
      </c>
      <c r="M177" s="171">
        <v>53</v>
      </c>
      <c r="N177" s="170"/>
      <c r="O177" s="177" t="s">
        <v>76</v>
      </c>
      <c r="P177" s="162" t="s">
        <v>1620</v>
      </c>
      <c r="Q177" s="176"/>
      <c r="R177" s="175">
        <v>2043</v>
      </c>
      <c r="S177" s="179"/>
      <c r="T177" s="164" t="s">
        <v>24</v>
      </c>
      <c r="U177" s="161" t="s">
        <v>1615</v>
      </c>
      <c r="V177" s="175">
        <v>1266</v>
      </c>
      <c r="W177" s="181"/>
      <c r="X177" s="186">
        <v>45017</v>
      </c>
      <c r="Y177" s="187">
        <v>45016.467569444445</v>
      </c>
    </row>
    <row r="178" spans="1:25">
      <c r="A178" s="167" t="s">
        <v>110</v>
      </c>
      <c r="B178" s="162" t="s">
        <v>1555</v>
      </c>
      <c r="C178" s="163" t="s">
        <v>242</v>
      </c>
      <c r="D178" s="162" t="s">
        <v>241</v>
      </c>
      <c r="E178" s="161" t="s">
        <v>1596</v>
      </c>
      <c r="F178" s="162" t="s">
        <v>1627</v>
      </c>
      <c r="G178" s="161"/>
      <c r="H178" s="215">
        <v>1</v>
      </c>
      <c r="I178" s="171"/>
      <c r="J178" s="173">
        <v>1.1499999999999999</v>
      </c>
      <c r="K178" s="172"/>
      <c r="L178" s="173">
        <v>1.1499999999999999</v>
      </c>
      <c r="M178" s="171">
        <v>1.1499999999999999</v>
      </c>
      <c r="N178" s="170"/>
      <c r="O178" s="177" t="s">
        <v>584</v>
      </c>
      <c r="P178" s="162" t="s">
        <v>1591</v>
      </c>
      <c r="Q178" s="176"/>
      <c r="R178" s="174">
        <v>2022</v>
      </c>
      <c r="S178" s="179"/>
      <c r="T178" s="162" t="s">
        <v>29</v>
      </c>
      <c r="U178" s="161" t="s">
        <v>18</v>
      </c>
      <c r="V178" s="174">
        <v>1291</v>
      </c>
      <c r="W178" s="180"/>
      <c r="X178" s="185">
        <v>44621</v>
      </c>
      <c r="Y178" s="187">
        <v>44981.403437499997</v>
      </c>
    </row>
    <row r="179" spans="1:25">
      <c r="A179" s="167" t="s">
        <v>110</v>
      </c>
      <c r="B179" s="162" t="s">
        <v>1555</v>
      </c>
      <c r="C179" s="163" t="s">
        <v>242</v>
      </c>
      <c r="D179" s="162" t="s">
        <v>241</v>
      </c>
      <c r="E179" s="161" t="s">
        <v>1596</v>
      </c>
      <c r="F179" s="162" t="s">
        <v>1627</v>
      </c>
      <c r="G179" s="161"/>
      <c r="H179" s="214">
        <v>1</v>
      </c>
      <c r="I179" s="171"/>
      <c r="J179" s="170">
        <v>1.03</v>
      </c>
      <c r="K179" s="172"/>
      <c r="L179" s="170">
        <v>1.03</v>
      </c>
      <c r="M179" s="171">
        <v>1.03</v>
      </c>
      <c r="N179" s="170"/>
      <c r="O179" s="177" t="s">
        <v>584</v>
      </c>
      <c r="P179" s="162" t="s">
        <v>1591</v>
      </c>
      <c r="Q179" s="176"/>
      <c r="R179" s="174">
        <v>2022</v>
      </c>
      <c r="S179" s="179"/>
      <c r="T179" s="162" t="s">
        <v>29</v>
      </c>
      <c r="U179" s="161" t="s">
        <v>18</v>
      </c>
      <c r="V179" s="174">
        <v>1291</v>
      </c>
      <c r="W179" s="180"/>
      <c r="X179" s="185">
        <v>44621</v>
      </c>
      <c r="Y179" s="187">
        <v>44981.403437499997</v>
      </c>
    </row>
    <row r="180" spans="1:25">
      <c r="A180" s="167" t="s">
        <v>110</v>
      </c>
      <c r="B180" s="162" t="s">
        <v>1555</v>
      </c>
      <c r="C180" s="163" t="s">
        <v>242</v>
      </c>
      <c r="D180" s="162" t="s">
        <v>241</v>
      </c>
      <c r="E180" s="161" t="s">
        <v>1596</v>
      </c>
      <c r="F180" s="164" t="s">
        <v>1627</v>
      </c>
      <c r="G180" s="161"/>
      <c r="H180" s="215">
        <v>1</v>
      </c>
      <c r="I180" s="171"/>
      <c r="J180" s="173">
        <v>0.65</v>
      </c>
      <c r="K180" s="172"/>
      <c r="L180" s="173">
        <v>0.65</v>
      </c>
      <c r="M180" s="171">
        <v>0.65</v>
      </c>
      <c r="N180" s="170"/>
      <c r="O180" s="177" t="s">
        <v>584</v>
      </c>
      <c r="P180" s="162" t="s">
        <v>1591</v>
      </c>
      <c r="Q180" s="176"/>
      <c r="R180" s="175">
        <v>2022</v>
      </c>
      <c r="S180" s="179"/>
      <c r="T180" s="164" t="s">
        <v>29</v>
      </c>
      <c r="U180" s="161" t="s">
        <v>18</v>
      </c>
      <c r="V180" s="175">
        <v>1291</v>
      </c>
      <c r="W180" s="181"/>
      <c r="X180" s="186">
        <v>44621</v>
      </c>
      <c r="Y180" s="187">
        <v>44981.403437499997</v>
      </c>
    </row>
    <row r="181" spans="1:25">
      <c r="A181" s="167" t="s">
        <v>77</v>
      </c>
      <c r="B181" s="162" t="s">
        <v>1599</v>
      </c>
      <c r="C181" s="163" t="s">
        <v>1892</v>
      </c>
      <c r="D181" s="162" t="s">
        <v>1893</v>
      </c>
      <c r="E181" s="161" t="s">
        <v>1602</v>
      </c>
      <c r="F181" s="162" t="s">
        <v>1603</v>
      </c>
      <c r="G181" s="161"/>
      <c r="H181" s="214">
        <v>1</v>
      </c>
      <c r="I181" s="171">
        <v>250</v>
      </c>
      <c r="J181" s="170">
        <v>250</v>
      </c>
      <c r="K181" s="172">
        <v>250</v>
      </c>
      <c r="L181" s="170">
        <v>250</v>
      </c>
      <c r="M181" s="171">
        <v>250</v>
      </c>
      <c r="N181" s="170">
        <v>0</v>
      </c>
      <c r="O181" s="177" t="s">
        <v>1523</v>
      </c>
      <c r="P181" s="162" t="s">
        <v>1604</v>
      </c>
      <c r="Q181" s="176"/>
      <c r="R181" s="174"/>
      <c r="S181" s="179"/>
      <c r="T181" s="162" t="s">
        <v>28</v>
      </c>
      <c r="U181" s="161" t="s">
        <v>19</v>
      </c>
      <c r="V181" s="174">
        <v>2251</v>
      </c>
      <c r="W181" s="180" t="s">
        <v>1894</v>
      </c>
      <c r="X181" s="185">
        <v>45017</v>
      </c>
      <c r="Y181" s="187">
        <v>44903.399618055555</v>
      </c>
    </row>
    <row r="182" spans="1:25">
      <c r="A182" s="167" t="s">
        <v>45</v>
      </c>
      <c r="B182" s="162" t="s">
        <v>1555</v>
      </c>
      <c r="C182" s="163" t="s">
        <v>1895</v>
      </c>
      <c r="D182" s="162" t="s">
        <v>1896</v>
      </c>
      <c r="E182" s="161" t="s">
        <v>1700</v>
      </c>
      <c r="F182" s="162" t="s">
        <v>1658</v>
      </c>
      <c r="G182" s="161" t="s">
        <v>1897</v>
      </c>
      <c r="H182" s="215">
        <v>1</v>
      </c>
      <c r="I182" s="171"/>
      <c r="J182" s="173">
        <v>5</v>
      </c>
      <c r="K182" s="172"/>
      <c r="L182" s="173">
        <v>5</v>
      </c>
      <c r="M182" s="171">
        <v>5</v>
      </c>
      <c r="N182" s="170"/>
      <c r="O182" s="177" t="s">
        <v>76</v>
      </c>
      <c r="P182" s="162" t="s">
        <v>1591</v>
      </c>
      <c r="Q182" s="176"/>
      <c r="R182" s="174"/>
      <c r="S182" s="179"/>
      <c r="T182" s="162" t="s">
        <v>24</v>
      </c>
      <c r="U182" s="161" t="s">
        <v>17</v>
      </c>
      <c r="V182" s="174">
        <v>2076</v>
      </c>
      <c r="W182" s="180"/>
      <c r="X182" s="185" t="s">
        <v>259</v>
      </c>
      <c r="Y182" s="187">
        <v>44830.477048611108</v>
      </c>
    </row>
    <row r="183" spans="1:25">
      <c r="A183" s="167" t="s">
        <v>77</v>
      </c>
      <c r="B183" s="162" t="s">
        <v>1555</v>
      </c>
      <c r="C183" s="163" t="s">
        <v>1898</v>
      </c>
      <c r="D183" s="162" t="s">
        <v>1899</v>
      </c>
      <c r="E183" s="161" t="s">
        <v>1596</v>
      </c>
      <c r="F183" s="162" t="s">
        <v>1603</v>
      </c>
      <c r="G183" s="161" t="s">
        <v>1900</v>
      </c>
      <c r="H183" s="214">
        <v>1</v>
      </c>
      <c r="I183" s="171"/>
      <c r="J183" s="170">
        <v>1.03</v>
      </c>
      <c r="K183" s="172"/>
      <c r="L183" s="170">
        <v>1.03</v>
      </c>
      <c r="M183" s="171">
        <v>1.03</v>
      </c>
      <c r="N183" s="170"/>
      <c r="O183" s="177" t="s">
        <v>76</v>
      </c>
      <c r="P183" s="162" t="s">
        <v>1591</v>
      </c>
      <c r="Q183" s="184"/>
      <c r="R183" s="174"/>
      <c r="S183" s="179"/>
      <c r="T183" s="162" t="s">
        <v>24</v>
      </c>
      <c r="U183" s="161" t="s">
        <v>20</v>
      </c>
      <c r="V183" s="174">
        <v>1031</v>
      </c>
      <c r="W183" s="180"/>
      <c r="X183" s="185">
        <v>44621</v>
      </c>
      <c r="Y183" s="187">
        <v>44981.415960648148</v>
      </c>
    </row>
    <row r="184" spans="1:25">
      <c r="A184" s="167" t="s">
        <v>77</v>
      </c>
      <c r="B184" s="162" t="s">
        <v>1555</v>
      </c>
      <c r="C184" s="163" t="s">
        <v>1898</v>
      </c>
      <c r="D184" s="162" t="s">
        <v>1899</v>
      </c>
      <c r="E184" s="161" t="s">
        <v>1596</v>
      </c>
      <c r="F184" s="162" t="s">
        <v>1603</v>
      </c>
      <c r="G184" s="161" t="s">
        <v>1901</v>
      </c>
      <c r="H184" s="215">
        <v>1</v>
      </c>
      <c r="I184" s="171"/>
      <c r="J184" s="173">
        <v>1.1499999999999999</v>
      </c>
      <c r="K184" s="172"/>
      <c r="L184" s="173">
        <v>1.1499999999999999</v>
      </c>
      <c r="M184" s="171">
        <v>1.1499999999999999</v>
      </c>
      <c r="N184" s="170"/>
      <c r="O184" s="177" t="s">
        <v>76</v>
      </c>
      <c r="P184" s="162" t="s">
        <v>1591</v>
      </c>
      <c r="Q184" s="176"/>
      <c r="R184" s="174"/>
      <c r="S184" s="179"/>
      <c r="T184" s="162" t="s">
        <v>24</v>
      </c>
      <c r="U184" s="161" t="s">
        <v>20</v>
      </c>
      <c r="V184" s="174">
        <v>1031</v>
      </c>
      <c r="W184" s="180"/>
      <c r="X184" s="185">
        <v>44621</v>
      </c>
      <c r="Y184" s="187">
        <v>44981.415960648148</v>
      </c>
    </row>
    <row r="185" spans="1:25">
      <c r="A185" s="167" t="s">
        <v>110</v>
      </c>
      <c r="B185" s="162" t="s">
        <v>1555</v>
      </c>
      <c r="C185" s="163" t="s">
        <v>370</v>
      </c>
      <c r="D185" s="162" t="s">
        <v>371</v>
      </c>
      <c r="E185" s="161" t="s">
        <v>1602</v>
      </c>
      <c r="F185" s="162" t="s">
        <v>1603</v>
      </c>
      <c r="G185" s="161" t="s">
        <v>372</v>
      </c>
      <c r="H185" s="214">
        <v>40</v>
      </c>
      <c r="I185" s="171"/>
      <c r="J185" s="170">
        <v>0.5</v>
      </c>
      <c r="K185" s="172"/>
      <c r="L185" s="170">
        <v>20</v>
      </c>
      <c r="M185" s="171">
        <v>20</v>
      </c>
      <c r="N185" s="170">
        <v>34</v>
      </c>
      <c r="O185" s="177" t="s">
        <v>76</v>
      </c>
      <c r="P185" s="162" t="s">
        <v>1619</v>
      </c>
      <c r="Q185" s="176">
        <v>44501</v>
      </c>
      <c r="R185" s="174">
        <v>2049</v>
      </c>
      <c r="S185" s="179"/>
      <c r="T185" s="162" t="s">
        <v>24</v>
      </c>
      <c r="U185" s="161" t="s">
        <v>19</v>
      </c>
      <c r="V185" s="174">
        <v>1590</v>
      </c>
      <c r="W185" s="180"/>
      <c r="X185" s="185">
        <v>45017</v>
      </c>
      <c r="Y185" s="187">
        <v>45027.546701388892</v>
      </c>
    </row>
    <row r="186" spans="1:25">
      <c r="A186" s="167" t="s">
        <v>110</v>
      </c>
      <c r="B186" s="162" t="s">
        <v>1555</v>
      </c>
      <c r="C186" s="163" t="s">
        <v>590</v>
      </c>
      <c r="D186" s="162" t="s">
        <v>371</v>
      </c>
      <c r="E186" s="161" t="s">
        <v>1625</v>
      </c>
      <c r="F186" s="162" t="s">
        <v>1609</v>
      </c>
      <c r="G186" s="161" t="s">
        <v>591</v>
      </c>
      <c r="H186" s="215">
        <v>56</v>
      </c>
      <c r="I186" s="171"/>
      <c r="J186" s="173">
        <v>3.65</v>
      </c>
      <c r="K186" s="172"/>
      <c r="L186" s="173">
        <v>204.4</v>
      </c>
      <c r="M186" s="171">
        <v>204.4</v>
      </c>
      <c r="N186" s="170"/>
      <c r="O186" s="177" t="s">
        <v>76</v>
      </c>
      <c r="P186" s="162" t="s">
        <v>1620</v>
      </c>
      <c r="Q186" s="176">
        <v>44501</v>
      </c>
      <c r="R186" s="174">
        <v>2049</v>
      </c>
      <c r="S186" s="179"/>
      <c r="T186" s="162" t="s">
        <v>24</v>
      </c>
      <c r="U186" s="161" t="s">
        <v>16</v>
      </c>
      <c r="V186" s="174">
        <v>1289</v>
      </c>
      <c r="W186" s="180"/>
      <c r="X186" s="185">
        <v>45069</v>
      </c>
      <c r="Y186" s="187">
        <v>44981.403217592589</v>
      </c>
    </row>
    <row r="187" spans="1:25">
      <c r="A187" s="220" t="s">
        <v>45</v>
      </c>
      <c r="B187" s="221" t="s">
        <v>1599</v>
      </c>
      <c r="C187" s="222" t="s">
        <v>3853</v>
      </c>
      <c r="D187" s="221" t="s">
        <v>3854</v>
      </c>
      <c r="E187" s="223" t="s">
        <v>1625</v>
      </c>
      <c r="F187" s="224" t="s">
        <v>16</v>
      </c>
      <c r="G187" s="161"/>
      <c r="H187" s="214">
        <v>50</v>
      </c>
      <c r="I187" s="171"/>
      <c r="J187" s="170">
        <v>6</v>
      </c>
      <c r="K187" s="172"/>
      <c r="L187" s="170">
        <v>300</v>
      </c>
      <c r="M187" s="171">
        <v>300</v>
      </c>
      <c r="N187" s="170"/>
      <c r="O187" s="230" t="s">
        <v>1523</v>
      </c>
      <c r="P187" s="221" t="s">
        <v>1604</v>
      </c>
      <c r="Q187" s="231"/>
      <c r="R187" s="232"/>
      <c r="S187" s="233"/>
      <c r="T187" s="224" t="s">
        <v>28</v>
      </c>
      <c r="U187" s="223" t="s">
        <v>16</v>
      </c>
      <c r="V187" s="232">
        <v>2532</v>
      </c>
      <c r="W187" s="234" t="s">
        <v>3926</v>
      </c>
      <c r="X187" s="235"/>
      <c r="Y187" s="236">
        <v>45111.359548611108</v>
      </c>
    </row>
    <row r="188" spans="1:25">
      <c r="A188" s="167" t="s">
        <v>77</v>
      </c>
      <c r="B188" s="162" t="s">
        <v>1599</v>
      </c>
      <c r="C188" s="163" t="s">
        <v>1902</v>
      </c>
      <c r="D188" s="162" t="s">
        <v>81</v>
      </c>
      <c r="E188" s="161" t="s">
        <v>1602</v>
      </c>
      <c r="F188" s="162" t="s">
        <v>1603</v>
      </c>
      <c r="G188" s="161"/>
      <c r="H188" s="215">
        <v>1</v>
      </c>
      <c r="I188" s="171">
        <v>400</v>
      </c>
      <c r="J188" s="173">
        <v>400</v>
      </c>
      <c r="K188" s="172">
        <v>400</v>
      </c>
      <c r="L188" s="173">
        <v>400</v>
      </c>
      <c r="M188" s="171">
        <v>400</v>
      </c>
      <c r="N188" s="170">
        <v>1600</v>
      </c>
      <c r="O188" s="177" t="s">
        <v>1523</v>
      </c>
      <c r="P188" s="162" t="s">
        <v>1619</v>
      </c>
      <c r="Q188" s="176"/>
      <c r="R188" s="174"/>
      <c r="S188" s="179"/>
      <c r="T188" s="162" t="s">
        <v>28</v>
      </c>
      <c r="U188" s="161" t="s">
        <v>19</v>
      </c>
      <c r="V188" s="174">
        <v>2414</v>
      </c>
      <c r="W188" s="180"/>
      <c r="X188" s="185">
        <v>45069</v>
      </c>
      <c r="Y188" s="187">
        <v>45027.636423611111</v>
      </c>
    </row>
    <row r="189" spans="1:25">
      <c r="A189" s="167" t="s">
        <v>77</v>
      </c>
      <c r="B189" s="162" t="s">
        <v>1599</v>
      </c>
      <c r="C189" s="163" t="s">
        <v>1903</v>
      </c>
      <c r="D189" s="162" t="s">
        <v>81</v>
      </c>
      <c r="E189" s="161" t="s">
        <v>1631</v>
      </c>
      <c r="F189" s="162" t="s">
        <v>1614</v>
      </c>
      <c r="G189" s="161"/>
      <c r="H189" s="214">
        <v>205</v>
      </c>
      <c r="I189" s="171">
        <v>5</v>
      </c>
      <c r="J189" s="170">
        <v>5</v>
      </c>
      <c r="K189" s="172">
        <v>1025</v>
      </c>
      <c r="L189" s="170">
        <v>1025</v>
      </c>
      <c r="M189" s="171">
        <v>1025</v>
      </c>
      <c r="N189" s="170"/>
      <c r="O189" s="177" t="s">
        <v>1523</v>
      </c>
      <c r="P189" s="162" t="s">
        <v>1620</v>
      </c>
      <c r="Q189" s="176"/>
      <c r="R189" s="174"/>
      <c r="S189" s="179"/>
      <c r="T189" s="162" t="s">
        <v>28</v>
      </c>
      <c r="U189" s="161" t="s">
        <v>1615</v>
      </c>
      <c r="V189" s="174">
        <v>1417</v>
      </c>
      <c r="W189" s="180" t="s">
        <v>1904</v>
      </c>
      <c r="X189" s="185">
        <v>45069</v>
      </c>
      <c r="Y189" s="187">
        <v>45035.423715277779</v>
      </c>
    </row>
    <row r="190" spans="1:25">
      <c r="A190" s="167" t="s">
        <v>77</v>
      </c>
      <c r="B190" s="162" t="s">
        <v>1599</v>
      </c>
      <c r="C190" s="163" t="s">
        <v>1903</v>
      </c>
      <c r="D190" s="162" t="s">
        <v>81</v>
      </c>
      <c r="E190" s="161" t="s">
        <v>1631</v>
      </c>
      <c r="F190" s="162" t="s">
        <v>1614</v>
      </c>
      <c r="G190" s="161"/>
      <c r="H190" s="215">
        <v>135</v>
      </c>
      <c r="I190" s="171">
        <v>5</v>
      </c>
      <c r="J190" s="173">
        <v>5</v>
      </c>
      <c r="K190" s="172">
        <v>675</v>
      </c>
      <c r="L190" s="173">
        <v>675</v>
      </c>
      <c r="M190" s="171">
        <v>675</v>
      </c>
      <c r="N190" s="170"/>
      <c r="O190" s="177" t="s">
        <v>1523</v>
      </c>
      <c r="P190" s="162" t="s">
        <v>1620</v>
      </c>
      <c r="Q190" s="176"/>
      <c r="R190" s="174"/>
      <c r="S190" s="179"/>
      <c r="T190" s="162" t="s">
        <v>28</v>
      </c>
      <c r="U190" s="161" t="s">
        <v>1615</v>
      </c>
      <c r="V190" s="174">
        <v>1417</v>
      </c>
      <c r="W190" s="180" t="s">
        <v>1904</v>
      </c>
      <c r="X190" s="185">
        <v>45069</v>
      </c>
      <c r="Y190" s="187">
        <v>45035.423715277779</v>
      </c>
    </row>
    <row r="191" spans="1:25">
      <c r="A191" s="167" t="s">
        <v>77</v>
      </c>
      <c r="B191" s="162" t="s">
        <v>1599</v>
      </c>
      <c r="C191" s="163" t="s">
        <v>1905</v>
      </c>
      <c r="D191" s="162" t="s">
        <v>1906</v>
      </c>
      <c r="E191" s="161" t="s">
        <v>1631</v>
      </c>
      <c r="F191" s="162" t="s">
        <v>1614</v>
      </c>
      <c r="G191" s="161"/>
      <c r="H191" s="214">
        <v>1</v>
      </c>
      <c r="I191" s="171"/>
      <c r="J191" s="170">
        <v>97</v>
      </c>
      <c r="K191" s="172"/>
      <c r="L191" s="170">
        <v>97</v>
      </c>
      <c r="M191" s="171">
        <v>97</v>
      </c>
      <c r="N191" s="170"/>
      <c r="O191" s="177" t="s">
        <v>1523</v>
      </c>
      <c r="P191" s="162" t="s">
        <v>1620</v>
      </c>
      <c r="Q191" s="176"/>
      <c r="R191" s="174"/>
      <c r="S191" s="179"/>
      <c r="T191" s="162" t="s">
        <v>28</v>
      </c>
      <c r="U191" s="161" t="s">
        <v>1615</v>
      </c>
      <c r="V191" s="174">
        <v>2125</v>
      </c>
      <c r="W191" s="180"/>
      <c r="X191" s="185">
        <v>45017</v>
      </c>
      <c r="Y191" s="187">
        <v>44831.511932870373</v>
      </c>
    </row>
    <row r="192" spans="1:25">
      <c r="A192" s="220" t="s">
        <v>91</v>
      </c>
      <c r="B192" s="221" t="s">
        <v>1599</v>
      </c>
      <c r="C192" s="222" t="s">
        <v>3886</v>
      </c>
      <c r="D192" s="221" t="s">
        <v>3887</v>
      </c>
      <c r="E192" s="223" t="s">
        <v>1602</v>
      </c>
      <c r="F192" s="224" t="s">
        <v>20</v>
      </c>
      <c r="G192" s="161"/>
      <c r="H192" s="215">
        <v>1</v>
      </c>
      <c r="I192" s="171"/>
      <c r="J192" s="173">
        <v>500</v>
      </c>
      <c r="K192" s="172"/>
      <c r="L192" s="173">
        <v>500</v>
      </c>
      <c r="M192" s="171">
        <v>500</v>
      </c>
      <c r="N192" s="170">
        <v>0</v>
      </c>
      <c r="O192" s="230" t="s">
        <v>1523</v>
      </c>
      <c r="P192" s="221" t="s">
        <v>1604</v>
      </c>
      <c r="Q192" s="231"/>
      <c r="R192" s="232"/>
      <c r="S192" s="233"/>
      <c r="T192" s="224" t="s">
        <v>28</v>
      </c>
      <c r="U192" s="223" t="s">
        <v>19</v>
      </c>
      <c r="V192" s="232">
        <v>2551</v>
      </c>
      <c r="W192" s="234" t="s">
        <v>3942</v>
      </c>
      <c r="X192" s="235"/>
      <c r="Y192" s="236">
        <v>45111.521273148152</v>
      </c>
    </row>
    <row r="193" spans="1:25">
      <c r="A193" s="167" t="s">
        <v>77</v>
      </c>
      <c r="B193" s="162" t="s">
        <v>1599</v>
      </c>
      <c r="C193" s="163" t="s">
        <v>1907</v>
      </c>
      <c r="D193" s="162" t="s">
        <v>1908</v>
      </c>
      <c r="E193" s="161" t="s">
        <v>1625</v>
      </c>
      <c r="F193" s="162" t="s">
        <v>1609</v>
      </c>
      <c r="G193" s="161"/>
      <c r="H193" s="214">
        <v>175</v>
      </c>
      <c r="I193" s="171">
        <v>8</v>
      </c>
      <c r="J193" s="170">
        <v>8</v>
      </c>
      <c r="K193" s="172">
        <v>1400</v>
      </c>
      <c r="L193" s="170">
        <v>1400</v>
      </c>
      <c r="M193" s="171">
        <v>1400</v>
      </c>
      <c r="N193" s="170"/>
      <c r="O193" s="177" t="s">
        <v>1523</v>
      </c>
      <c r="P193" s="162" t="s">
        <v>1620</v>
      </c>
      <c r="Q193" s="184">
        <v>46844</v>
      </c>
      <c r="R193" s="174"/>
      <c r="S193" s="179"/>
      <c r="T193" s="162" t="s">
        <v>28</v>
      </c>
      <c r="U193" s="161" t="s">
        <v>16</v>
      </c>
      <c r="V193" s="174">
        <v>2293</v>
      </c>
      <c r="W193" s="180" t="s">
        <v>1909</v>
      </c>
      <c r="X193" s="185">
        <v>45017</v>
      </c>
      <c r="Y193" s="187">
        <v>45027.66033564815</v>
      </c>
    </row>
    <row r="194" spans="1:25">
      <c r="A194" s="167" t="s">
        <v>91</v>
      </c>
      <c r="B194" s="162" t="s">
        <v>1599</v>
      </c>
      <c r="C194" s="163" t="s">
        <v>1910</v>
      </c>
      <c r="D194" s="162" t="s">
        <v>115</v>
      </c>
      <c r="E194" s="161" t="s">
        <v>1602</v>
      </c>
      <c r="F194" s="162" t="s">
        <v>1603</v>
      </c>
      <c r="G194" s="161"/>
      <c r="H194" s="215">
        <v>1</v>
      </c>
      <c r="I194" s="171"/>
      <c r="J194" s="173">
        <v>40</v>
      </c>
      <c r="K194" s="172"/>
      <c r="L194" s="173">
        <v>40</v>
      </c>
      <c r="M194" s="171">
        <v>40</v>
      </c>
      <c r="N194" s="170">
        <v>0</v>
      </c>
      <c r="O194" s="177" t="s">
        <v>1523</v>
      </c>
      <c r="P194" s="162" t="s">
        <v>1604</v>
      </c>
      <c r="Q194" s="176"/>
      <c r="R194" s="174"/>
      <c r="S194" s="179"/>
      <c r="T194" s="162" t="s">
        <v>28</v>
      </c>
      <c r="U194" s="161" t="s">
        <v>19</v>
      </c>
      <c r="V194" s="174">
        <v>2261</v>
      </c>
      <c r="W194" s="180" t="s">
        <v>1911</v>
      </c>
      <c r="X194" s="185">
        <v>45017</v>
      </c>
      <c r="Y194" s="187">
        <v>44903.389374999999</v>
      </c>
    </row>
    <row r="195" spans="1:25">
      <c r="A195" s="167" t="s">
        <v>91</v>
      </c>
      <c r="B195" s="162" t="s">
        <v>1555</v>
      </c>
      <c r="C195" s="163" t="s">
        <v>852</v>
      </c>
      <c r="D195" s="162" t="s">
        <v>1912</v>
      </c>
      <c r="E195" s="161" t="s">
        <v>1631</v>
      </c>
      <c r="F195" s="162" t="s">
        <v>1614</v>
      </c>
      <c r="G195" s="161" t="s">
        <v>853</v>
      </c>
      <c r="H195" s="214">
        <v>54</v>
      </c>
      <c r="I195" s="171">
        <v>2.04</v>
      </c>
      <c r="J195" s="170">
        <v>2.5</v>
      </c>
      <c r="K195" s="172">
        <v>110.16</v>
      </c>
      <c r="L195" s="170">
        <v>135</v>
      </c>
      <c r="M195" s="171">
        <v>135</v>
      </c>
      <c r="N195" s="170">
        <v>0</v>
      </c>
      <c r="O195" s="177" t="s">
        <v>76</v>
      </c>
      <c r="P195" s="162" t="s">
        <v>1620</v>
      </c>
      <c r="Q195" s="176">
        <v>43435</v>
      </c>
      <c r="R195" s="174">
        <v>2044</v>
      </c>
      <c r="S195" s="179"/>
      <c r="T195" s="162" t="s">
        <v>24</v>
      </c>
      <c r="U195" s="161" t="s">
        <v>1615</v>
      </c>
      <c r="V195" s="174">
        <v>1589</v>
      </c>
      <c r="W195" s="180"/>
      <c r="X195" s="185">
        <v>45069</v>
      </c>
      <c r="Y195" s="187">
        <v>45103.800347222219</v>
      </c>
    </row>
    <row r="196" spans="1:25">
      <c r="A196" s="167" t="s">
        <v>91</v>
      </c>
      <c r="B196" s="162" t="s">
        <v>1599</v>
      </c>
      <c r="C196" s="163" t="s">
        <v>1913</v>
      </c>
      <c r="D196" s="162" t="s">
        <v>1914</v>
      </c>
      <c r="E196" s="161" t="s">
        <v>1631</v>
      </c>
      <c r="F196" s="162" t="s">
        <v>1614</v>
      </c>
      <c r="G196" s="161"/>
      <c r="H196" s="215">
        <v>39</v>
      </c>
      <c r="I196" s="171">
        <v>2.0499999999999998</v>
      </c>
      <c r="J196" s="173">
        <v>2.0499999999999998</v>
      </c>
      <c r="K196" s="172">
        <v>79.989999999999995</v>
      </c>
      <c r="L196" s="173">
        <v>79.989999999999995</v>
      </c>
      <c r="M196" s="171">
        <v>79.989999999999995</v>
      </c>
      <c r="N196" s="170">
        <v>0</v>
      </c>
      <c r="O196" s="177" t="s">
        <v>1523</v>
      </c>
      <c r="P196" s="162" t="s">
        <v>1620</v>
      </c>
      <c r="Q196" s="176"/>
      <c r="R196" s="174"/>
      <c r="S196" s="179"/>
      <c r="T196" s="162" t="s">
        <v>28</v>
      </c>
      <c r="U196" s="161" t="s">
        <v>1615</v>
      </c>
      <c r="V196" s="174">
        <v>1483</v>
      </c>
      <c r="W196" s="180"/>
      <c r="X196" s="185">
        <v>45017</v>
      </c>
      <c r="Y196" s="187">
        <v>44693.480428240742</v>
      </c>
    </row>
    <row r="197" spans="1:25">
      <c r="A197" s="167" t="s">
        <v>91</v>
      </c>
      <c r="B197" s="162" t="s">
        <v>1555</v>
      </c>
      <c r="C197" s="163" t="s">
        <v>214</v>
      </c>
      <c r="D197" s="162" t="s">
        <v>1915</v>
      </c>
      <c r="E197" s="161" t="s">
        <v>1631</v>
      </c>
      <c r="F197" s="162" t="s">
        <v>1614</v>
      </c>
      <c r="G197" s="161" t="s">
        <v>216</v>
      </c>
      <c r="H197" s="214">
        <v>54</v>
      </c>
      <c r="I197" s="171">
        <v>2.04</v>
      </c>
      <c r="J197" s="170">
        <v>2.5</v>
      </c>
      <c r="K197" s="172">
        <v>110.16</v>
      </c>
      <c r="L197" s="170">
        <v>135</v>
      </c>
      <c r="M197" s="171">
        <v>135</v>
      </c>
      <c r="N197" s="170"/>
      <c r="O197" s="177" t="s">
        <v>76</v>
      </c>
      <c r="P197" s="162" t="s">
        <v>1620</v>
      </c>
      <c r="Q197" s="176">
        <v>44440</v>
      </c>
      <c r="R197" s="174">
        <v>2044</v>
      </c>
      <c r="S197" s="179"/>
      <c r="T197" s="162" t="s">
        <v>24</v>
      </c>
      <c r="U197" s="161" t="s">
        <v>1615</v>
      </c>
      <c r="V197" s="174">
        <v>1587</v>
      </c>
      <c r="W197" s="180"/>
      <c r="X197" s="185">
        <v>45069</v>
      </c>
      <c r="Y197" s="187">
        <v>45103.797974537039</v>
      </c>
    </row>
    <row r="198" spans="1:25">
      <c r="A198" s="167" t="s">
        <v>91</v>
      </c>
      <c r="B198" s="162" t="s">
        <v>1599</v>
      </c>
      <c r="C198" s="163" t="s">
        <v>1916</v>
      </c>
      <c r="D198" s="162" t="s">
        <v>1917</v>
      </c>
      <c r="E198" s="161" t="s">
        <v>1602</v>
      </c>
      <c r="F198" s="164" t="s">
        <v>1603</v>
      </c>
      <c r="G198" s="161"/>
      <c r="H198" s="215">
        <v>60</v>
      </c>
      <c r="I198" s="171"/>
      <c r="J198" s="173">
        <v>2.5</v>
      </c>
      <c r="K198" s="172"/>
      <c r="L198" s="173">
        <v>150</v>
      </c>
      <c r="M198" s="171">
        <v>150</v>
      </c>
      <c r="N198" s="170">
        <v>300</v>
      </c>
      <c r="O198" s="177" t="s">
        <v>1523</v>
      </c>
      <c r="P198" s="162" t="s">
        <v>1619</v>
      </c>
      <c r="Q198" s="176"/>
      <c r="R198" s="175"/>
      <c r="S198" s="179"/>
      <c r="T198" s="164" t="s">
        <v>28</v>
      </c>
      <c r="U198" s="161" t="s">
        <v>19</v>
      </c>
      <c r="V198" s="175">
        <v>2049</v>
      </c>
      <c r="W198" s="181" t="s">
        <v>1918</v>
      </c>
      <c r="X198" s="185">
        <v>45069</v>
      </c>
      <c r="Y198" s="187">
        <v>45097.601273148146</v>
      </c>
    </row>
    <row r="199" spans="1:25">
      <c r="A199" s="167" t="s">
        <v>91</v>
      </c>
      <c r="B199" s="162" t="s">
        <v>1599</v>
      </c>
      <c r="C199" s="163" t="s">
        <v>1916</v>
      </c>
      <c r="D199" s="162" t="s">
        <v>1917</v>
      </c>
      <c r="E199" s="161" t="s">
        <v>1631</v>
      </c>
      <c r="F199" s="162" t="s">
        <v>1614</v>
      </c>
      <c r="G199" s="161"/>
      <c r="H199" s="214">
        <v>1</v>
      </c>
      <c r="I199" s="171"/>
      <c r="J199" s="170">
        <v>280</v>
      </c>
      <c r="K199" s="172"/>
      <c r="L199" s="170">
        <v>280</v>
      </c>
      <c r="M199" s="171">
        <v>280</v>
      </c>
      <c r="N199" s="170"/>
      <c r="O199" s="177" t="s">
        <v>1523</v>
      </c>
      <c r="P199" s="162" t="s">
        <v>1620</v>
      </c>
      <c r="Q199" s="176"/>
      <c r="R199" s="174"/>
      <c r="S199" s="179"/>
      <c r="T199" s="162" t="s">
        <v>28</v>
      </c>
      <c r="U199" s="161" t="s">
        <v>1615</v>
      </c>
      <c r="V199" s="174">
        <v>2049</v>
      </c>
      <c r="W199" s="180" t="s">
        <v>1918</v>
      </c>
      <c r="X199" s="185">
        <v>45069</v>
      </c>
      <c r="Y199" s="187">
        <v>45097.601273148146</v>
      </c>
    </row>
    <row r="200" spans="1:25">
      <c r="A200" s="167" t="s">
        <v>77</v>
      </c>
      <c r="B200" s="162" t="s">
        <v>1599</v>
      </c>
      <c r="C200" s="163" t="s">
        <v>1919</v>
      </c>
      <c r="D200" s="162" t="s">
        <v>1920</v>
      </c>
      <c r="E200" s="161" t="s">
        <v>1700</v>
      </c>
      <c r="F200" s="164" t="s">
        <v>1658</v>
      </c>
      <c r="G200" s="161"/>
      <c r="H200" s="215">
        <v>1</v>
      </c>
      <c r="I200" s="171">
        <v>296</v>
      </c>
      <c r="J200" s="173">
        <v>296</v>
      </c>
      <c r="K200" s="172">
        <v>296</v>
      </c>
      <c r="L200" s="173">
        <v>296</v>
      </c>
      <c r="M200" s="171">
        <v>296</v>
      </c>
      <c r="N200" s="170"/>
      <c r="O200" s="177" t="s">
        <v>1523</v>
      </c>
      <c r="P200" s="162" t="s">
        <v>1604</v>
      </c>
      <c r="Q200" s="176"/>
      <c r="R200" s="175"/>
      <c r="S200" s="179"/>
      <c r="T200" s="164" t="s">
        <v>28</v>
      </c>
      <c r="U200" s="161" t="s">
        <v>17</v>
      </c>
      <c r="V200" s="175">
        <v>2483</v>
      </c>
      <c r="W200" s="181" t="s">
        <v>1921</v>
      </c>
      <c r="X200" s="185">
        <v>45017</v>
      </c>
      <c r="Y200" s="187">
        <v>45035.692129629628</v>
      </c>
    </row>
    <row r="201" spans="1:25">
      <c r="A201" s="167" t="s">
        <v>77</v>
      </c>
      <c r="B201" s="162" t="s">
        <v>1599</v>
      </c>
      <c r="C201" s="163" t="s">
        <v>1922</v>
      </c>
      <c r="D201" s="162" t="s">
        <v>1920</v>
      </c>
      <c r="E201" s="161" t="s">
        <v>1625</v>
      </c>
      <c r="F201" s="162" t="s">
        <v>1609</v>
      </c>
      <c r="G201" s="161"/>
      <c r="H201" s="214">
        <v>1</v>
      </c>
      <c r="I201" s="171">
        <v>500</v>
      </c>
      <c r="J201" s="170">
        <v>500</v>
      </c>
      <c r="K201" s="172">
        <v>500</v>
      </c>
      <c r="L201" s="170">
        <v>500</v>
      </c>
      <c r="M201" s="171">
        <v>500</v>
      </c>
      <c r="N201" s="170"/>
      <c r="O201" s="177" t="s">
        <v>1523</v>
      </c>
      <c r="P201" s="162" t="s">
        <v>1604</v>
      </c>
      <c r="Q201" s="176"/>
      <c r="R201" s="174"/>
      <c r="S201" s="179"/>
      <c r="T201" s="162" t="s">
        <v>28</v>
      </c>
      <c r="U201" s="161" t="s">
        <v>16</v>
      </c>
      <c r="V201" s="174">
        <v>2484</v>
      </c>
      <c r="W201" s="180" t="s">
        <v>1921</v>
      </c>
      <c r="X201" s="185">
        <v>45017</v>
      </c>
      <c r="Y201" s="187">
        <v>45035.696932870371</v>
      </c>
    </row>
    <row r="202" spans="1:25">
      <c r="A202" s="167" t="s">
        <v>110</v>
      </c>
      <c r="B202" s="162" t="s">
        <v>1555</v>
      </c>
      <c r="C202" s="163" t="s">
        <v>1923</v>
      </c>
      <c r="D202" s="162" t="s">
        <v>1604</v>
      </c>
      <c r="E202" s="161" t="s">
        <v>1613</v>
      </c>
      <c r="F202" s="162" t="s">
        <v>1614</v>
      </c>
      <c r="G202" s="161"/>
      <c r="H202" s="215">
        <v>1</v>
      </c>
      <c r="I202" s="171"/>
      <c r="J202" s="173">
        <v>0.26</v>
      </c>
      <c r="K202" s="172"/>
      <c r="L202" s="173">
        <v>0.26</v>
      </c>
      <c r="M202" s="171">
        <v>0.26</v>
      </c>
      <c r="N202" s="170"/>
      <c r="O202" s="177" t="s">
        <v>76</v>
      </c>
      <c r="P202" s="162" t="s">
        <v>1591</v>
      </c>
      <c r="Q202" s="176"/>
      <c r="R202" s="174"/>
      <c r="S202" s="179"/>
      <c r="T202" s="162" t="s">
        <v>24</v>
      </c>
      <c r="U202" s="161" t="s">
        <v>1615</v>
      </c>
      <c r="V202" s="174">
        <v>2077</v>
      </c>
      <c r="W202" s="180"/>
      <c r="X202" s="185" t="s">
        <v>259</v>
      </c>
      <c r="Y202" s="187">
        <v>44830.480381944442</v>
      </c>
    </row>
    <row r="203" spans="1:25">
      <c r="A203" s="167" t="s">
        <v>77</v>
      </c>
      <c r="B203" s="162" t="s">
        <v>1599</v>
      </c>
      <c r="C203" s="163" t="s">
        <v>1924</v>
      </c>
      <c r="D203" s="162" t="s">
        <v>1925</v>
      </c>
      <c r="E203" s="161" t="s">
        <v>1631</v>
      </c>
      <c r="F203" s="162" t="s">
        <v>1614</v>
      </c>
      <c r="G203" s="161"/>
      <c r="H203" s="214">
        <v>1</v>
      </c>
      <c r="I203" s="171">
        <v>140</v>
      </c>
      <c r="J203" s="170">
        <v>140</v>
      </c>
      <c r="K203" s="172">
        <v>140</v>
      </c>
      <c r="L203" s="170">
        <v>140</v>
      </c>
      <c r="M203" s="171">
        <v>140</v>
      </c>
      <c r="N203" s="170"/>
      <c r="O203" s="177" t="s">
        <v>1523</v>
      </c>
      <c r="P203" s="162" t="s">
        <v>1620</v>
      </c>
      <c r="Q203" s="176">
        <v>46082</v>
      </c>
      <c r="R203" s="174">
        <v>2051</v>
      </c>
      <c r="S203" s="179"/>
      <c r="T203" s="162" t="s">
        <v>28</v>
      </c>
      <c r="U203" s="161" t="s">
        <v>1615</v>
      </c>
      <c r="V203" s="174">
        <v>2294</v>
      </c>
      <c r="W203" s="180" t="s">
        <v>1926</v>
      </c>
      <c r="X203" s="185">
        <v>45069</v>
      </c>
      <c r="Y203" s="187">
        <v>45012.633796296293</v>
      </c>
    </row>
    <row r="204" spans="1:25">
      <c r="A204" s="167" t="s">
        <v>45</v>
      </c>
      <c r="B204" s="162" t="s">
        <v>1599</v>
      </c>
      <c r="C204" s="163" t="s">
        <v>1927</v>
      </c>
      <c r="D204" s="162" t="s">
        <v>1928</v>
      </c>
      <c r="E204" s="161" t="s">
        <v>1602</v>
      </c>
      <c r="F204" s="162" t="s">
        <v>1603</v>
      </c>
      <c r="G204" s="161"/>
      <c r="H204" s="215">
        <v>1</v>
      </c>
      <c r="I204" s="171">
        <v>300</v>
      </c>
      <c r="J204" s="173">
        <v>300</v>
      </c>
      <c r="K204" s="172">
        <v>300</v>
      </c>
      <c r="L204" s="173">
        <v>300</v>
      </c>
      <c r="M204" s="171">
        <v>300</v>
      </c>
      <c r="N204" s="170">
        <v>0</v>
      </c>
      <c r="O204" s="177" t="s">
        <v>1523</v>
      </c>
      <c r="P204" s="162" t="s">
        <v>1604</v>
      </c>
      <c r="Q204" s="176"/>
      <c r="R204" s="174"/>
      <c r="S204" s="179"/>
      <c r="T204" s="162" t="s">
        <v>28</v>
      </c>
      <c r="U204" s="161" t="s">
        <v>19</v>
      </c>
      <c r="V204" s="174">
        <v>2378</v>
      </c>
      <c r="W204" s="180" t="s">
        <v>1929</v>
      </c>
      <c r="X204" s="185">
        <v>45017</v>
      </c>
      <c r="Y204" s="187">
        <v>44931.519513888888</v>
      </c>
    </row>
    <row r="205" spans="1:25">
      <c r="A205" s="220" t="s">
        <v>45</v>
      </c>
      <c r="B205" s="221" t="s">
        <v>1599</v>
      </c>
      <c r="C205" s="222" t="s">
        <v>3861</v>
      </c>
      <c r="D205" s="221" t="s">
        <v>3860</v>
      </c>
      <c r="E205" s="223" t="s">
        <v>1602</v>
      </c>
      <c r="F205" s="224" t="s">
        <v>20</v>
      </c>
      <c r="G205" s="161"/>
      <c r="H205" s="214">
        <v>1</v>
      </c>
      <c r="I205" s="171"/>
      <c r="J205" s="170">
        <v>200</v>
      </c>
      <c r="K205" s="172"/>
      <c r="L205" s="170">
        <v>200</v>
      </c>
      <c r="M205" s="171">
        <v>200</v>
      </c>
      <c r="N205" s="170">
        <v>0</v>
      </c>
      <c r="O205" s="230" t="s">
        <v>1523</v>
      </c>
      <c r="P205" s="221" t="s">
        <v>1604</v>
      </c>
      <c r="Q205" s="231"/>
      <c r="R205" s="232"/>
      <c r="S205" s="233"/>
      <c r="T205" s="224" t="s">
        <v>28</v>
      </c>
      <c r="U205" s="223" t="s">
        <v>19</v>
      </c>
      <c r="V205" s="232">
        <v>2536</v>
      </c>
      <c r="W205" s="234" t="s">
        <v>3929</v>
      </c>
      <c r="X205" s="235"/>
      <c r="Y205" s="236">
        <v>45111.380671296298</v>
      </c>
    </row>
    <row r="206" spans="1:25">
      <c r="A206" s="167" t="s">
        <v>45</v>
      </c>
      <c r="B206" s="162" t="s">
        <v>1599</v>
      </c>
      <c r="C206" s="163" t="s">
        <v>1930</v>
      </c>
      <c r="D206" s="162" t="s">
        <v>1931</v>
      </c>
      <c r="E206" s="161" t="s">
        <v>1625</v>
      </c>
      <c r="F206" s="162" t="s">
        <v>1609</v>
      </c>
      <c r="G206" s="161"/>
      <c r="H206" s="215">
        <v>25</v>
      </c>
      <c r="I206" s="171">
        <v>6</v>
      </c>
      <c r="J206" s="173">
        <v>6</v>
      </c>
      <c r="K206" s="172">
        <v>150</v>
      </c>
      <c r="L206" s="173">
        <v>150</v>
      </c>
      <c r="M206" s="171">
        <v>150</v>
      </c>
      <c r="N206" s="170"/>
      <c r="O206" s="177" t="s">
        <v>1523</v>
      </c>
      <c r="P206" s="162" t="s">
        <v>1620</v>
      </c>
      <c r="Q206" s="176"/>
      <c r="R206" s="174"/>
      <c r="S206" s="179"/>
      <c r="T206" s="162" t="s">
        <v>28</v>
      </c>
      <c r="U206" s="161" t="s">
        <v>16</v>
      </c>
      <c r="V206" s="174">
        <v>2218</v>
      </c>
      <c r="W206" s="180" t="s">
        <v>1933</v>
      </c>
      <c r="X206" s="185">
        <v>45017</v>
      </c>
      <c r="Y206" s="187">
        <v>45027.677384259259</v>
      </c>
    </row>
    <row r="207" spans="1:25">
      <c r="A207" s="167" t="s">
        <v>45</v>
      </c>
      <c r="B207" s="162" t="s">
        <v>1599</v>
      </c>
      <c r="C207" s="163" t="s">
        <v>1930</v>
      </c>
      <c r="D207" s="162" t="s">
        <v>1931</v>
      </c>
      <c r="E207" s="161" t="s">
        <v>1602</v>
      </c>
      <c r="F207" s="162" t="s">
        <v>1603</v>
      </c>
      <c r="G207" s="161"/>
      <c r="H207" s="214">
        <v>1</v>
      </c>
      <c r="I207" s="171">
        <v>25</v>
      </c>
      <c r="J207" s="170">
        <v>100</v>
      </c>
      <c r="K207" s="172">
        <v>25</v>
      </c>
      <c r="L207" s="170">
        <v>100</v>
      </c>
      <c r="M207" s="171" t="s">
        <v>1932</v>
      </c>
      <c r="N207" s="170">
        <v>100</v>
      </c>
      <c r="O207" s="177" t="s">
        <v>1523</v>
      </c>
      <c r="P207" s="162" t="s">
        <v>1619</v>
      </c>
      <c r="Q207" s="176"/>
      <c r="R207" s="174"/>
      <c r="S207" s="179"/>
      <c r="T207" s="162" t="s">
        <v>28</v>
      </c>
      <c r="U207" s="161" t="s">
        <v>19</v>
      </c>
      <c r="V207" s="174">
        <v>2218</v>
      </c>
      <c r="W207" s="180" t="s">
        <v>1933</v>
      </c>
      <c r="X207" s="185">
        <v>45017</v>
      </c>
      <c r="Y207" s="187">
        <v>45027.677384259259</v>
      </c>
    </row>
    <row r="208" spans="1:25">
      <c r="A208" s="220" t="s">
        <v>45</v>
      </c>
      <c r="B208" s="221" t="s">
        <v>1599</v>
      </c>
      <c r="C208" s="222" t="s">
        <v>3921</v>
      </c>
      <c r="D208" s="221" t="s">
        <v>3860</v>
      </c>
      <c r="E208" s="223" t="s">
        <v>1625</v>
      </c>
      <c r="F208" s="224" t="s">
        <v>16</v>
      </c>
      <c r="G208" s="161"/>
      <c r="H208" s="215">
        <v>25</v>
      </c>
      <c r="I208" s="171"/>
      <c r="J208" s="173">
        <v>7.8</v>
      </c>
      <c r="K208" s="172"/>
      <c r="L208" s="173">
        <v>195</v>
      </c>
      <c r="M208" s="171">
        <v>195</v>
      </c>
      <c r="N208" s="170"/>
      <c r="O208" s="230" t="s">
        <v>1523</v>
      </c>
      <c r="P208" s="221" t="s">
        <v>1604</v>
      </c>
      <c r="Q208" s="231"/>
      <c r="R208" s="232"/>
      <c r="S208" s="233"/>
      <c r="T208" s="224" t="s">
        <v>28</v>
      </c>
      <c r="U208" s="223" t="s">
        <v>16</v>
      </c>
      <c r="V208" s="232">
        <v>2571</v>
      </c>
      <c r="W208" s="234" t="s">
        <v>3962</v>
      </c>
      <c r="X208" s="235"/>
      <c r="Y208" s="236">
        <v>45112.443854166668</v>
      </c>
    </row>
    <row r="209" spans="1:25">
      <c r="A209" s="220" t="s">
        <v>45</v>
      </c>
      <c r="B209" s="221" t="s">
        <v>1599</v>
      </c>
      <c r="C209" s="222" t="s">
        <v>3859</v>
      </c>
      <c r="D209" s="221" t="s">
        <v>3860</v>
      </c>
      <c r="E209" s="223" t="s">
        <v>1625</v>
      </c>
      <c r="F209" s="224" t="s">
        <v>16</v>
      </c>
      <c r="G209" s="161"/>
      <c r="H209" s="214">
        <v>96</v>
      </c>
      <c r="I209" s="171"/>
      <c r="J209" s="170">
        <v>7.81</v>
      </c>
      <c r="K209" s="172"/>
      <c r="L209" s="170">
        <v>749.76</v>
      </c>
      <c r="M209" s="171">
        <v>749.76</v>
      </c>
      <c r="N209" s="170"/>
      <c r="O209" s="230" t="s">
        <v>1523</v>
      </c>
      <c r="P209" s="221" t="s">
        <v>1604</v>
      </c>
      <c r="Q209" s="231"/>
      <c r="R209" s="232"/>
      <c r="S209" s="233"/>
      <c r="T209" s="224" t="s">
        <v>28</v>
      </c>
      <c r="U209" s="223" t="s">
        <v>16</v>
      </c>
      <c r="V209" s="232">
        <v>2535</v>
      </c>
      <c r="W209" s="234" t="s">
        <v>3929</v>
      </c>
      <c r="X209" s="235"/>
      <c r="Y209" s="236">
        <v>45111.378391203703</v>
      </c>
    </row>
    <row r="210" spans="1:25">
      <c r="A210" s="220" t="s">
        <v>45</v>
      </c>
      <c r="B210" s="221" t="s">
        <v>1599</v>
      </c>
      <c r="C210" s="222" t="s">
        <v>3922</v>
      </c>
      <c r="D210" s="221" t="s">
        <v>1931</v>
      </c>
      <c r="E210" s="223" t="s">
        <v>1602</v>
      </c>
      <c r="F210" s="224" t="s">
        <v>16</v>
      </c>
      <c r="G210" s="161"/>
      <c r="H210" s="215">
        <v>1</v>
      </c>
      <c r="I210" s="171"/>
      <c r="J210" s="173">
        <v>75</v>
      </c>
      <c r="K210" s="172"/>
      <c r="L210" s="173">
        <v>75</v>
      </c>
      <c r="M210" s="171">
        <v>75</v>
      </c>
      <c r="N210" s="170">
        <v>0</v>
      </c>
      <c r="O210" s="230" t="s">
        <v>1523</v>
      </c>
      <c r="P210" s="221" t="s">
        <v>1604</v>
      </c>
      <c r="Q210" s="231"/>
      <c r="R210" s="232"/>
      <c r="S210" s="233"/>
      <c r="T210" s="224" t="s">
        <v>28</v>
      </c>
      <c r="U210" s="223" t="s">
        <v>19</v>
      </c>
      <c r="V210" s="232">
        <v>2572</v>
      </c>
      <c r="W210" s="234" t="s">
        <v>3962</v>
      </c>
      <c r="X210" s="235"/>
      <c r="Y210" s="236">
        <v>45112.447638888887</v>
      </c>
    </row>
    <row r="211" spans="1:25">
      <c r="A211" s="167" t="s">
        <v>45</v>
      </c>
      <c r="B211" s="162" t="s">
        <v>1555</v>
      </c>
      <c r="C211" s="163" t="s">
        <v>1934</v>
      </c>
      <c r="D211" s="162" t="s">
        <v>396</v>
      </c>
      <c r="E211" s="161" t="s">
        <v>1700</v>
      </c>
      <c r="F211" s="162" t="s">
        <v>1658</v>
      </c>
      <c r="G211" s="161" t="s">
        <v>1935</v>
      </c>
      <c r="H211" s="214">
        <v>1</v>
      </c>
      <c r="I211" s="171">
        <v>0</v>
      </c>
      <c r="J211" s="170">
        <v>19</v>
      </c>
      <c r="K211" s="172">
        <v>0</v>
      </c>
      <c r="L211" s="170">
        <v>19</v>
      </c>
      <c r="M211" s="171">
        <v>19</v>
      </c>
      <c r="N211" s="170"/>
      <c r="O211" s="177" t="s">
        <v>76</v>
      </c>
      <c r="P211" s="162" t="s">
        <v>1591</v>
      </c>
      <c r="Q211" s="176"/>
      <c r="R211" s="174">
        <v>2036</v>
      </c>
      <c r="S211" s="179"/>
      <c r="T211" s="162" t="s">
        <v>24</v>
      </c>
      <c r="U211" s="161" t="s">
        <v>17</v>
      </c>
      <c r="V211" s="174">
        <v>1032</v>
      </c>
      <c r="W211" s="180"/>
      <c r="X211" s="185">
        <v>44621</v>
      </c>
      <c r="Y211" s="187">
        <v>45021.666724537034</v>
      </c>
    </row>
    <row r="212" spans="1:25">
      <c r="A212" s="167" t="s">
        <v>45</v>
      </c>
      <c r="B212" s="162" t="s">
        <v>1599</v>
      </c>
      <c r="C212" s="163" t="s">
        <v>1936</v>
      </c>
      <c r="D212" s="162" t="s">
        <v>1845</v>
      </c>
      <c r="E212" s="161" t="s">
        <v>1625</v>
      </c>
      <c r="F212" s="162" t="s">
        <v>1609</v>
      </c>
      <c r="G212" s="161"/>
      <c r="H212" s="215">
        <v>70</v>
      </c>
      <c r="I212" s="171"/>
      <c r="J212" s="173">
        <v>6.2</v>
      </c>
      <c r="K212" s="172"/>
      <c r="L212" s="173">
        <v>434</v>
      </c>
      <c r="M212" s="171">
        <v>434</v>
      </c>
      <c r="N212" s="170"/>
      <c r="O212" s="177" t="s">
        <v>1523</v>
      </c>
      <c r="P212" s="162" t="s">
        <v>1604</v>
      </c>
      <c r="Q212" s="176"/>
      <c r="R212" s="174"/>
      <c r="S212" s="179"/>
      <c r="T212" s="162" t="s">
        <v>28</v>
      </c>
      <c r="U212" s="161" t="s">
        <v>16</v>
      </c>
      <c r="V212" s="174">
        <v>2006</v>
      </c>
      <c r="W212" s="180" t="s">
        <v>3968</v>
      </c>
      <c r="X212" s="185">
        <v>45017</v>
      </c>
      <c r="Y212" s="187">
        <v>45099.699664351851</v>
      </c>
    </row>
    <row r="213" spans="1:25">
      <c r="A213" s="167" t="s">
        <v>45</v>
      </c>
      <c r="B213" s="162" t="s">
        <v>1555</v>
      </c>
      <c r="C213" s="163" t="s">
        <v>1937</v>
      </c>
      <c r="D213" s="162" t="s">
        <v>1938</v>
      </c>
      <c r="E213" s="161" t="s">
        <v>1700</v>
      </c>
      <c r="F213" s="162" t="s">
        <v>1658</v>
      </c>
      <c r="G213" s="161" t="s">
        <v>1939</v>
      </c>
      <c r="H213" s="214">
        <v>2</v>
      </c>
      <c r="I213" s="171">
        <v>5.6</v>
      </c>
      <c r="J213" s="170">
        <v>7</v>
      </c>
      <c r="K213" s="172">
        <v>11.2</v>
      </c>
      <c r="L213" s="170">
        <v>14</v>
      </c>
      <c r="M213" s="171">
        <v>14</v>
      </c>
      <c r="N213" s="170">
        <v>0</v>
      </c>
      <c r="O213" s="177" t="s">
        <v>76</v>
      </c>
      <c r="P213" s="162" t="s">
        <v>1591</v>
      </c>
      <c r="Q213" s="176"/>
      <c r="R213" s="174">
        <v>2060</v>
      </c>
      <c r="S213" s="179"/>
      <c r="T213" s="162" t="s">
        <v>24</v>
      </c>
      <c r="U213" s="161" t="s">
        <v>17</v>
      </c>
      <c r="V213" s="174">
        <v>1033</v>
      </c>
      <c r="W213" s="180"/>
      <c r="X213" s="185">
        <v>44805</v>
      </c>
      <c r="Y213" s="187">
        <v>44830.509074074071</v>
      </c>
    </row>
    <row r="214" spans="1:25">
      <c r="A214" s="167" t="s">
        <v>45</v>
      </c>
      <c r="B214" s="162" t="s">
        <v>1555</v>
      </c>
      <c r="C214" s="163" t="s">
        <v>1937</v>
      </c>
      <c r="D214" s="162" t="s">
        <v>1938</v>
      </c>
      <c r="E214" s="161" t="s">
        <v>1700</v>
      </c>
      <c r="F214" s="162" t="s">
        <v>1658</v>
      </c>
      <c r="G214" s="161" t="s">
        <v>1939</v>
      </c>
      <c r="H214" s="215">
        <v>1</v>
      </c>
      <c r="I214" s="171">
        <v>16</v>
      </c>
      <c r="J214" s="173">
        <v>20</v>
      </c>
      <c r="K214" s="172">
        <v>16</v>
      </c>
      <c r="L214" s="173">
        <v>20</v>
      </c>
      <c r="M214" s="171">
        <v>20</v>
      </c>
      <c r="N214" s="170">
        <v>0</v>
      </c>
      <c r="O214" s="177" t="s">
        <v>76</v>
      </c>
      <c r="P214" s="162" t="s">
        <v>1591</v>
      </c>
      <c r="Q214" s="176"/>
      <c r="R214" s="174">
        <v>2060</v>
      </c>
      <c r="S214" s="179"/>
      <c r="T214" s="162" t="s">
        <v>24</v>
      </c>
      <c r="U214" s="161" t="s">
        <v>17</v>
      </c>
      <c r="V214" s="174">
        <v>1033</v>
      </c>
      <c r="W214" s="180"/>
      <c r="X214" s="185">
        <v>44805</v>
      </c>
      <c r="Y214" s="187">
        <v>44830.509074074071</v>
      </c>
    </row>
    <row r="215" spans="1:25">
      <c r="A215" s="167" t="s">
        <v>105</v>
      </c>
      <c r="B215" s="162" t="s">
        <v>1555</v>
      </c>
      <c r="C215" s="163" t="s">
        <v>1940</v>
      </c>
      <c r="D215" s="162" t="s">
        <v>1735</v>
      </c>
      <c r="E215" s="161" t="s">
        <v>1700</v>
      </c>
      <c r="F215" s="162" t="s">
        <v>1658</v>
      </c>
      <c r="G215" s="161" t="s">
        <v>1941</v>
      </c>
      <c r="H215" s="214">
        <v>1</v>
      </c>
      <c r="I215" s="171">
        <v>12.2</v>
      </c>
      <c r="J215" s="170">
        <v>12.2</v>
      </c>
      <c r="K215" s="172">
        <v>12.2</v>
      </c>
      <c r="L215" s="170">
        <v>12.2</v>
      </c>
      <c r="M215" s="171">
        <v>12.2</v>
      </c>
      <c r="N215" s="170"/>
      <c r="O215" s="177" t="s">
        <v>76</v>
      </c>
      <c r="P215" s="162" t="s">
        <v>1591</v>
      </c>
      <c r="Q215" s="176"/>
      <c r="R215" s="174">
        <v>2100</v>
      </c>
      <c r="S215" s="179"/>
      <c r="T215" s="162" t="s">
        <v>24</v>
      </c>
      <c r="U215" s="161" t="s">
        <v>17</v>
      </c>
      <c r="V215" s="174">
        <v>1034</v>
      </c>
      <c r="W215" s="180"/>
      <c r="X215" s="185">
        <v>44621</v>
      </c>
      <c r="Y215" s="187">
        <v>45086.837002314816</v>
      </c>
    </row>
    <row r="216" spans="1:25">
      <c r="A216" s="167" t="s">
        <v>105</v>
      </c>
      <c r="B216" s="162" t="s">
        <v>1555</v>
      </c>
      <c r="C216" s="163" t="s">
        <v>1940</v>
      </c>
      <c r="D216" s="162" t="s">
        <v>1735</v>
      </c>
      <c r="E216" s="161" t="s">
        <v>1700</v>
      </c>
      <c r="F216" s="162" t="s">
        <v>1658</v>
      </c>
      <c r="G216" s="161"/>
      <c r="H216" s="215">
        <v>1</v>
      </c>
      <c r="I216" s="171">
        <v>2.2000000000000002</v>
      </c>
      <c r="J216" s="173">
        <v>2.2000000000000002</v>
      </c>
      <c r="K216" s="172">
        <v>2.2000000000000002</v>
      </c>
      <c r="L216" s="173">
        <v>2.2000000000000002</v>
      </c>
      <c r="M216" s="171">
        <v>2.2000000000000002</v>
      </c>
      <c r="N216" s="170"/>
      <c r="O216" s="177" t="s">
        <v>76</v>
      </c>
      <c r="P216" s="162" t="s">
        <v>1591</v>
      </c>
      <c r="Q216" s="176"/>
      <c r="R216" s="174">
        <v>2100</v>
      </c>
      <c r="S216" s="179"/>
      <c r="T216" s="162" t="s">
        <v>24</v>
      </c>
      <c r="U216" s="161" t="s">
        <v>17</v>
      </c>
      <c r="V216" s="174">
        <v>1034</v>
      </c>
      <c r="W216" s="180"/>
      <c r="X216" s="185">
        <v>44621</v>
      </c>
      <c r="Y216" s="187">
        <v>45086.837002314816</v>
      </c>
    </row>
    <row r="217" spans="1:25">
      <c r="A217" s="167" t="s">
        <v>77</v>
      </c>
      <c r="B217" s="162" t="s">
        <v>1555</v>
      </c>
      <c r="C217" s="163" t="s">
        <v>1942</v>
      </c>
      <c r="D217" s="162" t="s">
        <v>1943</v>
      </c>
      <c r="E217" s="161" t="s">
        <v>1739</v>
      </c>
      <c r="F217" s="162" t="s">
        <v>1740</v>
      </c>
      <c r="G217" s="161" t="s">
        <v>1944</v>
      </c>
      <c r="H217" s="214">
        <v>1</v>
      </c>
      <c r="I217" s="171"/>
      <c r="J217" s="170">
        <v>350</v>
      </c>
      <c r="K217" s="172"/>
      <c r="L217" s="170">
        <v>350</v>
      </c>
      <c r="M217" s="171">
        <v>350</v>
      </c>
      <c r="N217" s="170"/>
      <c r="O217" s="177" t="s">
        <v>76</v>
      </c>
      <c r="P217" s="162" t="s">
        <v>1619</v>
      </c>
      <c r="Q217" s="176"/>
      <c r="R217" s="174">
        <v>2028</v>
      </c>
      <c r="S217" s="179"/>
      <c r="T217" s="162" t="s">
        <v>24</v>
      </c>
      <c r="U217" s="161" t="s">
        <v>11</v>
      </c>
      <c r="V217" s="174">
        <v>1035</v>
      </c>
      <c r="W217" s="180"/>
      <c r="X217" s="185">
        <v>45069</v>
      </c>
      <c r="Y217" s="187">
        <v>45014.621550925927</v>
      </c>
    </row>
    <row r="218" spans="1:25">
      <c r="A218" s="167" t="s">
        <v>77</v>
      </c>
      <c r="B218" s="162" t="s">
        <v>1555</v>
      </c>
      <c r="C218" s="163" t="s">
        <v>1942</v>
      </c>
      <c r="D218" s="162" t="s">
        <v>1943</v>
      </c>
      <c r="E218" s="161" t="s">
        <v>1739</v>
      </c>
      <c r="F218" s="164" t="s">
        <v>1740</v>
      </c>
      <c r="G218" s="161" t="s">
        <v>1945</v>
      </c>
      <c r="H218" s="215">
        <v>1</v>
      </c>
      <c r="I218" s="171"/>
      <c r="J218" s="173">
        <v>350</v>
      </c>
      <c r="K218" s="172"/>
      <c r="L218" s="173">
        <v>350</v>
      </c>
      <c r="M218" s="171">
        <v>350</v>
      </c>
      <c r="N218" s="170"/>
      <c r="O218" s="177" t="s">
        <v>76</v>
      </c>
      <c r="P218" s="162" t="s">
        <v>1619</v>
      </c>
      <c r="Q218" s="176"/>
      <c r="R218" s="175">
        <v>2028</v>
      </c>
      <c r="S218" s="179"/>
      <c r="T218" s="164" t="s">
        <v>24</v>
      </c>
      <c r="U218" s="161" t="s">
        <v>11</v>
      </c>
      <c r="V218" s="175">
        <v>1035</v>
      </c>
      <c r="W218" s="181"/>
      <c r="X218" s="186">
        <v>45069</v>
      </c>
      <c r="Y218" s="187">
        <v>45014.621550925927</v>
      </c>
    </row>
    <row r="219" spans="1:25">
      <c r="A219" s="167" t="s">
        <v>77</v>
      </c>
      <c r="B219" s="162" t="s">
        <v>1555</v>
      </c>
      <c r="C219" s="163" t="s">
        <v>708</v>
      </c>
      <c r="D219" s="162" t="s">
        <v>709</v>
      </c>
      <c r="E219" s="161" t="s">
        <v>1946</v>
      </c>
      <c r="F219" s="162" t="s">
        <v>1740</v>
      </c>
      <c r="G219" s="161" t="s">
        <v>1947</v>
      </c>
      <c r="H219" s="214">
        <v>1</v>
      </c>
      <c r="I219" s="171"/>
      <c r="J219" s="170">
        <v>424</v>
      </c>
      <c r="K219" s="172"/>
      <c r="L219" s="170">
        <v>424</v>
      </c>
      <c r="M219" s="171">
        <v>424</v>
      </c>
      <c r="N219" s="170"/>
      <c r="O219" s="177" t="s">
        <v>76</v>
      </c>
      <c r="P219" s="162" t="s">
        <v>1619</v>
      </c>
      <c r="Q219" s="176"/>
      <c r="R219" s="174"/>
      <c r="S219" s="179"/>
      <c r="T219" s="162" t="s">
        <v>24</v>
      </c>
      <c r="U219" s="161" t="s">
        <v>11</v>
      </c>
      <c r="V219" s="174">
        <v>1036</v>
      </c>
      <c r="W219" s="180"/>
      <c r="X219" s="185">
        <v>45017</v>
      </c>
      <c r="Y219" s="187">
        <v>45019.404363425929</v>
      </c>
    </row>
    <row r="220" spans="1:25">
      <c r="A220" s="167" t="s">
        <v>77</v>
      </c>
      <c r="B220" s="162" t="s">
        <v>1555</v>
      </c>
      <c r="C220" s="163" t="s">
        <v>708</v>
      </c>
      <c r="D220" s="162" t="s">
        <v>709</v>
      </c>
      <c r="E220" s="161" t="s">
        <v>1946</v>
      </c>
      <c r="F220" s="164" t="s">
        <v>1740</v>
      </c>
      <c r="G220" s="161" t="s">
        <v>1948</v>
      </c>
      <c r="H220" s="215">
        <v>1</v>
      </c>
      <c r="I220" s="171"/>
      <c r="J220" s="173">
        <v>420</v>
      </c>
      <c r="K220" s="172"/>
      <c r="L220" s="173">
        <v>420</v>
      </c>
      <c r="M220" s="171">
        <v>420</v>
      </c>
      <c r="N220" s="170"/>
      <c r="O220" s="177" t="s">
        <v>76</v>
      </c>
      <c r="P220" s="162" t="s">
        <v>1619</v>
      </c>
      <c r="Q220" s="176">
        <v>45292</v>
      </c>
      <c r="R220" s="175"/>
      <c r="S220" s="179"/>
      <c r="T220" s="164" t="s">
        <v>24</v>
      </c>
      <c r="U220" s="161" t="s">
        <v>11</v>
      </c>
      <c r="V220" s="175">
        <v>1036</v>
      </c>
      <c r="W220" s="181"/>
      <c r="X220" s="185">
        <v>45017</v>
      </c>
      <c r="Y220" s="187">
        <v>45019.404363425929</v>
      </c>
    </row>
    <row r="221" spans="1:25">
      <c r="A221" s="167" t="s">
        <v>77</v>
      </c>
      <c r="B221" s="162" t="s">
        <v>1599</v>
      </c>
      <c r="C221" s="163" t="s">
        <v>1949</v>
      </c>
      <c r="D221" s="162" t="s">
        <v>326</v>
      </c>
      <c r="E221" s="161" t="s">
        <v>1602</v>
      </c>
      <c r="F221" s="164" t="s">
        <v>1603</v>
      </c>
      <c r="G221" s="161"/>
      <c r="H221" s="214">
        <v>1</v>
      </c>
      <c r="I221" s="171">
        <v>200</v>
      </c>
      <c r="J221" s="170">
        <v>200</v>
      </c>
      <c r="K221" s="172">
        <v>200</v>
      </c>
      <c r="L221" s="170">
        <v>200</v>
      </c>
      <c r="M221" s="171">
        <v>200</v>
      </c>
      <c r="N221" s="170">
        <v>0</v>
      </c>
      <c r="O221" s="177" t="s">
        <v>1523</v>
      </c>
      <c r="P221" s="162" t="s">
        <v>1604</v>
      </c>
      <c r="Q221" s="176"/>
      <c r="R221" s="175"/>
      <c r="S221" s="179"/>
      <c r="T221" s="164" t="s">
        <v>28</v>
      </c>
      <c r="U221" s="161" t="s">
        <v>19</v>
      </c>
      <c r="V221" s="175">
        <v>2502</v>
      </c>
      <c r="W221" s="181" t="s">
        <v>1950</v>
      </c>
      <c r="X221" s="185">
        <v>45017</v>
      </c>
      <c r="Y221" s="187">
        <v>45036.313333333332</v>
      </c>
    </row>
    <row r="222" spans="1:25">
      <c r="A222" s="167" t="s">
        <v>77</v>
      </c>
      <c r="B222" s="162" t="s">
        <v>1599</v>
      </c>
      <c r="C222" s="163" t="s">
        <v>1951</v>
      </c>
      <c r="D222" s="162" t="s">
        <v>326</v>
      </c>
      <c r="E222" s="161" t="s">
        <v>1613</v>
      </c>
      <c r="F222" s="162" t="s">
        <v>1614</v>
      </c>
      <c r="G222" s="161"/>
      <c r="H222" s="215">
        <v>1</v>
      </c>
      <c r="I222" s="171">
        <v>200</v>
      </c>
      <c r="J222" s="173">
        <v>200</v>
      </c>
      <c r="K222" s="172">
        <v>200</v>
      </c>
      <c r="L222" s="173">
        <v>200</v>
      </c>
      <c r="M222" s="171">
        <v>200</v>
      </c>
      <c r="N222" s="170"/>
      <c r="O222" s="177" t="s">
        <v>1523</v>
      </c>
      <c r="P222" s="162" t="s">
        <v>1604</v>
      </c>
      <c r="Q222" s="176"/>
      <c r="R222" s="174"/>
      <c r="S222" s="179"/>
      <c r="T222" s="162" t="s">
        <v>28</v>
      </c>
      <c r="U222" s="161" t="s">
        <v>1615</v>
      </c>
      <c r="V222" s="174">
        <v>2501</v>
      </c>
      <c r="W222" s="180" t="s">
        <v>1950</v>
      </c>
      <c r="X222" s="185">
        <v>45017</v>
      </c>
      <c r="Y222" s="187">
        <v>45036.309328703705</v>
      </c>
    </row>
    <row r="223" spans="1:25">
      <c r="A223" s="167" t="s">
        <v>77</v>
      </c>
      <c r="B223" s="162" t="s">
        <v>1599</v>
      </c>
      <c r="C223" s="163" t="s">
        <v>1952</v>
      </c>
      <c r="D223" s="162" t="s">
        <v>1953</v>
      </c>
      <c r="E223" s="161" t="s">
        <v>1625</v>
      </c>
      <c r="F223" s="162" t="s">
        <v>1609</v>
      </c>
      <c r="G223" s="161"/>
      <c r="H223" s="214">
        <v>1</v>
      </c>
      <c r="I223" s="171">
        <v>450</v>
      </c>
      <c r="J223" s="170">
        <v>450</v>
      </c>
      <c r="K223" s="172">
        <v>450</v>
      </c>
      <c r="L223" s="170">
        <v>450</v>
      </c>
      <c r="M223" s="171">
        <v>450</v>
      </c>
      <c r="N223" s="170"/>
      <c r="O223" s="177" t="s">
        <v>1523</v>
      </c>
      <c r="P223" s="162" t="s">
        <v>1604</v>
      </c>
      <c r="Q223" s="176"/>
      <c r="R223" s="174"/>
      <c r="S223" s="179"/>
      <c r="T223" s="162" t="s">
        <v>28</v>
      </c>
      <c r="U223" s="161" t="s">
        <v>16</v>
      </c>
      <c r="V223" s="174">
        <v>2275</v>
      </c>
      <c r="W223" s="180" t="s">
        <v>1954</v>
      </c>
      <c r="X223" s="185">
        <v>45017</v>
      </c>
      <c r="Y223" s="187">
        <v>44944.528796296298</v>
      </c>
    </row>
    <row r="224" spans="1:25">
      <c r="A224" s="167" t="s">
        <v>77</v>
      </c>
      <c r="B224" s="162" t="s">
        <v>1555</v>
      </c>
      <c r="C224" s="163" t="s">
        <v>1955</v>
      </c>
      <c r="D224" s="162" t="s">
        <v>295</v>
      </c>
      <c r="E224" s="161" t="s">
        <v>1596</v>
      </c>
      <c r="F224" s="164" t="s">
        <v>1627</v>
      </c>
      <c r="G224" s="161"/>
      <c r="H224" s="215">
        <v>1</v>
      </c>
      <c r="I224" s="171"/>
      <c r="J224" s="173">
        <v>0.85</v>
      </c>
      <c r="K224" s="172"/>
      <c r="L224" s="173">
        <v>0.85</v>
      </c>
      <c r="M224" s="171">
        <v>0.85</v>
      </c>
      <c r="N224" s="170"/>
      <c r="O224" s="177" t="s">
        <v>76</v>
      </c>
      <c r="P224" s="162" t="s">
        <v>1591</v>
      </c>
      <c r="Q224" s="176"/>
      <c r="R224" s="175">
        <v>2042</v>
      </c>
      <c r="S224" s="179"/>
      <c r="T224" s="164" t="s">
        <v>24</v>
      </c>
      <c r="U224" s="161" t="s">
        <v>18</v>
      </c>
      <c r="V224" s="175">
        <v>2160</v>
      </c>
      <c r="W224" s="181"/>
      <c r="X224" s="185" t="s">
        <v>259</v>
      </c>
      <c r="Y224" s="187">
        <v>44981.421979166669</v>
      </c>
    </row>
    <row r="225" spans="1:25">
      <c r="A225" s="167" t="s">
        <v>77</v>
      </c>
      <c r="B225" s="162" t="s">
        <v>1599</v>
      </c>
      <c r="C225" s="163" t="s">
        <v>1956</v>
      </c>
      <c r="D225" s="162" t="s">
        <v>1957</v>
      </c>
      <c r="E225" s="161" t="s">
        <v>1602</v>
      </c>
      <c r="F225" s="164" t="s">
        <v>1603</v>
      </c>
      <c r="G225" s="161"/>
      <c r="H225" s="214">
        <v>1</v>
      </c>
      <c r="I225" s="171">
        <v>500</v>
      </c>
      <c r="J225" s="170">
        <v>500</v>
      </c>
      <c r="K225" s="172">
        <v>500</v>
      </c>
      <c r="L225" s="170">
        <v>500</v>
      </c>
      <c r="M225" s="171">
        <v>500</v>
      </c>
      <c r="N225" s="170">
        <v>0</v>
      </c>
      <c r="O225" s="177" t="s">
        <v>1523</v>
      </c>
      <c r="P225" s="162" t="s">
        <v>1604</v>
      </c>
      <c r="Q225" s="176"/>
      <c r="R225" s="175"/>
      <c r="S225" s="179"/>
      <c r="T225" s="164" t="s">
        <v>28</v>
      </c>
      <c r="U225" s="161" t="s">
        <v>19</v>
      </c>
      <c r="V225" s="175">
        <v>2500</v>
      </c>
      <c r="W225" s="181" t="s">
        <v>1958</v>
      </c>
      <c r="X225" s="185">
        <v>45017</v>
      </c>
      <c r="Y225" s="187">
        <v>45036.305347222224</v>
      </c>
    </row>
    <row r="226" spans="1:25">
      <c r="A226" s="167" t="s">
        <v>77</v>
      </c>
      <c r="B226" s="162" t="s">
        <v>1599</v>
      </c>
      <c r="C226" s="163" t="s">
        <v>1959</v>
      </c>
      <c r="D226" s="162" t="s">
        <v>1957</v>
      </c>
      <c r="E226" s="161" t="s">
        <v>1613</v>
      </c>
      <c r="F226" s="162" t="s">
        <v>1614</v>
      </c>
      <c r="G226" s="161"/>
      <c r="H226" s="215">
        <v>1</v>
      </c>
      <c r="I226" s="171">
        <v>500</v>
      </c>
      <c r="J226" s="173">
        <v>500</v>
      </c>
      <c r="K226" s="172">
        <v>500</v>
      </c>
      <c r="L226" s="173">
        <v>500</v>
      </c>
      <c r="M226" s="171">
        <v>500</v>
      </c>
      <c r="N226" s="170"/>
      <c r="O226" s="177" t="s">
        <v>1523</v>
      </c>
      <c r="P226" s="162" t="s">
        <v>1604</v>
      </c>
      <c r="Q226" s="176"/>
      <c r="R226" s="174"/>
      <c r="S226" s="179"/>
      <c r="T226" s="162" t="s">
        <v>28</v>
      </c>
      <c r="U226" s="161" t="s">
        <v>1615</v>
      </c>
      <c r="V226" s="174">
        <v>2499</v>
      </c>
      <c r="W226" s="180" t="s">
        <v>1958</v>
      </c>
      <c r="X226" s="185">
        <v>45017</v>
      </c>
      <c r="Y226" s="187">
        <v>45036.302152777775</v>
      </c>
    </row>
    <row r="227" spans="1:25">
      <c r="A227" s="167" t="s">
        <v>110</v>
      </c>
      <c r="B227" s="162" t="s">
        <v>1599</v>
      </c>
      <c r="C227" s="163" t="s">
        <v>1960</v>
      </c>
      <c r="D227" s="162" t="s">
        <v>1961</v>
      </c>
      <c r="E227" s="161" t="s">
        <v>1631</v>
      </c>
      <c r="F227" s="162" t="s">
        <v>1614</v>
      </c>
      <c r="G227" s="161"/>
      <c r="H227" s="214">
        <v>1</v>
      </c>
      <c r="I227" s="171">
        <v>0</v>
      </c>
      <c r="J227" s="170">
        <v>205</v>
      </c>
      <c r="K227" s="172">
        <v>0</v>
      </c>
      <c r="L227" s="170">
        <v>205</v>
      </c>
      <c r="M227" s="171">
        <v>205</v>
      </c>
      <c r="N227" s="170">
        <v>0</v>
      </c>
      <c r="O227" s="177" t="s">
        <v>1523</v>
      </c>
      <c r="P227" s="162" t="s">
        <v>1620</v>
      </c>
      <c r="Q227" s="176"/>
      <c r="R227" s="174">
        <v>2054</v>
      </c>
      <c r="S227" s="179"/>
      <c r="T227" s="162" t="s">
        <v>28</v>
      </c>
      <c r="U227" s="161" t="s">
        <v>1615</v>
      </c>
      <c r="V227" s="174">
        <v>1972</v>
      </c>
      <c r="W227" s="180"/>
      <c r="X227" s="185">
        <v>45069</v>
      </c>
      <c r="Y227" s="187">
        <v>45097.561689814815</v>
      </c>
    </row>
    <row r="228" spans="1:25">
      <c r="A228" s="167" t="s">
        <v>91</v>
      </c>
      <c r="B228" s="162" t="s">
        <v>1555</v>
      </c>
      <c r="C228" s="163" t="s">
        <v>1962</v>
      </c>
      <c r="D228" s="162" t="s">
        <v>1963</v>
      </c>
      <c r="E228" s="161" t="s">
        <v>1625</v>
      </c>
      <c r="F228" s="164" t="s">
        <v>1609</v>
      </c>
      <c r="G228" s="161" t="s">
        <v>1964</v>
      </c>
      <c r="H228" s="215">
        <v>23</v>
      </c>
      <c r="I228" s="171">
        <v>2</v>
      </c>
      <c r="J228" s="173">
        <v>2</v>
      </c>
      <c r="K228" s="172">
        <v>46</v>
      </c>
      <c r="L228" s="173">
        <v>46</v>
      </c>
      <c r="M228" s="171">
        <v>46</v>
      </c>
      <c r="N228" s="170"/>
      <c r="O228" s="177" t="s">
        <v>76</v>
      </c>
      <c r="P228" s="162" t="s">
        <v>1620</v>
      </c>
      <c r="Q228" s="176"/>
      <c r="R228" s="175">
        <v>2035</v>
      </c>
      <c r="S228" s="179"/>
      <c r="T228" s="164" t="s">
        <v>24</v>
      </c>
      <c r="U228" s="161" t="s">
        <v>16</v>
      </c>
      <c r="V228" s="175">
        <v>1037</v>
      </c>
      <c r="W228" s="181"/>
      <c r="X228" s="185">
        <v>45017</v>
      </c>
      <c r="Y228" s="187">
        <v>45077.476481481484</v>
      </c>
    </row>
    <row r="229" spans="1:25">
      <c r="A229" s="167" t="s">
        <v>110</v>
      </c>
      <c r="B229" s="162" t="s">
        <v>1599</v>
      </c>
      <c r="C229" s="163" t="s">
        <v>1965</v>
      </c>
      <c r="D229" s="162" t="s">
        <v>1966</v>
      </c>
      <c r="E229" s="161" t="s">
        <v>1608</v>
      </c>
      <c r="F229" s="162" t="s">
        <v>1609</v>
      </c>
      <c r="G229" s="161"/>
      <c r="H229" s="214">
        <v>1</v>
      </c>
      <c r="I229" s="171">
        <v>1995</v>
      </c>
      <c r="J229" s="170">
        <v>1995</v>
      </c>
      <c r="K229" s="172">
        <v>1995</v>
      </c>
      <c r="L229" s="170">
        <v>1995</v>
      </c>
      <c r="M229" s="171">
        <v>1995</v>
      </c>
      <c r="N229" s="170"/>
      <c r="O229" s="177" t="s">
        <v>1523</v>
      </c>
      <c r="P229" s="162" t="s">
        <v>1604</v>
      </c>
      <c r="Q229" s="176"/>
      <c r="R229" s="174"/>
      <c r="S229" s="179"/>
      <c r="T229" s="162" t="s">
        <v>28</v>
      </c>
      <c r="U229" s="161" t="s">
        <v>16</v>
      </c>
      <c r="V229" s="174">
        <v>2473</v>
      </c>
      <c r="W229" s="180" t="s">
        <v>1967</v>
      </c>
      <c r="X229" s="185">
        <v>45017</v>
      </c>
      <c r="Y229" s="187">
        <v>45035.527997685182</v>
      </c>
    </row>
    <row r="230" spans="1:25">
      <c r="A230" s="167" t="s">
        <v>45</v>
      </c>
      <c r="B230" s="162" t="s">
        <v>1599</v>
      </c>
      <c r="C230" s="163" t="s">
        <v>1968</v>
      </c>
      <c r="D230" s="162" t="s">
        <v>1969</v>
      </c>
      <c r="E230" s="161" t="s">
        <v>1625</v>
      </c>
      <c r="F230" s="162" t="s">
        <v>1609</v>
      </c>
      <c r="G230" s="161"/>
      <c r="H230" s="215">
        <v>32</v>
      </c>
      <c r="I230" s="171">
        <v>2.2000000000000002</v>
      </c>
      <c r="J230" s="173">
        <v>4.2</v>
      </c>
      <c r="K230" s="172">
        <v>70.400000000000006</v>
      </c>
      <c r="L230" s="173">
        <v>134.4</v>
      </c>
      <c r="M230" s="171" t="s">
        <v>1970</v>
      </c>
      <c r="N230" s="170"/>
      <c r="O230" s="177" t="s">
        <v>1523</v>
      </c>
      <c r="P230" s="162" t="s">
        <v>1620</v>
      </c>
      <c r="Q230" s="176"/>
      <c r="R230" s="174"/>
      <c r="S230" s="179"/>
      <c r="T230" s="162" t="s">
        <v>28</v>
      </c>
      <c r="U230" s="161" t="s">
        <v>16</v>
      </c>
      <c r="V230" s="174">
        <v>1278</v>
      </c>
      <c r="W230" s="180" t="s">
        <v>1971</v>
      </c>
      <c r="X230" s="185">
        <v>45069</v>
      </c>
      <c r="Y230" s="187">
        <v>45097.372800925928</v>
      </c>
    </row>
    <row r="231" spans="1:25">
      <c r="A231" s="167" t="s">
        <v>45</v>
      </c>
      <c r="B231" s="162" t="s">
        <v>1599</v>
      </c>
      <c r="C231" s="163" t="s">
        <v>147</v>
      </c>
      <c r="D231" s="162" t="s">
        <v>1972</v>
      </c>
      <c r="E231" s="161" t="s">
        <v>1602</v>
      </c>
      <c r="F231" s="162" t="s">
        <v>1603</v>
      </c>
      <c r="G231" s="161" t="s">
        <v>1973</v>
      </c>
      <c r="H231" s="214">
        <v>33</v>
      </c>
      <c r="I231" s="171">
        <v>0</v>
      </c>
      <c r="J231" s="170">
        <v>3.04</v>
      </c>
      <c r="K231" s="172">
        <v>0</v>
      </c>
      <c r="L231" s="170">
        <v>100.32</v>
      </c>
      <c r="M231" s="171">
        <v>100.32</v>
      </c>
      <c r="N231" s="170">
        <v>200</v>
      </c>
      <c r="O231" s="177" t="s">
        <v>26</v>
      </c>
      <c r="P231" s="162" t="s">
        <v>1619</v>
      </c>
      <c r="Q231" s="176">
        <v>45108</v>
      </c>
      <c r="R231" s="174">
        <v>2043</v>
      </c>
      <c r="S231" s="179"/>
      <c r="T231" s="162" t="s">
        <v>26</v>
      </c>
      <c r="U231" s="161" t="s">
        <v>19</v>
      </c>
      <c r="V231" s="174">
        <v>1890</v>
      </c>
      <c r="W231" s="180" t="s">
        <v>1974</v>
      </c>
      <c r="X231" s="185">
        <v>45069</v>
      </c>
      <c r="Y231" s="187">
        <v>45098.338518518518</v>
      </c>
    </row>
    <row r="232" spans="1:25">
      <c r="A232" s="167" t="s">
        <v>45</v>
      </c>
      <c r="B232" s="162" t="s">
        <v>1555</v>
      </c>
      <c r="C232" s="163" t="s">
        <v>1354</v>
      </c>
      <c r="D232" s="162" t="s">
        <v>1975</v>
      </c>
      <c r="E232" s="161" t="s">
        <v>1613</v>
      </c>
      <c r="F232" s="162" t="s">
        <v>1614</v>
      </c>
      <c r="G232" s="161" t="s">
        <v>1976</v>
      </c>
      <c r="H232" s="215">
        <v>4</v>
      </c>
      <c r="I232" s="171">
        <v>0.01</v>
      </c>
      <c r="J232" s="173">
        <v>0.5</v>
      </c>
      <c r="K232" s="172">
        <v>0.05</v>
      </c>
      <c r="L232" s="173">
        <v>2</v>
      </c>
      <c r="M232" s="171">
        <v>2</v>
      </c>
      <c r="N232" s="170"/>
      <c r="O232" s="177" t="s">
        <v>76</v>
      </c>
      <c r="P232" s="162" t="s">
        <v>1591</v>
      </c>
      <c r="Q232" s="176"/>
      <c r="R232" s="174">
        <v>2043</v>
      </c>
      <c r="S232" s="179"/>
      <c r="T232" s="162" t="s">
        <v>24</v>
      </c>
      <c r="U232" s="161" t="s">
        <v>1615</v>
      </c>
      <c r="V232" s="174">
        <v>1039</v>
      </c>
      <c r="W232" s="180"/>
      <c r="X232" s="185">
        <v>44621</v>
      </c>
      <c r="Y232" s="187">
        <v>44981.417743055557</v>
      </c>
    </row>
    <row r="233" spans="1:25">
      <c r="A233" s="167" t="s">
        <v>45</v>
      </c>
      <c r="B233" s="162" t="s">
        <v>1555</v>
      </c>
      <c r="C233" s="163" t="s">
        <v>1977</v>
      </c>
      <c r="D233" s="162" t="s">
        <v>1978</v>
      </c>
      <c r="E233" s="161" t="s">
        <v>1625</v>
      </c>
      <c r="F233" s="162" t="s">
        <v>1609</v>
      </c>
      <c r="G233" s="161" t="s">
        <v>1979</v>
      </c>
      <c r="H233" s="214">
        <v>67</v>
      </c>
      <c r="I233" s="171">
        <v>2.1</v>
      </c>
      <c r="J233" s="170">
        <v>2.1</v>
      </c>
      <c r="K233" s="172">
        <v>140.69999999999999</v>
      </c>
      <c r="L233" s="170">
        <v>140.69999999999999</v>
      </c>
      <c r="M233" s="171">
        <v>140.69999999999999</v>
      </c>
      <c r="N233" s="170"/>
      <c r="O233" s="177" t="s">
        <v>76</v>
      </c>
      <c r="P233" s="162" t="s">
        <v>1591</v>
      </c>
      <c r="Q233" s="176"/>
      <c r="R233" s="174">
        <v>2040</v>
      </c>
      <c r="S233" s="179"/>
      <c r="T233" s="162" t="s">
        <v>24</v>
      </c>
      <c r="U233" s="161" t="s">
        <v>16</v>
      </c>
      <c r="V233" s="174">
        <v>1038</v>
      </c>
      <c r="W233" s="180"/>
      <c r="X233" s="185">
        <v>45017</v>
      </c>
      <c r="Y233" s="187">
        <v>45019.732581018521</v>
      </c>
    </row>
    <row r="234" spans="1:25">
      <c r="A234" s="167" t="s">
        <v>77</v>
      </c>
      <c r="B234" s="162" t="s">
        <v>1599</v>
      </c>
      <c r="C234" s="163" t="s">
        <v>1980</v>
      </c>
      <c r="D234" s="162" t="s">
        <v>1981</v>
      </c>
      <c r="E234" s="161" t="s">
        <v>1625</v>
      </c>
      <c r="F234" s="162" t="s">
        <v>1609</v>
      </c>
      <c r="G234" s="161"/>
      <c r="H234" s="215">
        <v>45</v>
      </c>
      <c r="I234" s="171">
        <v>7.2</v>
      </c>
      <c r="J234" s="173">
        <v>7.2</v>
      </c>
      <c r="K234" s="172">
        <v>324</v>
      </c>
      <c r="L234" s="173">
        <v>324</v>
      </c>
      <c r="M234" s="171">
        <v>324</v>
      </c>
      <c r="N234" s="170"/>
      <c r="O234" s="177" t="s">
        <v>1523</v>
      </c>
      <c r="P234" s="162" t="s">
        <v>1620</v>
      </c>
      <c r="Q234" s="176">
        <v>46722</v>
      </c>
      <c r="R234" s="174">
        <v>2057</v>
      </c>
      <c r="S234" s="179"/>
      <c r="T234" s="162" t="s">
        <v>28</v>
      </c>
      <c r="U234" s="161" t="s">
        <v>16</v>
      </c>
      <c r="V234" s="174">
        <v>2037</v>
      </c>
      <c r="W234" s="180" t="s">
        <v>1982</v>
      </c>
      <c r="X234" s="185">
        <v>45069</v>
      </c>
      <c r="Y234" s="187">
        <v>45097.598020833335</v>
      </c>
    </row>
    <row r="235" spans="1:25">
      <c r="A235" s="167" t="s">
        <v>45</v>
      </c>
      <c r="B235" s="162" t="s">
        <v>1599</v>
      </c>
      <c r="C235" s="163" t="s">
        <v>1983</v>
      </c>
      <c r="D235" s="162" t="s">
        <v>173</v>
      </c>
      <c r="E235" s="161" t="s">
        <v>1613</v>
      </c>
      <c r="F235" s="162" t="s">
        <v>1614</v>
      </c>
      <c r="G235" s="161"/>
      <c r="H235" s="214">
        <v>4</v>
      </c>
      <c r="I235" s="171"/>
      <c r="J235" s="170">
        <v>4</v>
      </c>
      <c r="K235" s="172"/>
      <c r="L235" s="170">
        <v>16</v>
      </c>
      <c r="M235" s="171">
        <v>16</v>
      </c>
      <c r="N235" s="170"/>
      <c r="O235" s="177" t="s">
        <v>1523</v>
      </c>
      <c r="P235" s="162" t="s">
        <v>1591</v>
      </c>
      <c r="Q235" s="176">
        <v>45474</v>
      </c>
      <c r="R235" s="174">
        <v>2053</v>
      </c>
      <c r="S235" s="179"/>
      <c r="T235" s="162" t="s">
        <v>28</v>
      </c>
      <c r="U235" s="161" t="s">
        <v>1615</v>
      </c>
      <c r="V235" s="174">
        <v>1910</v>
      </c>
      <c r="W235" s="180"/>
      <c r="X235" s="185"/>
      <c r="Y235" s="187">
        <v>45077.645810185182</v>
      </c>
    </row>
    <row r="236" spans="1:25">
      <c r="A236" s="167" t="s">
        <v>110</v>
      </c>
      <c r="B236" s="162" t="s">
        <v>1555</v>
      </c>
      <c r="C236" s="163" t="s">
        <v>1984</v>
      </c>
      <c r="D236" s="162" t="s">
        <v>1604</v>
      </c>
      <c r="E236" s="161" t="s">
        <v>1700</v>
      </c>
      <c r="F236" s="162" t="s">
        <v>1658</v>
      </c>
      <c r="G236" s="161"/>
      <c r="H236" s="215">
        <v>1</v>
      </c>
      <c r="I236" s="171"/>
      <c r="J236" s="173">
        <v>0.09</v>
      </c>
      <c r="K236" s="172"/>
      <c r="L236" s="173">
        <v>0.09</v>
      </c>
      <c r="M236" s="171">
        <v>0.09</v>
      </c>
      <c r="N236" s="170"/>
      <c r="O236" s="177" t="s">
        <v>76</v>
      </c>
      <c r="P236" s="162" t="s">
        <v>1591</v>
      </c>
      <c r="Q236" s="176"/>
      <c r="R236" s="174"/>
      <c r="S236" s="179"/>
      <c r="T236" s="162" t="s">
        <v>24</v>
      </c>
      <c r="U236" s="161" t="s">
        <v>17</v>
      </c>
      <c r="V236" s="174">
        <v>2078</v>
      </c>
      <c r="W236" s="180"/>
      <c r="X236" s="185" t="s">
        <v>259</v>
      </c>
      <c r="Y236" s="187">
        <v>44830.483969907407</v>
      </c>
    </row>
    <row r="237" spans="1:25">
      <c r="A237" s="167" t="s">
        <v>110</v>
      </c>
      <c r="B237" s="162" t="s">
        <v>1555</v>
      </c>
      <c r="C237" s="163" t="s">
        <v>1985</v>
      </c>
      <c r="D237" s="162" t="s">
        <v>1604</v>
      </c>
      <c r="E237" s="161" t="s">
        <v>1739</v>
      </c>
      <c r="F237" s="162" t="s">
        <v>1986</v>
      </c>
      <c r="G237" s="161"/>
      <c r="H237" s="214">
        <v>1</v>
      </c>
      <c r="I237" s="171"/>
      <c r="J237" s="170">
        <v>3.1</v>
      </c>
      <c r="K237" s="172"/>
      <c r="L237" s="170">
        <v>3.1</v>
      </c>
      <c r="M237" s="171">
        <v>3.1</v>
      </c>
      <c r="N237" s="170"/>
      <c r="O237" s="177" t="s">
        <v>76</v>
      </c>
      <c r="P237" s="162" t="s">
        <v>1591</v>
      </c>
      <c r="Q237" s="176"/>
      <c r="R237" s="174"/>
      <c r="S237" s="179"/>
      <c r="T237" s="162" t="s">
        <v>24</v>
      </c>
      <c r="U237" s="161" t="s">
        <v>18</v>
      </c>
      <c r="V237" s="174">
        <v>2079</v>
      </c>
      <c r="W237" s="180"/>
      <c r="X237" s="185" t="s">
        <v>259</v>
      </c>
      <c r="Y237" s="187">
        <v>44830.495752314811</v>
      </c>
    </row>
    <row r="238" spans="1:25">
      <c r="A238" s="167" t="s">
        <v>110</v>
      </c>
      <c r="B238" s="162" t="s">
        <v>1599</v>
      </c>
      <c r="C238" s="163" t="s">
        <v>1987</v>
      </c>
      <c r="D238" s="162" t="s">
        <v>62</v>
      </c>
      <c r="E238" s="161" t="s">
        <v>1631</v>
      </c>
      <c r="F238" s="164" t="s">
        <v>1614</v>
      </c>
      <c r="G238" s="161"/>
      <c r="H238" s="215">
        <v>1</v>
      </c>
      <c r="I238" s="171">
        <v>0</v>
      </c>
      <c r="J238" s="173">
        <v>74</v>
      </c>
      <c r="K238" s="172">
        <v>0</v>
      </c>
      <c r="L238" s="173">
        <v>74</v>
      </c>
      <c r="M238" s="171">
        <v>74</v>
      </c>
      <c r="N238" s="170"/>
      <c r="O238" s="177" t="s">
        <v>1523</v>
      </c>
      <c r="P238" s="162" t="s">
        <v>1620</v>
      </c>
      <c r="Q238" s="176"/>
      <c r="R238" s="175"/>
      <c r="S238" s="179"/>
      <c r="T238" s="164" t="s">
        <v>28</v>
      </c>
      <c r="U238" s="161" t="s">
        <v>1615</v>
      </c>
      <c r="V238" s="175">
        <v>1713</v>
      </c>
      <c r="W238" s="181"/>
      <c r="X238" s="186">
        <v>45069</v>
      </c>
      <c r="Y238" s="187">
        <v>45103.806041666663</v>
      </c>
    </row>
    <row r="239" spans="1:25">
      <c r="A239" s="167" t="s">
        <v>91</v>
      </c>
      <c r="B239" s="162" t="s">
        <v>1599</v>
      </c>
      <c r="C239" s="163" t="s">
        <v>217</v>
      </c>
      <c r="D239" s="162" t="s">
        <v>218</v>
      </c>
      <c r="E239" s="161" t="s">
        <v>1625</v>
      </c>
      <c r="F239" s="162" t="s">
        <v>1609</v>
      </c>
      <c r="G239" s="161"/>
      <c r="H239" s="214">
        <v>38</v>
      </c>
      <c r="I239" s="171">
        <v>6.2</v>
      </c>
      <c r="J239" s="170">
        <v>6.6</v>
      </c>
      <c r="K239" s="172">
        <v>235.6</v>
      </c>
      <c r="L239" s="170">
        <v>250.8</v>
      </c>
      <c r="M239" s="171" t="s">
        <v>1988</v>
      </c>
      <c r="N239" s="170"/>
      <c r="O239" s="177" t="s">
        <v>1523</v>
      </c>
      <c r="P239" s="162" t="s">
        <v>1620</v>
      </c>
      <c r="Q239" s="176"/>
      <c r="R239" s="174"/>
      <c r="S239" s="179"/>
      <c r="T239" s="162" t="s">
        <v>28</v>
      </c>
      <c r="U239" s="161" t="s">
        <v>16</v>
      </c>
      <c r="V239" s="174">
        <v>1040</v>
      </c>
      <c r="W239" s="180"/>
      <c r="X239" s="185">
        <v>45069</v>
      </c>
      <c r="Y239" s="187">
        <v>45014.622743055559</v>
      </c>
    </row>
    <row r="240" spans="1:25">
      <c r="A240" s="167" t="s">
        <v>91</v>
      </c>
      <c r="B240" s="162" t="s">
        <v>1599</v>
      </c>
      <c r="C240" s="163" t="s">
        <v>217</v>
      </c>
      <c r="D240" s="162" t="s">
        <v>218</v>
      </c>
      <c r="E240" s="161" t="s">
        <v>1602</v>
      </c>
      <c r="F240" s="162" t="s">
        <v>1609</v>
      </c>
      <c r="G240" s="161"/>
      <c r="H240" s="215">
        <v>1</v>
      </c>
      <c r="I240" s="171">
        <v>118</v>
      </c>
      <c r="J240" s="173">
        <v>118</v>
      </c>
      <c r="K240" s="172">
        <v>118</v>
      </c>
      <c r="L240" s="173">
        <v>118</v>
      </c>
      <c r="M240" s="171">
        <v>118</v>
      </c>
      <c r="N240" s="170">
        <v>236</v>
      </c>
      <c r="O240" s="177" t="s">
        <v>1523</v>
      </c>
      <c r="P240" s="162" t="s">
        <v>1620</v>
      </c>
      <c r="Q240" s="176"/>
      <c r="R240" s="174"/>
      <c r="S240" s="179"/>
      <c r="T240" s="162" t="s">
        <v>28</v>
      </c>
      <c r="U240" s="161" t="s">
        <v>16</v>
      </c>
      <c r="V240" s="174">
        <v>1040</v>
      </c>
      <c r="W240" s="180"/>
      <c r="X240" s="185">
        <v>45069</v>
      </c>
      <c r="Y240" s="187">
        <v>45014.622743055559</v>
      </c>
    </row>
    <row r="241" spans="1:25">
      <c r="A241" s="167" t="s">
        <v>110</v>
      </c>
      <c r="B241" s="162" t="s">
        <v>1599</v>
      </c>
      <c r="C241" s="163" t="s">
        <v>1989</v>
      </c>
      <c r="D241" s="162" t="s">
        <v>1990</v>
      </c>
      <c r="E241" s="161" t="s">
        <v>1602</v>
      </c>
      <c r="F241" s="162" t="s">
        <v>1603</v>
      </c>
      <c r="G241" s="161"/>
      <c r="H241" s="214">
        <v>1</v>
      </c>
      <c r="I241" s="171"/>
      <c r="J241" s="170">
        <v>30</v>
      </c>
      <c r="K241" s="172"/>
      <c r="L241" s="170">
        <v>30</v>
      </c>
      <c r="M241" s="171">
        <v>30</v>
      </c>
      <c r="N241" s="170">
        <v>0</v>
      </c>
      <c r="O241" s="177" t="s">
        <v>1523</v>
      </c>
      <c r="P241" s="162" t="s">
        <v>1619</v>
      </c>
      <c r="Q241" s="176"/>
      <c r="R241" s="174"/>
      <c r="S241" s="179"/>
      <c r="T241" s="162" t="s">
        <v>28</v>
      </c>
      <c r="U241" s="161" t="s">
        <v>19</v>
      </c>
      <c r="V241" s="174">
        <v>1948</v>
      </c>
      <c r="W241" s="180"/>
      <c r="X241" s="185">
        <v>45017</v>
      </c>
      <c r="Y241" s="187">
        <v>44756.404641203706</v>
      </c>
    </row>
    <row r="242" spans="1:25">
      <c r="A242" s="167" t="s">
        <v>110</v>
      </c>
      <c r="B242" s="162" t="s">
        <v>1599</v>
      </c>
      <c r="C242" s="163" t="s">
        <v>1991</v>
      </c>
      <c r="D242" s="162" t="s">
        <v>1992</v>
      </c>
      <c r="E242" s="161" t="s">
        <v>1631</v>
      </c>
      <c r="F242" s="162" t="s">
        <v>1614</v>
      </c>
      <c r="G242" s="161"/>
      <c r="H242" s="215">
        <v>1</v>
      </c>
      <c r="I242" s="171">
        <v>150</v>
      </c>
      <c r="J242" s="173">
        <v>150</v>
      </c>
      <c r="K242" s="172">
        <v>150</v>
      </c>
      <c r="L242" s="173">
        <v>150</v>
      </c>
      <c r="M242" s="171">
        <v>150</v>
      </c>
      <c r="N242" s="170">
        <v>0</v>
      </c>
      <c r="O242" s="177" t="s">
        <v>1523</v>
      </c>
      <c r="P242" s="162" t="s">
        <v>1620</v>
      </c>
      <c r="Q242" s="176"/>
      <c r="R242" s="174"/>
      <c r="S242" s="179"/>
      <c r="T242" s="162" t="s">
        <v>28</v>
      </c>
      <c r="U242" s="161" t="s">
        <v>1615</v>
      </c>
      <c r="V242" s="174">
        <v>1687</v>
      </c>
      <c r="W242" s="180"/>
      <c r="X242" s="185">
        <v>45069</v>
      </c>
      <c r="Y242" s="187">
        <v>44833.667500000003</v>
      </c>
    </row>
    <row r="243" spans="1:25">
      <c r="A243" s="167" t="s">
        <v>110</v>
      </c>
      <c r="B243" s="162" t="s">
        <v>1599</v>
      </c>
      <c r="C243" s="163" t="s">
        <v>1993</v>
      </c>
      <c r="D243" s="162" t="s">
        <v>1992</v>
      </c>
      <c r="E243" s="161" t="s">
        <v>1631</v>
      </c>
      <c r="F243" s="162" t="s">
        <v>1614</v>
      </c>
      <c r="G243" s="161"/>
      <c r="H243" s="214">
        <v>1</v>
      </c>
      <c r="I243" s="171">
        <v>150</v>
      </c>
      <c r="J243" s="170">
        <v>150</v>
      </c>
      <c r="K243" s="172">
        <v>150</v>
      </c>
      <c r="L243" s="170">
        <v>150</v>
      </c>
      <c r="M243" s="171">
        <v>150</v>
      </c>
      <c r="N243" s="170">
        <v>0</v>
      </c>
      <c r="O243" s="177" t="s">
        <v>1523</v>
      </c>
      <c r="P243" s="162" t="s">
        <v>1620</v>
      </c>
      <c r="Q243" s="176"/>
      <c r="R243" s="174"/>
      <c r="S243" s="179"/>
      <c r="T243" s="162" t="s">
        <v>28</v>
      </c>
      <c r="U243" s="161" t="s">
        <v>1615</v>
      </c>
      <c r="V243" s="174">
        <v>1688</v>
      </c>
      <c r="W243" s="180"/>
      <c r="X243" s="185">
        <v>45069</v>
      </c>
      <c r="Y243" s="187">
        <v>44833.668043981481</v>
      </c>
    </row>
    <row r="244" spans="1:25">
      <c r="A244" s="167" t="s">
        <v>105</v>
      </c>
      <c r="B244" s="162" t="s">
        <v>1555</v>
      </c>
      <c r="C244" s="163" t="s">
        <v>1994</v>
      </c>
      <c r="D244" s="162" t="s">
        <v>1735</v>
      </c>
      <c r="E244" s="161" t="s">
        <v>1700</v>
      </c>
      <c r="F244" s="162" t="s">
        <v>1658</v>
      </c>
      <c r="G244" s="161" t="s">
        <v>1995</v>
      </c>
      <c r="H244" s="215">
        <v>3</v>
      </c>
      <c r="I244" s="171">
        <v>12.8</v>
      </c>
      <c r="J244" s="173">
        <v>12.8</v>
      </c>
      <c r="K244" s="172">
        <v>38.4</v>
      </c>
      <c r="L244" s="173">
        <v>38.4</v>
      </c>
      <c r="M244" s="171">
        <v>38.4</v>
      </c>
      <c r="N244" s="170"/>
      <c r="O244" s="177" t="s">
        <v>76</v>
      </c>
      <c r="P244" s="162" t="s">
        <v>1619</v>
      </c>
      <c r="Q244" s="176"/>
      <c r="R244" s="174">
        <v>2100</v>
      </c>
      <c r="S244" s="179"/>
      <c r="T244" s="162" t="s">
        <v>24</v>
      </c>
      <c r="U244" s="161" t="s">
        <v>17</v>
      </c>
      <c r="V244" s="174">
        <v>1041</v>
      </c>
      <c r="W244" s="180"/>
      <c r="X244" s="185">
        <v>45017</v>
      </c>
      <c r="Y244" s="187">
        <v>45086.827499999999</v>
      </c>
    </row>
    <row r="245" spans="1:25">
      <c r="A245" s="167" t="s">
        <v>105</v>
      </c>
      <c r="B245" s="162" t="s">
        <v>1555</v>
      </c>
      <c r="C245" s="163" t="s">
        <v>1994</v>
      </c>
      <c r="D245" s="162" t="s">
        <v>1735</v>
      </c>
      <c r="E245" s="161" t="s">
        <v>1700</v>
      </c>
      <c r="F245" s="162" t="s">
        <v>1658</v>
      </c>
      <c r="G245" s="161" t="s">
        <v>1995</v>
      </c>
      <c r="H245" s="214">
        <v>2</v>
      </c>
      <c r="I245" s="171">
        <v>27.9</v>
      </c>
      <c r="J245" s="170">
        <v>27.9</v>
      </c>
      <c r="K245" s="172">
        <v>55.8</v>
      </c>
      <c r="L245" s="170">
        <v>55.8</v>
      </c>
      <c r="M245" s="171">
        <v>55.8</v>
      </c>
      <c r="N245" s="170"/>
      <c r="O245" s="177" t="s">
        <v>76</v>
      </c>
      <c r="P245" s="162" t="s">
        <v>1619</v>
      </c>
      <c r="Q245" s="176"/>
      <c r="R245" s="174">
        <v>2100</v>
      </c>
      <c r="S245" s="179"/>
      <c r="T245" s="162" t="s">
        <v>24</v>
      </c>
      <c r="U245" s="161" t="s">
        <v>17</v>
      </c>
      <c r="V245" s="174">
        <v>1041</v>
      </c>
      <c r="W245" s="180"/>
      <c r="X245" s="185">
        <v>45017</v>
      </c>
      <c r="Y245" s="187">
        <v>45086.827499999999</v>
      </c>
    </row>
    <row r="246" spans="1:25">
      <c r="A246" s="167" t="s">
        <v>105</v>
      </c>
      <c r="B246" s="162" t="s">
        <v>1555</v>
      </c>
      <c r="C246" s="163" t="s">
        <v>1994</v>
      </c>
      <c r="D246" s="162" t="s">
        <v>1735</v>
      </c>
      <c r="E246" s="161" t="s">
        <v>1700</v>
      </c>
      <c r="F246" s="162" t="s">
        <v>1658</v>
      </c>
      <c r="G246" s="161" t="s">
        <v>1995</v>
      </c>
      <c r="H246" s="215">
        <v>1</v>
      </c>
      <c r="I246" s="171">
        <v>31.5</v>
      </c>
      <c r="J246" s="173">
        <v>31.5</v>
      </c>
      <c r="K246" s="172">
        <v>31.5</v>
      </c>
      <c r="L246" s="173">
        <v>31.5</v>
      </c>
      <c r="M246" s="171">
        <v>31.5</v>
      </c>
      <c r="N246" s="170"/>
      <c r="O246" s="177" t="s">
        <v>76</v>
      </c>
      <c r="P246" s="162" t="s">
        <v>1619</v>
      </c>
      <c r="Q246" s="176"/>
      <c r="R246" s="174">
        <v>2100</v>
      </c>
      <c r="S246" s="179"/>
      <c r="T246" s="162" t="s">
        <v>24</v>
      </c>
      <c r="U246" s="161" t="s">
        <v>17</v>
      </c>
      <c r="V246" s="174">
        <v>1041</v>
      </c>
      <c r="W246" s="180"/>
      <c r="X246" s="185">
        <v>45017</v>
      </c>
      <c r="Y246" s="187">
        <v>45086.827499999999</v>
      </c>
    </row>
    <row r="247" spans="1:25">
      <c r="A247" s="167" t="s">
        <v>105</v>
      </c>
      <c r="B247" s="162" t="s">
        <v>1555</v>
      </c>
      <c r="C247" s="163" t="s">
        <v>1994</v>
      </c>
      <c r="D247" s="162" t="s">
        <v>1735</v>
      </c>
      <c r="E247" s="161" t="s">
        <v>1700</v>
      </c>
      <c r="F247" s="162" t="s">
        <v>1658</v>
      </c>
      <c r="G247" s="161" t="s">
        <v>1995</v>
      </c>
      <c r="H247" s="214">
        <v>1</v>
      </c>
      <c r="I247" s="171">
        <v>27</v>
      </c>
      <c r="J247" s="170">
        <v>27</v>
      </c>
      <c r="K247" s="172">
        <v>27</v>
      </c>
      <c r="L247" s="170">
        <v>27</v>
      </c>
      <c r="M247" s="171">
        <v>27</v>
      </c>
      <c r="N247" s="170"/>
      <c r="O247" s="177" t="s">
        <v>76</v>
      </c>
      <c r="P247" s="162" t="s">
        <v>1619</v>
      </c>
      <c r="Q247" s="176"/>
      <c r="R247" s="174">
        <v>2100</v>
      </c>
      <c r="S247" s="179"/>
      <c r="T247" s="162" t="s">
        <v>24</v>
      </c>
      <c r="U247" s="161" t="s">
        <v>17</v>
      </c>
      <c r="V247" s="174">
        <v>1041</v>
      </c>
      <c r="W247" s="180"/>
      <c r="X247" s="185">
        <v>45017</v>
      </c>
      <c r="Y247" s="187">
        <v>45086.827499999999</v>
      </c>
    </row>
    <row r="248" spans="1:25">
      <c r="A248" s="167" t="s">
        <v>105</v>
      </c>
      <c r="B248" s="162" t="s">
        <v>1555</v>
      </c>
      <c r="C248" s="163" t="s">
        <v>1994</v>
      </c>
      <c r="D248" s="162" t="s">
        <v>1735</v>
      </c>
      <c r="E248" s="161" t="s">
        <v>1700</v>
      </c>
      <c r="F248" s="162" t="s">
        <v>1658</v>
      </c>
      <c r="G248" s="161" t="s">
        <v>1995</v>
      </c>
      <c r="H248" s="215">
        <v>1</v>
      </c>
      <c r="I248" s="171">
        <v>24</v>
      </c>
      <c r="J248" s="173">
        <v>24</v>
      </c>
      <c r="K248" s="172">
        <v>24</v>
      </c>
      <c r="L248" s="173">
        <v>24</v>
      </c>
      <c r="M248" s="171">
        <v>24</v>
      </c>
      <c r="N248" s="170"/>
      <c r="O248" s="177" t="s">
        <v>76</v>
      </c>
      <c r="P248" s="162" t="s">
        <v>1619</v>
      </c>
      <c r="Q248" s="176"/>
      <c r="R248" s="174">
        <v>2100</v>
      </c>
      <c r="S248" s="179"/>
      <c r="T248" s="162" t="s">
        <v>24</v>
      </c>
      <c r="U248" s="161" t="s">
        <v>17</v>
      </c>
      <c r="V248" s="174">
        <v>1041</v>
      </c>
      <c r="W248" s="180"/>
      <c r="X248" s="185">
        <v>45017</v>
      </c>
      <c r="Y248" s="187">
        <v>45086.827499999999</v>
      </c>
    </row>
    <row r="249" spans="1:25">
      <c r="A249" s="167" t="s">
        <v>91</v>
      </c>
      <c r="B249" s="162" t="s">
        <v>1555</v>
      </c>
      <c r="C249" s="163" t="s">
        <v>1996</v>
      </c>
      <c r="D249" s="162" t="s">
        <v>1997</v>
      </c>
      <c r="E249" s="161" t="s">
        <v>1625</v>
      </c>
      <c r="F249" s="162" t="s">
        <v>1609</v>
      </c>
      <c r="G249" s="161" t="s">
        <v>1998</v>
      </c>
      <c r="H249" s="214">
        <v>31</v>
      </c>
      <c r="I249" s="171">
        <v>2</v>
      </c>
      <c r="J249" s="170">
        <v>2</v>
      </c>
      <c r="K249" s="172">
        <v>62</v>
      </c>
      <c r="L249" s="170">
        <v>62</v>
      </c>
      <c r="M249" s="171">
        <v>62</v>
      </c>
      <c r="N249" s="170"/>
      <c r="O249" s="177" t="s">
        <v>76</v>
      </c>
      <c r="P249" s="162" t="s">
        <v>1620</v>
      </c>
      <c r="Q249" s="176"/>
      <c r="R249" s="174">
        <v>2030</v>
      </c>
      <c r="S249" s="179"/>
      <c r="T249" s="162" t="s">
        <v>24</v>
      </c>
      <c r="U249" s="161" t="s">
        <v>16</v>
      </c>
      <c r="V249" s="174">
        <v>1042</v>
      </c>
      <c r="W249" s="180"/>
      <c r="X249" s="185">
        <v>45017</v>
      </c>
      <c r="Y249" s="187">
        <v>45015.397337962961</v>
      </c>
    </row>
    <row r="250" spans="1:25">
      <c r="A250" s="167" t="s">
        <v>105</v>
      </c>
      <c r="B250" s="162" t="s">
        <v>1555</v>
      </c>
      <c r="C250" s="163" t="s">
        <v>628</v>
      </c>
      <c r="D250" s="162" t="s">
        <v>629</v>
      </c>
      <c r="E250" s="161" t="s">
        <v>1625</v>
      </c>
      <c r="F250" s="162" t="s">
        <v>1609</v>
      </c>
      <c r="G250" s="161" t="s">
        <v>630</v>
      </c>
      <c r="H250" s="215">
        <v>45</v>
      </c>
      <c r="I250" s="171">
        <v>3</v>
      </c>
      <c r="J250" s="173">
        <v>3.2</v>
      </c>
      <c r="K250" s="172">
        <v>135</v>
      </c>
      <c r="L250" s="173">
        <v>144</v>
      </c>
      <c r="M250" s="171">
        <v>144</v>
      </c>
      <c r="N250" s="170"/>
      <c r="O250" s="177" t="s">
        <v>76</v>
      </c>
      <c r="P250" s="162" t="s">
        <v>1620</v>
      </c>
      <c r="Q250" s="184">
        <v>44228</v>
      </c>
      <c r="R250" s="174">
        <v>2044</v>
      </c>
      <c r="S250" s="179"/>
      <c r="T250" s="162" t="s">
        <v>24</v>
      </c>
      <c r="U250" s="161" t="s">
        <v>16</v>
      </c>
      <c r="V250" s="174">
        <v>1260</v>
      </c>
      <c r="W250" s="180"/>
      <c r="X250" s="185">
        <v>45017</v>
      </c>
      <c r="Y250" s="187">
        <v>45016.462835648148</v>
      </c>
    </row>
    <row r="251" spans="1:25">
      <c r="A251" s="167" t="s">
        <v>110</v>
      </c>
      <c r="B251" s="162" t="s">
        <v>1555</v>
      </c>
      <c r="C251" s="163" t="s">
        <v>1999</v>
      </c>
      <c r="D251" s="162" t="s">
        <v>2000</v>
      </c>
      <c r="E251" s="161" t="s">
        <v>1613</v>
      </c>
      <c r="F251" s="164" t="s">
        <v>1614</v>
      </c>
      <c r="G251" s="161"/>
      <c r="H251" s="214">
        <v>1</v>
      </c>
      <c r="I251" s="171"/>
      <c r="J251" s="170">
        <v>0.2</v>
      </c>
      <c r="K251" s="172"/>
      <c r="L251" s="170">
        <v>0.2</v>
      </c>
      <c r="M251" s="171">
        <v>0.2</v>
      </c>
      <c r="N251" s="170"/>
      <c r="O251" s="177" t="s">
        <v>76</v>
      </c>
      <c r="P251" s="162" t="s">
        <v>1591</v>
      </c>
      <c r="Q251" s="176"/>
      <c r="R251" s="175"/>
      <c r="S251" s="179"/>
      <c r="T251" s="164" t="s">
        <v>24</v>
      </c>
      <c r="U251" s="161" t="s">
        <v>1615</v>
      </c>
      <c r="V251" s="175">
        <v>2080</v>
      </c>
      <c r="W251" s="181"/>
      <c r="X251" s="185" t="s">
        <v>259</v>
      </c>
      <c r="Y251" s="187">
        <v>44830.514768518522</v>
      </c>
    </row>
    <row r="252" spans="1:25">
      <c r="A252" s="167" t="s">
        <v>105</v>
      </c>
      <c r="B252" s="162" t="s">
        <v>1599</v>
      </c>
      <c r="C252" s="163" t="s">
        <v>2001</v>
      </c>
      <c r="D252" s="162" t="s">
        <v>2002</v>
      </c>
      <c r="E252" s="161" t="s">
        <v>1602</v>
      </c>
      <c r="F252" s="164" t="s">
        <v>1603</v>
      </c>
      <c r="G252" s="161"/>
      <c r="H252" s="215">
        <v>60</v>
      </c>
      <c r="I252" s="171">
        <v>2.5</v>
      </c>
      <c r="J252" s="173">
        <v>2.5</v>
      </c>
      <c r="K252" s="172">
        <v>150</v>
      </c>
      <c r="L252" s="173">
        <v>150</v>
      </c>
      <c r="M252" s="171">
        <v>150</v>
      </c>
      <c r="N252" s="170">
        <v>0</v>
      </c>
      <c r="O252" s="177" t="s">
        <v>1523</v>
      </c>
      <c r="P252" s="162" t="s">
        <v>1604</v>
      </c>
      <c r="Q252" s="176"/>
      <c r="R252" s="175"/>
      <c r="S252" s="179"/>
      <c r="T252" s="164" t="s">
        <v>28</v>
      </c>
      <c r="U252" s="161" t="s">
        <v>19</v>
      </c>
      <c r="V252" s="175">
        <v>2469</v>
      </c>
      <c r="W252" s="181" t="s">
        <v>2003</v>
      </c>
      <c r="X252" s="185">
        <v>45017</v>
      </c>
      <c r="Y252" s="187">
        <v>45035.501458333332</v>
      </c>
    </row>
    <row r="253" spans="1:25">
      <c r="A253" s="167" t="s">
        <v>105</v>
      </c>
      <c r="B253" s="162" t="s">
        <v>1599</v>
      </c>
      <c r="C253" s="163" t="s">
        <v>2004</v>
      </c>
      <c r="D253" s="162" t="s">
        <v>2002</v>
      </c>
      <c r="E253" s="161" t="s">
        <v>1625</v>
      </c>
      <c r="F253" s="162" t="s">
        <v>1609</v>
      </c>
      <c r="G253" s="161"/>
      <c r="H253" s="214">
        <v>50</v>
      </c>
      <c r="I253" s="171">
        <v>8</v>
      </c>
      <c r="J253" s="170">
        <v>8</v>
      </c>
      <c r="K253" s="172">
        <v>400</v>
      </c>
      <c r="L253" s="170">
        <v>400</v>
      </c>
      <c r="M253" s="171">
        <v>400</v>
      </c>
      <c r="N253" s="170"/>
      <c r="O253" s="177" t="s">
        <v>1523</v>
      </c>
      <c r="P253" s="162" t="s">
        <v>1604</v>
      </c>
      <c r="Q253" s="176"/>
      <c r="R253" s="174"/>
      <c r="S253" s="179"/>
      <c r="T253" s="162" t="s">
        <v>28</v>
      </c>
      <c r="U253" s="161" t="s">
        <v>16</v>
      </c>
      <c r="V253" s="174">
        <v>2468</v>
      </c>
      <c r="W253" s="180" t="s">
        <v>2003</v>
      </c>
      <c r="X253" s="185">
        <v>45017</v>
      </c>
      <c r="Y253" s="187">
        <v>45035.501284722224</v>
      </c>
    </row>
    <row r="254" spans="1:25">
      <c r="A254" s="167" t="s">
        <v>77</v>
      </c>
      <c r="B254" s="162" t="s">
        <v>1599</v>
      </c>
      <c r="C254" s="163" t="s">
        <v>190</v>
      </c>
      <c r="D254" s="162" t="s">
        <v>191</v>
      </c>
      <c r="E254" s="161" t="s">
        <v>1602</v>
      </c>
      <c r="F254" s="162" t="s">
        <v>1603</v>
      </c>
      <c r="G254" s="161"/>
      <c r="H254" s="215">
        <v>1</v>
      </c>
      <c r="I254" s="171"/>
      <c r="J254" s="173">
        <v>150</v>
      </c>
      <c r="K254" s="172"/>
      <c r="L254" s="173">
        <v>150</v>
      </c>
      <c r="M254" s="171">
        <v>150</v>
      </c>
      <c r="N254" s="170">
        <v>300</v>
      </c>
      <c r="O254" s="177" t="s">
        <v>27</v>
      </c>
      <c r="P254" s="162" t="s">
        <v>1619</v>
      </c>
      <c r="Q254" s="176">
        <v>45627</v>
      </c>
      <c r="R254" s="174">
        <v>2044</v>
      </c>
      <c r="S254" s="179"/>
      <c r="T254" s="162" t="s">
        <v>27</v>
      </c>
      <c r="U254" s="161" t="s">
        <v>19</v>
      </c>
      <c r="V254" s="174">
        <v>1935</v>
      </c>
      <c r="W254" s="180" t="s">
        <v>2005</v>
      </c>
      <c r="X254" s="185">
        <v>45069</v>
      </c>
      <c r="Y254" s="187">
        <v>45104.316331018519</v>
      </c>
    </row>
    <row r="255" spans="1:25">
      <c r="A255" s="167" t="s">
        <v>45</v>
      </c>
      <c r="B255" s="162" t="s">
        <v>1599</v>
      </c>
      <c r="C255" s="163" t="s">
        <v>2006</v>
      </c>
      <c r="D255" s="162" t="s">
        <v>2007</v>
      </c>
      <c r="E255" s="161" t="s">
        <v>1700</v>
      </c>
      <c r="F255" s="162" t="s">
        <v>1658</v>
      </c>
      <c r="G255" s="161"/>
      <c r="H255" s="214">
        <v>1</v>
      </c>
      <c r="I255" s="171">
        <v>325</v>
      </c>
      <c r="J255" s="170">
        <v>325</v>
      </c>
      <c r="K255" s="172">
        <v>325</v>
      </c>
      <c r="L255" s="170">
        <v>325</v>
      </c>
      <c r="M255" s="171">
        <v>325</v>
      </c>
      <c r="N255" s="170"/>
      <c r="O255" s="177" t="s">
        <v>1523</v>
      </c>
      <c r="P255" s="162" t="s">
        <v>1604</v>
      </c>
      <c r="Q255" s="176"/>
      <c r="R255" s="174"/>
      <c r="S255" s="179"/>
      <c r="T255" s="162" t="s">
        <v>28</v>
      </c>
      <c r="U255" s="161" t="s">
        <v>17</v>
      </c>
      <c r="V255" s="174">
        <v>2192</v>
      </c>
      <c r="W255" s="180" t="s">
        <v>2008</v>
      </c>
      <c r="X255" s="185">
        <v>45017</v>
      </c>
      <c r="Y255" s="187">
        <v>44944.529120370367</v>
      </c>
    </row>
    <row r="256" spans="1:25">
      <c r="A256" s="167" t="s">
        <v>105</v>
      </c>
      <c r="B256" s="162" t="s">
        <v>1555</v>
      </c>
      <c r="C256" s="163" t="s">
        <v>2009</v>
      </c>
      <c r="D256" s="162" t="s">
        <v>1735</v>
      </c>
      <c r="E256" s="161" t="s">
        <v>1700</v>
      </c>
      <c r="F256" s="162" t="s">
        <v>1658</v>
      </c>
      <c r="G256" s="161" t="s">
        <v>2010</v>
      </c>
      <c r="H256" s="215">
        <v>1</v>
      </c>
      <c r="I256" s="171">
        <v>85</v>
      </c>
      <c r="J256" s="173">
        <v>85</v>
      </c>
      <c r="K256" s="172">
        <v>85</v>
      </c>
      <c r="L256" s="173">
        <v>85</v>
      </c>
      <c r="M256" s="171">
        <v>85</v>
      </c>
      <c r="N256" s="170"/>
      <c r="O256" s="177" t="s">
        <v>76</v>
      </c>
      <c r="P256" s="162" t="s">
        <v>1619</v>
      </c>
      <c r="Q256" s="176"/>
      <c r="R256" s="174">
        <v>2100</v>
      </c>
      <c r="S256" s="179"/>
      <c r="T256" s="162" t="s">
        <v>24</v>
      </c>
      <c r="U256" s="161" t="s">
        <v>17</v>
      </c>
      <c r="V256" s="174">
        <v>1043</v>
      </c>
      <c r="W256" s="180"/>
      <c r="X256" s="185">
        <v>45017</v>
      </c>
      <c r="Y256" s="187">
        <v>45086.827777777777</v>
      </c>
    </row>
    <row r="257" spans="1:25">
      <c r="A257" s="167" t="s">
        <v>105</v>
      </c>
      <c r="B257" s="162" t="s">
        <v>1599</v>
      </c>
      <c r="C257" s="163" t="s">
        <v>2011</v>
      </c>
      <c r="D257" s="162" t="s">
        <v>1735</v>
      </c>
      <c r="E257" s="161" t="s">
        <v>1657</v>
      </c>
      <c r="F257" s="162" t="s">
        <v>1658</v>
      </c>
      <c r="G257" s="161"/>
      <c r="H257" s="214">
        <v>4</v>
      </c>
      <c r="I257" s="171"/>
      <c r="J257" s="170">
        <v>187.5</v>
      </c>
      <c r="K257" s="172"/>
      <c r="L257" s="170">
        <v>750</v>
      </c>
      <c r="M257" s="171">
        <v>750</v>
      </c>
      <c r="N257" s="170">
        <v>15000</v>
      </c>
      <c r="O257" s="177" t="s">
        <v>1523</v>
      </c>
      <c r="P257" s="162" t="s">
        <v>1619</v>
      </c>
      <c r="Q257" s="176"/>
      <c r="R257" s="174"/>
      <c r="S257" s="179"/>
      <c r="T257" s="162" t="s">
        <v>28</v>
      </c>
      <c r="U257" s="161" t="s">
        <v>17</v>
      </c>
      <c r="V257" s="174">
        <v>2224</v>
      </c>
      <c r="W257" s="180" t="s">
        <v>2012</v>
      </c>
      <c r="X257" s="185">
        <v>45017</v>
      </c>
      <c r="Y257" s="187">
        <v>45086.832743055558</v>
      </c>
    </row>
    <row r="258" spans="1:25">
      <c r="A258" s="167" t="s">
        <v>91</v>
      </c>
      <c r="B258" s="162" t="s">
        <v>1599</v>
      </c>
      <c r="C258" s="163" t="s">
        <v>219</v>
      </c>
      <c r="D258" s="162" t="s">
        <v>181</v>
      </c>
      <c r="E258" s="161" t="s">
        <v>1602</v>
      </c>
      <c r="F258" s="162" t="s">
        <v>1603</v>
      </c>
      <c r="G258" s="161" t="s">
        <v>2013</v>
      </c>
      <c r="H258" s="215">
        <v>29</v>
      </c>
      <c r="I258" s="171">
        <v>3.5</v>
      </c>
      <c r="J258" s="173">
        <v>3.5</v>
      </c>
      <c r="K258" s="172">
        <v>101.5</v>
      </c>
      <c r="L258" s="173">
        <v>101.5</v>
      </c>
      <c r="M258" s="171">
        <v>101.5</v>
      </c>
      <c r="N258" s="170">
        <v>200</v>
      </c>
      <c r="O258" s="177" t="s">
        <v>1523</v>
      </c>
      <c r="P258" s="162" t="s">
        <v>1619</v>
      </c>
      <c r="Q258" s="176"/>
      <c r="R258" s="174"/>
      <c r="S258" s="179"/>
      <c r="T258" s="162" t="s">
        <v>28</v>
      </c>
      <c r="U258" s="161" t="s">
        <v>19</v>
      </c>
      <c r="V258" s="174">
        <v>2238</v>
      </c>
      <c r="W258" s="180" t="s">
        <v>2014</v>
      </c>
      <c r="X258" s="185">
        <v>45017</v>
      </c>
      <c r="Y258" s="187">
        <v>45027.668611111112</v>
      </c>
    </row>
    <row r="259" spans="1:25">
      <c r="A259" s="167" t="s">
        <v>110</v>
      </c>
      <c r="B259" s="162" t="s">
        <v>1555</v>
      </c>
      <c r="C259" s="163" t="s">
        <v>2015</v>
      </c>
      <c r="D259" s="162" t="s">
        <v>2016</v>
      </c>
      <c r="E259" s="161" t="s">
        <v>1625</v>
      </c>
      <c r="F259" s="162" t="s">
        <v>1609</v>
      </c>
      <c r="G259" s="161"/>
      <c r="H259" s="214">
        <v>35</v>
      </c>
      <c r="I259" s="171">
        <v>1.5</v>
      </c>
      <c r="J259" s="170">
        <v>1.5</v>
      </c>
      <c r="K259" s="172">
        <v>52.5</v>
      </c>
      <c r="L259" s="170">
        <v>52.5</v>
      </c>
      <c r="M259" s="171">
        <v>52.5</v>
      </c>
      <c r="N259" s="170"/>
      <c r="O259" s="177" t="s">
        <v>76</v>
      </c>
      <c r="P259" s="162" t="s">
        <v>1591</v>
      </c>
      <c r="Q259" s="176"/>
      <c r="R259" s="174"/>
      <c r="S259" s="179"/>
      <c r="T259" s="162" t="s">
        <v>24</v>
      </c>
      <c r="U259" s="161" t="s">
        <v>16</v>
      </c>
      <c r="V259" s="174">
        <v>1044</v>
      </c>
      <c r="W259" s="180"/>
      <c r="X259" s="185">
        <v>45017</v>
      </c>
      <c r="Y259" s="187">
        <v>45022.452685185184</v>
      </c>
    </row>
    <row r="260" spans="1:25">
      <c r="A260" s="167" t="s">
        <v>77</v>
      </c>
      <c r="B260" s="162" t="s">
        <v>1599</v>
      </c>
      <c r="C260" s="163" t="s">
        <v>2017</v>
      </c>
      <c r="D260" s="162" t="s">
        <v>1845</v>
      </c>
      <c r="E260" s="161" t="s">
        <v>1625</v>
      </c>
      <c r="F260" s="162" t="s">
        <v>1609</v>
      </c>
      <c r="G260" s="161"/>
      <c r="H260" s="215">
        <v>52</v>
      </c>
      <c r="I260" s="171"/>
      <c r="J260" s="173">
        <v>6.2</v>
      </c>
      <c r="K260" s="172"/>
      <c r="L260" s="173">
        <v>322.39999999999998</v>
      </c>
      <c r="M260" s="171">
        <v>322.39999999999998</v>
      </c>
      <c r="N260" s="170"/>
      <c r="O260" s="177" t="s">
        <v>1523</v>
      </c>
      <c r="P260" s="162" t="s">
        <v>1604</v>
      </c>
      <c r="Q260" s="176"/>
      <c r="R260" s="174"/>
      <c r="S260" s="179"/>
      <c r="T260" s="162" t="s">
        <v>28</v>
      </c>
      <c r="U260" s="161" t="s">
        <v>16</v>
      </c>
      <c r="V260" s="174">
        <v>2001</v>
      </c>
      <c r="W260" s="180" t="s">
        <v>3969</v>
      </c>
      <c r="X260" s="185">
        <v>45017</v>
      </c>
      <c r="Y260" s="187">
        <v>45099.699328703704</v>
      </c>
    </row>
    <row r="261" spans="1:25">
      <c r="A261" s="167" t="s">
        <v>77</v>
      </c>
      <c r="B261" s="162" t="s">
        <v>1599</v>
      </c>
      <c r="C261" s="163" t="s">
        <v>2018</v>
      </c>
      <c r="D261" s="162" t="s">
        <v>447</v>
      </c>
      <c r="E261" s="161" t="s">
        <v>1631</v>
      </c>
      <c r="F261" s="162" t="s">
        <v>1614</v>
      </c>
      <c r="G261" s="161"/>
      <c r="H261" s="214">
        <v>30</v>
      </c>
      <c r="I261" s="171">
        <v>3.27</v>
      </c>
      <c r="J261" s="170">
        <v>3.27</v>
      </c>
      <c r="K261" s="172">
        <v>98.01</v>
      </c>
      <c r="L261" s="170">
        <v>98.01</v>
      </c>
      <c r="M261" s="171">
        <v>98.01</v>
      </c>
      <c r="N261" s="170"/>
      <c r="O261" s="177" t="s">
        <v>1523</v>
      </c>
      <c r="P261" s="162" t="s">
        <v>1620</v>
      </c>
      <c r="Q261" s="176"/>
      <c r="R261" s="174"/>
      <c r="S261" s="179"/>
      <c r="T261" s="162" t="s">
        <v>28</v>
      </c>
      <c r="U261" s="161" t="s">
        <v>1615</v>
      </c>
      <c r="V261" s="174">
        <v>1856</v>
      </c>
      <c r="W261" s="180"/>
      <c r="X261" s="185">
        <v>45069</v>
      </c>
      <c r="Y261" s="187">
        <v>45098.365844907406</v>
      </c>
    </row>
    <row r="262" spans="1:25">
      <c r="A262" s="167" t="s">
        <v>110</v>
      </c>
      <c r="B262" s="162" t="s">
        <v>1555</v>
      </c>
      <c r="C262" s="163" t="s">
        <v>2019</v>
      </c>
      <c r="D262" s="162" t="s">
        <v>2020</v>
      </c>
      <c r="E262" s="161" t="s">
        <v>1625</v>
      </c>
      <c r="F262" s="162" t="s">
        <v>1609</v>
      </c>
      <c r="G262" s="161" t="s">
        <v>2021</v>
      </c>
      <c r="H262" s="215">
        <v>3</v>
      </c>
      <c r="I262" s="171">
        <v>2.0499999999999998</v>
      </c>
      <c r="J262" s="173">
        <v>2.0499999999999998</v>
      </c>
      <c r="K262" s="172">
        <v>6.15</v>
      </c>
      <c r="L262" s="173">
        <v>6.15</v>
      </c>
      <c r="M262" s="171">
        <v>6.15</v>
      </c>
      <c r="N262" s="170"/>
      <c r="O262" s="177" t="s">
        <v>76</v>
      </c>
      <c r="P262" s="162" t="s">
        <v>1591</v>
      </c>
      <c r="Q262" s="176">
        <v>42064</v>
      </c>
      <c r="R262" s="174">
        <v>2039</v>
      </c>
      <c r="S262" s="179"/>
      <c r="T262" s="162" t="s">
        <v>24</v>
      </c>
      <c r="U262" s="161" t="s">
        <v>16</v>
      </c>
      <c r="V262" s="174">
        <v>1261</v>
      </c>
      <c r="W262" s="180"/>
      <c r="X262" s="185">
        <v>44805</v>
      </c>
      <c r="Y262" s="187">
        <v>44981.400358796294</v>
      </c>
    </row>
    <row r="263" spans="1:25">
      <c r="A263" s="167" t="s">
        <v>110</v>
      </c>
      <c r="B263" s="162" t="s">
        <v>1555</v>
      </c>
      <c r="C263" s="163" t="s">
        <v>676</v>
      </c>
      <c r="D263" s="162" t="s">
        <v>677</v>
      </c>
      <c r="E263" s="161" t="s">
        <v>1625</v>
      </c>
      <c r="F263" s="162" t="s">
        <v>1609</v>
      </c>
      <c r="G263" s="161" t="s">
        <v>678</v>
      </c>
      <c r="H263" s="214">
        <v>16</v>
      </c>
      <c r="I263" s="171">
        <v>3.6</v>
      </c>
      <c r="J263" s="170">
        <v>3.6</v>
      </c>
      <c r="K263" s="172">
        <v>57.6</v>
      </c>
      <c r="L263" s="170">
        <v>57.6</v>
      </c>
      <c r="M263" s="171">
        <v>57.6</v>
      </c>
      <c r="N263" s="170"/>
      <c r="O263" s="177" t="s">
        <v>76</v>
      </c>
      <c r="P263" s="162" t="s">
        <v>1620</v>
      </c>
      <c r="Q263" s="176">
        <v>44013</v>
      </c>
      <c r="R263" s="174">
        <v>2050</v>
      </c>
      <c r="S263" s="179"/>
      <c r="T263" s="162" t="s">
        <v>24</v>
      </c>
      <c r="U263" s="161" t="s">
        <v>16</v>
      </c>
      <c r="V263" s="174">
        <v>1263</v>
      </c>
      <c r="W263" s="180"/>
      <c r="X263" s="185">
        <v>45017</v>
      </c>
      <c r="Y263" s="187">
        <v>45086.733032407406</v>
      </c>
    </row>
    <row r="264" spans="1:25">
      <c r="A264" s="167" t="s">
        <v>77</v>
      </c>
      <c r="B264" s="162" t="s">
        <v>1555</v>
      </c>
      <c r="C264" s="163" t="s">
        <v>814</v>
      </c>
      <c r="D264" s="162" t="s">
        <v>2022</v>
      </c>
      <c r="E264" s="161" t="s">
        <v>1631</v>
      </c>
      <c r="F264" s="162" t="s">
        <v>1614</v>
      </c>
      <c r="G264" s="161" t="s">
        <v>816</v>
      </c>
      <c r="H264" s="215">
        <v>37</v>
      </c>
      <c r="I264" s="171"/>
      <c r="J264" s="173">
        <v>1.74</v>
      </c>
      <c r="K264" s="172"/>
      <c r="L264" s="173">
        <v>64.38</v>
      </c>
      <c r="M264" s="171">
        <v>64.38</v>
      </c>
      <c r="N264" s="170"/>
      <c r="O264" s="177" t="s">
        <v>76</v>
      </c>
      <c r="P264" s="162" t="s">
        <v>1620</v>
      </c>
      <c r="Q264" s="176">
        <v>43617</v>
      </c>
      <c r="R264" s="174">
        <v>2049</v>
      </c>
      <c r="S264" s="179"/>
      <c r="T264" s="162" t="s">
        <v>24</v>
      </c>
      <c r="U264" s="161" t="s">
        <v>1615</v>
      </c>
      <c r="V264" s="174">
        <v>1441</v>
      </c>
      <c r="W264" s="180"/>
      <c r="X264" s="185">
        <v>45017</v>
      </c>
      <c r="Y264" s="187">
        <v>45085.41479166667</v>
      </c>
    </row>
    <row r="265" spans="1:25">
      <c r="A265" s="167" t="s">
        <v>45</v>
      </c>
      <c r="B265" s="162" t="s">
        <v>1555</v>
      </c>
      <c r="C265" s="163" t="s">
        <v>2023</v>
      </c>
      <c r="D265" s="162" t="s">
        <v>1604</v>
      </c>
      <c r="E265" s="161" t="s">
        <v>1613</v>
      </c>
      <c r="F265" s="162" t="s">
        <v>1614</v>
      </c>
      <c r="G265" s="161"/>
      <c r="H265" s="214">
        <v>1</v>
      </c>
      <c r="I265" s="171"/>
      <c r="J265" s="170">
        <v>4.7699999999999996</v>
      </c>
      <c r="K265" s="172"/>
      <c r="L265" s="170">
        <v>4.7699999999999996</v>
      </c>
      <c r="M265" s="171">
        <v>4.7699999999999996</v>
      </c>
      <c r="N265" s="170"/>
      <c r="O265" s="177" t="s">
        <v>76</v>
      </c>
      <c r="P265" s="162" t="s">
        <v>1591</v>
      </c>
      <c r="Q265" s="176"/>
      <c r="R265" s="174"/>
      <c r="S265" s="179"/>
      <c r="T265" s="162" t="s">
        <v>24</v>
      </c>
      <c r="U265" s="161" t="s">
        <v>1615</v>
      </c>
      <c r="V265" s="174">
        <v>2081</v>
      </c>
      <c r="W265" s="180"/>
      <c r="X265" s="185" t="s">
        <v>259</v>
      </c>
      <c r="Y265" s="187">
        <v>44830.518680555557</v>
      </c>
    </row>
    <row r="266" spans="1:25">
      <c r="A266" s="167" t="s">
        <v>77</v>
      </c>
      <c r="B266" s="162" t="s">
        <v>1555</v>
      </c>
      <c r="C266" s="163" t="s">
        <v>2024</v>
      </c>
      <c r="D266" s="162" t="s">
        <v>2025</v>
      </c>
      <c r="E266" s="161" t="s">
        <v>1613</v>
      </c>
      <c r="F266" s="162" t="s">
        <v>1614</v>
      </c>
      <c r="G266" s="161"/>
      <c r="H266" s="215">
        <v>60</v>
      </c>
      <c r="I266" s="171">
        <v>0.06</v>
      </c>
      <c r="J266" s="173">
        <v>0.06</v>
      </c>
      <c r="K266" s="172">
        <v>3.6</v>
      </c>
      <c r="L266" s="173">
        <v>3.6</v>
      </c>
      <c r="M266" s="171">
        <v>3.6</v>
      </c>
      <c r="N266" s="170">
        <v>0</v>
      </c>
      <c r="O266" s="177" t="s">
        <v>76</v>
      </c>
      <c r="P266" s="162" t="s">
        <v>1591</v>
      </c>
      <c r="Q266" s="176"/>
      <c r="R266" s="174"/>
      <c r="S266" s="179"/>
      <c r="T266" s="162" t="s">
        <v>24</v>
      </c>
      <c r="U266" s="161" t="s">
        <v>1615</v>
      </c>
      <c r="V266" s="174">
        <v>1498</v>
      </c>
      <c r="W266" s="180"/>
      <c r="X266" s="185">
        <v>44805</v>
      </c>
      <c r="Y266" s="187">
        <v>44679.714953703704</v>
      </c>
    </row>
    <row r="267" spans="1:25">
      <c r="A267" s="167" t="s">
        <v>77</v>
      </c>
      <c r="B267" s="162" t="s">
        <v>1599</v>
      </c>
      <c r="C267" s="163" t="s">
        <v>343</v>
      </c>
      <c r="D267" s="162" t="s">
        <v>344</v>
      </c>
      <c r="E267" s="161" t="s">
        <v>1602</v>
      </c>
      <c r="F267" s="162" t="s">
        <v>1603</v>
      </c>
      <c r="G267" s="161"/>
      <c r="H267" s="214">
        <v>1</v>
      </c>
      <c r="I267" s="171"/>
      <c r="J267" s="170">
        <v>100</v>
      </c>
      <c r="K267" s="172"/>
      <c r="L267" s="170">
        <v>100</v>
      </c>
      <c r="M267" s="171">
        <v>100</v>
      </c>
      <c r="N267" s="170">
        <v>200</v>
      </c>
      <c r="O267" s="177" t="s">
        <v>27</v>
      </c>
      <c r="P267" s="162" t="s">
        <v>1619</v>
      </c>
      <c r="Q267" s="176">
        <v>45323</v>
      </c>
      <c r="R267" s="174">
        <v>2038</v>
      </c>
      <c r="S267" s="179"/>
      <c r="T267" s="162" t="s">
        <v>27</v>
      </c>
      <c r="U267" s="161" t="s">
        <v>19</v>
      </c>
      <c r="V267" s="174">
        <v>2031</v>
      </c>
      <c r="W267" s="180" t="s">
        <v>3970</v>
      </c>
      <c r="X267" s="185">
        <v>45069</v>
      </c>
      <c r="Y267" s="187">
        <v>45100.498564814814</v>
      </c>
    </row>
    <row r="268" spans="1:25">
      <c r="A268" s="167" t="s">
        <v>77</v>
      </c>
      <c r="B268" s="162" t="s">
        <v>1599</v>
      </c>
      <c r="C268" s="163" t="s">
        <v>2026</v>
      </c>
      <c r="D268" s="162" t="s">
        <v>2027</v>
      </c>
      <c r="E268" s="161" t="s">
        <v>1631</v>
      </c>
      <c r="F268" s="162" t="s">
        <v>1614</v>
      </c>
      <c r="G268" s="161"/>
      <c r="H268" s="215">
        <v>69</v>
      </c>
      <c r="I268" s="171">
        <v>1.64</v>
      </c>
      <c r="J268" s="173">
        <v>1.64</v>
      </c>
      <c r="K268" s="172">
        <v>113.16</v>
      </c>
      <c r="L268" s="173">
        <v>113.16</v>
      </c>
      <c r="M268" s="171">
        <v>113.16</v>
      </c>
      <c r="N268" s="170">
        <v>0</v>
      </c>
      <c r="O268" s="177" t="s">
        <v>1523</v>
      </c>
      <c r="P268" s="162" t="s">
        <v>1620</v>
      </c>
      <c r="Q268" s="176"/>
      <c r="R268" s="174"/>
      <c r="S268" s="179"/>
      <c r="T268" s="162" t="s">
        <v>28</v>
      </c>
      <c r="U268" s="161" t="s">
        <v>1615</v>
      </c>
      <c r="V268" s="174">
        <v>1418</v>
      </c>
      <c r="W268" s="180"/>
      <c r="X268" s="185">
        <v>45069</v>
      </c>
      <c r="Y268" s="187">
        <v>45043.523587962962</v>
      </c>
    </row>
    <row r="269" spans="1:25">
      <c r="A269" s="167" t="s">
        <v>45</v>
      </c>
      <c r="B269" s="162" t="s">
        <v>1599</v>
      </c>
      <c r="C269" s="163" t="s">
        <v>2028</v>
      </c>
      <c r="D269" s="162" t="s">
        <v>2029</v>
      </c>
      <c r="E269" s="161" t="s">
        <v>1739</v>
      </c>
      <c r="F269" s="162" t="s">
        <v>1603</v>
      </c>
      <c r="G269" s="161"/>
      <c r="H269" s="214">
        <v>1</v>
      </c>
      <c r="I269" s="171">
        <v>8</v>
      </c>
      <c r="J269" s="170">
        <v>8</v>
      </c>
      <c r="K269" s="172">
        <v>8</v>
      </c>
      <c r="L269" s="170">
        <v>8</v>
      </c>
      <c r="M269" s="171">
        <v>8</v>
      </c>
      <c r="N269" s="170"/>
      <c r="O269" s="177" t="s">
        <v>1523</v>
      </c>
      <c r="P269" s="162" t="s">
        <v>1591</v>
      </c>
      <c r="Q269" s="176"/>
      <c r="R269" s="174"/>
      <c r="S269" s="179"/>
      <c r="T269" s="162" t="s">
        <v>28</v>
      </c>
      <c r="U269" s="161" t="s">
        <v>14</v>
      </c>
      <c r="V269" s="174">
        <v>1479</v>
      </c>
      <c r="W269" s="180"/>
      <c r="X269" s="185">
        <v>44805</v>
      </c>
      <c r="Y269" s="187">
        <v>43222.164594907408</v>
      </c>
    </row>
    <row r="270" spans="1:25">
      <c r="A270" s="167" t="s">
        <v>91</v>
      </c>
      <c r="B270" s="162" t="s">
        <v>1555</v>
      </c>
      <c r="C270" s="163" t="s">
        <v>351</v>
      </c>
      <c r="D270" s="162" t="s">
        <v>347</v>
      </c>
      <c r="E270" s="161" t="s">
        <v>1602</v>
      </c>
      <c r="F270" s="162" t="s">
        <v>1603</v>
      </c>
      <c r="G270" s="161" t="s">
        <v>458</v>
      </c>
      <c r="H270" s="215">
        <v>1</v>
      </c>
      <c r="I270" s="171"/>
      <c r="J270" s="173">
        <v>2.09</v>
      </c>
      <c r="K270" s="172"/>
      <c r="L270" s="173">
        <v>2.09</v>
      </c>
      <c r="M270" s="171">
        <v>2.09</v>
      </c>
      <c r="N270" s="170">
        <v>4.32</v>
      </c>
      <c r="O270" s="177" t="s">
        <v>76</v>
      </c>
      <c r="P270" s="162" t="s">
        <v>1619</v>
      </c>
      <c r="Q270" s="176">
        <v>44927</v>
      </c>
      <c r="R270" s="174">
        <v>2041</v>
      </c>
      <c r="S270" s="179"/>
      <c r="T270" s="162" t="s">
        <v>24</v>
      </c>
      <c r="U270" s="161" t="s">
        <v>19</v>
      </c>
      <c r="V270" s="174">
        <v>1845</v>
      </c>
      <c r="W270" s="180"/>
      <c r="X270" s="185">
        <v>45017</v>
      </c>
      <c r="Y270" s="187">
        <v>45022.470393518517</v>
      </c>
    </row>
    <row r="271" spans="1:25">
      <c r="A271" s="167" t="s">
        <v>91</v>
      </c>
      <c r="B271" s="162" t="s">
        <v>1555</v>
      </c>
      <c r="C271" s="163" t="s">
        <v>351</v>
      </c>
      <c r="D271" s="162" t="s">
        <v>347</v>
      </c>
      <c r="E271" s="161" t="s">
        <v>1631</v>
      </c>
      <c r="F271" s="162" t="s">
        <v>1614</v>
      </c>
      <c r="G271" s="161" t="s">
        <v>459</v>
      </c>
      <c r="H271" s="214">
        <v>2</v>
      </c>
      <c r="I271" s="171"/>
      <c r="J271" s="170">
        <v>2.4</v>
      </c>
      <c r="K271" s="172"/>
      <c r="L271" s="170">
        <v>4.8</v>
      </c>
      <c r="M271" s="171">
        <v>4.8</v>
      </c>
      <c r="N271" s="170"/>
      <c r="O271" s="177" t="s">
        <v>76</v>
      </c>
      <c r="P271" s="162" t="s">
        <v>1591</v>
      </c>
      <c r="Q271" s="176">
        <v>44835</v>
      </c>
      <c r="R271" s="174">
        <v>2041</v>
      </c>
      <c r="S271" s="179"/>
      <c r="T271" s="162" t="s">
        <v>24</v>
      </c>
      <c r="U271" s="161" t="s">
        <v>1615</v>
      </c>
      <c r="V271" s="174">
        <v>1845</v>
      </c>
      <c r="W271" s="180"/>
      <c r="X271" s="185">
        <v>45017</v>
      </c>
      <c r="Y271" s="187">
        <v>45022.470393518517</v>
      </c>
    </row>
    <row r="272" spans="1:25">
      <c r="A272" s="167" t="s">
        <v>77</v>
      </c>
      <c r="B272" s="162" t="s">
        <v>1555</v>
      </c>
      <c r="C272" s="163" t="s">
        <v>2030</v>
      </c>
      <c r="D272" s="162" t="s">
        <v>1604</v>
      </c>
      <c r="E272" s="161" t="s">
        <v>1613</v>
      </c>
      <c r="F272" s="162" t="s">
        <v>1614</v>
      </c>
      <c r="G272" s="161"/>
      <c r="H272" s="215">
        <v>1</v>
      </c>
      <c r="I272" s="171"/>
      <c r="J272" s="173">
        <v>0.91</v>
      </c>
      <c r="K272" s="172"/>
      <c r="L272" s="173">
        <v>0.91</v>
      </c>
      <c r="M272" s="171">
        <v>0.91</v>
      </c>
      <c r="N272" s="170"/>
      <c r="O272" s="177" t="s">
        <v>76</v>
      </c>
      <c r="P272" s="162" t="s">
        <v>1591</v>
      </c>
      <c r="Q272" s="176"/>
      <c r="R272" s="174"/>
      <c r="S272" s="179"/>
      <c r="T272" s="162" t="s">
        <v>24</v>
      </c>
      <c r="U272" s="161" t="s">
        <v>1615</v>
      </c>
      <c r="V272" s="174">
        <v>2082</v>
      </c>
      <c r="W272" s="180"/>
      <c r="X272" s="185" t="s">
        <v>259</v>
      </c>
      <c r="Y272" s="187">
        <v>44830.524872685186</v>
      </c>
    </row>
    <row r="273" spans="1:25">
      <c r="A273" s="220" t="s">
        <v>105</v>
      </c>
      <c r="B273" s="221" t="s">
        <v>1599</v>
      </c>
      <c r="C273" s="222" t="s">
        <v>3867</v>
      </c>
      <c r="D273" s="221" t="s">
        <v>3868</v>
      </c>
      <c r="E273" s="223" t="s">
        <v>1613</v>
      </c>
      <c r="F273" s="224" t="s">
        <v>1615</v>
      </c>
      <c r="G273" s="161"/>
      <c r="H273" s="214">
        <v>84</v>
      </c>
      <c r="I273" s="171"/>
      <c r="J273" s="170">
        <v>3.43</v>
      </c>
      <c r="K273" s="172"/>
      <c r="L273" s="170">
        <v>288.12</v>
      </c>
      <c r="M273" s="171">
        <v>288.12</v>
      </c>
      <c r="N273" s="170"/>
      <c r="O273" s="230" t="s">
        <v>1523</v>
      </c>
      <c r="P273" s="221" t="s">
        <v>1604</v>
      </c>
      <c r="Q273" s="231"/>
      <c r="R273" s="232"/>
      <c r="S273" s="233"/>
      <c r="T273" s="224" t="s">
        <v>28</v>
      </c>
      <c r="U273" s="223" t="s">
        <v>1615</v>
      </c>
      <c r="V273" s="232">
        <v>2540</v>
      </c>
      <c r="W273" s="234" t="s">
        <v>3932</v>
      </c>
      <c r="X273" s="235"/>
      <c r="Y273" s="236">
        <v>45111.441863425927</v>
      </c>
    </row>
    <row r="274" spans="1:25">
      <c r="A274" s="167" t="s">
        <v>77</v>
      </c>
      <c r="B274" s="162" t="s">
        <v>1555</v>
      </c>
      <c r="C274" s="163" t="s">
        <v>817</v>
      </c>
      <c r="D274" s="162" t="s">
        <v>818</v>
      </c>
      <c r="E274" s="161" t="s">
        <v>1631</v>
      </c>
      <c r="F274" s="162" t="s">
        <v>1614</v>
      </c>
      <c r="G274" s="161" t="s">
        <v>2031</v>
      </c>
      <c r="H274" s="215">
        <v>69</v>
      </c>
      <c r="I274" s="171">
        <v>1.45</v>
      </c>
      <c r="J274" s="173">
        <v>1.6</v>
      </c>
      <c r="K274" s="172">
        <v>99.98</v>
      </c>
      <c r="L274" s="173">
        <v>110.4</v>
      </c>
      <c r="M274" s="171">
        <v>110.4</v>
      </c>
      <c r="N274" s="170"/>
      <c r="O274" s="177" t="s">
        <v>76</v>
      </c>
      <c r="P274" s="162" t="s">
        <v>1620</v>
      </c>
      <c r="Q274" s="176"/>
      <c r="R274" s="174">
        <v>2047</v>
      </c>
      <c r="S274" s="179"/>
      <c r="T274" s="162" t="s">
        <v>24</v>
      </c>
      <c r="U274" s="161" t="s">
        <v>1615</v>
      </c>
      <c r="V274" s="174">
        <v>1383</v>
      </c>
      <c r="W274" s="180"/>
      <c r="X274" s="185">
        <v>45017</v>
      </c>
      <c r="Y274" s="187">
        <v>45016.517685185187</v>
      </c>
    </row>
    <row r="275" spans="1:25">
      <c r="A275" s="167" t="s">
        <v>77</v>
      </c>
      <c r="B275" s="162" t="s">
        <v>1599</v>
      </c>
      <c r="C275" s="163" t="s">
        <v>2032</v>
      </c>
      <c r="D275" s="162" t="s">
        <v>2033</v>
      </c>
      <c r="E275" s="161" t="s">
        <v>1613</v>
      </c>
      <c r="F275" s="162" t="s">
        <v>1614</v>
      </c>
      <c r="G275" s="161"/>
      <c r="H275" s="214">
        <v>1</v>
      </c>
      <c r="I275" s="171"/>
      <c r="J275" s="170">
        <v>200</v>
      </c>
      <c r="K275" s="172"/>
      <c r="L275" s="170">
        <v>200</v>
      </c>
      <c r="M275" s="171">
        <v>200</v>
      </c>
      <c r="N275" s="170"/>
      <c r="O275" s="177" t="s">
        <v>1523</v>
      </c>
      <c r="P275" s="162" t="s">
        <v>1620</v>
      </c>
      <c r="Q275" s="176"/>
      <c r="R275" s="174"/>
      <c r="S275" s="179"/>
      <c r="T275" s="162" t="s">
        <v>28</v>
      </c>
      <c r="U275" s="161" t="s">
        <v>1615</v>
      </c>
      <c r="V275" s="174">
        <v>2043</v>
      </c>
      <c r="W275" s="180"/>
      <c r="X275" s="185">
        <v>45017</v>
      </c>
      <c r="Y275" s="187">
        <v>45098.668356481481</v>
      </c>
    </row>
    <row r="276" spans="1:25">
      <c r="A276" s="167" t="s">
        <v>77</v>
      </c>
      <c r="B276" s="162" t="s">
        <v>1599</v>
      </c>
      <c r="C276" s="163" t="s">
        <v>397</v>
      </c>
      <c r="D276" s="162" t="s">
        <v>2033</v>
      </c>
      <c r="E276" s="161" t="s">
        <v>1625</v>
      </c>
      <c r="F276" s="162" t="s">
        <v>1609</v>
      </c>
      <c r="G276" s="161" t="s">
        <v>399</v>
      </c>
      <c r="H276" s="215">
        <v>77</v>
      </c>
      <c r="I276" s="171">
        <v>0</v>
      </c>
      <c r="J276" s="173">
        <v>4.5</v>
      </c>
      <c r="K276" s="172">
        <v>0</v>
      </c>
      <c r="L276" s="173">
        <v>346.5</v>
      </c>
      <c r="M276" s="171">
        <v>346.5</v>
      </c>
      <c r="N276" s="170"/>
      <c r="O276" s="177" t="s">
        <v>26</v>
      </c>
      <c r="P276" s="162" t="s">
        <v>1620</v>
      </c>
      <c r="Q276" s="176">
        <v>45505</v>
      </c>
      <c r="R276" s="174">
        <v>2049</v>
      </c>
      <c r="S276" s="179"/>
      <c r="T276" s="162" t="s">
        <v>26</v>
      </c>
      <c r="U276" s="161" t="s">
        <v>16</v>
      </c>
      <c r="V276" s="174">
        <v>1988</v>
      </c>
      <c r="W276" s="180"/>
      <c r="X276" s="185">
        <v>45069</v>
      </c>
      <c r="Y276" s="187">
        <v>45098.66777777778</v>
      </c>
    </row>
    <row r="277" spans="1:25">
      <c r="A277" s="167" t="s">
        <v>77</v>
      </c>
      <c r="B277" s="162" t="s">
        <v>1599</v>
      </c>
      <c r="C277" s="163" t="s">
        <v>397</v>
      </c>
      <c r="D277" s="162" t="s">
        <v>2033</v>
      </c>
      <c r="E277" s="161" t="s">
        <v>1625</v>
      </c>
      <c r="F277" s="162" t="s">
        <v>1609</v>
      </c>
      <c r="G277" s="161" t="s">
        <v>400</v>
      </c>
      <c r="H277" s="214">
        <v>23</v>
      </c>
      <c r="I277" s="171">
        <v>0</v>
      </c>
      <c r="J277" s="170">
        <v>4.5</v>
      </c>
      <c r="K277" s="172">
        <v>0</v>
      </c>
      <c r="L277" s="170">
        <v>103.5</v>
      </c>
      <c r="M277" s="171">
        <v>103.5</v>
      </c>
      <c r="N277" s="170"/>
      <c r="O277" s="177" t="s">
        <v>26</v>
      </c>
      <c r="P277" s="162" t="s">
        <v>1620</v>
      </c>
      <c r="Q277" s="176">
        <v>45505</v>
      </c>
      <c r="R277" s="174">
        <v>2049</v>
      </c>
      <c r="S277" s="179"/>
      <c r="T277" s="162" t="s">
        <v>26</v>
      </c>
      <c r="U277" s="161" t="s">
        <v>16</v>
      </c>
      <c r="V277" s="174">
        <v>1988</v>
      </c>
      <c r="W277" s="180"/>
      <c r="X277" s="185">
        <v>45069</v>
      </c>
      <c r="Y277" s="187">
        <v>45098.66777777778</v>
      </c>
    </row>
    <row r="278" spans="1:25">
      <c r="A278" s="167" t="s">
        <v>110</v>
      </c>
      <c r="B278" s="162" t="s">
        <v>1555</v>
      </c>
      <c r="C278" s="163" t="s">
        <v>2034</v>
      </c>
      <c r="D278" s="162" t="s">
        <v>241</v>
      </c>
      <c r="E278" s="161" t="s">
        <v>1596</v>
      </c>
      <c r="F278" s="162" t="s">
        <v>1627</v>
      </c>
      <c r="G278" s="161" t="s">
        <v>2035</v>
      </c>
      <c r="H278" s="215">
        <v>12</v>
      </c>
      <c r="I278" s="171"/>
      <c r="J278" s="173">
        <v>1</v>
      </c>
      <c r="K278" s="172"/>
      <c r="L278" s="173">
        <v>12</v>
      </c>
      <c r="M278" s="171">
        <v>12</v>
      </c>
      <c r="N278" s="170"/>
      <c r="O278" s="177" t="s">
        <v>76</v>
      </c>
      <c r="P278" s="162" t="s">
        <v>1591</v>
      </c>
      <c r="Q278" s="176"/>
      <c r="R278" s="174">
        <v>2025</v>
      </c>
      <c r="S278" s="179"/>
      <c r="T278" s="162" t="s">
        <v>24</v>
      </c>
      <c r="U278" s="161" t="s">
        <v>18</v>
      </c>
      <c r="V278" s="174">
        <v>1046</v>
      </c>
      <c r="W278" s="180"/>
      <c r="X278" s="185">
        <v>44621</v>
      </c>
      <c r="Y278" s="187">
        <v>44981.418796296297</v>
      </c>
    </row>
    <row r="279" spans="1:25">
      <c r="A279" s="167" t="s">
        <v>77</v>
      </c>
      <c r="B279" s="162" t="s">
        <v>1599</v>
      </c>
      <c r="C279" s="163" t="s">
        <v>2036</v>
      </c>
      <c r="D279" s="162" t="s">
        <v>2037</v>
      </c>
      <c r="E279" s="161" t="s">
        <v>1625</v>
      </c>
      <c r="F279" s="162" t="s">
        <v>1609</v>
      </c>
      <c r="G279" s="161"/>
      <c r="H279" s="214">
        <v>18</v>
      </c>
      <c r="I279" s="171">
        <v>5.7</v>
      </c>
      <c r="J279" s="170">
        <v>5.7</v>
      </c>
      <c r="K279" s="172">
        <v>102.6</v>
      </c>
      <c r="L279" s="170">
        <v>102.6</v>
      </c>
      <c r="M279" s="171">
        <v>102.6</v>
      </c>
      <c r="N279" s="170"/>
      <c r="O279" s="177" t="s">
        <v>1523</v>
      </c>
      <c r="P279" s="162" t="s">
        <v>1604</v>
      </c>
      <c r="Q279" s="176"/>
      <c r="R279" s="174"/>
      <c r="S279" s="179"/>
      <c r="T279" s="162" t="s">
        <v>28</v>
      </c>
      <c r="U279" s="161" t="s">
        <v>16</v>
      </c>
      <c r="V279" s="174">
        <v>2271</v>
      </c>
      <c r="W279" s="180" t="s">
        <v>2038</v>
      </c>
      <c r="X279" s="185">
        <v>45017</v>
      </c>
      <c r="Y279" s="187">
        <v>44985.405162037037</v>
      </c>
    </row>
    <row r="280" spans="1:25">
      <c r="A280" s="167" t="s">
        <v>91</v>
      </c>
      <c r="B280" s="162" t="s">
        <v>1599</v>
      </c>
      <c r="C280" s="163" t="s">
        <v>2039</v>
      </c>
      <c r="D280" s="162" t="s">
        <v>2040</v>
      </c>
      <c r="E280" s="161" t="s">
        <v>1602</v>
      </c>
      <c r="F280" s="162" t="s">
        <v>1603</v>
      </c>
      <c r="G280" s="161"/>
      <c r="H280" s="215">
        <v>1</v>
      </c>
      <c r="I280" s="171"/>
      <c r="J280" s="173">
        <v>60</v>
      </c>
      <c r="K280" s="172"/>
      <c r="L280" s="173">
        <v>60</v>
      </c>
      <c r="M280" s="171">
        <v>60</v>
      </c>
      <c r="N280" s="170">
        <v>120</v>
      </c>
      <c r="O280" s="177" t="s">
        <v>1523</v>
      </c>
      <c r="P280" s="162" t="s">
        <v>1619</v>
      </c>
      <c r="Q280" s="176">
        <v>45689</v>
      </c>
      <c r="R280" s="174"/>
      <c r="S280" s="179"/>
      <c r="T280" s="162" t="s">
        <v>28</v>
      </c>
      <c r="U280" s="161" t="s">
        <v>19</v>
      </c>
      <c r="V280" s="174">
        <v>1993</v>
      </c>
      <c r="W280" s="180" t="s">
        <v>2041</v>
      </c>
      <c r="X280" s="185">
        <v>45069</v>
      </c>
      <c r="Y280" s="187">
        <v>45028.434108796297</v>
      </c>
    </row>
    <row r="281" spans="1:25">
      <c r="A281" s="167" t="s">
        <v>91</v>
      </c>
      <c r="B281" s="162" t="s">
        <v>1555</v>
      </c>
      <c r="C281" s="163" t="s">
        <v>2042</v>
      </c>
      <c r="D281" s="162" t="s">
        <v>2040</v>
      </c>
      <c r="E281" s="161" t="s">
        <v>1625</v>
      </c>
      <c r="F281" s="162" t="s">
        <v>1609</v>
      </c>
      <c r="G281" s="161" t="s">
        <v>2043</v>
      </c>
      <c r="H281" s="214">
        <v>27</v>
      </c>
      <c r="I281" s="171"/>
      <c r="J281" s="170">
        <v>2.1</v>
      </c>
      <c r="K281" s="172"/>
      <c r="L281" s="170">
        <v>56.7</v>
      </c>
      <c r="M281" s="171">
        <v>56.7</v>
      </c>
      <c r="N281" s="170"/>
      <c r="O281" s="177" t="s">
        <v>76</v>
      </c>
      <c r="P281" s="162" t="s">
        <v>1620</v>
      </c>
      <c r="Q281" s="176"/>
      <c r="R281" s="174">
        <v>2039</v>
      </c>
      <c r="S281" s="179"/>
      <c r="T281" s="162" t="s">
        <v>24</v>
      </c>
      <c r="U281" s="161" t="s">
        <v>16</v>
      </c>
      <c r="V281" s="174">
        <v>1047</v>
      </c>
      <c r="W281" s="180"/>
      <c r="X281" s="185">
        <v>45017</v>
      </c>
      <c r="Y281" s="187">
        <v>45015.407754629632</v>
      </c>
    </row>
    <row r="282" spans="1:25">
      <c r="A282" s="167" t="s">
        <v>77</v>
      </c>
      <c r="B282" s="162" t="s">
        <v>1555</v>
      </c>
      <c r="C282" s="163" t="s">
        <v>821</v>
      </c>
      <c r="D282" s="162" t="s">
        <v>822</v>
      </c>
      <c r="E282" s="161" t="s">
        <v>1631</v>
      </c>
      <c r="F282" s="162" t="s">
        <v>1614</v>
      </c>
      <c r="G282" s="161" t="s">
        <v>823</v>
      </c>
      <c r="H282" s="215">
        <v>37</v>
      </c>
      <c r="I282" s="171">
        <v>2.0499999999999998</v>
      </c>
      <c r="J282" s="173">
        <v>2.5</v>
      </c>
      <c r="K282" s="172">
        <v>75.849999999999994</v>
      </c>
      <c r="L282" s="173">
        <v>92.5</v>
      </c>
      <c r="M282" s="171">
        <v>92.5</v>
      </c>
      <c r="N282" s="170"/>
      <c r="O282" s="177" t="s">
        <v>76</v>
      </c>
      <c r="P282" s="162" t="s">
        <v>1620</v>
      </c>
      <c r="Q282" s="176">
        <v>43525</v>
      </c>
      <c r="R282" s="174">
        <v>2049</v>
      </c>
      <c r="S282" s="179"/>
      <c r="T282" s="162" t="s">
        <v>24</v>
      </c>
      <c r="U282" s="161" t="s">
        <v>1615</v>
      </c>
      <c r="V282" s="174">
        <v>1562</v>
      </c>
      <c r="W282" s="180"/>
      <c r="X282" s="185">
        <v>45069</v>
      </c>
      <c r="Y282" s="187">
        <v>45021.522488425922</v>
      </c>
    </row>
    <row r="283" spans="1:25">
      <c r="A283" s="167" t="s">
        <v>110</v>
      </c>
      <c r="B283" s="162" t="s">
        <v>1555</v>
      </c>
      <c r="C283" s="163" t="s">
        <v>2044</v>
      </c>
      <c r="D283" s="162" t="s">
        <v>396</v>
      </c>
      <c r="E283" s="161" t="s">
        <v>1700</v>
      </c>
      <c r="F283" s="162" t="s">
        <v>1658</v>
      </c>
      <c r="G283" s="161" t="s">
        <v>2045</v>
      </c>
      <c r="H283" s="214">
        <v>2</v>
      </c>
      <c r="I283" s="171">
        <v>0</v>
      </c>
      <c r="J283" s="170">
        <v>14.5</v>
      </c>
      <c r="K283" s="172">
        <v>0</v>
      </c>
      <c r="L283" s="170">
        <v>29</v>
      </c>
      <c r="M283" s="171">
        <v>29</v>
      </c>
      <c r="N283" s="170"/>
      <c r="O283" s="177" t="s">
        <v>76</v>
      </c>
      <c r="P283" s="162" t="s">
        <v>1591</v>
      </c>
      <c r="Q283" s="176"/>
      <c r="R283" s="174">
        <v>2057</v>
      </c>
      <c r="S283" s="179"/>
      <c r="T283" s="162" t="s">
        <v>24</v>
      </c>
      <c r="U283" s="161" t="s">
        <v>17</v>
      </c>
      <c r="V283" s="174">
        <v>1048</v>
      </c>
      <c r="W283" s="180"/>
      <c r="X283" s="185">
        <v>44621</v>
      </c>
      <c r="Y283" s="187">
        <v>45028.689259259256</v>
      </c>
    </row>
    <row r="284" spans="1:25">
      <c r="A284" s="167" t="s">
        <v>45</v>
      </c>
      <c r="B284" s="162" t="s">
        <v>1555</v>
      </c>
      <c r="C284" s="163" t="s">
        <v>2046</v>
      </c>
      <c r="D284" s="162" t="s">
        <v>2046</v>
      </c>
      <c r="E284" s="161" t="s">
        <v>1603</v>
      </c>
      <c r="F284" s="162" t="s">
        <v>1635</v>
      </c>
      <c r="G284" s="161"/>
      <c r="H284" s="215">
        <v>1</v>
      </c>
      <c r="I284" s="171"/>
      <c r="J284" s="173"/>
      <c r="K284" s="172"/>
      <c r="L284" s="173"/>
      <c r="M284" s="171"/>
      <c r="N284" s="170"/>
      <c r="O284" s="177" t="s">
        <v>76</v>
      </c>
      <c r="P284" s="162" t="s">
        <v>1591</v>
      </c>
      <c r="Q284" s="176"/>
      <c r="R284" s="174"/>
      <c r="S284" s="179"/>
      <c r="T284" s="162" t="s">
        <v>24</v>
      </c>
      <c r="U284" s="161" t="s">
        <v>20</v>
      </c>
      <c r="V284" s="174">
        <v>1049</v>
      </c>
      <c r="W284" s="180"/>
      <c r="X284" s="185" t="s">
        <v>259</v>
      </c>
      <c r="Y284" s="187">
        <v>43227.19734953704</v>
      </c>
    </row>
    <row r="285" spans="1:25">
      <c r="A285" s="167" t="s">
        <v>105</v>
      </c>
      <c r="B285" s="162" t="s">
        <v>1555</v>
      </c>
      <c r="C285" s="163" t="s">
        <v>2047</v>
      </c>
      <c r="D285" s="162" t="s">
        <v>1735</v>
      </c>
      <c r="E285" s="161" t="s">
        <v>1700</v>
      </c>
      <c r="F285" s="162" t="s">
        <v>1658</v>
      </c>
      <c r="G285" s="161" t="s">
        <v>2048</v>
      </c>
      <c r="H285" s="214">
        <v>1</v>
      </c>
      <c r="I285" s="171">
        <v>19</v>
      </c>
      <c r="J285" s="170">
        <v>19</v>
      </c>
      <c r="K285" s="172">
        <v>19</v>
      </c>
      <c r="L285" s="170">
        <v>19</v>
      </c>
      <c r="M285" s="171">
        <v>19</v>
      </c>
      <c r="N285" s="170"/>
      <c r="O285" s="177" t="s">
        <v>76</v>
      </c>
      <c r="P285" s="162" t="s">
        <v>1591</v>
      </c>
      <c r="Q285" s="176"/>
      <c r="R285" s="174">
        <v>2100</v>
      </c>
      <c r="S285" s="179"/>
      <c r="T285" s="162" t="s">
        <v>24</v>
      </c>
      <c r="U285" s="161" t="s">
        <v>17</v>
      </c>
      <c r="V285" s="174">
        <v>1050</v>
      </c>
      <c r="W285" s="180"/>
      <c r="X285" s="185">
        <v>44621</v>
      </c>
      <c r="Y285" s="187">
        <v>44981.419409722221</v>
      </c>
    </row>
    <row r="286" spans="1:25">
      <c r="A286" s="167" t="s">
        <v>110</v>
      </c>
      <c r="B286" s="162" t="s">
        <v>1555</v>
      </c>
      <c r="C286" s="163" t="s">
        <v>2049</v>
      </c>
      <c r="D286" s="162" t="s">
        <v>2050</v>
      </c>
      <c r="E286" s="161" t="s">
        <v>1625</v>
      </c>
      <c r="F286" s="162" t="s">
        <v>1609</v>
      </c>
      <c r="G286" s="161" t="s">
        <v>2051</v>
      </c>
      <c r="H286" s="215">
        <v>14</v>
      </c>
      <c r="I286" s="171">
        <v>1.3</v>
      </c>
      <c r="J286" s="173">
        <v>1.3</v>
      </c>
      <c r="K286" s="172">
        <v>18.2</v>
      </c>
      <c r="L286" s="173">
        <v>18.2</v>
      </c>
      <c r="M286" s="171">
        <v>18.2</v>
      </c>
      <c r="N286" s="170">
        <v>0</v>
      </c>
      <c r="O286" s="177" t="s">
        <v>76</v>
      </c>
      <c r="P286" s="162" t="s">
        <v>1591</v>
      </c>
      <c r="Q286" s="176"/>
      <c r="R286" s="174"/>
      <c r="S286" s="179"/>
      <c r="T286" s="162" t="s">
        <v>24</v>
      </c>
      <c r="U286" s="161" t="s">
        <v>16</v>
      </c>
      <c r="V286" s="174">
        <v>1051</v>
      </c>
      <c r="W286" s="180"/>
      <c r="X286" s="185">
        <v>44805</v>
      </c>
      <c r="Y286" s="187">
        <v>45021.736747685187</v>
      </c>
    </row>
    <row r="287" spans="1:25">
      <c r="A287" s="167" t="s">
        <v>110</v>
      </c>
      <c r="B287" s="162" t="s">
        <v>1555</v>
      </c>
      <c r="C287" s="163" t="s">
        <v>114</v>
      </c>
      <c r="D287" s="162" t="s">
        <v>2052</v>
      </c>
      <c r="E287" s="161" t="s">
        <v>1631</v>
      </c>
      <c r="F287" s="162" t="s">
        <v>1614</v>
      </c>
      <c r="G287" s="161" t="s">
        <v>116</v>
      </c>
      <c r="H287" s="214">
        <v>19</v>
      </c>
      <c r="I287" s="171">
        <v>1.43</v>
      </c>
      <c r="J287" s="170">
        <v>1.64</v>
      </c>
      <c r="K287" s="172">
        <v>27.17</v>
      </c>
      <c r="L287" s="170">
        <v>31.16</v>
      </c>
      <c r="M287" s="171">
        <v>31.16</v>
      </c>
      <c r="N287" s="170"/>
      <c r="O287" s="177" t="s">
        <v>76</v>
      </c>
      <c r="P287" s="162" t="s">
        <v>1620</v>
      </c>
      <c r="Q287" s="176"/>
      <c r="R287" s="174">
        <v>2045</v>
      </c>
      <c r="S287" s="179"/>
      <c r="T287" s="162" t="s">
        <v>24</v>
      </c>
      <c r="U287" s="161" t="s">
        <v>1615</v>
      </c>
      <c r="V287" s="174">
        <v>1691</v>
      </c>
      <c r="W287" s="180"/>
      <c r="X287" s="185">
        <v>45069</v>
      </c>
      <c r="Y287" s="187">
        <v>45103.803854166668</v>
      </c>
    </row>
    <row r="288" spans="1:25">
      <c r="A288" s="167" t="s">
        <v>45</v>
      </c>
      <c r="B288" s="162" t="s">
        <v>1599</v>
      </c>
      <c r="C288" s="163" t="s">
        <v>2053</v>
      </c>
      <c r="D288" s="162" t="s">
        <v>2054</v>
      </c>
      <c r="E288" s="161" t="s">
        <v>1602</v>
      </c>
      <c r="F288" s="162" t="s">
        <v>1603</v>
      </c>
      <c r="G288" s="161"/>
      <c r="H288" s="215">
        <v>1</v>
      </c>
      <c r="I288" s="171"/>
      <c r="J288" s="173">
        <v>100</v>
      </c>
      <c r="K288" s="172"/>
      <c r="L288" s="173">
        <v>100</v>
      </c>
      <c r="M288" s="171">
        <v>100</v>
      </c>
      <c r="N288" s="170">
        <v>0</v>
      </c>
      <c r="O288" s="177" t="s">
        <v>1523</v>
      </c>
      <c r="P288" s="162" t="s">
        <v>1619</v>
      </c>
      <c r="Q288" s="176"/>
      <c r="R288" s="174"/>
      <c r="S288" s="179"/>
      <c r="T288" s="162" t="s">
        <v>28</v>
      </c>
      <c r="U288" s="161" t="s">
        <v>19</v>
      </c>
      <c r="V288" s="174">
        <v>1940</v>
      </c>
      <c r="W288" s="180" t="s">
        <v>2055</v>
      </c>
      <c r="X288" s="185">
        <v>45017</v>
      </c>
      <c r="Y288" s="187">
        <v>44937.633530092593</v>
      </c>
    </row>
    <row r="289" spans="1:25">
      <c r="A289" s="167" t="s">
        <v>45</v>
      </c>
      <c r="B289" s="162" t="s">
        <v>1555</v>
      </c>
      <c r="C289" s="163" t="s">
        <v>783</v>
      </c>
      <c r="D289" s="162" t="s">
        <v>784</v>
      </c>
      <c r="E289" s="161" t="s">
        <v>1631</v>
      </c>
      <c r="F289" s="162" t="s">
        <v>1614</v>
      </c>
      <c r="G289" s="161" t="s">
        <v>2056</v>
      </c>
      <c r="H289" s="214">
        <v>90</v>
      </c>
      <c r="I289" s="171"/>
      <c r="J289" s="170">
        <v>1.67</v>
      </c>
      <c r="K289" s="172"/>
      <c r="L289" s="170">
        <v>150.30000000000001</v>
      </c>
      <c r="M289" s="171">
        <v>150.30000000000001</v>
      </c>
      <c r="N289" s="170"/>
      <c r="O289" s="177" t="s">
        <v>76</v>
      </c>
      <c r="P289" s="162" t="s">
        <v>1620</v>
      </c>
      <c r="Q289" s="176"/>
      <c r="R289" s="174">
        <v>2038</v>
      </c>
      <c r="S289" s="179"/>
      <c r="T289" s="162" t="s">
        <v>24</v>
      </c>
      <c r="U289" s="161" t="s">
        <v>1615</v>
      </c>
      <c r="V289" s="174">
        <v>1420</v>
      </c>
      <c r="W289" s="180"/>
      <c r="X289" s="185">
        <v>45069</v>
      </c>
      <c r="Y289" s="187">
        <v>44981.40792824074</v>
      </c>
    </row>
    <row r="290" spans="1:25">
      <c r="A290" s="167" t="s">
        <v>45</v>
      </c>
      <c r="B290" s="162" t="s">
        <v>1555</v>
      </c>
      <c r="C290" s="163" t="s">
        <v>515</v>
      </c>
      <c r="D290" s="162" t="s">
        <v>442</v>
      </c>
      <c r="E290" s="161" t="s">
        <v>1625</v>
      </c>
      <c r="F290" s="162" t="s">
        <v>1609</v>
      </c>
      <c r="G290" s="161" t="s">
        <v>516</v>
      </c>
      <c r="H290" s="215">
        <v>54</v>
      </c>
      <c r="I290" s="171">
        <v>4.2</v>
      </c>
      <c r="J290" s="173">
        <v>4.2</v>
      </c>
      <c r="K290" s="172">
        <v>226.8</v>
      </c>
      <c r="L290" s="173">
        <v>226.8</v>
      </c>
      <c r="M290" s="171">
        <v>226.8</v>
      </c>
      <c r="N290" s="170"/>
      <c r="O290" s="177" t="s">
        <v>76</v>
      </c>
      <c r="P290" s="162" t="s">
        <v>1620</v>
      </c>
      <c r="Q290" s="176">
        <v>44166</v>
      </c>
      <c r="R290" s="174">
        <v>2046</v>
      </c>
      <c r="S290" s="179"/>
      <c r="T290" s="162" t="s">
        <v>24</v>
      </c>
      <c r="U290" s="161" t="s">
        <v>16</v>
      </c>
      <c r="V290" s="174">
        <v>1052</v>
      </c>
      <c r="W290" s="180"/>
      <c r="X290" s="185">
        <v>45017</v>
      </c>
      <c r="Y290" s="187">
        <v>45015.415185185186</v>
      </c>
    </row>
    <row r="291" spans="1:25">
      <c r="A291" s="167" t="s">
        <v>77</v>
      </c>
      <c r="B291" s="162" t="s">
        <v>1599</v>
      </c>
      <c r="C291" s="163" t="s">
        <v>2057</v>
      </c>
      <c r="D291" s="162" t="s">
        <v>2058</v>
      </c>
      <c r="E291" s="161" t="s">
        <v>1603</v>
      </c>
      <c r="F291" s="162" t="s">
        <v>1740</v>
      </c>
      <c r="G291" s="161"/>
      <c r="H291" s="214">
        <v>1</v>
      </c>
      <c r="I291" s="171">
        <v>990</v>
      </c>
      <c r="J291" s="170">
        <v>990</v>
      </c>
      <c r="K291" s="172">
        <v>990</v>
      </c>
      <c r="L291" s="170">
        <v>990</v>
      </c>
      <c r="M291" s="171">
        <v>990</v>
      </c>
      <c r="N291" s="170"/>
      <c r="O291" s="177" t="s">
        <v>1523</v>
      </c>
      <c r="P291" s="162" t="s">
        <v>1604</v>
      </c>
      <c r="Q291" s="176"/>
      <c r="R291" s="174"/>
      <c r="S291" s="179"/>
      <c r="T291" s="162" t="s">
        <v>28</v>
      </c>
      <c r="U291" s="161" t="s">
        <v>11</v>
      </c>
      <c r="V291" s="174">
        <v>2276</v>
      </c>
      <c r="W291" s="180" t="s">
        <v>2059</v>
      </c>
      <c r="X291" s="185">
        <v>45017</v>
      </c>
      <c r="Y291" s="187">
        <v>44944.573020833333</v>
      </c>
    </row>
    <row r="292" spans="1:25">
      <c r="A292" s="167" t="s">
        <v>77</v>
      </c>
      <c r="B292" s="162" t="s">
        <v>1599</v>
      </c>
      <c r="C292" s="163" t="s">
        <v>2060</v>
      </c>
      <c r="D292" s="162" t="s">
        <v>2061</v>
      </c>
      <c r="E292" s="161" t="s">
        <v>1625</v>
      </c>
      <c r="F292" s="162" t="s">
        <v>1609</v>
      </c>
      <c r="G292" s="161"/>
      <c r="H292" s="215">
        <v>364</v>
      </c>
      <c r="I292" s="171"/>
      <c r="J292" s="173">
        <v>7.8</v>
      </c>
      <c r="K292" s="172"/>
      <c r="L292" s="173">
        <v>2839.2</v>
      </c>
      <c r="M292" s="171">
        <v>2839.2</v>
      </c>
      <c r="N292" s="170"/>
      <c r="O292" s="177" t="s">
        <v>1523</v>
      </c>
      <c r="P292" s="162" t="s">
        <v>1604</v>
      </c>
      <c r="Q292" s="176"/>
      <c r="R292" s="174"/>
      <c r="S292" s="179"/>
      <c r="T292" s="162" t="s">
        <v>28</v>
      </c>
      <c r="U292" s="161" t="s">
        <v>16</v>
      </c>
      <c r="V292" s="174">
        <v>2520</v>
      </c>
      <c r="W292" s="180"/>
      <c r="X292" s="185"/>
      <c r="Y292" s="187">
        <v>45100.427974537037</v>
      </c>
    </row>
    <row r="293" spans="1:25">
      <c r="A293" s="167" t="s">
        <v>77</v>
      </c>
      <c r="B293" s="162" t="s">
        <v>1599</v>
      </c>
      <c r="C293" s="163" t="s">
        <v>2062</v>
      </c>
      <c r="D293" s="162" t="s">
        <v>197</v>
      </c>
      <c r="E293" s="161" t="s">
        <v>1602</v>
      </c>
      <c r="F293" s="162" t="s">
        <v>1603</v>
      </c>
      <c r="G293" s="161"/>
      <c r="H293" s="214">
        <v>1</v>
      </c>
      <c r="I293" s="171">
        <v>100</v>
      </c>
      <c r="J293" s="170">
        <v>100</v>
      </c>
      <c r="K293" s="172">
        <v>100</v>
      </c>
      <c r="L293" s="170">
        <v>100</v>
      </c>
      <c r="M293" s="171">
        <v>100</v>
      </c>
      <c r="N293" s="170">
        <v>100</v>
      </c>
      <c r="O293" s="177" t="s">
        <v>1523</v>
      </c>
      <c r="P293" s="162" t="s">
        <v>1619</v>
      </c>
      <c r="Q293" s="176">
        <v>46357</v>
      </c>
      <c r="R293" s="174"/>
      <c r="S293" s="179"/>
      <c r="T293" s="162" t="s">
        <v>28</v>
      </c>
      <c r="U293" s="161" t="s">
        <v>19</v>
      </c>
      <c r="V293" s="174">
        <v>1734</v>
      </c>
      <c r="W293" s="180"/>
      <c r="X293" s="185">
        <v>44805</v>
      </c>
      <c r="Y293" s="187">
        <v>45022.45417824074</v>
      </c>
    </row>
    <row r="294" spans="1:25">
      <c r="A294" s="167" t="s">
        <v>77</v>
      </c>
      <c r="B294" s="162" t="s">
        <v>1555</v>
      </c>
      <c r="C294" s="163" t="s">
        <v>824</v>
      </c>
      <c r="D294" s="162" t="s">
        <v>442</v>
      </c>
      <c r="E294" s="161" t="s">
        <v>1613</v>
      </c>
      <c r="F294" s="162" t="s">
        <v>1614</v>
      </c>
      <c r="G294" s="161" t="s">
        <v>2063</v>
      </c>
      <c r="H294" s="215">
        <v>17</v>
      </c>
      <c r="I294" s="171">
        <v>2.5</v>
      </c>
      <c r="J294" s="173">
        <v>2.5</v>
      </c>
      <c r="K294" s="172">
        <v>42.5</v>
      </c>
      <c r="L294" s="173">
        <v>42.5</v>
      </c>
      <c r="M294" s="171">
        <v>42.5</v>
      </c>
      <c r="N294" s="170"/>
      <c r="O294" s="177" t="s">
        <v>76</v>
      </c>
      <c r="P294" s="162" t="s">
        <v>1620</v>
      </c>
      <c r="Q294" s="176">
        <v>43313</v>
      </c>
      <c r="R294" s="174">
        <v>2044</v>
      </c>
      <c r="S294" s="179"/>
      <c r="T294" s="162" t="s">
        <v>24</v>
      </c>
      <c r="U294" s="161" t="s">
        <v>1615</v>
      </c>
      <c r="V294" s="174">
        <v>1349</v>
      </c>
      <c r="W294" s="180"/>
      <c r="X294" s="185">
        <v>45017</v>
      </c>
      <c r="Y294" s="187">
        <v>45016.484525462962</v>
      </c>
    </row>
    <row r="295" spans="1:25">
      <c r="A295" s="167" t="s">
        <v>45</v>
      </c>
      <c r="B295" s="162" t="s">
        <v>1555</v>
      </c>
      <c r="C295" s="163" t="s">
        <v>2064</v>
      </c>
      <c r="D295" s="162" t="s">
        <v>805</v>
      </c>
      <c r="E295" s="161" t="s">
        <v>1673</v>
      </c>
      <c r="F295" s="162" t="s">
        <v>1592</v>
      </c>
      <c r="G295" s="161" t="s">
        <v>2065</v>
      </c>
      <c r="H295" s="214">
        <v>1</v>
      </c>
      <c r="I295" s="171"/>
      <c r="J295" s="170">
        <v>181</v>
      </c>
      <c r="K295" s="172"/>
      <c r="L295" s="170">
        <v>181</v>
      </c>
      <c r="M295" s="171">
        <v>181</v>
      </c>
      <c r="N295" s="170"/>
      <c r="O295" s="177" t="s">
        <v>76</v>
      </c>
      <c r="P295" s="162" t="s">
        <v>1619</v>
      </c>
      <c r="Q295" s="176"/>
      <c r="R295" s="174">
        <v>2070</v>
      </c>
      <c r="S295" s="179"/>
      <c r="T295" s="162" t="s">
        <v>24</v>
      </c>
      <c r="U295" s="161" t="s">
        <v>13</v>
      </c>
      <c r="V295" s="174">
        <v>1053</v>
      </c>
      <c r="W295" s="180"/>
      <c r="X295" s="185">
        <v>45017</v>
      </c>
      <c r="Y295" s="187">
        <v>45015.41778935185</v>
      </c>
    </row>
    <row r="296" spans="1:25">
      <c r="A296" s="167" t="s">
        <v>45</v>
      </c>
      <c r="B296" s="162" t="s">
        <v>1555</v>
      </c>
      <c r="C296" s="163" t="s">
        <v>2064</v>
      </c>
      <c r="D296" s="162" t="s">
        <v>805</v>
      </c>
      <c r="E296" s="161" t="s">
        <v>1673</v>
      </c>
      <c r="F296" s="162" t="s">
        <v>1592</v>
      </c>
      <c r="G296" s="161" t="s">
        <v>2066</v>
      </c>
      <c r="H296" s="215">
        <v>1</v>
      </c>
      <c r="I296" s="171">
        <v>162</v>
      </c>
      <c r="J296" s="173">
        <v>181</v>
      </c>
      <c r="K296" s="172">
        <v>162</v>
      </c>
      <c r="L296" s="173">
        <v>181</v>
      </c>
      <c r="M296" s="171">
        <v>181</v>
      </c>
      <c r="N296" s="170"/>
      <c r="O296" s="177" t="s">
        <v>76</v>
      </c>
      <c r="P296" s="162" t="s">
        <v>1619</v>
      </c>
      <c r="Q296" s="176"/>
      <c r="R296" s="174">
        <v>2070</v>
      </c>
      <c r="S296" s="179"/>
      <c r="T296" s="162" t="s">
        <v>24</v>
      </c>
      <c r="U296" s="161" t="s">
        <v>13</v>
      </c>
      <c r="V296" s="174">
        <v>1053</v>
      </c>
      <c r="W296" s="180"/>
      <c r="X296" s="185">
        <v>45017</v>
      </c>
      <c r="Y296" s="187">
        <v>45015.41778935185</v>
      </c>
    </row>
    <row r="297" spans="1:25">
      <c r="A297" s="167" t="s">
        <v>45</v>
      </c>
      <c r="B297" s="162" t="s">
        <v>1555</v>
      </c>
      <c r="C297" s="163" t="s">
        <v>2064</v>
      </c>
      <c r="D297" s="162" t="s">
        <v>805</v>
      </c>
      <c r="E297" s="161" t="s">
        <v>1673</v>
      </c>
      <c r="F297" s="162" t="s">
        <v>1592</v>
      </c>
      <c r="G297" s="161" t="s">
        <v>2067</v>
      </c>
      <c r="H297" s="214">
        <v>1</v>
      </c>
      <c r="I297" s="171"/>
      <c r="J297" s="170">
        <v>181</v>
      </c>
      <c r="K297" s="172"/>
      <c r="L297" s="170">
        <v>181</v>
      </c>
      <c r="M297" s="171">
        <v>181</v>
      </c>
      <c r="N297" s="170"/>
      <c r="O297" s="177" t="s">
        <v>76</v>
      </c>
      <c r="P297" s="162" t="s">
        <v>1619</v>
      </c>
      <c r="Q297" s="176"/>
      <c r="R297" s="174">
        <v>2070</v>
      </c>
      <c r="S297" s="179"/>
      <c r="T297" s="162" t="s">
        <v>24</v>
      </c>
      <c r="U297" s="161" t="s">
        <v>13</v>
      </c>
      <c r="V297" s="174">
        <v>1053</v>
      </c>
      <c r="W297" s="180"/>
      <c r="X297" s="185">
        <v>45017</v>
      </c>
      <c r="Y297" s="187">
        <v>45015.41778935185</v>
      </c>
    </row>
    <row r="298" spans="1:25">
      <c r="A298" s="167" t="s">
        <v>45</v>
      </c>
      <c r="B298" s="162" t="s">
        <v>1555</v>
      </c>
      <c r="C298" s="163" t="s">
        <v>2064</v>
      </c>
      <c r="D298" s="162" t="s">
        <v>805</v>
      </c>
      <c r="E298" s="161" t="s">
        <v>1673</v>
      </c>
      <c r="F298" s="162" t="s">
        <v>1592</v>
      </c>
      <c r="G298" s="161" t="s">
        <v>2068</v>
      </c>
      <c r="H298" s="215">
        <v>1</v>
      </c>
      <c r="I298" s="171"/>
      <c r="J298" s="173">
        <v>181</v>
      </c>
      <c r="K298" s="172"/>
      <c r="L298" s="173">
        <v>181</v>
      </c>
      <c r="M298" s="171">
        <v>181</v>
      </c>
      <c r="N298" s="170"/>
      <c r="O298" s="177" t="s">
        <v>76</v>
      </c>
      <c r="P298" s="162" t="s">
        <v>1619</v>
      </c>
      <c r="Q298" s="176"/>
      <c r="R298" s="174">
        <v>2070</v>
      </c>
      <c r="S298" s="179"/>
      <c r="T298" s="162" t="s">
        <v>24</v>
      </c>
      <c r="U298" s="161" t="s">
        <v>13</v>
      </c>
      <c r="V298" s="174">
        <v>1053</v>
      </c>
      <c r="W298" s="180"/>
      <c r="X298" s="185">
        <v>45017</v>
      </c>
      <c r="Y298" s="187">
        <v>45015.41778935185</v>
      </c>
    </row>
    <row r="299" spans="1:25">
      <c r="A299" s="220" t="s">
        <v>77</v>
      </c>
      <c r="B299" s="221" t="s">
        <v>1599</v>
      </c>
      <c r="C299" s="222" t="s">
        <v>3908</v>
      </c>
      <c r="D299" s="221" t="s">
        <v>3909</v>
      </c>
      <c r="E299" s="223" t="s">
        <v>1602</v>
      </c>
      <c r="F299" s="224" t="s">
        <v>20</v>
      </c>
      <c r="G299" s="161"/>
      <c r="H299" s="214">
        <v>1</v>
      </c>
      <c r="I299" s="171"/>
      <c r="J299" s="170">
        <v>700</v>
      </c>
      <c r="K299" s="172"/>
      <c r="L299" s="170">
        <v>700</v>
      </c>
      <c r="M299" s="171">
        <v>700</v>
      </c>
      <c r="N299" s="170">
        <v>0</v>
      </c>
      <c r="O299" s="230" t="s">
        <v>1523</v>
      </c>
      <c r="P299" s="221" t="s">
        <v>1604</v>
      </c>
      <c r="Q299" s="231"/>
      <c r="R299" s="232"/>
      <c r="S299" s="233"/>
      <c r="T299" s="224" t="s">
        <v>28</v>
      </c>
      <c r="U299" s="223" t="s">
        <v>19</v>
      </c>
      <c r="V299" s="232">
        <v>2554</v>
      </c>
      <c r="W299" s="234" t="s">
        <v>3955</v>
      </c>
      <c r="X299" s="235"/>
      <c r="Y299" s="236">
        <v>45111.695810185185</v>
      </c>
    </row>
    <row r="300" spans="1:25">
      <c r="A300" s="167" t="s">
        <v>77</v>
      </c>
      <c r="B300" s="162" t="s">
        <v>1555</v>
      </c>
      <c r="C300" s="163" t="s">
        <v>578</v>
      </c>
      <c r="D300" s="162" t="s">
        <v>579</v>
      </c>
      <c r="E300" s="161" t="s">
        <v>1631</v>
      </c>
      <c r="F300" s="162" t="s">
        <v>1614</v>
      </c>
      <c r="G300" s="161" t="s">
        <v>2069</v>
      </c>
      <c r="H300" s="215">
        <v>79</v>
      </c>
      <c r="I300" s="171">
        <v>2.75</v>
      </c>
      <c r="J300" s="173">
        <v>2.75</v>
      </c>
      <c r="K300" s="172">
        <v>217.25</v>
      </c>
      <c r="L300" s="173">
        <v>217.25</v>
      </c>
      <c r="M300" s="171">
        <v>217.25</v>
      </c>
      <c r="N300" s="170">
        <v>0</v>
      </c>
      <c r="O300" s="177" t="s">
        <v>401</v>
      </c>
      <c r="P300" s="162" t="s">
        <v>1620</v>
      </c>
      <c r="Q300" s="176">
        <v>45139</v>
      </c>
      <c r="R300" s="174">
        <v>2046</v>
      </c>
      <c r="S300" s="179"/>
      <c r="T300" s="162" t="s">
        <v>24</v>
      </c>
      <c r="U300" s="161" t="s">
        <v>1615</v>
      </c>
      <c r="V300" s="174">
        <v>1459</v>
      </c>
      <c r="W300" s="180"/>
      <c r="X300" s="185">
        <v>45069</v>
      </c>
      <c r="Y300" s="187">
        <v>45097.406388888892</v>
      </c>
    </row>
    <row r="301" spans="1:25">
      <c r="A301" s="167" t="s">
        <v>77</v>
      </c>
      <c r="B301" s="162" t="s">
        <v>1555</v>
      </c>
      <c r="C301" s="163" t="s">
        <v>2070</v>
      </c>
      <c r="D301" s="162" t="s">
        <v>2071</v>
      </c>
      <c r="E301" s="161" t="s">
        <v>2072</v>
      </c>
      <c r="F301" s="162" t="s">
        <v>1857</v>
      </c>
      <c r="G301" s="161" t="s">
        <v>2073</v>
      </c>
      <c r="H301" s="214">
        <v>2</v>
      </c>
      <c r="I301" s="171"/>
      <c r="J301" s="170">
        <v>43.7</v>
      </c>
      <c r="K301" s="172"/>
      <c r="L301" s="170">
        <v>87.4</v>
      </c>
      <c r="M301" s="171">
        <v>87.4</v>
      </c>
      <c r="N301" s="170"/>
      <c r="O301" s="177" t="s">
        <v>76</v>
      </c>
      <c r="P301" s="162" t="s">
        <v>1619</v>
      </c>
      <c r="Q301" s="176"/>
      <c r="R301" s="174">
        <v>2039</v>
      </c>
      <c r="S301" s="179"/>
      <c r="T301" s="162" t="s">
        <v>24</v>
      </c>
      <c r="U301" s="161" t="s">
        <v>12</v>
      </c>
      <c r="V301" s="174">
        <v>1054</v>
      </c>
      <c r="W301" s="180"/>
      <c r="X301" s="185">
        <v>45017</v>
      </c>
      <c r="Y301" s="187">
        <v>45015.425092592595</v>
      </c>
    </row>
    <row r="302" spans="1:25">
      <c r="A302" s="167" t="s">
        <v>77</v>
      </c>
      <c r="B302" s="162" t="s">
        <v>1555</v>
      </c>
      <c r="C302" s="163" t="s">
        <v>2070</v>
      </c>
      <c r="D302" s="162" t="s">
        <v>2071</v>
      </c>
      <c r="E302" s="161" t="s">
        <v>1739</v>
      </c>
      <c r="F302" s="162" t="s">
        <v>1857</v>
      </c>
      <c r="G302" s="161" t="s">
        <v>2073</v>
      </c>
      <c r="H302" s="215">
        <v>1</v>
      </c>
      <c r="I302" s="171"/>
      <c r="J302" s="173">
        <v>57</v>
      </c>
      <c r="K302" s="172"/>
      <c r="L302" s="173">
        <v>57</v>
      </c>
      <c r="M302" s="171">
        <v>57</v>
      </c>
      <c r="N302" s="170"/>
      <c r="O302" s="177" t="s">
        <v>76</v>
      </c>
      <c r="P302" s="162" t="s">
        <v>1619</v>
      </c>
      <c r="Q302" s="176"/>
      <c r="R302" s="174">
        <v>2039</v>
      </c>
      <c r="S302" s="179"/>
      <c r="T302" s="162" t="s">
        <v>24</v>
      </c>
      <c r="U302" s="161" t="s">
        <v>14</v>
      </c>
      <c r="V302" s="174">
        <v>1054</v>
      </c>
      <c r="W302" s="180"/>
      <c r="X302" s="185">
        <v>45017</v>
      </c>
      <c r="Y302" s="187">
        <v>45015.425092592595</v>
      </c>
    </row>
    <row r="303" spans="1:25">
      <c r="A303" s="167" t="s">
        <v>45</v>
      </c>
      <c r="B303" s="162" t="s">
        <v>1555</v>
      </c>
      <c r="C303" s="163" t="s">
        <v>2074</v>
      </c>
      <c r="D303" s="162" t="s">
        <v>1884</v>
      </c>
      <c r="E303" s="161" t="s">
        <v>1739</v>
      </c>
      <c r="F303" s="162" t="s">
        <v>1986</v>
      </c>
      <c r="G303" s="161" t="s">
        <v>2075</v>
      </c>
      <c r="H303" s="214">
        <v>1</v>
      </c>
      <c r="I303" s="171">
        <v>30</v>
      </c>
      <c r="J303" s="170">
        <v>30</v>
      </c>
      <c r="K303" s="172">
        <v>30</v>
      </c>
      <c r="L303" s="170">
        <v>30</v>
      </c>
      <c r="M303" s="171">
        <v>30</v>
      </c>
      <c r="N303" s="170">
        <v>0</v>
      </c>
      <c r="O303" s="177" t="s">
        <v>76</v>
      </c>
      <c r="P303" s="162" t="s">
        <v>1591</v>
      </c>
      <c r="Q303" s="176"/>
      <c r="R303" s="174"/>
      <c r="S303" s="179"/>
      <c r="T303" s="162" t="s">
        <v>24</v>
      </c>
      <c r="U303" s="161" t="s">
        <v>18</v>
      </c>
      <c r="V303" s="174">
        <v>1055</v>
      </c>
      <c r="W303" s="180"/>
      <c r="X303" s="185">
        <v>44805</v>
      </c>
      <c r="Y303" s="187">
        <v>44679.650578703702</v>
      </c>
    </row>
    <row r="304" spans="1:25">
      <c r="A304" s="167" t="s">
        <v>110</v>
      </c>
      <c r="B304" s="162" t="s">
        <v>1599</v>
      </c>
      <c r="C304" s="163" t="s">
        <v>2076</v>
      </c>
      <c r="D304" s="162" t="s">
        <v>2077</v>
      </c>
      <c r="E304" s="161" t="s">
        <v>1613</v>
      </c>
      <c r="F304" s="162" t="s">
        <v>1614</v>
      </c>
      <c r="G304" s="161"/>
      <c r="H304" s="215">
        <v>1</v>
      </c>
      <c r="I304" s="171">
        <v>270</v>
      </c>
      <c r="J304" s="173">
        <v>270</v>
      </c>
      <c r="K304" s="172">
        <v>270</v>
      </c>
      <c r="L304" s="173">
        <v>270</v>
      </c>
      <c r="M304" s="171">
        <v>270</v>
      </c>
      <c r="N304" s="170"/>
      <c r="O304" s="177" t="s">
        <v>1523</v>
      </c>
      <c r="P304" s="162" t="s">
        <v>1604</v>
      </c>
      <c r="Q304" s="176"/>
      <c r="R304" s="174"/>
      <c r="S304" s="179"/>
      <c r="T304" s="162" t="s">
        <v>28</v>
      </c>
      <c r="U304" s="161" t="s">
        <v>1615</v>
      </c>
      <c r="V304" s="174">
        <v>2331</v>
      </c>
      <c r="W304" s="180" t="s">
        <v>2078</v>
      </c>
      <c r="X304" s="185">
        <v>45017</v>
      </c>
      <c r="Y304" s="187">
        <v>44944.573680555557</v>
      </c>
    </row>
    <row r="305" spans="1:25">
      <c r="A305" s="167" t="s">
        <v>45</v>
      </c>
      <c r="B305" s="162" t="s">
        <v>1599</v>
      </c>
      <c r="C305" s="163" t="s">
        <v>2079</v>
      </c>
      <c r="D305" s="162" t="s">
        <v>2080</v>
      </c>
      <c r="E305" s="161" t="s">
        <v>1631</v>
      </c>
      <c r="F305" s="162" t="s">
        <v>1614</v>
      </c>
      <c r="G305" s="161"/>
      <c r="H305" s="214">
        <v>2</v>
      </c>
      <c r="I305" s="171">
        <v>0</v>
      </c>
      <c r="J305" s="170">
        <v>130</v>
      </c>
      <c r="K305" s="172">
        <v>0</v>
      </c>
      <c r="L305" s="170">
        <v>260</v>
      </c>
      <c r="M305" s="171">
        <v>260</v>
      </c>
      <c r="N305" s="170">
        <v>0</v>
      </c>
      <c r="O305" s="177" t="s">
        <v>1523</v>
      </c>
      <c r="P305" s="162" t="s">
        <v>1620</v>
      </c>
      <c r="Q305" s="176"/>
      <c r="R305" s="174"/>
      <c r="S305" s="179"/>
      <c r="T305" s="162" t="s">
        <v>28</v>
      </c>
      <c r="U305" s="161" t="s">
        <v>1615</v>
      </c>
      <c r="V305" s="174">
        <v>1983</v>
      </c>
      <c r="W305" s="180"/>
      <c r="X305" s="185">
        <v>45069</v>
      </c>
      <c r="Y305" s="187">
        <v>44897.448923611111</v>
      </c>
    </row>
    <row r="306" spans="1:25">
      <c r="A306" s="167" t="s">
        <v>45</v>
      </c>
      <c r="B306" s="162" t="s">
        <v>1599</v>
      </c>
      <c r="C306" s="163" t="s">
        <v>2081</v>
      </c>
      <c r="D306" s="162" t="s">
        <v>2082</v>
      </c>
      <c r="E306" s="161" t="s">
        <v>1613</v>
      </c>
      <c r="F306" s="162" t="s">
        <v>1614</v>
      </c>
      <c r="G306" s="161"/>
      <c r="H306" s="215">
        <v>1</v>
      </c>
      <c r="I306" s="171">
        <v>100</v>
      </c>
      <c r="J306" s="173">
        <v>100</v>
      </c>
      <c r="K306" s="172">
        <v>100</v>
      </c>
      <c r="L306" s="173">
        <v>100</v>
      </c>
      <c r="M306" s="171">
        <v>100</v>
      </c>
      <c r="N306" s="170"/>
      <c r="O306" s="177" t="s">
        <v>1523</v>
      </c>
      <c r="P306" s="162" t="s">
        <v>1604</v>
      </c>
      <c r="Q306" s="176"/>
      <c r="R306" s="174"/>
      <c r="S306" s="179"/>
      <c r="T306" s="162" t="s">
        <v>28</v>
      </c>
      <c r="U306" s="161" t="s">
        <v>1615</v>
      </c>
      <c r="V306" s="174">
        <v>2177</v>
      </c>
      <c r="W306" s="180" t="s">
        <v>2083</v>
      </c>
      <c r="X306" s="185">
        <v>45017</v>
      </c>
      <c r="Y306" s="187">
        <v>44986.401354166665</v>
      </c>
    </row>
    <row r="307" spans="1:25">
      <c r="A307" s="167" t="s">
        <v>110</v>
      </c>
      <c r="B307" s="162" t="s">
        <v>1555</v>
      </c>
      <c r="C307" s="163" t="s">
        <v>1222</v>
      </c>
      <c r="D307" s="162" t="s">
        <v>2084</v>
      </c>
      <c r="E307" s="161" t="s">
        <v>1625</v>
      </c>
      <c r="F307" s="162" t="s">
        <v>1609</v>
      </c>
      <c r="G307" s="161"/>
      <c r="H307" s="214">
        <v>6</v>
      </c>
      <c r="I307" s="171">
        <v>3.3</v>
      </c>
      <c r="J307" s="170">
        <v>3.3</v>
      </c>
      <c r="K307" s="172">
        <v>19.8</v>
      </c>
      <c r="L307" s="170">
        <v>19.8</v>
      </c>
      <c r="M307" s="171">
        <v>19.8</v>
      </c>
      <c r="N307" s="170"/>
      <c r="O307" s="177" t="s">
        <v>76</v>
      </c>
      <c r="P307" s="162" t="s">
        <v>1591</v>
      </c>
      <c r="Q307" s="176"/>
      <c r="R307" s="174">
        <v>2036</v>
      </c>
      <c r="S307" s="179"/>
      <c r="T307" s="162" t="s">
        <v>24</v>
      </c>
      <c r="U307" s="161" t="s">
        <v>16</v>
      </c>
      <c r="V307" s="174">
        <v>1333</v>
      </c>
      <c r="W307" s="180"/>
      <c r="X307" s="185">
        <v>44621</v>
      </c>
      <c r="Y307" s="187">
        <v>45029.585162037038</v>
      </c>
    </row>
    <row r="308" spans="1:25">
      <c r="A308" s="167" t="s">
        <v>91</v>
      </c>
      <c r="B308" s="162" t="s">
        <v>1555</v>
      </c>
      <c r="C308" s="163" t="s">
        <v>2085</v>
      </c>
      <c r="D308" s="162" t="s">
        <v>772</v>
      </c>
      <c r="E308" s="161" t="s">
        <v>2072</v>
      </c>
      <c r="F308" s="164" t="s">
        <v>1592</v>
      </c>
      <c r="G308" s="161"/>
      <c r="H308" s="215">
        <v>1</v>
      </c>
      <c r="I308" s="171"/>
      <c r="J308" s="173">
        <v>4.4000000000000004</v>
      </c>
      <c r="K308" s="172"/>
      <c r="L308" s="173">
        <v>4.4000000000000004</v>
      </c>
      <c r="M308" s="171">
        <v>4.4000000000000004</v>
      </c>
      <c r="N308" s="170"/>
      <c r="O308" s="177" t="s">
        <v>76</v>
      </c>
      <c r="P308" s="162" t="s">
        <v>1591</v>
      </c>
      <c r="Q308" s="176"/>
      <c r="R308" s="175"/>
      <c r="S308" s="179"/>
      <c r="T308" s="164" t="s">
        <v>24</v>
      </c>
      <c r="U308" s="161" t="s">
        <v>12</v>
      </c>
      <c r="V308" s="175">
        <v>1542</v>
      </c>
      <c r="W308" s="181"/>
      <c r="X308" s="186">
        <v>44805</v>
      </c>
      <c r="Y308" s="187">
        <v>44833.468900462962</v>
      </c>
    </row>
    <row r="309" spans="1:25">
      <c r="A309" s="167" t="s">
        <v>77</v>
      </c>
      <c r="B309" s="162" t="s">
        <v>1555</v>
      </c>
      <c r="C309" s="163" t="s">
        <v>192</v>
      </c>
      <c r="D309" s="162" t="s">
        <v>193</v>
      </c>
      <c r="E309" s="161" t="s">
        <v>1625</v>
      </c>
      <c r="F309" s="162" t="s">
        <v>1609</v>
      </c>
      <c r="G309" s="161" t="s">
        <v>194</v>
      </c>
      <c r="H309" s="214">
        <v>91</v>
      </c>
      <c r="I309" s="171"/>
      <c r="J309" s="170">
        <v>3.63</v>
      </c>
      <c r="K309" s="172"/>
      <c r="L309" s="170">
        <v>330.33</v>
      </c>
      <c r="M309" s="171">
        <v>330.33</v>
      </c>
      <c r="N309" s="170"/>
      <c r="O309" s="177" t="s">
        <v>76</v>
      </c>
      <c r="P309" s="162" t="s">
        <v>1620</v>
      </c>
      <c r="Q309" s="176">
        <v>44652</v>
      </c>
      <c r="R309" s="174">
        <v>2044</v>
      </c>
      <c r="S309" s="179"/>
      <c r="T309" s="162" t="s">
        <v>24</v>
      </c>
      <c r="U309" s="161" t="s">
        <v>16</v>
      </c>
      <c r="V309" s="174">
        <v>1057</v>
      </c>
      <c r="W309" s="180"/>
      <c r="X309" s="185">
        <v>45017</v>
      </c>
      <c r="Y309" s="187">
        <v>45015.42695601852</v>
      </c>
    </row>
    <row r="310" spans="1:25">
      <c r="A310" s="167" t="s">
        <v>77</v>
      </c>
      <c r="B310" s="162" t="s">
        <v>1555</v>
      </c>
      <c r="C310" s="163" t="s">
        <v>192</v>
      </c>
      <c r="D310" s="162" t="s">
        <v>193</v>
      </c>
      <c r="E310" s="161" t="s">
        <v>1625</v>
      </c>
      <c r="F310" s="162" t="s">
        <v>1609</v>
      </c>
      <c r="G310" s="161" t="s">
        <v>194</v>
      </c>
      <c r="H310" s="215">
        <v>32</v>
      </c>
      <c r="I310" s="171"/>
      <c r="J310" s="173">
        <v>3.83</v>
      </c>
      <c r="K310" s="172"/>
      <c r="L310" s="173">
        <v>122.56</v>
      </c>
      <c r="M310" s="171">
        <v>122.56</v>
      </c>
      <c r="N310" s="170"/>
      <c r="O310" s="177" t="s">
        <v>76</v>
      </c>
      <c r="P310" s="162" t="s">
        <v>1620</v>
      </c>
      <c r="Q310" s="176">
        <v>44652</v>
      </c>
      <c r="R310" s="174">
        <v>2044</v>
      </c>
      <c r="S310" s="179"/>
      <c r="T310" s="162" t="s">
        <v>24</v>
      </c>
      <c r="U310" s="161" t="s">
        <v>16</v>
      </c>
      <c r="V310" s="174">
        <v>1057</v>
      </c>
      <c r="W310" s="180"/>
      <c r="X310" s="185">
        <v>45017</v>
      </c>
      <c r="Y310" s="187">
        <v>45015.42695601852</v>
      </c>
    </row>
    <row r="311" spans="1:25">
      <c r="A311" s="167" t="s">
        <v>45</v>
      </c>
      <c r="B311" s="162" t="s">
        <v>1555</v>
      </c>
      <c r="C311" s="163" t="s">
        <v>2086</v>
      </c>
      <c r="D311" s="162" t="s">
        <v>772</v>
      </c>
      <c r="E311" s="161" t="s">
        <v>1700</v>
      </c>
      <c r="F311" s="162" t="s">
        <v>1658</v>
      </c>
      <c r="G311" s="161" t="s">
        <v>2087</v>
      </c>
      <c r="H311" s="214">
        <v>1</v>
      </c>
      <c r="I311" s="171">
        <v>20</v>
      </c>
      <c r="J311" s="170">
        <v>20</v>
      </c>
      <c r="K311" s="172">
        <v>20</v>
      </c>
      <c r="L311" s="170">
        <v>20</v>
      </c>
      <c r="M311" s="171">
        <v>20</v>
      </c>
      <c r="N311" s="170"/>
      <c r="O311" s="177" t="s">
        <v>76</v>
      </c>
      <c r="P311" s="162" t="s">
        <v>1591</v>
      </c>
      <c r="Q311" s="176"/>
      <c r="R311" s="174"/>
      <c r="S311" s="179"/>
      <c r="T311" s="162" t="s">
        <v>24</v>
      </c>
      <c r="U311" s="161" t="s">
        <v>17</v>
      </c>
      <c r="V311" s="174">
        <v>1058</v>
      </c>
      <c r="W311" s="180"/>
      <c r="X311" s="185">
        <v>44621</v>
      </c>
      <c r="Y311" s="187">
        <v>45077.478900462964</v>
      </c>
    </row>
    <row r="312" spans="1:25">
      <c r="A312" s="167" t="s">
        <v>45</v>
      </c>
      <c r="B312" s="162" t="s">
        <v>1599</v>
      </c>
      <c r="C312" s="163" t="s">
        <v>2088</v>
      </c>
      <c r="D312" s="162" t="s">
        <v>2089</v>
      </c>
      <c r="E312" s="161" t="s">
        <v>1625</v>
      </c>
      <c r="F312" s="162" t="s">
        <v>1609</v>
      </c>
      <c r="G312" s="161"/>
      <c r="H312" s="215">
        <v>1</v>
      </c>
      <c r="I312" s="171">
        <v>285</v>
      </c>
      <c r="J312" s="173">
        <v>285</v>
      </c>
      <c r="K312" s="172">
        <v>285</v>
      </c>
      <c r="L312" s="173">
        <v>285</v>
      </c>
      <c r="M312" s="171">
        <v>285</v>
      </c>
      <c r="N312" s="170">
        <v>0</v>
      </c>
      <c r="O312" s="177" t="s">
        <v>1523</v>
      </c>
      <c r="P312" s="162" t="s">
        <v>1620</v>
      </c>
      <c r="Q312" s="176"/>
      <c r="R312" s="174"/>
      <c r="S312" s="179"/>
      <c r="T312" s="162" t="s">
        <v>28</v>
      </c>
      <c r="U312" s="161" t="s">
        <v>16</v>
      </c>
      <c r="V312" s="174">
        <v>1581</v>
      </c>
      <c r="W312" s="180" t="s">
        <v>2090</v>
      </c>
      <c r="X312" s="185">
        <v>45108</v>
      </c>
      <c r="Y312" s="187">
        <v>45114</v>
      </c>
    </row>
    <row r="313" spans="1:25">
      <c r="A313" s="167" t="s">
        <v>105</v>
      </c>
      <c r="B313" s="162" t="s">
        <v>1555</v>
      </c>
      <c r="C313" s="163" t="s">
        <v>2091</v>
      </c>
      <c r="D313" s="162" t="s">
        <v>295</v>
      </c>
      <c r="E313" s="161" t="s">
        <v>1596</v>
      </c>
      <c r="F313" s="162" t="s">
        <v>1627</v>
      </c>
      <c r="G313" s="161"/>
      <c r="H313" s="214">
        <v>2</v>
      </c>
      <c r="I313" s="171"/>
      <c r="J313" s="170">
        <v>1.06</v>
      </c>
      <c r="K313" s="172"/>
      <c r="L313" s="170">
        <v>2.12</v>
      </c>
      <c r="M313" s="171">
        <v>2.12</v>
      </c>
      <c r="N313" s="170"/>
      <c r="O313" s="177" t="s">
        <v>76</v>
      </c>
      <c r="P313" s="162" t="s">
        <v>1591</v>
      </c>
      <c r="Q313" s="176"/>
      <c r="R313" s="174">
        <v>2042</v>
      </c>
      <c r="S313" s="179"/>
      <c r="T313" s="162" t="s">
        <v>24</v>
      </c>
      <c r="U313" s="161" t="s">
        <v>18</v>
      </c>
      <c r="V313" s="174">
        <v>2163</v>
      </c>
      <c r="W313" s="180"/>
      <c r="X313" s="185" t="s">
        <v>259</v>
      </c>
      <c r="Y313" s="187">
        <v>44981.422314814816</v>
      </c>
    </row>
    <row r="314" spans="1:25">
      <c r="A314" s="167" t="s">
        <v>110</v>
      </c>
      <c r="B314" s="162" t="s">
        <v>1555</v>
      </c>
      <c r="C314" s="163" t="s">
        <v>2092</v>
      </c>
      <c r="D314" s="162" t="s">
        <v>241</v>
      </c>
      <c r="E314" s="161" t="s">
        <v>1596</v>
      </c>
      <c r="F314" s="162" t="s">
        <v>1627</v>
      </c>
      <c r="G314" s="161" t="s">
        <v>2093</v>
      </c>
      <c r="H314" s="215">
        <v>1</v>
      </c>
      <c r="I314" s="171">
        <v>1</v>
      </c>
      <c r="J314" s="173">
        <v>1</v>
      </c>
      <c r="K314" s="172">
        <v>1</v>
      </c>
      <c r="L314" s="173">
        <v>1</v>
      </c>
      <c r="M314" s="171">
        <v>1</v>
      </c>
      <c r="N314" s="170"/>
      <c r="O314" s="177" t="s">
        <v>76</v>
      </c>
      <c r="P314" s="162" t="s">
        <v>1591</v>
      </c>
      <c r="Q314" s="176"/>
      <c r="R314" s="174">
        <v>2029</v>
      </c>
      <c r="S314" s="179"/>
      <c r="T314" s="162" t="s">
        <v>24</v>
      </c>
      <c r="U314" s="161" t="s">
        <v>18</v>
      </c>
      <c r="V314" s="174">
        <v>1292</v>
      </c>
      <c r="W314" s="180"/>
      <c r="X314" s="185">
        <v>44621</v>
      </c>
      <c r="Y314" s="187">
        <v>44981.403680555559</v>
      </c>
    </row>
    <row r="315" spans="1:25">
      <c r="A315" s="167" t="s">
        <v>45</v>
      </c>
      <c r="B315" s="162" t="s">
        <v>1555</v>
      </c>
      <c r="C315" s="163" t="s">
        <v>318</v>
      </c>
      <c r="D315" s="162" t="s">
        <v>319</v>
      </c>
      <c r="E315" s="161" t="s">
        <v>1631</v>
      </c>
      <c r="F315" s="162" t="s">
        <v>1614</v>
      </c>
      <c r="G315" s="161" t="s">
        <v>320</v>
      </c>
      <c r="H315" s="214">
        <v>22</v>
      </c>
      <c r="I315" s="171">
        <v>1.64</v>
      </c>
      <c r="J315" s="170">
        <v>1.64</v>
      </c>
      <c r="K315" s="172">
        <v>36.01</v>
      </c>
      <c r="L315" s="170">
        <v>36.01</v>
      </c>
      <c r="M315" s="171">
        <v>36.01</v>
      </c>
      <c r="N315" s="170"/>
      <c r="O315" s="177" t="s">
        <v>76</v>
      </c>
      <c r="P315" s="162" t="s">
        <v>1620</v>
      </c>
      <c r="Q315" s="176">
        <v>44440</v>
      </c>
      <c r="R315" s="174">
        <v>2051</v>
      </c>
      <c r="S315" s="179"/>
      <c r="T315" s="162" t="s">
        <v>24</v>
      </c>
      <c r="U315" s="161" t="s">
        <v>1615</v>
      </c>
      <c r="V315" s="174">
        <v>1520</v>
      </c>
      <c r="W315" s="180"/>
      <c r="X315" s="185">
        <v>45017</v>
      </c>
      <c r="Y315" s="187">
        <v>45086.085381944446</v>
      </c>
    </row>
    <row r="316" spans="1:25">
      <c r="A316" s="220" t="s">
        <v>77</v>
      </c>
      <c r="B316" s="221" t="s">
        <v>1599</v>
      </c>
      <c r="C316" s="222" t="s">
        <v>3903</v>
      </c>
      <c r="D316" s="221" t="s">
        <v>191</v>
      </c>
      <c r="E316" s="223" t="s">
        <v>1603</v>
      </c>
      <c r="F316" s="224" t="s">
        <v>20</v>
      </c>
      <c r="G316" s="161"/>
      <c r="H316" s="215">
        <v>1</v>
      </c>
      <c r="I316" s="171"/>
      <c r="J316" s="173">
        <v>500</v>
      </c>
      <c r="K316" s="172"/>
      <c r="L316" s="173">
        <v>500</v>
      </c>
      <c r="M316" s="171">
        <v>500</v>
      </c>
      <c r="N316" s="170"/>
      <c r="O316" s="230" t="s">
        <v>1523</v>
      </c>
      <c r="P316" s="221" t="s">
        <v>1604</v>
      </c>
      <c r="Q316" s="231"/>
      <c r="R316" s="232"/>
      <c r="S316" s="233"/>
      <c r="T316" s="224" t="s">
        <v>28</v>
      </c>
      <c r="U316" s="223" t="s">
        <v>20</v>
      </c>
      <c r="V316" s="232">
        <v>2563</v>
      </c>
      <c r="W316" s="234" t="s">
        <v>3951</v>
      </c>
      <c r="X316" s="235"/>
      <c r="Y316" s="236">
        <v>45111.602881944447</v>
      </c>
    </row>
    <row r="317" spans="1:25">
      <c r="A317" s="167" t="s">
        <v>110</v>
      </c>
      <c r="B317" s="162" t="s">
        <v>1599</v>
      </c>
      <c r="C317" s="163" t="s">
        <v>2094</v>
      </c>
      <c r="D317" s="162" t="s">
        <v>2095</v>
      </c>
      <c r="E317" s="161" t="s">
        <v>1602</v>
      </c>
      <c r="F317" s="162" t="s">
        <v>1603</v>
      </c>
      <c r="G317" s="161"/>
      <c r="H317" s="214">
        <v>1</v>
      </c>
      <c r="I317" s="171">
        <v>150</v>
      </c>
      <c r="J317" s="170">
        <v>150</v>
      </c>
      <c r="K317" s="172">
        <v>150</v>
      </c>
      <c r="L317" s="170">
        <v>150</v>
      </c>
      <c r="M317" s="171">
        <v>150</v>
      </c>
      <c r="N317" s="170">
        <v>0</v>
      </c>
      <c r="O317" s="177" t="s">
        <v>1523</v>
      </c>
      <c r="P317" s="162" t="s">
        <v>1604</v>
      </c>
      <c r="Q317" s="176"/>
      <c r="R317" s="174"/>
      <c r="S317" s="179"/>
      <c r="T317" s="162" t="s">
        <v>28</v>
      </c>
      <c r="U317" s="161" t="s">
        <v>19</v>
      </c>
      <c r="V317" s="174">
        <v>2332</v>
      </c>
      <c r="W317" s="180" t="s">
        <v>2096</v>
      </c>
      <c r="X317" s="185">
        <v>45017</v>
      </c>
      <c r="Y317" s="187">
        <v>45043.525000000001</v>
      </c>
    </row>
    <row r="318" spans="1:25">
      <c r="A318" s="167" t="s">
        <v>110</v>
      </c>
      <c r="B318" s="162" t="s">
        <v>1599</v>
      </c>
      <c r="C318" s="163" t="s">
        <v>2097</v>
      </c>
      <c r="D318" s="162" t="s">
        <v>2098</v>
      </c>
      <c r="E318" s="161" t="s">
        <v>1602</v>
      </c>
      <c r="F318" s="162" t="s">
        <v>1603</v>
      </c>
      <c r="G318" s="161"/>
      <c r="H318" s="215">
        <v>1</v>
      </c>
      <c r="I318" s="171"/>
      <c r="J318" s="173">
        <v>240</v>
      </c>
      <c r="K318" s="172"/>
      <c r="L318" s="173">
        <v>240</v>
      </c>
      <c r="M318" s="171">
        <v>240</v>
      </c>
      <c r="N318" s="170">
        <v>0</v>
      </c>
      <c r="O318" s="177" t="s">
        <v>1523</v>
      </c>
      <c r="P318" s="162" t="s">
        <v>1604</v>
      </c>
      <c r="Q318" s="176"/>
      <c r="R318" s="174"/>
      <c r="S318" s="179"/>
      <c r="T318" s="162" t="s">
        <v>28</v>
      </c>
      <c r="U318" s="161" t="s">
        <v>19</v>
      </c>
      <c r="V318" s="174">
        <v>2257</v>
      </c>
      <c r="W318" s="180" t="s">
        <v>2099</v>
      </c>
      <c r="X318" s="185">
        <v>45017</v>
      </c>
      <c r="Y318" s="187">
        <v>44903.392777777779</v>
      </c>
    </row>
    <row r="319" spans="1:25">
      <c r="A319" s="167" t="s">
        <v>45</v>
      </c>
      <c r="B319" s="162" t="s">
        <v>1555</v>
      </c>
      <c r="C319" s="163" t="s">
        <v>2100</v>
      </c>
      <c r="D319" s="162" t="s">
        <v>1810</v>
      </c>
      <c r="E319" s="161" t="s">
        <v>1625</v>
      </c>
      <c r="F319" s="162" t="s">
        <v>1609</v>
      </c>
      <c r="G319" s="161"/>
      <c r="H319" s="214">
        <v>8</v>
      </c>
      <c r="I319" s="171">
        <v>0.6</v>
      </c>
      <c r="J319" s="170">
        <v>0.6</v>
      </c>
      <c r="K319" s="172">
        <v>4.8</v>
      </c>
      <c r="L319" s="170">
        <v>4.8</v>
      </c>
      <c r="M319" s="171">
        <v>4.8</v>
      </c>
      <c r="N319" s="170"/>
      <c r="O319" s="177" t="s">
        <v>76</v>
      </c>
      <c r="P319" s="162" t="s">
        <v>1591</v>
      </c>
      <c r="Q319" s="176"/>
      <c r="R319" s="174">
        <v>2028</v>
      </c>
      <c r="S319" s="179"/>
      <c r="T319" s="162" t="s">
        <v>24</v>
      </c>
      <c r="U319" s="161" t="s">
        <v>16</v>
      </c>
      <c r="V319" s="174">
        <v>1060</v>
      </c>
      <c r="W319" s="180"/>
      <c r="X319" s="185">
        <v>44621</v>
      </c>
      <c r="Y319" s="187">
        <v>45021.737442129626</v>
      </c>
    </row>
    <row r="320" spans="1:25">
      <c r="A320" s="167" t="s">
        <v>45</v>
      </c>
      <c r="B320" s="162" t="s">
        <v>1555</v>
      </c>
      <c r="C320" s="163" t="s">
        <v>787</v>
      </c>
      <c r="D320" s="162" t="s">
        <v>788</v>
      </c>
      <c r="E320" s="161" t="s">
        <v>1625</v>
      </c>
      <c r="F320" s="162" t="s">
        <v>1609</v>
      </c>
      <c r="G320" s="161" t="s">
        <v>2101</v>
      </c>
      <c r="H320" s="215">
        <v>28</v>
      </c>
      <c r="I320" s="171">
        <v>3.43</v>
      </c>
      <c r="J320" s="173">
        <v>3.43</v>
      </c>
      <c r="K320" s="172">
        <v>96.04</v>
      </c>
      <c r="L320" s="173">
        <v>96.04</v>
      </c>
      <c r="M320" s="171">
        <v>96.04</v>
      </c>
      <c r="N320" s="170"/>
      <c r="O320" s="177" t="s">
        <v>76</v>
      </c>
      <c r="P320" s="162" t="s">
        <v>1620</v>
      </c>
      <c r="Q320" s="176">
        <v>43344</v>
      </c>
      <c r="R320" s="174">
        <v>2043</v>
      </c>
      <c r="S320" s="179"/>
      <c r="T320" s="162" t="s">
        <v>24</v>
      </c>
      <c r="U320" s="161" t="s">
        <v>16</v>
      </c>
      <c r="V320" s="174">
        <v>1061</v>
      </c>
      <c r="W320" s="180"/>
      <c r="X320" s="185">
        <v>45069</v>
      </c>
      <c r="Y320" s="187">
        <v>45104.351238425923</v>
      </c>
    </row>
    <row r="321" spans="1:25">
      <c r="A321" s="167" t="s">
        <v>45</v>
      </c>
      <c r="B321" s="162" t="s">
        <v>1599</v>
      </c>
      <c r="C321" s="163" t="s">
        <v>321</v>
      </c>
      <c r="D321" s="162" t="s">
        <v>322</v>
      </c>
      <c r="E321" s="161" t="s">
        <v>1625</v>
      </c>
      <c r="F321" s="162" t="s">
        <v>1609</v>
      </c>
      <c r="G321" s="161"/>
      <c r="H321" s="214">
        <v>16</v>
      </c>
      <c r="I321" s="171"/>
      <c r="J321" s="170">
        <v>3.6</v>
      </c>
      <c r="K321" s="172"/>
      <c r="L321" s="170">
        <v>57.6</v>
      </c>
      <c r="M321" s="171">
        <v>57.6</v>
      </c>
      <c r="N321" s="170"/>
      <c r="O321" s="177" t="s">
        <v>27</v>
      </c>
      <c r="P321" s="162" t="s">
        <v>1620</v>
      </c>
      <c r="Q321" s="176">
        <v>45231</v>
      </c>
      <c r="R321" s="174"/>
      <c r="S321" s="179"/>
      <c r="T321" s="162" t="s">
        <v>27</v>
      </c>
      <c r="U321" s="161" t="s">
        <v>16</v>
      </c>
      <c r="V321" s="174">
        <v>1062</v>
      </c>
      <c r="W321" s="180" t="s">
        <v>2102</v>
      </c>
      <c r="X321" s="185">
        <v>45069</v>
      </c>
      <c r="Y321" s="187">
        <v>44937.63517361111</v>
      </c>
    </row>
    <row r="322" spans="1:25">
      <c r="A322" s="167" t="s">
        <v>77</v>
      </c>
      <c r="B322" s="162" t="s">
        <v>1599</v>
      </c>
      <c r="C322" s="163" t="s">
        <v>2103</v>
      </c>
      <c r="D322" s="162" t="s">
        <v>2104</v>
      </c>
      <c r="E322" s="161" t="s">
        <v>1613</v>
      </c>
      <c r="F322" s="162" t="s">
        <v>1614</v>
      </c>
      <c r="G322" s="161"/>
      <c r="H322" s="215">
        <v>1</v>
      </c>
      <c r="I322" s="171">
        <v>650</v>
      </c>
      <c r="J322" s="173">
        <v>650</v>
      </c>
      <c r="K322" s="172">
        <v>650</v>
      </c>
      <c r="L322" s="173">
        <v>650</v>
      </c>
      <c r="M322" s="171">
        <v>650</v>
      </c>
      <c r="N322" s="170"/>
      <c r="O322" s="177" t="s">
        <v>1523</v>
      </c>
      <c r="P322" s="162" t="s">
        <v>1604</v>
      </c>
      <c r="Q322" s="176"/>
      <c r="R322" s="174"/>
      <c r="S322" s="179"/>
      <c r="T322" s="162" t="s">
        <v>28</v>
      </c>
      <c r="U322" s="161" t="s">
        <v>1615</v>
      </c>
      <c r="V322" s="174">
        <v>2273</v>
      </c>
      <c r="W322" s="180" t="s">
        <v>2105</v>
      </c>
      <c r="X322" s="185">
        <v>45017</v>
      </c>
      <c r="Y322" s="187">
        <v>44984.643831018519</v>
      </c>
    </row>
    <row r="323" spans="1:25">
      <c r="A323" s="167" t="s">
        <v>110</v>
      </c>
      <c r="B323" s="162" t="s">
        <v>1555</v>
      </c>
      <c r="C323" s="163" t="s">
        <v>680</v>
      </c>
      <c r="D323" s="162" t="s">
        <v>681</v>
      </c>
      <c r="E323" s="161" t="s">
        <v>1625</v>
      </c>
      <c r="F323" s="162" t="s">
        <v>1609</v>
      </c>
      <c r="G323" s="161" t="s">
        <v>682</v>
      </c>
      <c r="H323" s="214">
        <v>39</v>
      </c>
      <c r="I323" s="171"/>
      <c r="J323" s="170">
        <v>2.0499999999999998</v>
      </c>
      <c r="K323" s="172"/>
      <c r="L323" s="170">
        <v>79.95</v>
      </c>
      <c r="M323" s="171">
        <v>79.95</v>
      </c>
      <c r="N323" s="170"/>
      <c r="O323" s="177" t="s">
        <v>76</v>
      </c>
      <c r="P323" s="162" t="s">
        <v>1620</v>
      </c>
      <c r="Q323" s="176"/>
      <c r="R323" s="174">
        <v>2050</v>
      </c>
      <c r="S323" s="179"/>
      <c r="T323" s="162" t="s">
        <v>24</v>
      </c>
      <c r="U323" s="161" t="s">
        <v>16</v>
      </c>
      <c r="V323" s="174">
        <v>1566</v>
      </c>
      <c r="W323" s="180"/>
      <c r="X323" s="185">
        <v>45017</v>
      </c>
      <c r="Y323" s="187">
        <v>45021.527604166666</v>
      </c>
    </row>
    <row r="324" spans="1:25">
      <c r="A324" s="167" t="s">
        <v>110</v>
      </c>
      <c r="B324" s="162" t="s">
        <v>1555</v>
      </c>
      <c r="C324" s="163" t="s">
        <v>2106</v>
      </c>
      <c r="D324" s="162" t="s">
        <v>2107</v>
      </c>
      <c r="E324" s="161" t="s">
        <v>1596</v>
      </c>
      <c r="F324" s="162" t="s">
        <v>1592</v>
      </c>
      <c r="G324" s="161" t="s">
        <v>2108</v>
      </c>
      <c r="H324" s="215">
        <v>6</v>
      </c>
      <c r="I324" s="171"/>
      <c r="J324" s="173">
        <v>0.93</v>
      </c>
      <c r="K324" s="172"/>
      <c r="L324" s="173">
        <v>5.58</v>
      </c>
      <c r="M324" s="171">
        <v>5.58</v>
      </c>
      <c r="N324" s="170"/>
      <c r="O324" s="177" t="s">
        <v>76</v>
      </c>
      <c r="P324" s="162" t="s">
        <v>1591</v>
      </c>
      <c r="Q324" s="176"/>
      <c r="R324" s="174"/>
      <c r="S324" s="179"/>
      <c r="T324" s="162" t="s">
        <v>24</v>
      </c>
      <c r="U324" s="161" t="s">
        <v>14</v>
      </c>
      <c r="V324" s="174">
        <v>1354</v>
      </c>
      <c r="W324" s="180"/>
      <c r="X324" s="185" t="s">
        <v>259</v>
      </c>
      <c r="Y324" s="187">
        <v>43227.197696759256</v>
      </c>
    </row>
    <row r="325" spans="1:25">
      <c r="A325" s="167" t="s">
        <v>45</v>
      </c>
      <c r="B325" s="162" t="s">
        <v>1555</v>
      </c>
      <c r="C325" s="163" t="s">
        <v>490</v>
      </c>
      <c r="D325" s="162" t="s">
        <v>491</v>
      </c>
      <c r="E325" s="161" t="s">
        <v>1625</v>
      </c>
      <c r="F325" s="162" t="s">
        <v>1609</v>
      </c>
      <c r="G325" s="161" t="s">
        <v>492</v>
      </c>
      <c r="H325" s="214">
        <v>37</v>
      </c>
      <c r="I325" s="171">
        <v>3.6</v>
      </c>
      <c r="J325" s="170">
        <v>3.83</v>
      </c>
      <c r="K325" s="172">
        <v>133.19999999999999</v>
      </c>
      <c r="L325" s="170">
        <v>141.71</v>
      </c>
      <c r="M325" s="171">
        <v>141.71</v>
      </c>
      <c r="N325" s="170"/>
      <c r="O325" s="177" t="s">
        <v>76</v>
      </c>
      <c r="P325" s="162" t="s">
        <v>1620</v>
      </c>
      <c r="Q325" s="176">
        <v>44713</v>
      </c>
      <c r="R325" s="174">
        <v>2041</v>
      </c>
      <c r="S325" s="179"/>
      <c r="T325" s="162" t="s">
        <v>24</v>
      </c>
      <c r="U325" s="161" t="s">
        <v>16</v>
      </c>
      <c r="V325" s="174">
        <v>1281</v>
      </c>
      <c r="W325" s="180"/>
      <c r="X325" s="185">
        <v>45017</v>
      </c>
      <c r="Y325" s="187">
        <v>45020.596388888887</v>
      </c>
    </row>
    <row r="326" spans="1:25">
      <c r="A326" s="167" t="s">
        <v>45</v>
      </c>
      <c r="B326" s="162" t="s">
        <v>1555</v>
      </c>
      <c r="C326" s="163" t="s">
        <v>2109</v>
      </c>
      <c r="D326" s="162" t="s">
        <v>2110</v>
      </c>
      <c r="E326" s="161" t="s">
        <v>1625</v>
      </c>
      <c r="F326" s="162" t="s">
        <v>1609</v>
      </c>
      <c r="G326" s="161" t="s">
        <v>2111</v>
      </c>
      <c r="H326" s="215">
        <v>15</v>
      </c>
      <c r="I326" s="171">
        <v>2</v>
      </c>
      <c r="J326" s="173">
        <v>2</v>
      </c>
      <c r="K326" s="172">
        <v>30</v>
      </c>
      <c r="L326" s="173">
        <v>30</v>
      </c>
      <c r="M326" s="171">
        <v>30</v>
      </c>
      <c r="N326" s="170"/>
      <c r="O326" s="177" t="s">
        <v>76</v>
      </c>
      <c r="P326" s="162" t="s">
        <v>1591</v>
      </c>
      <c r="Q326" s="176"/>
      <c r="R326" s="174">
        <v>2038</v>
      </c>
      <c r="S326" s="179"/>
      <c r="T326" s="162" t="s">
        <v>24</v>
      </c>
      <c r="U326" s="161" t="s">
        <v>16</v>
      </c>
      <c r="V326" s="174">
        <v>1064</v>
      </c>
      <c r="W326" s="180"/>
      <c r="X326" s="185">
        <v>44621</v>
      </c>
      <c r="Y326" s="187">
        <v>44981.421423611115</v>
      </c>
    </row>
    <row r="327" spans="1:25">
      <c r="A327" s="167" t="s">
        <v>91</v>
      </c>
      <c r="B327" s="162" t="s">
        <v>1599</v>
      </c>
      <c r="C327" s="163" t="s">
        <v>222</v>
      </c>
      <c r="D327" s="162" t="s">
        <v>223</v>
      </c>
      <c r="E327" s="161" t="s">
        <v>1631</v>
      </c>
      <c r="F327" s="162" t="s">
        <v>1614</v>
      </c>
      <c r="G327" s="161"/>
      <c r="H327" s="214">
        <v>104</v>
      </c>
      <c r="I327" s="171">
        <v>0</v>
      </c>
      <c r="J327" s="170">
        <v>3.44</v>
      </c>
      <c r="K327" s="172">
        <v>0</v>
      </c>
      <c r="L327" s="170">
        <v>357.45</v>
      </c>
      <c r="M327" s="171">
        <v>357.45</v>
      </c>
      <c r="N327" s="170"/>
      <c r="O327" s="177" t="s">
        <v>27</v>
      </c>
      <c r="P327" s="162" t="s">
        <v>1620</v>
      </c>
      <c r="Q327" s="176">
        <v>45839</v>
      </c>
      <c r="R327" s="174">
        <v>2055</v>
      </c>
      <c r="S327" s="179"/>
      <c r="T327" s="162" t="s">
        <v>27</v>
      </c>
      <c r="U327" s="161" t="s">
        <v>1615</v>
      </c>
      <c r="V327" s="174">
        <v>1886</v>
      </c>
      <c r="W327" s="180"/>
      <c r="X327" s="185">
        <v>45069</v>
      </c>
      <c r="Y327" s="187">
        <v>45098.352893518517</v>
      </c>
    </row>
    <row r="328" spans="1:25">
      <c r="A328" s="167" t="s">
        <v>77</v>
      </c>
      <c r="B328" s="162" t="s">
        <v>1599</v>
      </c>
      <c r="C328" s="163" t="s">
        <v>2112</v>
      </c>
      <c r="D328" s="162" t="s">
        <v>2113</v>
      </c>
      <c r="E328" s="161" t="s">
        <v>1613</v>
      </c>
      <c r="F328" s="162" t="s">
        <v>1614</v>
      </c>
      <c r="G328" s="161"/>
      <c r="H328" s="215">
        <v>1</v>
      </c>
      <c r="I328" s="171">
        <v>4.9400000000000004</v>
      </c>
      <c r="J328" s="173">
        <v>4.9400000000000004</v>
      </c>
      <c r="K328" s="172">
        <v>4.9400000000000004</v>
      </c>
      <c r="L328" s="173">
        <v>4.9400000000000004</v>
      </c>
      <c r="M328" s="171">
        <v>4.9400000000000004</v>
      </c>
      <c r="N328" s="170"/>
      <c r="O328" s="177" t="s">
        <v>1523</v>
      </c>
      <c r="P328" s="162" t="s">
        <v>1591</v>
      </c>
      <c r="Q328" s="176"/>
      <c r="R328" s="174">
        <v>2042</v>
      </c>
      <c r="S328" s="179"/>
      <c r="T328" s="162" t="s">
        <v>28</v>
      </c>
      <c r="U328" s="161" t="s">
        <v>1615</v>
      </c>
      <c r="V328" s="174">
        <v>1412</v>
      </c>
      <c r="W328" s="180"/>
      <c r="X328" s="185">
        <v>44805</v>
      </c>
      <c r="Y328" s="187">
        <v>44981.40724537037</v>
      </c>
    </row>
    <row r="329" spans="1:25">
      <c r="A329" s="167" t="s">
        <v>91</v>
      </c>
      <c r="B329" s="162" t="s">
        <v>1555</v>
      </c>
      <c r="C329" s="163" t="s">
        <v>2114</v>
      </c>
      <c r="D329" s="162" t="s">
        <v>2115</v>
      </c>
      <c r="E329" s="161" t="s">
        <v>1602</v>
      </c>
      <c r="F329" s="162" t="s">
        <v>1603</v>
      </c>
      <c r="G329" s="161" t="s">
        <v>2116</v>
      </c>
      <c r="H329" s="214">
        <v>12</v>
      </c>
      <c r="I329" s="171"/>
      <c r="J329" s="170">
        <v>2.5</v>
      </c>
      <c r="K329" s="172"/>
      <c r="L329" s="170">
        <v>30</v>
      </c>
      <c r="M329" s="171">
        <v>30</v>
      </c>
      <c r="N329" s="170">
        <v>9</v>
      </c>
      <c r="O329" s="177" t="s">
        <v>76</v>
      </c>
      <c r="P329" s="162" t="s">
        <v>1619</v>
      </c>
      <c r="Q329" s="176"/>
      <c r="R329" s="174">
        <v>2030</v>
      </c>
      <c r="S329" s="179"/>
      <c r="T329" s="162" t="s">
        <v>24</v>
      </c>
      <c r="U329" s="161" t="s">
        <v>19</v>
      </c>
      <c r="V329" s="174">
        <v>1553</v>
      </c>
      <c r="W329" s="180"/>
      <c r="X329" s="185">
        <v>45017</v>
      </c>
      <c r="Y329" s="187">
        <v>45077.602430555555</v>
      </c>
    </row>
    <row r="330" spans="1:25">
      <c r="A330" s="167" t="s">
        <v>110</v>
      </c>
      <c r="B330" s="162" t="s">
        <v>1599</v>
      </c>
      <c r="C330" s="163" t="s">
        <v>2117</v>
      </c>
      <c r="D330" s="162" t="s">
        <v>523</v>
      </c>
      <c r="E330" s="161" t="s">
        <v>1602</v>
      </c>
      <c r="F330" s="162" t="s">
        <v>1603</v>
      </c>
      <c r="G330" s="161"/>
      <c r="H330" s="215">
        <v>1</v>
      </c>
      <c r="I330" s="171"/>
      <c r="J330" s="173">
        <v>200</v>
      </c>
      <c r="K330" s="172"/>
      <c r="L330" s="173">
        <v>200</v>
      </c>
      <c r="M330" s="171">
        <v>200</v>
      </c>
      <c r="N330" s="170">
        <v>400</v>
      </c>
      <c r="O330" s="177" t="s">
        <v>1523</v>
      </c>
      <c r="P330" s="162" t="s">
        <v>1619</v>
      </c>
      <c r="Q330" s="176"/>
      <c r="R330" s="174"/>
      <c r="S330" s="179"/>
      <c r="T330" s="162" t="s">
        <v>28</v>
      </c>
      <c r="U330" s="161" t="s">
        <v>19</v>
      </c>
      <c r="V330" s="174">
        <v>1931</v>
      </c>
      <c r="W330" s="180" t="s">
        <v>2118</v>
      </c>
      <c r="X330" s="185">
        <v>45069</v>
      </c>
      <c r="Y330" s="187">
        <v>45097.49659722222</v>
      </c>
    </row>
    <row r="331" spans="1:25">
      <c r="A331" s="167" t="s">
        <v>77</v>
      </c>
      <c r="B331" s="162" t="s">
        <v>1555</v>
      </c>
      <c r="C331" s="163" t="s">
        <v>2119</v>
      </c>
      <c r="D331" s="162" t="s">
        <v>717</v>
      </c>
      <c r="E331" s="161" t="s">
        <v>2072</v>
      </c>
      <c r="F331" s="162" t="s">
        <v>1857</v>
      </c>
      <c r="G331" s="161" t="s">
        <v>2120</v>
      </c>
      <c r="H331" s="214">
        <v>3</v>
      </c>
      <c r="I331" s="171"/>
      <c r="J331" s="170">
        <v>121.5</v>
      </c>
      <c r="K331" s="172"/>
      <c r="L331" s="170">
        <v>364.5</v>
      </c>
      <c r="M331" s="171">
        <v>364.5</v>
      </c>
      <c r="N331" s="170"/>
      <c r="O331" s="177" t="s">
        <v>76</v>
      </c>
      <c r="P331" s="162" t="s">
        <v>1619</v>
      </c>
      <c r="Q331" s="176"/>
      <c r="R331" s="174">
        <v>2045</v>
      </c>
      <c r="S331" s="179"/>
      <c r="T331" s="162" t="s">
        <v>24</v>
      </c>
      <c r="U331" s="161" t="s">
        <v>12</v>
      </c>
      <c r="V331" s="174">
        <v>1066</v>
      </c>
      <c r="W331" s="180"/>
      <c r="X331" s="185">
        <v>45017</v>
      </c>
      <c r="Y331" s="187">
        <v>45019.410428240742</v>
      </c>
    </row>
    <row r="332" spans="1:25">
      <c r="A332" s="167" t="s">
        <v>77</v>
      </c>
      <c r="B332" s="162" t="s">
        <v>1555</v>
      </c>
      <c r="C332" s="163" t="s">
        <v>2119</v>
      </c>
      <c r="D332" s="162" t="s">
        <v>717</v>
      </c>
      <c r="E332" s="161" t="s">
        <v>2072</v>
      </c>
      <c r="F332" s="162" t="s">
        <v>1857</v>
      </c>
      <c r="G332" s="161" t="s">
        <v>2120</v>
      </c>
      <c r="H332" s="215">
        <v>1</v>
      </c>
      <c r="I332" s="171"/>
      <c r="J332" s="173">
        <v>280</v>
      </c>
      <c r="K332" s="172"/>
      <c r="L332" s="173">
        <v>280</v>
      </c>
      <c r="M332" s="171">
        <v>280</v>
      </c>
      <c r="N332" s="170"/>
      <c r="O332" s="177" t="s">
        <v>76</v>
      </c>
      <c r="P332" s="162" t="s">
        <v>1619</v>
      </c>
      <c r="Q332" s="176"/>
      <c r="R332" s="174">
        <v>2045</v>
      </c>
      <c r="S332" s="179"/>
      <c r="T332" s="162" t="s">
        <v>24</v>
      </c>
      <c r="U332" s="161" t="s">
        <v>12</v>
      </c>
      <c r="V332" s="174">
        <v>1066</v>
      </c>
      <c r="W332" s="180"/>
      <c r="X332" s="185">
        <v>45017</v>
      </c>
      <c r="Y332" s="187">
        <v>45019.410428240742</v>
      </c>
    </row>
    <row r="333" spans="1:25">
      <c r="A333" s="167" t="s">
        <v>77</v>
      </c>
      <c r="B333" s="162" t="s">
        <v>1599</v>
      </c>
      <c r="C333" s="163" t="s">
        <v>2121</v>
      </c>
      <c r="D333" s="162" t="s">
        <v>2122</v>
      </c>
      <c r="E333" s="161" t="s">
        <v>1602</v>
      </c>
      <c r="F333" s="162" t="s">
        <v>1603</v>
      </c>
      <c r="G333" s="161"/>
      <c r="H333" s="214">
        <v>1</v>
      </c>
      <c r="I333" s="171"/>
      <c r="J333" s="170">
        <v>250</v>
      </c>
      <c r="K333" s="172"/>
      <c r="L333" s="170">
        <v>250</v>
      </c>
      <c r="M333" s="171">
        <v>250</v>
      </c>
      <c r="N333" s="170">
        <v>500</v>
      </c>
      <c r="O333" s="177" t="s">
        <v>1523</v>
      </c>
      <c r="P333" s="162" t="s">
        <v>1619</v>
      </c>
      <c r="Q333" s="176"/>
      <c r="R333" s="174"/>
      <c r="S333" s="179"/>
      <c r="T333" s="162" t="s">
        <v>28</v>
      </c>
      <c r="U333" s="161" t="s">
        <v>19</v>
      </c>
      <c r="V333" s="174">
        <v>1883</v>
      </c>
      <c r="W333" s="180" t="s">
        <v>2123</v>
      </c>
      <c r="X333" s="185">
        <v>45069</v>
      </c>
      <c r="Y333" s="187">
        <v>45098.357511574075</v>
      </c>
    </row>
    <row r="334" spans="1:25">
      <c r="A334" s="167" t="s">
        <v>77</v>
      </c>
      <c r="B334" s="162" t="s">
        <v>1599</v>
      </c>
      <c r="C334" s="163" t="s">
        <v>2121</v>
      </c>
      <c r="D334" s="162" t="s">
        <v>2122</v>
      </c>
      <c r="E334" s="161" t="s">
        <v>1602</v>
      </c>
      <c r="F334" s="162" t="s">
        <v>1603</v>
      </c>
      <c r="G334" s="161"/>
      <c r="H334" s="215">
        <v>1</v>
      </c>
      <c r="I334" s="171"/>
      <c r="J334" s="173">
        <v>250</v>
      </c>
      <c r="K334" s="172"/>
      <c r="L334" s="173">
        <v>250</v>
      </c>
      <c r="M334" s="171">
        <v>250</v>
      </c>
      <c r="N334" s="170">
        <v>1500</v>
      </c>
      <c r="O334" s="177" t="s">
        <v>1523</v>
      </c>
      <c r="P334" s="162" t="s">
        <v>1619</v>
      </c>
      <c r="Q334" s="176"/>
      <c r="R334" s="174"/>
      <c r="S334" s="179"/>
      <c r="T334" s="162" t="s">
        <v>28</v>
      </c>
      <c r="U334" s="161" t="s">
        <v>19</v>
      </c>
      <c r="V334" s="174">
        <v>1883</v>
      </c>
      <c r="W334" s="180" t="s">
        <v>2123</v>
      </c>
      <c r="X334" s="185">
        <v>45069</v>
      </c>
      <c r="Y334" s="187">
        <v>45098.357511574075</v>
      </c>
    </row>
    <row r="335" spans="1:25">
      <c r="A335" s="167" t="s">
        <v>77</v>
      </c>
      <c r="B335" s="162" t="s">
        <v>1555</v>
      </c>
      <c r="C335" s="163" t="s">
        <v>826</v>
      </c>
      <c r="D335" s="162" t="s">
        <v>827</v>
      </c>
      <c r="E335" s="161" t="s">
        <v>1613</v>
      </c>
      <c r="F335" s="162" t="s">
        <v>1614</v>
      </c>
      <c r="G335" s="161" t="s">
        <v>2124</v>
      </c>
      <c r="H335" s="214">
        <v>44</v>
      </c>
      <c r="I335" s="171">
        <v>2.4700000000000002</v>
      </c>
      <c r="J335" s="170">
        <v>2.75</v>
      </c>
      <c r="K335" s="172">
        <v>108.5</v>
      </c>
      <c r="L335" s="170">
        <v>121</v>
      </c>
      <c r="M335" s="171">
        <v>121</v>
      </c>
      <c r="N335" s="170"/>
      <c r="O335" s="177" t="s">
        <v>76</v>
      </c>
      <c r="P335" s="162" t="s">
        <v>1620</v>
      </c>
      <c r="Q335" s="176"/>
      <c r="R335" s="174">
        <v>2036</v>
      </c>
      <c r="S335" s="179"/>
      <c r="T335" s="162" t="s">
        <v>24</v>
      </c>
      <c r="U335" s="161" t="s">
        <v>1615</v>
      </c>
      <c r="V335" s="174">
        <v>1545</v>
      </c>
      <c r="W335" s="180"/>
      <c r="X335" s="185">
        <v>45017</v>
      </c>
      <c r="Y335" s="187">
        <v>45027.638738425929</v>
      </c>
    </row>
    <row r="336" spans="1:25">
      <c r="A336" s="167" t="s">
        <v>45</v>
      </c>
      <c r="B336" s="162" t="s">
        <v>1599</v>
      </c>
      <c r="C336" s="163" t="s">
        <v>325</v>
      </c>
      <c r="D336" s="162" t="s">
        <v>2125</v>
      </c>
      <c r="E336" s="161" t="s">
        <v>1602</v>
      </c>
      <c r="F336" s="162" t="s">
        <v>1603</v>
      </c>
      <c r="G336" s="161" t="s">
        <v>2126</v>
      </c>
      <c r="H336" s="215">
        <v>1</v>
      </c>
      <c r="I336" s="171"/>
      <c r="J336" s="173">
        <v>25</v>
      </c>
      <c r="K336" s="172"/>
      <c r="L336" s="173">
        <v>25</v>
      </c>
      <c r="M336" s="171">
        <v>25</v>
      </c>
      <c r="N336" s="170">
        <v>50</v>
      </c>
      <c r="O336" s="177" t="s">
        <v>26</v>
      </c>
      <c r="P336" s="162" t="s">
        <v>1619</v>
      </c>
      <c r="Q336" s="176">
        <v>45139</v>
      </c>
      <c r="R336" s="174">
        <v>2051</v>
      </c>
      <c r="S336" s="179"/>
      <c r="T336" s="162" t="s">
        <v>26</v>
      </c>
      <c r="U336" s="161" t="s">
        <v>19</v>
      </c>
      <c r="V336" s="174">
        <v>2019</v>
      </c>
      <c r="W336" s="180" t="s">
        <v>2127</v>
      </c>
      <c r="X336" s="185">
        <v>45069</v>
      </c>
      <c r="Y336" s="187">
        <v>45097.589166666665</v>
      </c>
    </row>
    <row r="337" spans="1:25">
      <c r="A337" s="167" t="s">
        <v>45</v>
      </c>
      <c r="B337" s="162" t="s">
        <v>1555</v>
      </c>
      <c r="C337" s="163" t="s">
        <v>606</v>
      </c>
      <c r="D337" s="162" t="s">
        <v>607</v>
      </c>
      <c r="E337" s="161" t="s">
        <v>1631</v>
      </c>
      <c r="F337" s="164" t="s">
        <v>1614</v>
      </c>
      <c r="G337" s="161" t="s">
        <v>650</v>
      </c>
      <c r="H337" s="214">
        <v>108</v>
      </c>
      <c r="I337" s="171"/>
      <c r="J337" s="170">
        <v>2.5499999999999998</v>
      </c>
      <c r="K337" s="172"/>
      <c r="L337" s="170">
        <v>274.97000000000003</v>
      </c>
      <c r="M337" s="171">
        <v>274.97000000000003</v>
      </c>
      <c r="N337" s="170"/>
      <c r="O337" s="177" t="s">
        <v>76</v>
      </c>
      <c r="P337" s="162" t="s">
        <v>1620</v>
      </c>
      <c r="Q337" s="176">
        <v>44287</v>
      </c>
      <c r="R337" s="175">
        <v>2055</v>
      </c>
      <c r="S337" s="179"/>
      <c r="T337" s="164" t="s">
        <v>24</v>
      </c>
      <c r="U337" s="161" t="s">
        <v>1615</v>
      </c>
      <c r="V337" s="175">
        <v>1518</v>
      </c>
      <c r="W337" s="181"/>
      <c r="X337" s="186">
        <v>45017</v>
      </c>
      <c r="Y337" s="187">
        <v>45021.472222222219</v>
      </c>
    </row>
    <row r="338" spans="1:25">
      <c r="A338" s="167" t="s">
        <v>110</v>
      </c>
      <c r="B338" s="162" t="s">
        <v>1599</v>
      </c>
      <c r="C338" s="163" t="s">
        <v>2128</v>
      </c>
      <c r="D338" s="162" t="s">
        <v>2129</v>
      </c>
      <c r="E338" s="161" t="s">
        <v>1625</v>
      </c>
      <c r="F338" s="162" t="s">
        <v>1609</v>
      </c>
      <c r="G338" s="161"/>
      <c r="H338" s="215">
        <v>50</v>
      </c>
      <c r="I338" s="171"/>
      <c r="J338" s="173">
        <v>7.2</v>
      </c>
      <c r="K338" s="172"/>
      <c r="L338" s="173">
        <v>360</v>
      </c>
      <c r="M338" s="171">
        <v>360</v>
      </c>
      <c r="N338" s="170"/>
      <c r="O338" s="177" t="s">
        <v>1523</v>
      </c>
      <c r="P338" s="162" t="s">
        <v>1620</v>
      </c>
      <c r="Q338" s="184"/>
      <c r="R338" s="174">
        <v>2056</v>
      </c>
      <c r="S338" s="179"/>
      <c r="T338" s="162" t="s">
        <v>28</v>
      </c>
      <c r="U338" s="161" t="s">
        <v>16</v>
      </c>
      <c r="V338" s="174">
        <v>2464</v>
      </c>
      <c r="W338" s="180"/>
      <c r="X338" s="185">
        <v>45069</v>
      </c>
      <c r="Y338" s="187">
        <v>45028.619953703703</v>
      </c>
    </row>
    <row r="339" spans="1:25">
      <c r="A339" s="167" t="s">
        <v>45</v>
      </c>
      <c r="B339" s="162" t="s">
        <v>1599</v>
      </c>
      <c r="C339" s="163" t="s">
        <v>2130</v>
      </c>
      <c r="D339" s="162" t="s">
        <v>2131</v>
      </c>
      <c r="E339" s="161" t="s">
        <v>1631</v>
      </c>
      <c r="F339" s="162" t="s">
        <v>1614</v>
      </c>
      <c r="G339" s="161"/>
      <c r="H339" s="214">
        <v>32</v>
      </c>
      <c r="I339" s="171">
        <v>2.5</v>
      </c>
      <c r="J339" s="170">
        <v>3.13</v>
      </c>
      <c r="K339" s="172">
        <v>80</v>
      </c>
      <c r="L339" s="170">
        <v>100</v>
      </c>
      <c r="M339" s="171" t="s">
        <v>2132</v>
      </c>
      <c r="N339" s="170">
        <v>0</v>
      </c>
      <c r="O339" s="177" t="s">
        <v>1523</v>
      </c>
      <c r="P339" s="162" t="s">
        <v>1620</v>
      </c>
      <c r="Q339" s="176"/>
      <c r="R339" s="174"/>
      <c r="S339" s="179"/>
      <c r="T339" s="162" t="s">
        <v>28</v>
      </c>
      <c r="U339" s="161" t="s">
        <v>1615</v>
      </c>
      <c r="V339" s="174">
        <v>1570</v>
      </c>
      <c r="W339" s="180" t="s">
        <v>2133</v>
      </c>
      <c r="X339" s="185">
        <v>45069</v>
      </c>
      <c r="Y339" s="187">
        <v>45021.566932870373</v>
      </c>
    </row>
    <row r="340" spans="1:25">
      <c r="A340" s="167" t="s">
        <v>110</v>
      </c>
      <c r="B340" s="162" t="s">
        <v>1555</v>
      </c>
      <c r="C340" s="163" t="s">
        <v>2134</v>
      </c>
      <c r="D340" s="162" t="s">
        <v>396</v>
      </c>
      <c r="E340" s="161" t="s">
        <v>1700</v>
      </c>
      <c r="F340" s="162" t="s">
        <v>1658</v>
      </c>
      <c r="G340" s="161" t="s">
        <v>2135</v>
      </c>
      <c r="H340" s="215">
        <v>1</v>
      </c>
      <c r="I340" s="171"/>
      <c r="J340" s="173">
        <v>185</v>
      </c>
      <c r="K340" s="172"/>
      <c r="L340" s="173">
        <v>185</v>
      </c>
      <c r="M340" s="171">
        <v>185</v>
      </c>
      <c r="N340" s="170"/>
      <c r="O340" s="177" t="s">
        <v>76</v>
      </c>
      <c r="P340" s="162" t="s">
        <v>1619</v>
      </c>
      <c r="Q340" s="176"/>
      <c r="R340" s="174">
        <v>2057</v>
      </c>
      <c r="S340" s="179"/>
      <c r="T340" s="162" t="s">
        <v>24</v>
      </c>
      <c r="U340" s="161" t="s">
        <v>17</v>
      </c>
      <c r="V340" s="174">
        <v>1068</v>
      </c>
      <c r="W340" s="180"/>
      <c r="X340" s="185">
        <v>45017</v>
      </c>
      <c r="Y340" s="187">
        <v>45015.428564814814</v>
      </c>
    </row>
    <row r="341" spans="1:25">
      <c r="A341" s="167" t="s">
        <v>77</v>
      </c>
      <c r="B341" s="162" t="s">
        <v>1555</v>
      </c>
      <c r="C341" s="163" t="s">
        <v>830</v>
      </c>
      <c r="D341" s="162" t="s">
        <v>831</v>
      </c>
      <c r="E341" s="161" t="s">
        <v>1631</v>
      </c>
      <c r="F341" s="162" t="s">
        <v>1614</v>
      </c>
      <c r="G341" s="161" t="s">
        <v>2136</v>
      </c>
      <c r="H341" s="214">
        <v>61</v>
      </c>
      <c r="I341" s="171"/>
      <c r="J341" s="170">
        <v>2.75</v>
      </c>
      <c r="K341" s="172"/>
      <c r="L341" s="170">
        <v>167.75</v>
      </c>
      <c r="M341" s="171">
        <v>167.75</v>
      </c>
      <c r="N341" s="170"/>
      <c r="O341" s="177" t="s">
        <v>76</v>
      </c>
      <c r="P341" s="162" t="s">
        <v>1620</v>
      </c>
      <c r="Q341" s="176"/>
      <c r="R341" s="174">
        <v>2048</v>
      </c>
      <c r="S341" s="179"/>
      <c r="T341" s="162" t="s">
        <v>24</v>
      </c>
      <c r="U341" s="161" t="s">
        <v>1615</v>
      </c>
      <c r="V341" s="174">
        <v>1516</v>
      </c>
      <c r="W341" s="180"/>
      <c r="X341" s="185">
        <v>45017</v>
      </c>
      <c r="Y341" s="187">
        <v>45021.454872685186</v>
      </c>
    </row>
    <row r="342" spans="1:25">
      <c r="A342" s="167" t="s">
        <v>45</v>
      </c>
      <c r="B342" s="162" t="s">
        <v>1555</v>
      </c>
      <c r="C342" s="163" t="s">
        <v>2137</v>
      </c>
      <c r="D342" s="162" t="s">
        <v>1604</v>
      </c>
      <c r="E342" s="161" t="s">
        <v>1613</v>
      </c>
      <c r="F342" s="162" t="s">
        <v>1614</v>
      </c>
      <c r="G342" s="161"/>
      <c r="H342" s="215">
        <v>1</v>
      </c>
      <c r="I342" s="171"/>
      <c r="J342" s="173">
        <v>0.23</v>
      </c>
      <c r="K342" s="172"/>
      <c r="L342" s="173">
        <v>0.23</v>
      </c>
      <c r="M342" s="171">
        <v>0.23</v>
      </c>
      <c r="N342" s="170"/>
      <c r="O342" s="177" t="s">
        <v>76</v>
      </c>
      <c r="P342" s="162" t="s">
        <v>1591</v>
      </c>
      <c r="Q342" s="176"/>
      <c r="R342" s="174"/>
      <c r="S342" s="179"/>
      <c r="T342" s="162" t="s">
        <v>24</v>
      </c>
      <c r="U342" s="161" t="s">
        <v>1615</v>
      </c>
      <c r="V342" s="174">
        <v>2083</v>
      </c>
      <c r="W342" s="180"/>
      <c r="X342" s="185" t="s">
        <v>259</v>
      </c>
      <c r="Y342" s="187">
        <v>44830.530162037037</v>
      </c>
    </row>
    <row r="343" spans="1:25">
      <c r="A343" s="220" t="s">
        <v>110</v>
      </c>
      <c r="B343" s="221" t="s">
        <v>1599</v>
      </c>
      <c r="C343" s="222" t="s">
        <v>3878</v>
      </c>
      <c r="D343" s="221" t="s">
        <v>3879</v>
      </c>
      <c r="E343" s="223" t="s">
        <v>1608</v>
      </c>
      <c r="F343" s="224" t="s">
        <v>16</v>
      </c>
      <c r="G343" s="161"/>
      <c r="H343" s="214">
        <v>1</v>
      </c>
      <c r="I343" s="171"/>
      <c r="J343" s="170">
        <v>2970</v>
      </c>
      <c r="K343" s="172"/>
      <c r="L343" s="170">
        <v>2970</v>
      </c>
      <c r="M343" s="171">
        <v>2970</v>
      </c>
      <c r="N343" s="170"/>
      <c r="O343" s="230" t="s">
        <v>1523</v>
      </c>
      <c r="P343" s="221" t="s">
        <v>1604</v>
      </c>
      <c r="Q343" s="231"/>
      <c r="R343" s="232"/>
      <c r="S343" s="233"/>
      <c r="T343" s="224" t="s">
        <v>28</v>
      </c>
      <c r="U343" s="223" t="s">
        <v>16</v>
      </c>
      <c r="V343" s="232">
        <v>2546</v>
      </c>
      <c r="W343" s="234" t="s">
        <v>3938</v>
      </c>
      <c r="X343" s="235"/>
      <c r="Y343" s="236">
        <v>45111.493298611109</v>
      </c>
    </row>
    <row r="344" spans="1:25">
      <c r="A344" s="220" t="s">
        <v>110</v>
      </c>
      <c r="B344" s="221" t="s">
        <v>1599</v>
      </c>
      <c r="C344" s="222" t="s">
        <v>3916</v>
      </c>
      <c r="D344" s="221" t="s">
        <v>3917</v>
      </c>
      <c r="E344" s="223" t="s">
        <v>1608</v>
      </c>
      <c r="F344" s="224" t="s">
        <v>16</v>
      </c>
      <c r="G344" s="161"/>
      <c r="H344" s="215">
        <v>1</v>
      </c>
      <c r="I344" s="171"/>
      <c r="J344" s="173">
        <v>2968</v>
      </c>
      <c r="K344" s="172"/>
      <c r="L344" s="173">
        <v>2968</v>
      </c>
      <c r="M344" s="171">
        <v>2968</v>
      </c>
      <c r="N344" s="170"/>
      <c r="O344" s="230" t="s">
        <v>1523</v>
      </c>
      <c r="P344" s="221" t="s">
        <v>1604</v>
      </c>
      <c r="Q344" s="231"/>
      <c r="R344" s="232"/>
      <c r="S344" s="233"/>
      <c r="T344" s="224" t="s">
        <v>28</v>
      </c>
      <c r="U344" s="223" t="s">
        <v>16</v>
      </c>
      <c r="V344" s="232">
        <v>2547</v>
      </c>
      <c r="W344" s="234" t="s">
        <v>3959</v>
      </c>
      <c r="X344" s="235"/>
      <c r="Y344" s="236">
        <v>45111.740810185183</v>
      </c>
    </row>
    <row r="345" spans="1:25">
      <c r="A345" s="167" t="s">
        <v>110</v>
      </c>
      <c r="B345" s="162" t="s">
        <v>1599</v>
      </c>
      <c r="C345" s="163" t="s">
        <v>2138</v>
      </c>
      <c r="D345" s="162" t="s">
        <v>2139</v>
      </c>
      <c r="E345" s="161" t="s">
        <v>1625</v>
      </c>
      <c r="F345" s="162" t="s">
        <v>1609</v>
      </c>
      <c r="G345" s="161"/>
      <c r="H345" s="214">
        <v>33</v>
      </c>
      <c r="I345" s="171">
        <v>6.2</v>
      </c>
      <c r="J345" s="170">
        <v>6.6</v>
      </c>
      <c r="K345" s="172">
        <v>204.6</v>
      </c>
      <c r="L345" s="170">
        <v>217.8</v>
      </c>
      <c r="M345" s="171" t="s">
        <v>2140</v>
      </c>
      <c r="N345" s="170"/>
      <c r="O345" s="177" t="s">
        <v>1523</v>
      </c>
      <c r="P345" s="162" t="s">
        <v>1620</v>
      </c>
      <c r="Q345" s="176"/>
      <c r="R345" s="174">
        <v>2054</v>
      </c>
      <c r="S345" s="179"/>
      <c r="T345" s="162" t="s">
        <v>28</v>
      </c>
      <c r="U345" s="161" t="s">
        <v>16</v>
      </c>
      <c r="V345" s="174">
        <v>1949</v>
      </c>
      <c r="W345" s="180"/>
      <c r="X345" s="185">
        <v>45069</v>
      </c>
      <c r="Y345" s="187">
        <v>45028.47415509259</v>
      </c>
    </row>
    <row r="346" spans="1:25">
      <c r="A346" s="167" t="s">
        <v>45</v>
      </c>
      <c r="B346" s="162" t="s">
        <v>1599</v>
      </c>
      <c r="C346" s="163" t="s">
        <v>2141</v>
      </c>
      <c r="D346" s="162" t="s">
        <v>2142</v>
      </c>
      <c r="E346" s="161" t="s">
        <v>1602</v>
      </c>
      <c r="F346" s="162" t="s">
        <v>1603</v>
      </c>
      <c r="G346" s="161"/>
      <c r="H346" s="215">
        <v>1</v>
      </c>
      <c r="I346" s="171">
        <v>150</v>
      </c>
      <c r="J346" s="173">
        <v>150</v>
      </c>
      <c r="K346" s="172">
        <v>150</v>
      </c>
      <c r="L346" s="173">
        <v>150</v>
      </c>
      <c r="M346" s="171">
        <v>150</v>
      </c>
      <c r="N346" s="170">
        <v>0</v>
      </c>
      <c r="O346" s="177" t="s">
        <v>1523</v>
      </c>
      <c r="P346" s="162" t="s">
        <v>1604</v>
      </c>
      <c r="Q346" s="176"/>
      <c r="R346" s="174"/>
      <c r="S346" s="179"/>
      <c r="T346" s="162" t="s">
        <v>28</v>
      </c>
      <c r="U346" s="161" t="s">
        <v>19</v>
      </c>
      <c r="V346" s="174">
        <v>2380</v>
      </c>
      <c r="W346" s="180" t="s">
        <v>2143</v>
      </c>
      <c r="X346" s="185">
        <v>45017</v>
      </c>
      <c r="Y346" s="187">
        <v>44931.52753472222</v>
      </c>
    </row>
    <row r="347" spans="1:25">
      <c r="A347" s="167" t="s">
        <v>110</v>
      </c>
      <c r="B347" s="162" t="s">
        <v>1599</v>
      </c>
      <c r="C347" s="163" t="s">
        <v>2144</v>
      </c>
      <c r="D347" s="162" t="s">
        <v>249</v>
      </c>
      <c r="E347" s="161" t="s">
        <v>1631</v>
      </c>
      <c r="F347" s="162" t="s">
        <v>1614</v>
      </c>
      <c r="G347" s="161"/>
      <c r="H347" s="214">
        <v>30</v>
      </c>
      <c r="I347" s="171">
        <v>3.17</v>
      </c>
      <c r="J347" s="170">
        <v>3.17</v>
      </c>
      <c r="K347" s="172">
        <v>95.1</v>
      </c>
      <c r="L347" s="170">
        <v>95.1</v>
      </c>
      <c r="M347" s="171">
        <v>95.1</v>
      </c>
      <c r="N347" s="170"/>
      <c r="O347" s="177" t="s">
        <v>27</v>
      </c>
      <c r="P347" s="162" t="s">
        <v>1620</v>
      </c>
      <c r="Q347" s="176">
        <v>45536</v>
      </c>
      <c r="R347" s="174">
        <v>2053</v>
      </c>
      <c r="S347" s="179"/>
      <c r="T347" s="162" t="s">
        <v>27</v>
      </c>
      <c r="U347" s="161" t="s">
        <v>1615</v>
      </c>
      <c r="V347" s="174">
        <v>2513</v>
      </c>
      <c r="W347" s="180"/>
      <c r="X347" s="185">
        <v>45069</v>
      </c>
      <c r="Y347" s="187">
        <v>45100.29414351852</v>
      </c>
    </row>
    <row r="348" spans="1:25">
      <c r="A348" s="167" t="s">
        <v>105</v>
      </c>
      <c r="B348" s="162" t="s">
        <v>1599</v>
      </c>
      <c r="C348" s="163" t="s">
        <v>2145</v>
      </c>
      <c r="D348" s="162" t="s">
        <v>2146</v>
      </c>
      <c r="E348" s="161" t="s">
        <v>1625</v>
      </c>
      <c r="F348" s="162" t="s">
        <v>1609</v>
      </c>
      <c r="G348" s="161"/>
      <c r="H348" s="215">
        <v>1</v>
      </c>
      <c r="I348" s="171">
        <v>150</v>
      </c>
      <c r="J348" s="173">
        <v>150</v>
      </c>
      <c r="K348" s="172">
        <v>150</v>
      </c>
      <c r="L348" s="173">
        <v>150</v>
      </c>
      <c r="M348" s="171">
        <v>150</v>
      </c>
      <c r="N348" s="170"/>
      <c r="O348" s="177" t="s">
        <v>1523</v>
      </c>
      <c r="P348" s="162" t="s">
        <v>1604</v>
      </c>
      <c r="Q348" s="176"/>
      <c r="R348" s="174"/>
      <c r="S348" s="179"/>
      <c r="T348" s="162" t="s">
        <v>28</v>
      </c>
      <c r="U348" s="161" t="s">
        <v>16</v>
      </c>
      <c r="V348" s="174">
        <v>2232</v>
      </c>
      <c r="W348" s="180" t="s">
        <v>2147</v>
      </c>
      <c r="X348" s="185">
        <v>45017</v>
      </c>
      <c r="Y348" s="187">
        <v>44944.576296296298</v>
      </c>
    </row>
    <row r="349" spans="1:25">
      <c r="A349" s="167" t="s">
        <v>105</v>
      </c>
      <c r="B349" s="162" t="s">
        <v>1555</v>
      </c>
      <c r="C349" s="163" t="s">
        <v>2148</v>
      </c>
      <c r="D349" s="162" t="s">
        <v>1735</v>
      </c>
      <c r="E349" s="161" t="s">
        <v>1700</v>
      </c>
      <c r="F349" s="162" t="s">
        <v>1658</v>
      </c>
      <c r="G349" s="161" t="s">
        <v>2149</v>
      </c>
      <c r="H349" s="214">
        <v>1</v>
      </c>
      <c r="I349" s="171">
        <v>60</v>
      </c>
      <c r="J349" s="170">
        <v>60</v>
      </c>
      <c r="K349" s="172">
        <v>60</v>
      </c>
      <c r="L349" s="170">
        <v>60</v>
      </c>
      <c r="M349" s="171">
        <v>60</v>
      </c>
      <c r="N349" s="170"/>
      <c r="O349" s="177" t="s">
        <v>76</v>
      </c>
      <c r="P349" s="162" t="s">
        <v>1619</v>
      </c>
      <c r="Q349" s="176"/>
      <c r="R349" s="174">
        <v>2100</v>
      </c>
      <c r="S349" s="179"/>
      <c r="T349" s="162" t="s">
        <v>24</v>
      </c>
      <c r="U349" s="161" t="s">
        <v>17</v>
      </c>
      <c r="V349" s="174">
        <v>1069</v>
      </c>
      <c r="W349" s="180"/>
      <c r="X349" s="185">
        <v>45017</v>
      </c>
      <c r="Y349" s="187">
        <v>45086.828009259261</v>
      </c>
    </row>
    <row r="350" spans="1:25">
      <c r="A350" s="167" t="s">
        <v>45</v>
      </c>
      <c r="B350" s="162" t="s">
        <v>1555</v>
      </c>
      <c r="C350" s="163" t="s">
        <v>2150</v>
      </c>
      <c r="D350" s="162" t="s">
        <v>1604</v>
      </c>
      <c r="E350" s="161" t="s">
        <v>1613</v>
      </c>
      <c r="F350" s="162" t="s">
        <v>1614</v>
      </c>
      <c r="G350" s="161"/>
      <c r="H350" s="215">
        <v>1</v>
      </c>
      <c r="I350" s="171"/>
      <c r="J350" s="173">
        <v>0.1</v>
      </c>
      <c r="K350" s="172"/>
      <c r="L350" s="173">
        <v>0.1</v>
      </c>
      <c r="M350" s="171">
        <v>0.1</v>
      </c>
      <c r="N350" s="170"/>
      <c r="O350" s="177" t="s">
        <v>76</v>
      </c>
      <c r="P350" s="162" t="s">
        <v>1591</v>
      </c>
      <c r="Q350" s="176"/>
      <c r="R350" s="174"/>
      <c r="S350" s="179"/>
      <c r="T350" s="162" t="s">
        <v>24</v>
      </c>
      <c r="U350" s="161" t="s">
        <v>1615</v>
      </c>
      <c r="V350" s="174">
        <v>2084</v>
      </c>
      <c r="W350" s="180"/>
      <c r="X350" s="185" t="s">
        <v>259</v>
      </c>
      <c r="Y350" s="187">
        <v>44830.53396990741</v>
      </c>
    </row>
    <row r="351" spans="1:25">
      <c r="A351" s="167" t="s">
        <v>110</v>
      </c>
      <c r="B351" s="162" t="s">
        <v>1555</v>
      </c>
      <c r="C351" s="163" t="s">
        <v>375</v>
      </c>
      <c r="D351" s="162" t="s">
        <v>376</v>
      </c>
      <c r="E351" s="161" t="s">
        <v>1625</v>
      </c>
      <c r="F351" s="162" t="s">
        <v>1609</v>
      </c>
      <c r="G351" s="161"/>
      <c r="H351" s="214">
        <v>2</v>
      </c>
      <c r="I351" s="171"/>
      <c r="J351" s="170">
        <v>4</v>
      </c>
      <c r="K351" s="172"/>
      <c r="L351" s="170">
        <v>8</v>
      </c>
      <c r="M351" s="171">
        <v>8</v>
      </c>
      <c r="N351" s="170"/>
      <c r="O351" s="177" t="s">
        <v>76</v>
      </c>
      <c r="P351" s="162" t="s">
        <v>1591</v>
      </c>
      <c r="Q351" s="176">
        <v>44470</v>
      </c>
      <c r="R351" s="174">
        <v>2046</v>
      </c>
      <c r="S351" s="179"/>
      <c r="T351" s="162" t="s">
        <v>24</v>
      </c>
      <c r="U351" s="161" t="s">
        <v>16</v>
      </c>
      <c r="V351" s="174">
        <v>1496</v>
      </c>
      <c r="W351" s="180"/>
      <c r="X351" s="185">
        <v>44805</v>
      </c>
      <c r="Y351" s="187">
        <v>44981.401458333334</v>
      </c>
    </row>
    <row r="352" spans="1:25">
      <c r="A352" s="167" t="s">
        <v>45</v>
      </c>
      <c r="B352" s="162" t="s">
        <v>1599</v>
      </c>
      <c r="C352" s="163" t="s">
        <v>2151</v>
      </c>
      <c r="D352" s="162" t="s">
        <v>2152</v>
      </c>
      <c r="E352" s="161" t="s">
        <v>1625</v>
      </c>
      <c r="F352" s="162" t="s">
        <v>1609</v>
      </c>
      <c r="G352" s="161"/>
      <c r="H352" s="215">
        <v>152</v>
      </c>
      <c r="I352" s="171">
        <v>5</v>
      </c>
      <c r="J352" s="173">
        <v>8</v>
      </c>
      <c r="K352" s="172">
        <v>760</v>
      </c>
      <c r="L352" s="173">
        <v>1216</v>
      </c>
      <c r="M352" s="171" t="s">
        <v>2157</v>
      </c>
      <c r="N352" s="170"/>
      <c r="O352" s="177" t="s">
        <v>1523</v>
      </c>
      <c r="P352" s="162" t="s">
        <v>1620</v>
      </c>
      <c r="Q352" s="176">
        <v>47484</v>
      </c>
      <c r="R352" s="174"/>
      <c r="S352" s="179"/>
      <c r="T352" s="162" t="s">
        <v>28</v>
      </c>
      <c r="U352" s="161" t="s">
        <v>16</v>
      </c>
      <c r="V352" s="174">
        <v>1924</v>
      </c>
      <c r="W352" s="180"/>
      <c r="X352" s="185">
        <v>45069</v>
      </c>
      <c r="Y352" s="187">
        <v>45013.273958333331</v>
      </c>
    </row>
    <row r="353" spans="1:25">
      <c r="A353" s="167" t="s">
        <v>45</v>
      </c>
      <c r="B353" s="162" t="s">
        <v>1599</v>
      </c>
      <c r="C353" s="163" t="s">
        <v>2151</v>
      </c>
      <c r="D353" s="162" t="s">
        <v>2152</v>
      </c>
      <c r="E353" s="161" t="s">
        <v>1631</v>
      </c>
      <c r="F353" s="162" t="s">
        <v>1614</v>
      </c>
      <c r="G353" s="161"/>
      <c r="H353" s="214">
        <v>111</v>
      </c>
      <c r="I353" s="171">
        <v>4</v>
      </c>
      <c r="J353" s="170">
        <v>6</v>
      </c>
      <c r="K353" s="172">
        <v>444</v>
      </c>
      <c r="L353" s="170">
        <v>666</v>
      </c>
      <c r="M353" s="171" t="s">
        <v>2154</v>
      </c>
      <c r="N353" s="170"/>
      <c r="O353" s="177" t="s">
        <v>1523</v>
      </c>
      <c r="P353" s="162" t="s">
        <v>1604</v>
      </c>
      <c r="Q353" s="176">
        <v>46388</v>
      </c>
      <c r="R353" s="174"/>
      <c r="S353" s="179"/>
      <c r="T353" s="162" t="s">
        <v>28</v>
      </c>
      <c r="U353" s="161" t="s">
        <v>1615</v>
      </c>
      <c r="V353" s="174">
        <v>1924</v>
      </c>
      <c r="W353" s="180"/>
      <c r="X353" s="185">
        <v>45069</v>
      </c>
      <c r="Y353" s="187">
        <v>45013.273958333331</v>
      </c>
    </row>
    <row r="354" spans="1:25">
      <c r="A354" s="167" t="s">
        <v>45</v>
      </c>
      <c r="B354" s="162" t="s">
        <v>1599</v>
      </c>
      <c r="C354" s="163" t="s">
        <v>2151</v>
      </c>
      <c r="D354" s="162" t="s">
        <v>2152</v>
      </c>
      <c r="E354" s="161" t="s">
        <v>1625</v>
      </c>
      <c r="F354" s="162" t="s">
        <v>1609</v>
      </c>
      <c r="G354" s="161"/>
      <c r="H354" s="215">
        <v>106</v>
      </c>
      <c r="I354" s="171">
        <v>5</v>
      </c>
      <c r="J354" s="173">
        <v>8</v>
      </c>
      <c r="K354" s="172">
        <v>530</v>
      </c>
      <c r="L354" s="173">
        <v>848</v>
      </c>
      <c r="M354" s="171" t="s">
        <v>2156</v>
      </c>
      <c r="N354" s="170"/>
      <c r="O354" s="177" t="s">
        <v>1523</v>
      </c>
      <c r="P354" s="162" t="s">
        <v>1620</v>
      </c>
      <c r="Q354" s="176">
        <v>46753</v>
      </c>
      <c r="R354" s="174"/>
      <c r="S354" s="179"/>
      <c r="T354" s="162" t="s">
        <v>28</v>
      </c>
      <c r="U354" s="161" t="s">
        <v>16</v>
      </c>
      <c r="V354" s="174">
        <v>1924</v>
      </c>
      <c r="W354" s="180"/>
      <c r="X354" s="185">
        <v>45069</v>
      </c>
      <c r="Y354" s="187">
        <v>45013.273958333331</v>
      </c>
    </row>
    <row r="355" spans="1:25">
      <c r="A355" s="167" t="s">
        <v>45</v>
      </c>
      <c r="B355" s="162" t="s">
        <v>1599</v>
      </c>
      <c r="C355" s="163" t="s">
        <v>2151</v>
      </c>
      <c r="D355" s="162" t="s">
        <v>2152</v>
      </c>
      <c r="E355" s="161" t="s">
        <v>1631</v>
      </c>
      <c r="F355" s="162" t="s">
        <v>1614</v>
      </c>
      <c r="G355" s="161"/>
      <c r="H355" s="214">
        <v>66</v>
      </c>
      <c r="I355" s="171">
        <v>4</v>
      </c>
      <c r="J355" s="170">
        <v>6</v>
      </c>
      <c r="K355" s="172">
        <v>264</v>
      </c>
      <c r="L355" s="170">
        <v>396</v>
      </c>
      <c r="M355" s="171" t="s">
        <v>2153</v>
      </c>
      <c r="N355" s="170"/>
      <c r="O355" s="177" t="s">
        <v>1523</v>
      </c>
      <c r="P355" s="162" t="s">
        <v>1604</v>
      </c>
      <c r="Q355" s="176">
        <v>47119</v>
      </c>
      <c r="R355" s="174"/>
      <c r="S355" s="179"/>
      <c r="T355" s="162" t="s">
        <v>28</v>
      </c>
      <c r="U355" s="161" t="s">
        <v>1615</v>
      </c>
      <c r="V355" s="174">
        <v>1924</v>
      </c>
      <c r="W355" s="180"/>
      <c r="X355" s="185">
        <v>45069</v>
      </c>
      <c r="Y355" s="187">
        <v>45013.273958333331</v>
      </c>
    </row>
    <row r="356" spans="1:25">
      <c r="A356" s="167" t="s">
        <v>45</v>
      </c>
      <c r="B356" s="162" t="s">
        <v>1599</v>
      </c>
      <c r="C356" s="163" t="s">
        <v>2151</v>
      </c>
      <c r="D356" s="162" t="s">
        <v>2152</v>
      </c>
      <c r="E356" s="161" t="s">
        <v>1602</v>
      </c>
      <c r="F356" s="162" t="s">
        <v>1603</v>
      </c>
      <c r="G356" s="161"/>
      <c r="H356" s="215">
        <v>1</v>
      </c>
      <c r="I356" s="171">
        <v>200</v>
      </c>
      <c r="J356" s="173">
        <v>400</v>
      </c>
      <c r="K356" s="172">
        <v>200</v>
      </c>
      <c r="L356" s="173">
        <v>400</v>
      </c>
      <c r="M356" s="171" t="s">
        <v>2155</v>
      </c>
      <c r="N356" s="170">
        <v>1200</v>
      </c>
      <c r="O356" s="177" t="s">
        <v>1523</v>
      </c>
      <c r="P356" s="162" t="s">
        <v>1604</v>
      </c>
      <c r="Q356" s="176">
        <v>46023</v>
      </c>
      <c r="R356" s="174"/>
      <c r="S356" s="179"/>
      <c r="T356" s="162" t="s">
        <v>28</v>
      </c>
      <c r="U356" s="161" t="s">
        <v>19</v>
      </c>
      <c r="V356" s="174">
        <v>1924</v>
      </c>
      <c r="W356" s="180"/>
      <c r="X356" s="185">
        <v>45069</v>
      </c>
      <c r="Y356" s="187">
        <v>45013.273958333331</v>
      </c>
    </row>
    <row r="357" spans="1:25">
      <c r="A357" s="167" t="s">
        <v>77</v>
      </c>
      <c r="B357" s="162" t="s">
        <v>1599</v>
      </c>
      <c r="C357" s="163" t="s">
        <v>2158</v>
      </c>
      <c r="D357" s="162" t="s">
        <v>2159</v>
      </c>
      <c r="E357" s="161" t="s">
        <v>1613</v>
      </c>
      <c r="F357" s="162" t="s">
        <v>1614</v>
      </c>
      <c r="G357" s="161"/>
      <c r="H357" s="214">
        <v>1</v>
      </c>
      <c r="I357" s="171">
        <v>85</v>
      </c>
      <c r="J357" s="170">
        <v>85</v>
      </c>
      <c r="K357" s="172">
        <v>85</v>
      </c>
      <c r="L357" s="170">
        <v>85</v>
      </c>
      <c r="M357" s="171">
        <v>85</v>
      </c>
      <c r="N357" s="170"/>
      <c r="O357" s="177" t="s">
        <v>1523</v>
      </c>
      <c r="P357" s="162" t="s">
        <v>1620</v>
      </c>
      <c r="Q357" s="176"/>
      <c r="R357" s="174"/>
      <c r="S357" s="179"/>
      <c r="T357" s="162" t="s">
        <v>28</v>
      </c>
      <c r="U357" s="161" t="s">
        <v>1615</v>
      </c>
      <c r="V357" s="174">
        <v>1671</v>
      </c>
      <c r="W357" s="180"/>
      <c r="X357" s="185">
        <v>45017</v>
      </c>
      <c r="Y357" s="187">
        <v>45021.62395833333</v>
      </c>
    </row>
    <row r="358" spans="1:25">
      <c r="A358" s="167" t="s">
        <v>91</v>
      </c>
      <c r="B358" s="162" t="s">
        <v>1599</v>
      </c>
      <c r="C358" s="163" t="s">
        <v>2160</v>
      </c>
      <c r="D358" s="162" t="s">
        <v>2161</v>
      </c>
      <c r="E358" s="161" t="s">
        <v>1602</v>
      </c>
      <c r="F358" s="162" t="s">
        <v>1603</v>
      </c>
      <c r="G358" s="161"/>
      <c r="H358" s="215">
        <v>1</v>
      </c>
      <c r="I358" s="171"/>
      <c r="J358" s="173"/>
      <c r="K358" s="172"/>
      <c r="L358" s="173"/>
      <c r="M358" s="171"/>
      <c r="N358" s="170">
        <v>0</v>
      </c>
      <c r="O358" s="177" t="s">
        <v>1523</v>
      </c>
      <c r="P358" s="162" t="s">
        <v>1604</v>
      </c>
      <c r="Q358" s="176"/>
      <c r="R358" s="174"/>
      <c r="S358" s="179"/>
      <c r="T358" s="162" t="s">
        <v>28</v>
      </c>
      <c r="U358" s="161" t="s">
        <v>19</v>
      </c>
      <c r="V358" s="174">
        <v>2429</v>
      </c>
      <c r="W358" s="180"/>
      <c r="X358" s="185">
        <v>45017</v>
      </c>
      <c r="Y358" s="187">
        <v>45036.524907407409</v>
      </c>
    </row>
    <row r="359" spans="1:25">
      <c r="A359" s="167" t="s">
        <v>45</v>
      </c>
      <c r="B359" s="162" t="s">
        <v>1555</v>
      </c>
      <c r="C359" s="163" t="s">
        <v>2162</v>
      </c>
      <c r="D359" s="162" t="s">
        <v>1604</v>
      </c>
      <c r="E359" s="161" t="s">
        <v>1613</v>
      </c>
      <c r="F359" s="162" t="s">
        <v>1614</v>
      </c>
      <c r="G359" s="161"/>
      <c r="H359" s="214">
        <v>1</v>
      </c>
      <c r="I359" s="171"/>
      <c r="J359" s="170">
        <v>0.2</v>
      </c>
      <c r="K359" s="172"/>
      <c r="L359" s="170">
        <v>0.2</v>
      </c>
      <c r="M359" s="171">
        <v>0.2</v>
      </c>
      <c r="N359" s="170"/>
      <c r="O359" s="177" t="s">
        <v>76</v>
      </c>
      <c r="P359" s="162" t="s">
        <v>1591</v>
      </c>
      <c r="Q359" s="176"/>
      <c r="R359" s="174"/>
      <c r="S359" s="179"/>
      <c r="T359" s="162" t="s">
        <v>24</v>
      </c>
      <c r="U359" s="161" t="s">
        <v>1615</v>
      </c>
      <c r="V359" s="174">
        <v>2085</v>
      </c>
      <c r="W359" s="180"/>
      <c r="X359" s="185" t="s">
        <v>259</v>
      </c>
      <c r="Y359" s="187">
        <v>44830.537453703706</v>
      </c>
    </row>
    <row r="360" spans="1:25">
      <c r="A360" s="167" t="s">
        <v>91</v>
      </c>
      <c r="B360" s="162" t="s">
        <v>1599</v>
      </c>
      <c r="C360" s="163" t="s">
        <v>2163</v>
      </c>
      <c r="D360" s="162" t="s">
        <v>2164</v>
      </c>
      <c r="E360" s="161" t="s">
        <v>1602</v>
      </c>
      <c r="F360" s="162" t="s">
        <v>1603</v>
      </c>
      <c r="G360" s="161"/>
      <c r="H360" s="215">
        <v>1</v>
      </c>
      <c r="I360" s="171">
        <v>77</v>
      </c>
      <c r="J360" s="173">
        <v>77</v>
      </c>
      <c r="K360" s="172">
        <v>77</v>
      </c>
      <c r="L360" s="173">
        <v>77</v>
      </c>
      <c r="M360" s="171">
        <v>77</v>
      </c>
      <c r="N360" s="170">
        <v>0</v>
      </c>
      <c r="O360" s="177" t="s">
        <v>1523</v>
      </c>
      <c r="P360" s="162" t="s">
        <v>1604</v>
      </c>
      <c r="Q360" s="176"/>
      <c r="R360" s="174"/>
      <c r="S360" s="179"/>
      <c r="T360" s="162" t="s">
        <v>28</v>
      </c>
      <c r="U360" s="161" t="s">
        <v>19</v>
      </c>
      <c r="V360" s="174">
        <v>2306</v>
      </c>
      <c r="W360" s="180" t="s">
        <v>2165</v>
      </c>
      <c r="X360" s="185">
        <v>45017</v>
      </c>
      <c r="Y360" s="187">
        <v>44944.577106481483</v>
      </c>
    </row>
    <row r="361" spans="1:25">
      <c r="A361" s="167" t="s">
        <v>91</v>
      </c>
      <c r="B361" s="162" t="s">
        <v>1555</v>
      </c>
      <c r="C361" s="163" t="s">
        <v>2166</v>
      </c>
      <c r="D361" s="162" t="s">
        <v>2167</v>
      </c>
      <c r="E361" s="161" t="s">
        <v>1673</v>
      </c>
      <c r="F361" s="162" t="s">
        <v>1592</v>
      </c>
      <c r="G361" s="161" t="s">
        <v>2168</v>
      </c>
      <c r="H361" s="214">
        <v>1</v>
      </c>
      <c r="I361" s="171"/>
      <c r="J361" s="170">
        <v>52</v>
      </c>
      <c r="K361" s="172"/>
      <c r="L361" s="170">
        <v>52</v>
      </c>
      <c r="M361" s="171">
        <v>52</v>
      </c>
      <c r="N361" s="170"/>
      <c r="O361" s="177" t="s">
        <v>76</v>
      </c>
      <c r="P361" s="162" t="s">
        <v>1619</v>
      </c>
      <c r="Q361" s="176"/>
      <c r="R361" s="174">
        <v>2030</v>
      </c>
      <c r="S361" s="179"/>
      <c r="T361" s="162" t="s">
        <v>24</v>
      </c>
      <c r="U361" s="161" t="s">
        <v>13</v>
      </c>
      <c r="V361" s="174">
        <v>1070</v>
      </c>
      <c r="W361" s="180"/>
      <c r="X361" s="185">
        <v>45017</v>
      </c>
      <c r="Y361" s="187">
        <v>45015.432789351849</v>
      </c>
    </row>
    <row r="362" spans="1:25">
      <c r="A362" s="167" t="s">
        <v>91</v>
      </c>
      <c r="B362" s="162" t="s">
        <v>1555</v>
      </c>
      <c r="C362" s="163" t="s">
        <v>2166</v>
      </c>
      <c r="D362" s="162" t="s">
        <v>2167</v>
      </c>
      <c r="E362" s="161" t="s">
        <v>1673</v>
      </c>
      <c r="F362" s="162" t="s">
        <v>1592</v>
      </c>
      <c r="G362" s="161" t="s">
        <v>2169</v>
      </c>
      <c r="H362" s="215">
        <v>1</v>
      </c>
      <c r="I362" s="171"/>
      <c r="J362" s="173">
        <v>52</v>
      </c>
      <c r="K362" s="172"/>
      <c r="L362" s="173">
        <v>52</v>
      </c>
      <c r="M362" s="171">
        <v>52</v>
      </c>
      <c r="N362" s="170"/>
      <c r="O362" s="177" t="s">
        <v>76</v>
      </c>
      <c r="P362" s="162" t="s">
        <v>1619</v>
      </c>
      <c r="Q362" s="176"/>
      <c r="R362" s="174">
        <v>2030</v>
      </c>
      <c r="S362" s="179"/>
      <c r="T362" s="162" t="s">
        <v>24</v>
      </c>
      <c r="U362" s="161" t="s">
        <v>13</v>
      </c>
      <c r="V362" s="174">
        <v>1070</v>
      </c>
      <c r="W362" s="180"/>
      <c r="X362" s="185">
        <v>45017</v>
      </c>
      <c r="Y362" s="187">
        <v>45015.432789351849</v>
      </c>
    </row>
    <row r="363" spans="1:25">
      <c r="A363" s="167" t="s">
        <v>91</v>
      </c>
      <c r="B363" s="162" t="s">
        <v>1555</v>
      </c>
      <c r="C363" s="163" t="s">
        <v>2166</v>
      </c>
      <c r="D363" s="162" t="s">
        <v>2167</v>
      </c>
      <c r="E363" s="161" t="s">
        <v>1673</v>
      </c>
      <c r="F363" s="162" t="s">
        <v>1592</v>
      </c>
      <c r="G363" s="161" t="s">
        <v>2170</v>
      </c>
      <c r="H363" s="214">
        <v>1</v>
      </c>
      <c r="I363" s="171"/>
      <c r="J363" s="170">
        <v>52</v>
      </c>
      <c r="K363" s="172"/>
      <c r="L363" s="170">
        <v>52</v>
      </c>
      <c r="M363" s="171">
        <v>52</v>
      </c>
      <c r="N363" s="170"/>
      <c r="O363" s="177" t="s">
        <v>76</v>
      </c>
      <c r="P363" s="162" t="s">
        <v>1619</v>
      </c>
      <c r="Q363" s="176"/>
      <c r="R363" s="174">
        <v>2030</v>
      </c>
      <c r="S363" s="179"/>
      <c r="T363" s="162" t="s">
        <v>24</v>
      </c>
      <c r="U363" s="161" t="s">
        <v>13</v>
      </c>
      <c r="V363" s="174">
        <v>1070</v>
      </c>
      <c r="W363" s="180"/>
      <c r="X363" s="185">
        <v>45017</v>
      </c>
      <c r="Y363" s="187">
        <v>45015.432789351849</v>
      </c>
    </row>
    <row r="364" spans="1:25">
      <c r="A364" s="167" t="s">
        <v>110</v>
      </c>
      <c r="B364" s="162" t="s">
        <v>1555</v>
      </c>
      <c r="C364" s="163" t="s">
        <v>2171</v>
      </c>
      <c r="D364" s="162" t="s">
        <v>295</v>
      </c>
      <c r="E364" s="161" t="s">
        <v>1596</v>
      </c>
      <c r="F364" s="162" t="s">
        <v>1627</v>
      </c>
      <c r="G364" s="161"/>
      <c r="H364" s="215">
        <v>1</v>
      </c>
      <c r="I364" s="171"/>
      <c r="J364" s="173">
        <v>1.06</v>
      </c>
      <c r="K364" s="172"/>
      <c r="L364" s="173">
        <v>1.06</v>
      </c>
      <c r="M364" s="171">
        <v>1.06</v>
      </c>
      <c r="N364" s="170"/>
      <c r="O364" s="177" t="s">
        <v>76</v>
      </c>
      <c r="P364" s="162" t="s">
        <v>1591</v>
      </c>
      <c r="Q364" s="176"/>
      <c r="R364" s="174">
        <v>2042</v>
      </c>
      <c r="S364" s="179"/>
      <c r="T364" s="162" t="s">
        <v>24</v>
      </c>
      <c r="U364" s="161" t="s">
        <v>18</v>
      </c>
      <c r="V364" s="174">
        <v>2158</v>
      </c>
      <c r="W364" s="180"/>
      <c r="X364" s="185" t="s">
        <v>259</v>
      </c>
      <c r="Y364" s="187">
        <v>44981.421655092592</v>
      </c>
    </row>
    <row r="365" spans="1:25">
      <c r="A365" s="167" t="s">
        <v>77</v>
      </c>
      <c r="B365" s="162" t="s">
        <v>1599</v>
      </c>
      <c r="C365" s="163" t="s">
        <v>2172</v>
      </c>
      <c r="D365" s="162" t="s">
        <v>447</v>
      </c>
      <c r="E365" s="161" t="s">
        <v>1631</v>
      </c>
      <c r="F365" s="162" t="s">
        <v>1614</v>
      </c>
      <c r="G365" s="161"/>
      <c r="H365" s="214">
        <v>28</v>
      </c>
      <c r="I365" s="171">
        <v>3.46</v>
      </c>
      <c r="J365" s="170">
        <v>3.46</v>
      </c>
      <c r="K365" s="172">
        <v>96.99</v>
      </c>
      <c r="L365" s="170">
        <v>96.99</v>
      </c>
      <c r="M365" s="171">
        <v>96.99</v>
      </c>
      <c r="N365" s="170"/>
      <c r="O365" s="177" t="s">
        <v>1523</v>
      </c>
      <c r="P365" s="162" t="s">
        <v>1620</v>
      </c>
      <c r="Q365" s="176"/>
      <c r="R365" s="174"/>
      <c r="S365" s="179"/>
      <c r="T365" s="162" t="s">
        <v>28</v>
      </c>
      <c r="U365" s="161" t="s">
        <v>1615</v>
      </c>
      <c r="V365" s="174">
        <v>1855</v>
      </c>
      <c r="W365" s="180"/>
      <c r="X365" s="185">
        <v>45069</v>
      </c>
      <c r="Y365" s="187">
        <v>45084.624166666668</v>
      </c>
    </row>
    <row r="366" spans="1:25">
      <c r="A366" s="167" t="s">
        <v>77</v>
      </c>
      <c r="B366" s="162" t="s">
        <v>1599</v>
      </c>
      <c r="C366" s="163" t="s">
        <v>527</v>
      </c>
      <c r="D366" s="162" t="s">
        <v>2173</v>
      </c>
      <c r="E366" s="161" t="s">
        <v>1625</v>
      </c>
      <c r="F366" s="162" t="s">
        <v>1609</v>
      </c>
      <c r="G366" s="161" t="s">
        <v>2174</v>
      </c>
      <c r="H366" s="215">
        <v>43</v>
      </c>
      <c r="I366" s="171">
        <v>4.0199999999999996</v>
      </c>
      <c r="J366" s="173">
        <v>4.0199999999999996</v>
      </c>
      <c r="K366" s="172">
        <v>172.99</v>
      </c>
      <c r="L366" s="173">
        <v>172.99</v>
      </c>
      <c r="M366" s="171">
        <v>172.99</v>
      </c>
      <c r="N366" s="170"/>
      <c r="O366" s="177" t="s">
        <v>26</v>
      </c>
      <c r="P366" s="162" t="s">
        <v>1620</v>
      </c>
      <c r="Q366" s="176">
        <v>45200</v>
      </c>
      <c r="R366" s="174">
        <v>2053</v>
      </c>
      <c r="S366" s="179"/>
      <c r="T366" s="162" t="s">
        <v>26</v>
      </c>
      <c r="U366" s="161" t="s">
        <v>16</v>
      </c>
      <c r="V366" s="174">
        <v>1706</v>
      </c>
      <c r="W366" s="180"/>
      <c r="X366" s="185">
        <v>45069</v>
      </c>
      <c r="Y366" s="187">
        <v>45097.473194444443</v>
      </c>
    </row>
    <row r="367" spans="1:25">
      <c r="A367" s="167" t="s">
        <v>45</v>
      </c>
      <c r="B367" s="162" t="s">
        <v>1599</v>
      </c>
      <c r="C367" s="163" t="s">
        <v>2175</v>
      </c>
      <c r="D367" s="162" t="s">
        <v>2176</v>
      </c>
      <c r="E367" s="161" t="s">
        <v>1631</v>
      </c>
      <c r="F367" s="162" t="s">
        <v>1614</v>
      </c>
      <c r="G367" s="161"/>
      <c r="H367" s="214">
        <v>1</v>
      </c>
      <c r="I367" s="171">
        <v>0</v>
      </c>
      <c r="J367" s="170">
        <v>188</v>
      </c>
      <c r="K367" s="172">
        <v>0</v>
      </c>
      <c r="L367" s="170">
        <v>188</v>
      </c>
      <c r="M367" s="171">
        <v>188</v>
      </c>
      <c r="N367" s="170">
        <v>0</v>
      </c>
      <c r="O367" s="177" t="s">
        <v>1523</v>
      </c>
      <c r="P367" s="162" t="s">
        <v>1620</v>
      </c>
      <c r="Q367" s="176"/>
      <c r="R367" s="174"/>
      <c r="S367" s="179"/>
      <c r="T367" s="162" t="s">
        <v>28</v>
      </c>
      <c r="U367" s="161" t="s">
        <v>1615</v>
      </c>
      <c r="V367" s="174">
        <v>1907</v>
      </c>
      <c r="W367" s="180" t="s">
        <v>2177</v>
      </c>
      <c r="X367" s="185">
        <v>45069</v>
      </c>
      <c r="Y367" s="187">
        <v>45098.599629629629</v>
      </c>
    </row>
    <row r="368" spans="1:25">
      <c r="A368" s="167" t="s">
        <v>77</v>
      </c>
      <c r="B368" s="162" t="s">
        <v>1555</v>
      </c>
      <c r="C368" s="163" t="s">
        <v>1046</v>
      </c>
      <c r="D368" s="162" t="s">
        <v>2178</v>
      </c>
      <c r="E368" s="161" t="s">
        <v>1613</v>
      </c>
      <c r="F368" s="162" t="s">
        <v>1614</v>
      </c>
      <c r="G368" s="161"/>
      <c r="H368" s="215">
        <v>4</v>
      </c>
      <c r="I368" s="171">
        <v>1.8</v>
      </c>
      <c r="J368" s="173">
        <v>1.8</v>
      </c>
      <c r="K368" s="172">
        <v>7.2</v>
      </c>
      <c r="L368" s="173">
        <v>7.2</v>
      </c>
      <c r="M368" s="171">
        <v>7.2</v>
      </c>
      <c r="N368" s="170">
        <v>0</v>
      </c>
      <c r="O368" s="177" t="s">
        <v>76</v>
      </c>
      <c r="P368" s="162" t="s">
        <v>1591</v>
      </c>
      <c r="Q368" s="176">
        <v>43070</v>
      </c>
      <c r="R368" s="174"/>
      <c r="S368" s="179"/>
      <c r="T368" s="162" t="s">
        <v>24</v>
      </c>
      <c r="U368" s="161" t="s">
        <v>1615</v>
      </c>
      <c r="V368" s="174">
        <v>1429</v>
      </c>
      <c r="W368" s="180"/>
      <c r="X368" s="185">
        <v>44805</v>
      </c>
      <c r="Y368" s="187">
        <v>44679.637916666667</v>
      </c>
    </row>
    <row r="369" spans="1:25">
      <c r="A369" s="167" t="s">
        <v>110</v>
      </c>
      <c r="B369" s="162" t="s">
        <v>1555</v>
      </c>
      <c r="C369" s="163" t="s">
        <v>300</v>
      </c>
      <c r="D369" s="162" t="s">
        <v>301</v>
      </c>
      <c r="E369" s="161" t="s">
        <v>1625</v>
      </c>
      <c r="F369" s="162" t="s">
        <v>1609</v>
      </c>
      <c r="G369" s="161" t="s">
        <v>683</v>
      </c>
      <c r="H369" s="214">
        <v>40</v>
      </c>
      <c r="I369" s="171">
        <v>4.2</v>
      </c>
      <c r="J369" s="170">
        <v>4.2</v>
      </c>
      <c r="K369" s="172">
        <v>168</v>
      </c>
      <c r="L369" s="170">
        <v>168</v>
      </c>
      <c r="M369" s="171">
        <v>168</v>
      </c>
      <c r="N369" s="170"/>
      <c r="O369" s="177" t="s">
        <v>76</v>
      </c>
      <c r="P369" s="162" t="s">
        <v>1620</v>
      </c>
      <c r="Q369" s="176">
        <v>44713</v>
      </c>
      <c r="R369" s="174">
        <v>2045</v>
      </c>
      <c r="S369" s="179"/>
      <c r="T369" s="162" t="s">
        <v>24</v>
      </c>
      <c r="U369" s="161" t="s">
        <v>16</v>
      </c>
      <c r="V369" s="174">
        <v>1303</v>
      </c>
      <c r="W369" s="180"/>
      <c r="X369" s="185">
        <v>45017</v>
      </c>
      <c r="Y369" s="187">
        <v>45016.474062499998</v>
      </c>
    </row>
    <row r="370" spans="1:25">
      <c r="A370" s="167" t="s">
        <v>110</v>
      </c>
      <c r="B370" s="162" t="s">
        <v>1555</v>
      </c>
      <c r="C370" s="163" t="s">
        <v>300</v>
      </c>
      <c r="D370" s="162" t="s">
        <v>301</v>
      </c>
      <c r="E370" s="161" t="s">
        <v>1625</v>
      </c>
      <c r="F370" s="162" t="s">
        <v>1609</v>
      </c>
      <c r="G370" s="161" t="s">
        <v>2179</v>
      </c>
      <c r="H370" s="215">
        <v>11</v>
      </c>
      <c r="I370" s="171">
        <v>4.2</v>
      </c>
      <c r="J370" s="173">
        <v>4.2</v>
      </c>
      <c r="K370" s="172">
        <v>46.2</v>
      </c>
      <c r="L370" s="173">
        <v>46.2</v>
      </c>
      <c r="M370" s="171">
        <v>46.2</v>
      </c>
      <c r="N370" s="170"/>
      <c r="O370" s="177" t="s">
        <v>76</v>
      </c>
      <c r="P370" s="162" t="s">
        <v>1620</v>
      </c>
      <c r="Q370" s="176">
        <v>44713</v>
      </c>
      <c r="R370" s="174">
        <v>2045</v>
      </c>
      <c r="S370" s="179"/>
      <c r="T370" s="162" t="s">
        <v>24</v>
      </c>
      <c r="U370" s="161" t="s">
        <v>16</v>
      </c>
      <c r="V370" s="174">
        <v>1303</v>
      </c>
      <c r="W370" s="180"/>
      <c r="X370" s="185">
        <v>45017</v>
      </c>
      <c r="Y370" s="187">
        <v>45016.474062499998</v>
      </c>
    </row>
    <row r="371" spans="1:25">
      <c r="A371" s="167" t="s">
        <v>110</v>
      </c>
      <c r="B371" s="162" t="s">
        <v>1555</v>
      </c>
      <c r="C371" s="163" t="s">
        <v>300</v>
      </c>
      <c r="D371" s="162" t="s">
        <v>301</v>
      </c>
      <c r="E371" s="161" t="s">
        <v>1625</v>
      </c>
      <c r="F371" s="164" t="s">
        <v>1609</v>
      </c>
      <c r="G371" s="161" t="s">
        <v>2180</v>
      </c>
      <c r="H371" s="214">
        <v>29</v>
      </c>
      <c r="I371" s="171">
        <v>4.2</v>
      </c>
      <c r="J371" s="170">
        <v>4.2</v>
      </c>
      <c r="K371" s="172">
        <v>121.8</v>
      </c>
      <c r="L371" s="170">
        <v>121.8</v>
      </c>
      <c r="M371" s="171">
        <v>121.8</v>
      </c>
      <c r="N371" s="170"/>
      <c r="O371" s="177" t="s">
        <v>76</v>
      </c>
      <c r="P371" s="162" t="s">
        <v>1620</v>
      </c>
      <c r="Q371" s="176">
        <v>44713</v>
      </c>
      <c r="R371" s="175">
        <v>2045</v>
      </c>
      <c r="S371" s="179"/>
      <c r="T371" s="164" t="s">
        <v>24</v>
      </c>
      <c r="U371" s="161" t="s">
        <v>16</v>
      </c>
      <c r="V371" s="175">
        <v>1303</v>
      </c>
      <c r="W371" s="181"/>
      <c r="X371" s="185">
        <v>45017</v>
      </c>
      <c r="Y371" s="187">
        <v>45016.474062499998</v>
      </c>
    </row>
    <row r="372" spans="1:25">
      <c r="A372" s="167" t="s">
        <v>45</v>
      </c>
      <c r="B372" s="162" t="s">
        <v>1599</v>
      </c>
      <c r="C372" s="163" t="s">
        <v>2181</v>
      </c>
      <c r="D372" s="162" t="s">
        <v>2182</v>
      </c>
      <c r="E372" s="161" t="s">
        <v>1631</v>
      </c>
      <c r="F372" s="164" t="s">
        <v>1614</v>
      </c>
      <c r="G372" s="161"/>
      <c r="H372" s="215">
        <v>1</v>
      </c>
      <c r="I372" s="171">
        <v>55</v>
      </c>
      <c r="J372" s="173">
        <v>55</v>
      </c>
      <c r="K372" s="172">
        <v>55</v>
      </c>
      <c r="L372" s="173">
        <v>55</v>
      </c>
      <c r="M372" s="171">
        <v>55</v>
      </c>
      <c r="N372" s="170">
        <v>0</v>
      </c>
      <c r="O372" s="177" t="s">
        <v>1523</v>
      </c>
      <c r="P372" s="162" t="s">
        <v>1620</v>
      </c>
      <c r="Q372" s="176"/>
      <c r="R372" s="175"/>
      <c r="S372" s="179"/>
      <c r="T372" s="164" t="s">
        <v>28</v>
      </c>
      <c r="U372" s="161" t="s">
        <v>1615</v>
      </c>
      <c r="V372" s="175">
        <v>1632</v>
      </c>
      <c r="W372" s="181"/>
      <c r="X372" s="185">
        <v>45069</v>
      </c>
      <c r="Y372" s="187">
        <v>44679.714247685188</v>
      </c>
    </row>
    <row r="373" spans="1:25">
      <c r="A373" s="167" t="s">
        <v>45</v>
      </c>
      <c r="B373" s="162" t="s">
        <v>1599</v>
      </c>
      <c r="C373" s="163" t="s">
        <v>2183</v>
      </c>
      <c r="D373" s="162" t="s">
        <v>2184</v>
      </c>
      <c r="E373" s="161" t="s">
        <v>1657</v>
      </c>
      <c r="F373" s="162" t="s">
        <v>1658</v>
      </c>
      <c r="G373" s="161"/>
      <c r="H373" s="214">
        <v>1</v>
      </c>
      <c r="I373" s="171">
        <v>150</v>
      </c>
      <c r="J373" s="170">
        <v>150</v>
      </c>
      <c r="K373" s="172">
        <v>150</v>
      </c>
      <c r="L373" s="170">
        <v>150</v>
      </c>
      <c r="M373" s="171">
        <v>150</v>
      </c>
      <c r="N373" s="170">
        <v>1500</v>
      </c>
      <c r="O373" s="177" t="s">
        <v>1523</v>
      </c>
      <c r="P373" s="162" t="s">
        <v>1619</v>
      </c>
      <c r="Q373" s="176"/>
      <c r="R373" s="174"/>
      <c r="S373" s="179"/>
      <c r="T373" s="162" t="s">
        <v>28</v>
      </c>
      <c r="U373" s="161" t="s">
        <v>17</v>
      </c>
      <c r="V373" s="174">
        <v>1926</v>
      </c>
      <c r="W373" s="180" t="s">
        <v>2185</v>
      </c>
      <c r="X373" s="185">
        <v>45017</v>
      </c>
      <c r="Y373" s="187">
        <v>45028.462210648147</v>
      </c>
    </row>
    <row r="374" spans="1:25">
      <c r="A374" s="167" t="s">
        <v>45</v>
      </c>
      <c r="B374" s="162" t="s">
        <v>1599</v>
      </c>
      <c r="C374" s="163" t="s">
        <v>2183</v>
      </c>
      <c r="D374" s="162" t="s">
        <v>2184</v>
      </c>
      <c r="E374" s="161" t="s">
        <v>1657</v>
      </c>
      <c r="F374" s="162" t="s">
        <v>1658</v>
      </c>
      <c r="G374" s="161"/>
      <c r="H374" s="215">
        <v>1</v>
      </c>
      <c r="I374" s="171">
        <v>150</v>
      </c>
      <c r="J374" s="173">
        <v>150</v>
      </c>
      <c r="K374" s="172">
        <v>150</v>
      </c>
      <c r="L374" s="173">
        <v>150</v>
      </c>
      <c r="M374" s="171">
        <v>150</v>
      </c>
      <c r="N374" s="170">
        <v>1500</v>
      </c>
      <c r="O374" s="177" t="s">
        <v>1523</v>
      </c>
      <c r="P374" s="162" t="s">
        <v>1619</v>
      </c>
      <c r="Q374" s="176"/>
      <c r="R374" s="174"/>
      <c r="S374" s="179"/>
      <c r="T374" s="162" t="s">
        <v>28</v>
      </c>
      <c r="U374" s="161" t="s">
        <v>17</v>
      </c>
      <c r="V374" s="174">
        <v>1926</v>
      </c>
      <c r="W374" s="180" t="s">
        <v>2185</v>
      </c>
      <c r="X374" s="185">
        <v>45017</v>
      </c>
      <c r="Y374" s="187">
        <v>45028.462210648147</v>
      </c>
    </row>
    <row r="375" spans="1:25">
      <c r="A375" s="167" t="s">
        <v>77</v>
      </c>
      <c r="B375" s="162" t="s">
        <v>1599</v>
      </c>
      <c r="C375" s="163" t="s">
        <v>2186</v>
      </c>
      <c r="D375" s="162" t="s">
        <v>2187</v>
      </c>
      <c r="E375" s="161" t="s">
        <v>1602</v>
      </c>
      <c r="F375" s="162" t="s">
        <v>1603</v>
      </c>
      <c r="G375" s="161"/>
      <c r="H375" s="214">
        <v>1</v>
      </c>
      <c r="I375" s="171">
        <v>100</v>
      </c>
      <c r="J375" s="170">
        <v>100</v>
      </c>
      <c r="K375" s="172">
        <v>100</v>
      </c>
      <c r="L375" s="170">
        <v>100</v>
      </c>
      <c r="M375" s="171">
        <v>100</v>
      </c>
      <c r="N375" s="170">
        <v>0</v>
      </c>
      <c r="O375" s="177" t="s">
        <v>1523</v>
      </c>
      <c r="P375" s="162" t="s">
        <v>1604</v>
      </c>
      <c r="Q375" s="176"/>
      <c r="R375" s="174"/>
      <c r="S375" s="179"/>
      <c r="T375" s="162" t="s">
        <v>28</v>
      </c>
      <c r="U375" s="161" t="s">
        <v>19</v>
      </c>
      <c r="V375" s="174">
        <v>2498</v>
      </c>
      <c r="W375" s="180" t="s">
        <v>2188</v>
      </c>
      <c r="X375" s="185">
        <v>45017</v>
      </c>
      <c r="Y375" s="187">
        <v>45035.864131944443</v>
      </c>
    </row>
    <row r="376" spans="1:25">
      <c r="A376" s="167" t="s">
        <v>77</v>
      </c>
      <c r="B376" s="162" t="s">
        <v>1599</v>
      </c>
      <c r="C376" s="163" t="s">
        <v>2189</v>
      </c>
      <c r="D376" s="162" t="s">
        <v>2187</v>
      </c>
      <c r="E376" s="161" t="s">
        <v>1613</v>
      </c>
      <c r="F376" s="162" t="s">
        <v>1614</v>
      </c>
      <c r="G376" s="161"/>
      <c r="H376" s="215">
        <v>1</v>
      </c>
      <c r="I376" s="171">
        <v>100</v>
      </c>
      <c r="J376" s="173">
        <v>100</v>
      </c>
      <c r="K376" s="172">
        <v>100</v>
      </c>
      <c r="L376" s="173">
        <v>100</v>
      </c>
      <c r="M376" s="171">
        <v>100</v>
      </c>
      <c r="N376" s="170"/>
      <c r="O376" s="177" t="s">
        <v>1523</v>
      </c>
      <c r="P376" s="162" t="s">
        <v>1604</v>
      </c>
      <c r="Q376" s="176"/>
      <c r="R376" s="174"/>
      <c r="S376" s="179"/>
      <c r="T376" s="162" t="s">
        <v>28</v>
      </c>
      <c r="U376" s="161" t="s">
        <v>1615</v>
      </c>
      <c r="V376" s="174">
        <v>2497</v>
      </c>
      <c r="W376" s="180" t="s">
        <v>2188</v>
      </c>
      <c r="X376" s="185">
        <v>45017</v>
      </c>
      <c r="Y376" s="187">
        <v>45035.860798611109</v>
      </c>
    </row>
    <row r="377" spans="1:25">
      <c r="A377" s="167" t="s">
        <v>77</v>
      </c>
      <c r="B377" s="162" t="s">
        <v>1599</v>
      </c>
      <c r="C377" s="163" t="s">
        <v>2190</v>
      </c>
      <c r="D377" s="162" t="s">
        <v>2191</v>
      </c>
      <c r="E377" s="161" t="s">
        <v>1631</v>
      </c>
      <c r="F377" s="162" t="s">
        <v>1614</v>
      </c>
      <c r="G377" s="161"/>
      <c r="H377" s="214">
        <v>1</v>
      </c>
      <c r="I377" s="171"/>
      <c r="J377" s="170">
        <v>400</v>
      </c>
      <c r="K377" s="172"/>
      <c r="L377" s="170">
        <v>400</v>
      </c>
      <c r="M377" s="171">
        <v>400</v>
      </c>
      <c r="N377" s="170"/>
      <c r="O377" s="177" t="s">
        <v>1523</v>
      </c>
      <c r="P377" s="162" t="s">
        <v>1620</v>
      </c>
      <c r="Q377" s="176"/>
      <c r="R377" s="174"/>
      <c r="S377" s="179"/>
      <c r="T377" s="162" t="s">
        <v>28</v>
      </c>
      <c r="U377" s="161" t="s">
        <v>1615</v>
      </c>
      <c r="V377" s="174">
        <v>2515</v>
      </c>
      <c r="W377" s="182"/>
      <c r="X377" s="185"/>
      <c r="Y377" s="187">
        <v>45078.635995370372</v>
      </c>
    </row>
    <row r="378" spans="1:25">
      <c r="A378" s="167" t="s">
        <v>77</v>
      </c>
      <c r="B378" s="162" t="s">
        <v>1599</v>
      </c>
      <c r="C378" s="163" t="s">
        <v>2190</v>
      </c>
      <c r="D378" s="162" t="s">
        <v>2191</v>
      </c>
      <c r="E378" s="161" t="s">
        <v>1602</v>
      </c>
      <c r="F378" s="162" t="s">
        <v>1603</v>
      </c>
      <c r="G378" s="161"/>
      <c r="H378" s="215">
        <v>1</v>
      </c>
      <c r="I378" s="171"/>
      <c r="J378" s="173">
        <v>200</v>
      </c>
      <c r="K378" s="172"/>
      <c r="L378" s="173">
        <v>200</v>
      </c>
      <c r="M378" s="171">
        <v>200</v>
      </c>
      <c r="N378" s="170">
        <v>400</v>
      </c>
      <c r="O378" s="177" t="s">
        <v>1523</v>
      </c>
      <c r="P378" s="162" t="s">
        <v>1619</v>
      </c>
      <c r="Q378" s="176"/>
      <c r="R378" s="174"/>
      <c r="S378" s="179"/>
      <c r="T378" s="162" t="s">
        <v>28</v>
      </c>
      <c r="U378" s="161" t="s">
        <v>19</v>
      </c>
      <c r="V378" s="174">
        <v>2515</v>
      </c>
      <c r="W378" s="180"/>
      <c r="X378" s="185"/>
      <c r="Y378" s="187">
        <v>45078.635995370372</v>
      </c>
    </row>
    <row r="379" spans="1:25">
      <c r="A379" s="167" t="s">
        <v>77</v>
      </c>
      <c r="B379" s="162" t="s">
        <v>1599</v>
      </c>
      <c r="C379" s="163" t="s">
        <v>2192</v>
      </c>
      <c r="D379" s="162" t="s">
        <v>523</v>
      </c>
      <c r="E379" s="161" t="s">
        <v>1613</v>
      </c>
      <c r="F379" s="162" t="s">
        <v>1614</v>
      </c>
      <c r="G379" s="161"/>
      <c r="H379" s="214">
        <v>100</v>
      </c>
      <c r="I379" s="171">
        <v>1</v>
      </c>
      <c r="J379" s="170">
        <v>1</v>
      </c>
      <c r="K379" s="172">
        <v>100</v>
      </c>
      <c r="L379" s="170">
        <v>100</v>
      </c>
      <c r="M379" s="171">
        <v>100</v>
      </c>
      <c r="N379" s="170"/>
      <c r="O379" s="177" t="s">
        <v>1523</v>
      </c>
      <c r="P379" s="162" t="s">
        <v>1620</v>
      </c>
      <c r="Q379" s="176"/>
      <c r="R379" s="174"/>
      <c r="S379" s="179"/>
      <c r="T379" s="162" t="s">
        <v>28</v>
      </c>
      <c r="U379" s="161" t="s">
        <v>1615</v>
      </c>
      <c r="V379" s="174">
        <v>1627</v>
      </c>
      <c r="W379" s="180"/>
      <c r="X379" s="185">
        <v>45069</v>
      </c>
      <c r="Y379" s="187">
        <v>45097.44599537037</v>
      </c>
    </row>
    <row r="380" spans="1:25">
      <c r="A380" s="167" t="s">
        <v>45</v>
      </c>
      <c r="B380" s="162" t="s">
        <v>1555</v>
      </c>
      <c r="C380" s="163" t="s">
        <v>2193</v>
      </c>
      <c r="D380" s="162" t="s">
        <v>2193</v>
      </c>
      <c r="E380" s="161" t="s">
        <v>1596</v>
      </c>
      <c r="F380" s="162" t="s">
        <v>1603</v>
      </c>
      <c r="G380" s="161"/>
      <c r="H380" s="215">
        <v>1</v>
      </c>
      <c r="I380" s="171">
        <v>3.9</v>
      </c>
      <c r="J380" s="173">
        <v>3.9</v>
      </c>
      <c r="K380" s="172">
        <v>3.9</v>
      </c>
      <c r="L380" s="173">
        <v>3.9</v>
      </c>
      <c r="M380" s="171">
        <v>3.9</v>
      </c>
      <c r="N380" s="170">
        <v>0</v>
      </c>
      <c r="O380" s="177" t="s">
        <v>76</v>
      </c>
      <c r="P380" s="162" t="s">
        <v>1591</v>
      </c>
      <c r="Q380" s="176"/>
      <c r="R380" s="174"/>
      <c r="S380" s="179"/>
      <c r="T380" s="162" t="s">
        <v>24</v>
      </c>
      <c r="U380" s="161" t="s">
        <v>20</v>
      </c>
      <c r="V380" s="174">
        <v>1438</v>
      </c>
      <c r="W380" s="180"/>
      <c r="X380" s="185">
        <v>44805</v>
      </c>
      <c r="Y380" s="187">
        <v>44991.391886574071</v>
      </c>
    </row>
    <row r="381" spans="1:25">
      <c r="A381" s="167" t="s">
        <v>45</v>
      </c>
      <c r="B381" s="162" t="s">
        <v>1555</v>
      </c>
      <c r="C381" s="163" t="s">
        <v>2194</v>
      </c>
      <c r="D381" s="162" t="s">
        <v>601</v>
      </c>
      <c r="E381" s="161" t="s">
        <v>1596</v>
      </c>
      <c r="F381" s="162" t="s">
        <v>1627</v>
      </c>
      <c r="G381" s="161" t="s">
        <v>2195</v>
      </c>
      <c r="H381" s="214">
        <v>4</v>
      </c>
      <c r="I381" s="171"/>
      <c r="J381" s="170">
        <v>1.26</v>
      </c>
      <c r="K381" s="172"/>
      <c r="L381" s="170">
        <v>5.0599999999999996</v>
      </c>
      <c r="M381" s="171">
        <v>5.0599999999999996</v>
      </c>
      <c r="N381" s="170"/>
      <c r="O381" s="177" t="s">
        <v>76</v>
      </c>
      <c r="P381" s="162" t="s">
        <v>1591</v>
      </c>
      <c r="Q381" s="176"/>
      <c r="R381" s="174">
        <v>2025</v>
      </c>
      <c r="S381" s="179"/>
      <c r="T381" s="162" t="s">
        <v>24</v>
      </c>
      <c r="U381" s="161" t="s">
        <v>18</v>
      </c>
      <c r="V381" s="174">
        <v>1328</v>
      </c>
      <c r="W381" s="180"/>
      <c r="X381" s="185">
        <v>44621</v>
      </c>
      <c r="Y381" s="187">
        <v>44981.410532407404</v>
      </c>
    </row>
    <row r="382" spans="1:25">
      <c r="A382" s="167" t="s">
        <v>45</v>
      </c>
      <c r="B382" s="162" t="s">
        <v>1555</v>
      </c>
      <c r="C382" s="163" t="s">
        <v>2196</v>
      </c>
      <c r="D382" s="162" t="s">
        <v>403</v>
      </c>
      <c r="E382" s="161" t="s">
        <v>1596</v>
      </c>
      <c r="F382" s="162" t="s">
        <v>1627</v>
      </c>
      <c r="G382" s="161"/>
      <c r="H382" s="215">
        <v>6</v>
      </c>
      <c r="I382" s="171"/>
      <c r="J382" s="173">
        <v>1.1200000000000001</v>
      </c>
      <c r="K382" s="172"/>
      <c r="L382" s="173">
        <v>6.74</v>
      </c>
      <c r="M382" s="171">
        <v>6.74</v>
      </c>
      <c r="N382" s="170"/>
      <c r="O382" s="177" t="s">
        <v>76</v>
      </c>
      <c r="P382" s="162" t="s">
        <v>1591</v>
      </c>
      <c r="Q382" s="176"/>
      <c r="R382" s="174">
        <v>2042</v>
      </c>
      <c r="S382" s="179"/>
      <c r="T382" s="162" t="s">
        <v>24</v>
      </c>
      <c r="U382" s="161" t="s">
        <v>18</v>
      </c>
      <c r="V382" s="174">
        <v>1071</v>
      </c>
      <c r="W382" s="180"/>
      <c r="X382" s="185">
        <v>44287</v>
      </c>
      <c r="Y382" s="187">
        <v>44981.422303240739</v>
      </c>
    </row>
    <row r="383" spans="1:25">
      <c r="A383" s="167" t="s">
        <v>45</v>
      </c>
      <c r="B383" s="162" t="s">
        <v>1599</v>
      </c>
      <c r="C383" s="163" t="s">
        <v>2197</v>
      </c>
      <c r="D383" s="162" t="s">
        <v>2198</v>
      </c>
      <c r="E383" s="161" t="s">
        <v>1608</v>
      </c>
      <c r="F383" s="162" t="s">
        <v>1609</v>
      </c>
      <c r="G383" s="161"/>
      <c r="H383" s="214">
        <v>115</v>
      </c>
      <c r="I383" s="171">
        <v>15</v>
      </c>
      <c r="J383" s="170">
        <v>15</v>
      </c>
      <c r="K383" s="172">
        <v>1725</v>
      </c>
      <c r="L383" s="170">
        <v>1725</v>
      </c>
      <c r="M383" s="171">
        <v>1725</v>
      </c>
      <c r="N383" s="170"/>
      <c r="O383" s="177" t="s">
        <v>1523</v>
      </c>
      <c r="P383" s="162" t="s">
        <v>1620</v>
      </c>
      <c r="Q383" s="176">
        <v>48000</v>
      </c>
      <c r="R383" s="174"/>
      <c r="S383" s="179"/>
      <c r="T383" s="162" t="s">
        <v>28</v>
      </c>
      <c r="U383" s="161" t="s">
        <v>16</v>
      </c>
      <c r="V383" s="174">
        <v>2459</v>
      </c>
      <c r="W383" s="180" t="s">
        <v>3971</v>
      </c>
      <c r="X383" s="185">
        <v>45017</v>
      </c>
      <c r="Y383" s="187">
        <v>45027.500879629632</v>
      </c>
    </row>
    <row r="384" spans="1:25">
      <c r="A384" s="167" t="s">
        <v>45</v>
      </c>
      <c r="B384" s="162" t="s">
        <v>1599</v>
      </c>
      <c r="C384" s="163" t="s">
        <v>2199</v>
      </c>
      <c r="D384" s="162" t="s">
        <v>2200</v>
      </c>
      <c r="E384" s="161" t="s">
        <v>1608</v>
      </c>
      <c r="F384" s="162" t="s">
        <v>1609</v>
      </c>
      <c r="G384" s="161"/>
      <c r="H384" s="215">
        <v>1</v>
      </c>
      <c r="I384" s="171"/>
      <c r="J384" s="173">
        <v>2000</v>
      </c>
      <c r="K384" s="172"/>
      <c r="L384" s="173">
        <v>2000</v>
      </c>
      <c r="M384" s="171">
        <v>2000</v>
      </c>
      <c r="N384" s="170"/>
      <c r="O384" s="177" t="s">
        <v>1523</v>
      </c>
      <c r="P384" s="162" t="s">
        <v>1620</v>
      </c>
      <c r="Q384" s="176">
        <v>48945</v>
      </c>
      <c r="R384" s="174"/>
      <c r="S384" s="179"/>
      <c r="T384" s="162" t="s">
        <v>28</v>
      </c>
      <c r="U384" s="161" t="s">
        <v>16</v>
      </c>
      <c r="V384" s="174">
        <v>2026</v>
      </c>
      <c r="W384" s="180"/>
      <c r="X384" s="185">
        <v>45017</v>
      </c>
      <c r="Y384" s="187">
        <v>44721.537615740737</v>
      </c>
    </row>
    <row r="385" spans="1:25">
      <c r="A385" s="167" t="s">
        <v>77</v>
      </c>
      <c r="B385" s="162" t="s">
        <v>1555</v>
      </c>
      <c r="C385" s="163" t="s">
        <v>528</v>
      </c>
      <c r="D385" s="162" t="s">
        <v>529</v>
      </c>
      <c r="E385" s="161" t="s">
        <v>1631</v>
      </c>
      <c r="F385" s="162" t="s">
        <v>1614</v>
      </c>
      <c r="G385" s="161" t="s">
        <v>2201</v>
      </c>
      <c r="H385" s="214">
        <v>1</v>
      </c>
      <c r="I385" s="171">
        <v>0</v>
      </c>
      <c r="J385" s="170">
        <v>180</v>
      </c>
      <c r="K385" s="172">
        <v>0</v>
      </c>
      <c r="L385" s="170">
        <v>180</v>
      </c>
      <c r="M385" s="171">
        <v>180</v>
      </c>
      <c r="N385" s="170"/>
      <c r="O385" s="177" t="s">
        <v>401</v>
      </c>
      <c r="P385" s="162" t="s">
        <v>1620</v>
      </c>
      <c r="Q385" s="176">
        <v>45323</v>
      </c>
      <c r="R385" s="174">
        <v>2053</v>
      </c>
      <c r="S385" s="179"/>
      <c r="T385" s="162" t="s">
        <v>24</v>
      </c>
      <c r="U385" s="161" t="s">
        <v>1615</v>
      </c>
      <c r="V385" s="174">
        <v>1902</v>
      </c>
      <c r="W385" s="180"/>
      <c r="X385" s="185">
        <v>45069</v>
      </c>
      <c r="Y385" s="187">
        <v>45097.490949074076</v>
      </c>
    </row>
    <row r="386" spans="1:25">
      <c r="A386" s="167" t="s">
        <v>110</v>
      </c>
      <c r="B386" s="162" t="s">
        <v>1555</v>
      </c>
      <c r="C386" s="163" t="s">
        <v>2202</v>
      </c>
      <c r="D386" s="162" t="s">
        <v>396</v>
      </c>
      <c r="E386" s="161" t="s">
        <v>1700</v>
      </c>
      <c r="F386" s="162" t="s">
        <v>1658</v>
      </c>
      <c r="G386" s="161" t="s">
        <v>2203</v>
      </c>
      <c r="H386" s="215">
        <v>1</v>
      </c>
      <c r="I386" s="171"/>
      <c r="J386" s="173">
        <v>60</v>
      </c>
      <c r="K386" s="172"/>
      <c r="L386" s="173">
        <v>60</v>
      </c>
      <c r="M386" s="171">
        <v>60</v>
      </c>
      <c r="N386" s="170"/>
      <c r="O386" s="177" t="s">
        <v>76</v>
      </c>
      <c r="P386" s="162" t="s">
        <v>1619</v>
      </c>
      <c r="Q386" s="176"/>
      <c r="R386" s="174">
        <v>2057</v>
      </c>
      <c r="S386" s="179"/>
      <c r="T386" s="162" t="s">
        <v>24</v>
      </c>
      <c r="U386" s="161" t="s">
        <v>17</v>
      </c>
      <c r="V386" s="174">
        <v>1072</v>
      </c>
      <c r="W386" s="180"/>
      <c r="X386" s="185">
        <v>45017</v>
      </c>
      <c r="Y386" s="187">
        <v>45015.434340277781</v>
      </c>
    </row>
    <row r="387" spans="1:25">
      <c r="A387" s="167" t="s">
        <v>110</v>
      </c>
      <c r="B387" s="162" t="s">
        <v>1555</v>
      </c>
      <c r="C387" s="163" t="s">
        <v>2202</v>
      </c>
      <c r="D387" s="162" t="s">
        <v>396</v>
      </c>
      <c r="E387" s="161" t="s">
        <v>1700</v>
      </c>
      <c r="F387" s="162" t="s">
        <v>1658</v>
      </c>
      <c r="G387" s="161" t="s">
        <v>2203</v>
      </c>
      <c r="H387" s="214">
        <v>1</v>
      </c>
      <c r="I387" s="171"/>
      <c r="J387" s="170">
        <v>7.5</v>
      </c>
      <c r="K387" s="172"/>
      <c r="L387" s="170">
        <v>7.5</v>
      </c>
      <c r="M387" s="171">
        <v>7.5</v>
      </c>
      <c r="N387" s="170"/>
      <c r="O387" s="177" t="s">
        <v>76</v>
      </c>
      <c r="P387" s="162" t="s">
        <v>1619</v>
      </c>
      <c r="Q387" s="176"/>
      <c r="R387" s="174">
        <v>2057</v>
      </c>
      <c r="S387" s="179"/>
      <c r="T387" s="162" t="s">
        <v>24</v>
      </c>
      <c r="U387" s="161" t="s">
        <v>17</v>
      </c>
      <c r="V387" s="174">
        <v>1072</v>
      </c>
      <c r="W387" s="180"/>
      <c r="X387" s="185">
        <v>45017</v>
      </c>
      <c r="Y387" s="187">
        <v>45015.434340277781</v>
      </c>
    </row>
    <row r="388" spans="1:25">
      <c r="A388" s="167" t="s">
        <v>110</v>
      </c>
      <c r="B388" s="162" t="s">
        <v>1555</v>
      </c>
      <c r="C388" s="163" t="s">
        <v>2202</v>
      </c>
      <c r="D388" s="162" t="s">
        <v>396</v>
      </c>
      <c r="E388" s="161" t="s">
        <v>1700</v>
      </c>
      <c r="F388" s="162" t="s">
        <v>1658</v>
      </c>
      <c r="G388" s="161" t="s">
        <v>2204</v>
      </c>
      <c r="H388" s="215">
        <v>1</v>
      </c>
      <c r="I388" s="171"/>
      <c r="J388" s="173">
        <v>60</v>
      </c>
      <c r="K388" s="172"/>
      <c r="L388" s="173">
        <v>60</v>
      </c>
      <c r="M388" s="171">
        <v>60</v>
      </c>
      <c r="N388" s="170"/>
      <c r="O388" s="177" t="s">
        <v>76</v>
      </c>
      <c r="P388" s="162" t="s">
        <v>1619</v>
      </c>
      <c r="Q388" s="184"/>
      <c r="R388" s="174">
        <v>2057</v>
      </c>
      <c r="S388" s="179"/>
      <c r="T388" s="162" t="s">
        <v>24</v>
      </c>
      <c r="U388" s="161" t="s">
        <v>17</v>
      </c>
      <c r="V388" s="174">
        <v>1072</v>
      </c>
      <c r="W388" s="180"/>
      <c r="X388" s="185">
        <v>45017</v>
      </c>
      <c r="Y388" s="187">
        <v>45015.434340277781</v>
      </c>
    </row>
    <row r="389" spans="1:25">
      <c r="A389" s="167" t="s">
        <v>110</v>
      </c>
      <c r="B389" s="162" t="s">
        <v>1555</v>
      </c>
      <c r="C389" s="163" t="s">
        <v>2202</v>
      </c>
      <c r="D389" s="162" t="s">
        <v>396</v>
      </c>
      <c r="E389" s="161" t="s">
        <v>1700</v>
      </c>
      <c r="F389" s="162" t="s">
        <v>1658</v>
      </c>
      <c r="G389" s="161" t="s">
        <v>2204</v>
      </c>
      <c r="H389" s="214">
        <v>1</v>
      </c>
      <c r="I389" s="171"/>
      <c r="J389" s="170">
        <v>7.5</v>
      </c>
      <c r="K389" s="172"/>
      <c r="L389" s="170">
        <v>7.5</v>
      </c>
      <c r="M389" s="171">
        <v>7.5</v>
      </c>
      <c r="N389" s="170"/>
      <c r="O389" s="177" t="s">
        <v>76</v>
      </c>
      <c r="P389" s="162" t="s">
        <v>1619</v>
      </c>
      <c r="Q389" s="176"/>
      <c r="R389" s="174">
        <v>2057</v>
      </c>
      <c r="S389" s="179"/>
      <c r="T389" s="162" t="s">
        <v>24</v>
      </c>
      <c r="U389" s="161" t="s">
        <v>17</v>
      </c>
      <c r="V389" s="174">
        <v>1072</v>
      </c>
      <c r="W389" s="180"/>
      <c r="X389" s="185">
        <v>45017</v>
      </c>
      <c r="Y389" s="187">
        <v>45015.434340277781</v>
      </c>
    </row>
    <row r="390" spans="1:25">
      <c r="A390" s="167" t="s">
        <v>110</v>
      </c>
      <c r="B390" s="162" t="s">
        <v>1555</v>
      </c>
      <c r="C390" s="163" t="s">
        <v>2205</v>
      </c>
      <c r="D390" s="162" t="s">
        <v>2206</v>
      </c>
      <c r="E390" s="161" t="s">
        <v>1716</v>
      </c>
      <c r="F390" s="162" t="s">
        <v>1658</v>
      </c>
      <c r="G390" s="161" t="s">
        <v>2207</v>
      </c>
      <c r="H390" s="215">
        <v>1</v>
      </c>
      <c r="I390" s="171">
        <v>4.5</v>
      </c>
      <c r="J390" s="173">
        <v>4.5</v>
      </c>
      <c r="K390" s="172">
        <v>4.5</v>
      </c>
      <c r="L390" s="173">
        <v>4.5</v>
      </c>
      <c r="M390" s="171">
        <v>4.5</v>
      </c>
      <c r="N390" s="170">
        <v>0</v>
      </c>
      <c r="O390" s="177" t="s">
        <v>76</v>
      </c>
      <c r="P390" s="162" t="s">
        <v>1591</v>
      </c>
      <c r="Q390" s="176"/>
      <c r="R390" s="174"/>
      <c r="S390" s="179"/>
      <c r="T390" s="162" t="s">
        <v>24</v>
      </c>
      <c r="U390" s="161" t="s">
        <v>17</v>
      </c>
      <c r="V390" s="174">
        <v>1073</v>
      </c>
      <c r="W390" s="180"/>
      <c r="X390" s="185">
        <v>44805</v>
      </c>
      <c r="Y390" s="187">
        <v>45021.740324074075</v>
      </c>
    </row>
    <row r="391" spans="1:25">
      <c r="A391" s="167" t="s">
        <v>77</v>
      </c>
      <c r="B391" s="162" t="s">
        <v>1599</v>
      </c>
      <c r="C391" s="163" t="s">
        <v>2208</v>
      </c>
      <c r="D391" s="162" t="s">
        <v>2209</v>
      </c>
      <c r="E391" s="161" t="s">
        <v>1631</v>
      </c>
      <c r="F391" s="162" t="s">
        <v>1614</v>
      </c>
      <c r="G391" s="161"/>
      <c r="H391" s="214">
        <v>1</v>
      </c>
      <c r="I391" s="171">
        <v>78</v>
      </c>
      <c r="J391" s="170">
        <v>78</v>
      </c>
      <c r="K391" s="172">
        <v>78</v>
      </c>
      <c r="L391" s="170">
        <v>78</v>
      </c>
      <c r="M391" s="171">
        <v>78</v>
      </c>
      <c r="N391" s="170"/>
      <c r="O391" s="177" t="s">
        <v>1523</v>
      </c>
      <c r="P391" s="162" t="s">
        <v>1620</v>
      </c>
      <c r="Q391" s="176"/>
      <c r="R391" s="174"/>
      <c r="S391" s="179"/>
      <c r="T391" s="162" t="s">
        <v>28</v>
      </c>
      <c r="U391" s="161" t="s">
        <v>1615</v>
      </c>
      <c r="V391" s="174">
        <v>1711</v>
      </c>
      <c r="W391" s="180"/>
      <c r="X391" s="185">
        <v>45069</v>
      </c>
      <c r="Y391" s="187">
        <v>45021.648842592593</v>
      </c>
    </row>
    <row r="392" spans="1:25">
      <c r="A392" s="220" t="s">
        <v>110</v>
      </c>
      <c r="B392" s="221" t="s">
        <v>1599</v>
      </c>
      <c r="C392" s="222" t="s">
        <v>3846</v>
      </c>
      <c r="D392" s="221" t="s">
        <v>455</v>
      </c>
      <c r="E392" s="223" t="s">
        <v>1602</v>
      </c>
      <c r="F392" s="224" t="s">
        <v>20</v>
      </c>
      <c r="G392" s="161"/>
      <c r="H392" s="215">
        <v>210</v>
      </c>
      <c r="I392" s="171"/>
      <c r="J392" s="173">
        <v>0.95</v>
      </c>
      <c r="K392" s="172"/>
      <c r="L392" s="173">
        <v>199.5</v>
      </c>
      <c r="M392" s="171">
        <v>199.5</v>
      </c>
      <c r="N392" s="170">
        <v>800</v>
      </c>
      <c r="O392" s="230" t="s">
        <v>1523</v>
      </c>
      <c r="P392" s="221" t="s">
        <v>1604</v>
      </c>
      <c r="Q392" s="231"/>
      <c r="R392" s="232"/>
      <c r="S392" s="233"/>
      <c r="T392" s="224" t="s">
        <v>28</v>
      </c>
      <c r="U392" s="223" t="s">
        <v>19</v>
      </c>
      <c r="V392" s="232">
        <v>2527</v>
      </c>
      <c r="W392" s="234"/>
      <c r="X392" s="235"/>
      <c r="Y392" s="236">
        <v>45107.431481481479</v>
      </c>
    </row>
    <row r="393" spans="1:25">
      <c r="A393" s="167" t="s">
        <v>110</v>
      </c>
      <c r="B393" s="162" t="s">
        <v>1599</v>
      </c>
      <c r="C393" s="163" t="s">
        <v>2210</v>
      </c>
      <c r="D393" s="162" t="s">
        <v>2211</v>
      </c>
      <c r="E393" s="161" t="s">
        <v>1613</v>
      </c>
      <c r="F393" s="162" t="s">
        <v>1614</v>
      </c>
      <c r="G393" s="161"/>
      <c r="H393" s="214">
        <v>1</v>
      </c>
      <c r="I393" s="171">
        <v>150</v>
      </c>
      <c r="J393" s="170">
        <v>150</v>
      </c>
      <c r="K393" s="172">
        <v>150</v>
      </c>
      <c r="L393" s="170">
        <v>150</v>
      </c>
      <c r="M393" s="171">
        <v>150</v>
      </c>
      <c r="N393" s="170"/>
      <c r="O393" s="177" t="s">
        <v>1523</v>
      </c>
      <c r="P393" s="162" t="s">
        <v>1604</v>
      </c>
      <c r="Q393" s="176"/>
      <c r="R393" s="174"/>
      <c r="S393" s="179"/>
      <c r="T393" s="162" t="s">
        <v>28</v>
      </c>
      <c r="U393" s="161" t="s">
        <v>1615</v>
      </c>
      <c r="V393" s="174">
        <v>2336</v>
      </c>
      <c r="W393" s="180" t="s">
        <v>2212</v>
      </c>
      <c r="X393" s="185">
        <v>45017</v>
      </c>
      <c r="Y393" s="187">
        <v>44944.5783912037</v>
      </c>
    </row>
    <row r="394" spans="1:25">
      <c r="A394" s="167" t="s">
        <v>110</v>
      </c>
      <c r="B394" s="162" t="s">
        <v>1555</v>
      </c>
      <c r="C394" s="163" t="s">
        <v>631</v>
      </c>
      <c r="D394" s="162" t="s">
        <v>391</v>
      </c>
      <c r="E394" s="161" t="s">
        <v>1625</v>
      </c>
      <c r="F394" s="162" t="s">
        <v>1609</v>
      </c>
      <c r="G394" s="161" t="s">
        <v>632</v>
      </c>
      <c r="H394" s="215">
        <v>22</v>
      </c>
      <c r="I394" s="171">
        <v>3.8</v>
      </c>
      <c r="J394" s="173">
        <v>3.8</v>
      </c>
      <c r="K394" s="172">
        <v>83.6</v>
      </c>
      <c r="L394" s="173">
        <v>83.6</v>
      </c>
      <c r="M394" s="171">
        <v>83.6</v>
      </c>
      <c r="N394" s="170"/>
      <c r="O394" s="177" t="s">
        <v>76</v>
      </c>
      <c r="P394" s="162" t="s">
        <v>1620</v>
      </c>
      <c r="Q394" s="176">
        <v>44166</v>
      </c>
      <c r="R394" s="174">
        <v>2049</v>
      </c>
      <c r="S394" s="179"/>
      <c r="T394" s="162" t="s">
        <v>24</v>
      </c>
      <c r="U394" s="161" t="s">
        <v>16</v>
      </c>
      <c r="V394" s="174">
        <v>1113</v>
      </c>
      <c r="W394" s="180"/>
      <c r="X394" s="185">
        <v>45017</v>
      </c>
      <c r="Y394" s="187">
        <v>45086.730740740742</v>
      </c>
    </row>
    <row r="395" spans="1:25">
      <c r="A395" s="167" t="s">
        <v>77</v>
      </c>
      <c r="B395" s="162" t="s">
        <v>1555</v>
      </c>
      <c r="C395" s="163" t="s">
        <v>833</v>
      </c>
      <c r="D395" s="162" t="s">
        <v>834</v>
      </c>
      <c r="E395" s="161" t="s">
        <v>1631</v>
      </c>
      <c r="F395" s="162" t="s">
        <v>1614</v>
      </c>
      <c r="G395" s="161" t="s">
        <v>2213</v>
      </c>
      <c r="H395" s="214">
        <v>32</v>
      </c>
      <c r="I395" s="171">
        <v>2.25</v>
      </c>
      <c r="J395" s="170">
        <v>2.25</v>
      </c>
      <c r="K395" s="172">
        <v>72</v>
      </c>
      <c r="L395" s="170">
        <v>72</v>
      </c>
      <c r="M395" s="171">
        <v>72</v>
      </c>
      <c r="N395" s="170"/>
      <c r="O395" s="177" t="s">
        <v>76</v>
      </c>
      <c r="P395" s="162" t="s">
        <v>1620</v>
      </c>
      <c r="Q395" s="176">
        <v>43497</v>
      </c>
      <c r="R395" s="174">
        <v>2048</v>
      </c>
      <c r="S395" s="179"/>
      <c r="T395" s="162" t="s">
        <v>24</v>
      </c>
      <c r="U395" s="161" t="s">
        <v>1615</v>
      </c>
      <c r="V395" s="174">
        <v>1443</v>
      </c>
      <c r="W395" s="180"/>
      <c r="X395" s="185">
        <v>45017</v>
      </c>
      <c r="Y395" s="187">
        <v>45020.685231481482</v>
      </c>
    </row>
    <row r="396" spans="1:25">
      <c r="A396" s="167" t="s">
        <v>91</v>
      </c>
      <c r="B396" s="162" t="s">
        <v>1599</v>
      </c>
      <c r="C396" s="163" t="s">
        <v>2214</v>
      </c>
      <c r="D396" s="162" t="s">
        <v>115</v>
      </c>
      <c r="E396" s="161" t="s">
        <v>1602</v>
      </c>
      <c r="F396" s="162" t="s">
        <v>1603</v>
      </c>
      <c r="G396" s="161"/>
      <c r="H396" s="215">
        <v>14</v>
      </c>
      <c r="I396" s="171">
        <v>2.86</v>
      </c>
      <c r="J396" s="173">
        <v>4.3899999999999997</v>
      </c>
      <c r="K396" s="172">
        <v>40.04</v>
      </c>
      <c r="L396" s="173">
        <v>61.46</v>
      </c>
      <c r="M396" s="171" t="s">
        <v>2215</v>
      </c>
      <c r="N396" s="170">
        <v>5.71</v>
      </c>
      <c r="O396" s="177" t="s">
        <v>1523</v>
      </c>
      <c r="P396" s="162" t="s">
        <v>1619</v>
      </c>
      <c r="Q396" s="176"/>
      <c r="R396" s="174">
        <v>2046</v>
      </c>
      <c r="S396" s="179"/>
      <c r="T396" s="162" t="s">
        <v>28</v>
      </c>
      <c r="U396" s="161" t="s">
        <v>19</v>
      </c>
      <c r="V396" s="174">
        <v>2262</v>
      </c>
      <c r="W396" s="180" t="s">
        <v>2216</v>
      </c>
      <c r="X396" s="185">
        <v>45017</v>
      </c>
      <c r="Y396" s="187">
        <v>45100.558333333334</v>
      </c>
    </row>
    <row r="397" spans="1:25">
      <c r="A397" s="167" t="s">
        <v>110</v>
      </c>
      <c r="B397" s="162" t="s">
        <v>1555</v>
      </c>
      <c r="C397" s="163" t="s">
        <v>509</v>
      </c>
      <c r="D397" s="162" t="s">
        <v>510</v>
      </c>
      <c r="E397" s="161" t="s">
        <v>1589</v>
      </c>
      <c r="F397" s="162" t="s">
        <v>1635</v>
      </c>
      <c r="G397" s="161"/>
      <c r="H397" s="214">
        <v>2</v>
      </c>
      <c r="I397" s="171"/>
      <c r="J397" s="170">
        <v>0.88</v>
      </c>
      <c r="K397" s="172"/>
      <c r="L397" s="170">
        <v>1.76</v>
      </c>
      <c r="M397" s="171">
        <v>1.76</v>
      </c>
      <c r="N397" s="170"/>
      <c r="O397" s="177" t="s">
        <v>76</v>
      </c>
      <c r="P397" s="162" t="s">
        <v>1591</v>
      </c>
      <c r="Q397" s="176"/>
      <c r="R397" s="174">
        <v>2050</v>
      </c>
      <c r="S397" s="179"/>
      <c r="T397" s="162" t="s">
        <v>24</v>
      </c>
      <c r="U397" s="161" t="s">
        <v>20</v>
      </c>
      <c r="V397" s="174">
        <v>1994</v>
      </c>
      <c r="W397" s="180"/>
      <c r="X397" s="185" t="s">
        <v>259</v>
      </c>
      <c r="Y397" s="187">
        <v>44930.34988425926</v>
      </c>
    </row>
    <row r="398" spans="1:25">
      <c r="A398" s="167" t="s">
        <v>110</v>
      </c>
      <c r="B398" s="162" t="s">
        <v>1555</v>
      </c>
      <c r="C398" s="163" t="s">
        <v>2217</v>
      </c>
      <c r="D398" s="162" t="s">
        <v>510</v>
      </c>
      <c r="E398" s="161" t="s">
        <v>1589</v>
      </c>
      <c r="F398" s="162" t="s">
        <v>1635</v>
      </c>
      <c r="G398" s="161"/>
      <c r="H398" s="215">
        <v>2</v>
      </c>
      <c r="I398" s="171"/>
      <c r="J398" s="173">
        <v>1.5</v>
      </c>
      <c r="K398" s="172"/>
      <c r="L398" s="173">
        <v>3</v>
      </c>
      <c r="M398" s="171">
        <v>3</v>
      </c>
      <c r="N398" s="170"/>
      <c r="O398" s="177" t="s">
        <v>76</v>
      </c>
      <c r="P398" s="162" t="s">
        <v>1591</v>
      </c>
      <c r="Q398" s="176"/>
      <c r="R398" s="174"/>
      <c r="S398" s="179"/>
      <c r="T398" s="162" t="s">
        <v>24</v>
      </c>
      <c r="U398" s="161" t="s">
        <v>20</v>
      </c>
      <c r="V398" s="174">
        <v>1858</v>
      </c>
      <c r="W398" s="180"/>
      <c r="X398" s="185" t="s">
        <v>259</v>
      </c>
      <c r="Y398" s="187">
        <v>44981.408020833333</v>
      </c>
    </row>
    <row r="399" spans="1:25" ht="20">
      <c r="A399" s="167" t="s">
        <v>45</v>
      </c>
      <c r="B399" s="162" t="s">
        <v>1555</v>
      </c>
      <c r="C399" s="163" t="s">
        <v>472</v>
      </c>
      <c r="D399" s="162" t="s">
        <v>473</v>
      </c>
      <c r="E399" s="161" t="s">
        <v>1739</v>
      </c>
      <c r="F399" s="162" t="s">
        <v>1740</v>
      </c>
      <c r="G399" s="161" t="s">
        <v>2218</v>
      </c>
      <c r="H399" s="214">
        <v>1</v>
      </c>
      <c r="I399" s="171"/>
      <c r="J399" s="170">
        <v>720</v>
      </c>
      <c r="K399" s="172"/>
      <c r="L399" s="170">
        <v>720</v>
      </c>
      <c r="M399" s="171">
        <v>720</v>
      </c>
      <c r="N399" s="170"/>
      <c r="O399" s="177" t="s">
        <v>2219</v>
      </c>
      <c r="P399" s="162" t="s">
        <v>1619</v>
      </c>
      <c r="Q399" s="176"/>
      <c r="R399" s="174">
        <v>2025</v>
      </c>
      <c r="S399" s="179">
        <v>45888</v>
      </c>
      <c r="T399" s="162" t="s">
        <v>23</v>
      </c>
      <c r="U399" s="161" t="s">
        <v>11</v>
      </c>
      <c r="V399" s="174">
        <v>1074</v>
      </c>
      <c r="W399" s="180"/>
      <c r="X399" s="185">
        <v>45017</v>
      </c>
      <c r="Y399" s="187">
        <v>45015.43582175926</v>
      </c>
    </row>
    <row r="400" spans="1:25" ht="20">
      <c r="A400" s="167" t="s">
        <v>45</v>
      </c>
      <c r="B400" s="162" t="s">
        <v>1555</v>
      </c>
      <c r="C400" s="163" t="s">
        <v>472</v>
      </c>
      <c r="D400" s="162" t="s">
        <v>473</v>
      </c>
      <c r="E400" s="161" t="s">
        <v>1739</v>
      </c>
      <c r="F400" s="162" t="s">
        <v>1740</v>
      </c>
      <c r="G400" s="161" t="s">
        <v>2220</v>
      </c>
      <c r="H400" s="215">
        <v>1</v>
      </c>
      <c r="I400" s="171"/>
      <c r="J400" s="173">
        <v>720</v>
      </c>
      <c r="K400" s="172"/>
      <c r="L400" s="173">
        <v>720</v>
      </c>
      <c r="M400" s="171">
        <v>720</v>
      </c>
      <c r="N400" s="170"/>
      <c r="O400" s="177" t="s">
        <v>2219</v>
      </c>
      <c r="P400" s="162" t="s">
        <v>1619</v>
      </c>
      <c r="Q400" s="176"/>
      <c r="R400" s="174">
        <v>2025</v>
      </c>
      <c r="S400" s="179">
        <v>45888</v>
      </c>
      <c r="T400" s="162" t="s">
        <v>23</v>
      </c>
      <c r="U400" s="161" t="s">
        <v>11</v>
      </c>
      <c r="V400" s="174">
        <v>1074</v>
      </c>
      <c r="W400" s="180"/>
      <c r="X400" s="185">
        <v>45017</v>
      </c>
      <c r="Y400" s="187">
        <v>45015.43582175926</v>
      </c>
    </row>
    <row r="401" spans="1:25" ht="20">
      <c r="A401" s="167" t="s">
        <v>45</v>
      </c>
      <c r="B401" s="162" t="s">
        <v>1555</v>
      </c>
      <c r="C401" s="163" t="s">
        <v>472</v>
      </c>
      <c r="D401" s="162" t="s">
        <v>473</v>
      </c>
      <c r="E401" s="161" t="s">
        <v>1739</v>
      </c>
      <c r="F401" s="162" t="s">
        <v>1740</v>
      </c>
      <c r="G401" s="161" t="s">
        <v>2221</v>
      </c>
      <c r="H401" s="214">
        <v>1</v>
      </c>
      <c r="I401" s="171"/>
      <c r="J401" s="170">
        <v>720</v>
      </c>
      <c r="K401" s="172"/>
      <c r="L401" s="170">
        <v>720</v>
      </c>
      <c r="M401" s="171">
        <v>720</v>
      </c>
      <c r="N401" s="170"/>
      <c r="O401" s="177" t="s">
        <v>2219</v>
      </c>
      <c r="P401" s="162" t="s">
        <v>1619</v>
      </c>
      <c r="Q401" s="176"/>
      <c r="R401" s="174">
        <v>2025</v>
      </c>
      <c r="S401" s="179">
        <v>45888</v>
      </c>
      <c r="T401" s="162" t="s">
        <v>23</v>
      </c>
      <c r="U401" s="161" t="s">
        <v>11</v>
      </c>
      <c r="V401" s="174">
        <v>1074</v>
      </c>
      <c r="W401" s="180"/>
      <c r="X401" s="185">
        <v>45017</v>
      </c>
      <c r="Y401" s="187">
        <v>45015.43582175926</v>
      </c>
    </row>
    <row r="402" spans="1:25" ht="20">
      <c r="A402" s="167" t="s">
        <v>45</v>
      </c>
      <c r="B402" s="162" t="s">
        <v>1555</v>
      </c>
      <c r="C402" s="163" t="s">
        <v>472</v>
      </c>
      <c r="D402" s="162" t="s">
        <v>473</v>
      </c>
      <c r="E402" s="161" t="s">
        <v>1739</v>
      </c>
      <c r="F402" s="162" t="s">
        <v>1740</v>
      </c>
      <c r="G402" s="161" t="s">
        <v>2222</v>
      </c>
      <c r="H402" s="215">
        <v>1</v>
      </c>
      <c r="I402" s="171"/>
      <c r="J402" s="173">
        <v>720</v>
      </c>
      <c r="K402" s="172"/>
      <c r="L402" s="173">
        <v>720</v>
      </c>
      <c r="M402" s="171">
        <v>720</v>
      </c>
      <c r="N402" s="170"/>
      <c r="O402" s="177" t="s">
        <v>2219</v>
      </c>
      <c r="P402" s="162" t="s">
        <v>1619</v>
      </c>
      <c r="Q402" s="176"/>
      <c r="R402" s="174">
        <v>2025</v>
      </c>
      <c r="S402" s="179">
        <v>45888</v>
      </c>
      <c r="T402" s="162" t="s">
        <v>23</v>
      </c>
      <c r="U402" s="161" t="s">
        <v>11</v>
      </c>
      <c r="V402" s="174">
        <v>1074</v>
      </c>
      <c r="W402" s="180"/>
      <c r="X402" s="185">
        <v>45017</v>
      </c>
      <c r="Y402" s="187">
        <v>45015.43582175926</v>
      </c>
    </row>
    <row r="403" spans="1:25">
      <c r="A403" s="167" t="s">
        <v>45</v>
      </c>
      <c r="B403" s="162" t="s">
        <v>1599</v>
      </c>
      <c r="C403" s="163" t="s">
        <v>2223</v>
      </c>
      <c r="D403" s="162" t="s">
        <v>2224</v>
      </c>
      <c r="E403" s="161" t="s">
        <v>1602</v>
      </c>
      <c r="F403" s="162" t="s">
        <v>1603</v>
      </c>
      <c r="G403" s="161"/>
      <c r="H403" s="214">
        <v>1</v>
      </c>
      <c r="I403" s="171"/>
      <c r="J403" s="170">
        <v>460</v>
      </c>
      <c r="K403" s="172"/>
      <c r="L403" s="170">
        <v>460</v>
      </c>
      <c r="M403" s="171">
        <v>460</v>
      </c>
      <c r="N403" s="170">
        <v>920</v>
      </c>
      <c r="O403" s="177" t="s">
        <v>27</v>
      </c>
      <c r="P403" s="162" t="s">
        <v>1619</v>
      </c>
      <c r="Q403" s="176"/>
      <c r="R403" s="174"/>
      <c r="S403" s="179"/>
      <c r="T403" s="162" t="s">
        <v>27</v>
      </c>
      <c r="U403" s="161" t="s">
        <v>19</v>
      </c>
      <c r="V403" s="174">
        <v>1870</v>
      </c>
      <c r="W403" s="180" t="s">
        <v>2225</v>
      </c>
      <c r="X403" s="185">
        <v>45069</v>
      </c>
      <c r="Y403" s="187">
        <v>45098.363113425927</v>
      </c>
    </row>
    <row r="404" spans="1:25">
      <c r="A404" s="167" t="s">
        <v>45</v>
      </c>
      <c r="B404" s="162" t="s">
        <v>1599</v>
      </c>
      <c r="C404" s="163" t="s">
        <v>2223</v>
      </c>
      <c r="D404" s="162" t="s">
        <v>2224</v>
      </c>
      <c r="E404" s="161" t="s">
        <v>1602</v>
      </c>
      <c r="F404" s="162" t="s">
        <v>1603</v>
      </c>
      <c r="G404" s="161"/>
      <c r="H404" s="215">
        <v>1</v>
      </c>
      <c r="I404" s="171"/>
      <c r="J404" s="173">
        <v>240</v>
      </c>
      <c r="K404" s="172"/>
      <c r="L404" s="173">
        <v>240</v>
      </c>
      <c r="M404" s="171">
        <v>240</v>
      </c>
      <c r="N404" s="170">
        <v>480</v>
      </c>
      <c r="O404" s="177" t="s">
        <v>1523</v>
      </c>
      <c r="P404" s="162" t="s">
        <v>1619</v>
      </c>
      <c r="Q404" s="176"/>
      <c r="R404" s="174"/>
      <c r="S404" s="179"/>
      <c r="T404" s="162" t="s">
        <v>28</v>
      </c>
      <c r="U404" s="161" t="s">
        <v>19</v>
      </c>
      <c r="V404" s="174">
        <v>1870</v>
      </c>
      <c r="W404" s="180" t="s">
        <v>2225</v>
      </c>
      <c r="X404" s="185">
        <v>45069</v>
      </c>
      <c r="Y404" s="187">
        <v>45098.363113425927</v>
      </c>
    </row>
    <row r="405" spans="1:25">
      <c r="A405" s="167" t="s">
        <v>45</v>
      </c>
      <c r="B405" s="162" t="s">
        <v>1599</v>
      </c>
      <c r="C405" s="163" t="s">
        <v>2223</v>
      </c>
      <c r="D405" s="162" t="s">
        <v>2224</v>
      </c>
      <c r="E405" s="161" t="s">
        <v>1602</v>
      </c>
      <c r="F405" s="162" t="s">
        <v>1603</v>
      </c>
      <c r="G405" s="161"/>
      <c r="H405" s="214">
        <v>1</v>
      </c>
      <c r="I405" s="171"/>
      <c r="J405" s="170">
        <v>0</v>
      </c>
      <c r="K405" s="172"/>
      <c r="L405" s="170">
        <v>0</v>
      </c>
      <c r="M405" s="171"/>
      <c r="N405" s="170">
        <v>1400</v>
      </c>
      <c r="O405" s="177" t="s">
        <v>1523</v>
      </c>
      <c r="P405" s="162" t="s">
        <v>1619</v>
      </c>
      <c r="Q405" s="176"/>
      <c r="R405" s="174"/>
      <c r="S405" s="179"/>
      <c r="T405" s="162" t="s">
        <v>28</v>
      </c>
      <c r="U405" s="161" t="s">
        <v>19</v>
      </c>
      <c r="V405" s="174">
        <v>1870</v>
      </c>
      <c r="W405" s="180" t="s">
        <v>2225</v>
      </c>
      <c r="X405" s="185">
        <v>45069</v>
      </c>
      <c r="Y405" s="187">
        <v>45098.363113425927</v>
      </c>
    </row>
    <row r="406" spans="1:25">
      <c r="A406" s="167" t="s">
        <v>45</v>
      </c>
      <c r="B406" s="162" t="s">
        <v>1555</v>
      </c>
      <c r="C406" s="163" t="s">
        <v>735</v>
      </c>
      <c r="D406" s="162" t="s">
        <v>473</v>
      </c>
      <c r="E406" s="161" t="s">
        <v>1673</v>
      </c>
      <c r="F406" s="162" t="s">
        <v>1635</v>
      </c>
      <c r="G406" s="161" t="s">
        <v>736</v>
      </c>
      <c r="H406" s="215">
        <v>1</v>
      </c>
      <c r="I406" s="171"/>
      <c r="J406" s="173">
        <v>41.5</v>
      </c>
      <c r="K406" s="172"/>
      <c r="L406" s="173">
        <v>41.5</v>
      </c>
      <c r="M406" s="171">
        <v>41.5</v>
      </c>
      <c r="N406" s="170"/>
      <c r="O406" s="177" t="s">
        <v>76</v>
      </c>
      <c r="P406" s="162" t="s">
        <v>1591</v>
      </c>
      <c r="Q406" s="176"/>
      <c r="R406" s="174">
        <v>2032</v>
      </c>
      <c r="S406" s="179"/>
      <c r="T406" s="162" t="s">
        <v>24</v>
      </c>
      <c r="U406" s="161" t="s">
        <v>13</v>
      </c>
      <c r="V406" s="174">
        <v>1075</v>
      </c>
      <c r="W406" s="180"/>
      <c r="X406" s="185">
        <v>45017</v>
      </c>
      <c r="Y406" s="187">
        <v>45015.437905092593</v>
      </c>
    </row>
    <row r="407" spans="1:25">
      <c r="A407" s="167" t="s">
        <v>77</v>
      </c>
      <c r="B407" s="162" t="s">
        <v>1599</v>
      </c>
      <c r="C407" s="163" t="s">
        <v>2226</v>
      </c>
      <c r="D407" s="162" t="s">
        <v>2227</v>
      </c>
      <c r="E407" s="161" t="s">
        <v>1602</v>
      </c>
      <c r="F407" s="164" t="s">
        <v>1603</v>
      </c>
      <c r="G407" s="161"/>
      <c r="H407" s="214">
        <v>1</v>
      </c>
      <c r="I407" s="171"/>
      <c r="J407" s="170">
        <v>1000</v>
      </c>
      <c r="K407" s="172"/>
      <c r="L407" s="170">
        <v>1000</v>
      </c>
      <c r="M407" s="171">
        <v>1000</v>
      </c>
      <c r="N407" s="170">
        <v>1000</v>
      </c>
      <c r="O407" s="177" t="s">
        <v>1523</v>
      </c>
      <c r="P407" s="162" t="s">
        <v>1604</v>
      </c>
      <c r="Q407" s="176"/>
      <c r="R407" s="175"/>
      <c r="S407" s="179"/>
      <c r="T407" s="164" t="s">
        <v>28</v>
      </c>
      <c r="U407" s="161" t="s">
        <v>19</v>
      </c>
      <c r="V407" s="175">
        <v>2457</v>
      </c>
      <c r="W407" s="181" t="s">
        <v>2228</v>
      </c>
      <c r="X407" s="185">
        <v>45069</v>
      </c>
      <c r="Y407" s="187">
        <v>45040.334328703706</v>
      </c>
    </row>
    <row r="408" spans="1:25">
      <c r="A408" s="167" t="s">
        <v>77</v>
      </c>
      <c r="B408" s="162" t="s">
        <v>1599</v>
      </c>
      <c r="C408" s="163" t="s">
        <v>2229</v>
      </c>
      <c r="D408" s="162" t="s">
        <v>2230</v>
      </c>
      <c r="E408" s="161" t="s">
        <v>1631</v>
      </c>
      <c r="F408" s="162" t="s">
        <v>1614</v>
      </c>
      <c r="G408" s="161"/>
      <c r="H408" s="215">
        <v>221</v>
      </c>
      <c r="I408" s="171">
        <v>2.27</v>
      </c>
      <c r="J408" s="173">
        <v>2.75</v>
      </c>
      <c r="K408" s="172">
        <v>502.33</v>
      </c>
      <c r="L408" s="173">
        <v>607.75</v>
      </c>
      <c r="M408" s="171" t="s">
        <v>2231</v>
      </c>
      <c r="N408" s="170"/>
      <c r="O408" s="177" t="s">
        <v>1523</v>
      </c>
      <c r="P408" s="162" t="s">
        <v>1620</v>
      </c>
      <c r="Q408" s="176"/>
      <c r="R408" s="174"/>
      <c r="S408" s="179"/>
      <c r="T408" s="162" t="s">
        <v>28</v>
      </c>
      <c r="U408" s="161" t="s">
        <v>1615</v>
      </c>
      <c r="V408" s="174">
        <v>1561</v>
      </c>
      <c r="W408" s="180"/>
      <c r="X408" s="185">
        <v>45069</v>
      </c>
      <c r="Y408" s="187">
        <v>45026.241979166669</v>
      </c>
    </row>
    <row r="409" spans="1:25">
      <c r="A409" s="167" t="s">
        <v>45</v>
      </c>
      <c r="B409" s="162" t="s">
        <v>1599</v>
      </c>
      <c r="C409" s="163" t="s">
        <v>2232</v>
      </c>
      <c r="D409" s="162" t="s">
        <v>2233</v>
      </c>
      <c r="E409" s="161" t="s">
        <v>1625</v>
      </c>
      <c r="F409" s="162" t="s">
        <v>1609</v>
      </c>
      <c r="G409" s="161"/>
      <c r="H409" s="214">
        <v>1</v>
      </c>
      <c r="I409" s="171">
        <v>330</v>
      </c>
      <c r="J409" s="170">
        <v>330</v>
      </c>
      <c r="K409" s="172">
        <v>330</v>
      </c>
      <c r="L409" s="170">
        <v>330</v>
      </c>
      <c r="M409" s="171">
        <v>330</v>
      </c>
      <c r="N409" s="170"/>
      <c r="O409" s="177" t="s">
        <v>1523</v>
      </c>
      <c r="P409" s="162" t="s">
        <v>1604</v>
      </c>
      <c r="Q409" s="176"/>
      <c r="R409" s="174"/>
      <c r="S409" s="179"/>
      <c r="T409" s="162" t="s">
        <v>28</v>
      </c>
      <c r="U409" s="161" t="s">
        <v>16</v>
      </c>
      <c r="V409" s="174">
        <v>2370</v>
      </c>
      <c r="W409" s="180" t="s">
        <v>2234</v>
      </c>
      <c r="X409" s="185">
        <v>45017</v>
      </c>
      <c r="Y409" s="187">
        <v>44931.483842592592</v>
      </c>
    </row>
    <row r="410" spans="1:25">
      <c r="A410" s="167" t="s">
        <v>91</v>
      </c>
      <c r="B410" s="162" t="s">
        <v>1599</v>
      </c>
      <c r="C410" s="163" t="s">
        <v>2235</v>
      </c>
      <c r="D410" s="162" t="s">
        <v>2236</v>
      </c>
      <c r="E410" s="161" t="s">
        <v>1625</v>
      </c>
      <c r="F410" s="164" t="s">
        <v>1609</v>
      </c>
      <c r="G410" s="161"/>
      <c r="H410" s="215">
        <v>48</v>
      </c>
      <c r="I410" s="171">
        <v>3</v>
      </c>
      <c r="J410" s="173">
        <v>3</v>
      </c>
      <c r="K410" s="172">
        <v>144</v>
      </c>
      <c r="L410" s="173">
        <v>144</v>
      </c>
      <c r="M410" s="171">
        <v>144</v>
      </c>
      <c r="N410" s="170">
        <v>0</v>
      </c>
      <c r="O410" s="177" t="s">
        <v>1523</v>
      </c>
      <c r="P410" s="162" t="s">
        <v>1620</v>
      </c>
      <c r="Q410" s="176"/>
      <c r="R410" s="175"/>
      <c r="S410" s="179"/>
      <c r="T410" s="164" t="s">
        <v>28</v>
      </c>
      <c r="U410" s="161" t="s">
        <v>16</v>
      </c>
      <c r="V410" s="175">
        <v>1304</v>
      </c>
      <c r="W410" s="181"/>
      <c r="X410" s="186">
        <v>45069</v>
      </c>
      <c r="Y410" s="187">
        <v>45016.476111111115</v>
      </c>
    </row>
    <row r="411" spans="1:25">
      <c r="A411" s="167" t="s">
        <v>110</v>
      </c>
      <c r="B411" s="162" t="s">
        <v>1599</v>
      </c>
      <c r="C411" s="163" t="s">
        <v>2237</v>
      </c>
      <c r="D411" s="162" t="s">
        <v>2238</v>
      </c>
      <c r="E411" s="161" t="s">
        <v>1625</v>
      </c>
      <c r="F411" s="162" t="s">
        <v>1609</v>
      </c>
      <c r="G411" s="161"/>
      <c r="H411" s="214">
        <v>2</v>
      </c>
      <c r="I411" s="171"/>
      <c r="J411" s="170">
        <v>4</v>
      </c>
      <c r="K411" s="172"/>
      <c r="L411" s="170">
        <v>8</v>
      </c>
      <c r="M411" s="171">
        <v>8</v>
      </c>
      <c r="N411" s="170"/>
      <c r="O411" s="177" t="s">
        <v>1523</v>
      </c>
      <c r="P411" s="162" t="s">
        <v>1591</v>
      </c>
      <c r="Q411" s="176"/>
      <c r="R411" s="174"/>
      <c r="S411" s="179"/>
      <c r="T411" s="162" t="s">
        <v>28</v>
      </c>
      <c r="U411" s="161" t="s">
        <v>16</v>
      </c>
      <c r="V411" s="174">
        <v>1872</v>
      </c>
      <c r="W411" s="180"/>
      <c r="X411" s="185">
        <v>44805</v>
      </c>
      <c r="Y411" s="187">
        <v>44824.636284722219</v>
      </c>
    </row>
    <row r="412" spans="1:25">
      <c r="A412" s="167" t="s">
        <v>110</v>
      </c>
      <c r="B412" s="162" t="s">
        <v>1555</v>
      </c>
      <c r="C412" s="163" t="s">
        <v>2239</v>
      </c>
      <c r="D412" s="162" t="s">
        <v>2238</v>
      </c>
      <c r="E412" s="161" t="s">
        <v>1625</v>
      </c>
      <c r="F412" s="162" t="s">
        <v>1609</v>
      </c>
      <c r="G412" s="161" t="s">
        <v>2240</v>
      </c>
      <c r="H412" s="215">
        <v>3</v>
      </c>
      <c r="I412" s="171"/>
      <c r="J412" s="173">
        <v>4</v>
      </c>
      <c r="K412" s="172"/>
      <c r="L412" s="173">
        <v>12</v>
      </c>
      <c r="M412" s="171">
        <v>12</v>
      </c>
      <c r="N412" s="170"/>
      <c r="O412" s="177" t="s">
        <v>76</v>
      </c>
      <c r="P412" s="162" t="s">
        <v>1591</v>
      </c>
      <c r="Q412" s="176">
        <v>44287</v>
      </c>
      <c r="R412" s="174"/>
      <c r="S412" s="179"/>
      <c r="T412" s="162" t="s">
        <v>24</v>
      </c>
      <c r="U412" s="161" t="s">
        <v>16</v>
      </c>
      <c r="V412" s="174">
        <v>1649</v>
      </c>
      <c r="W412" s="180"/>
      <c r="X412" s="185">
        <v>44805</v>
      </c>
      <c r="Y412" s="187">
        <v>44981.391655092593</v>
      </c>
    </row>
    <row r="413" spans="1:25">
      <c r="A413" s="167" t="s">
        <v>77</v>
      </c>
      <c r="B413" s="162" t="s">
        <v>1599</v>
      </c>
      <c r="C413" s="163" t="s">
        <v>2241</v>
      </c>
      <c r="D413" s="162" t="s">
        <v>523</v>
      </c>
      <c r="E413" s="161" t="s">
        <v>1625</v>
      </c>
      <c r="F413" s="162" t="s">
        <v>1609</v>
      </c>
      <c r="G413" s="161"/>
      <c r="H413" s="214">
        <v>1</v>
      </c>
      <c r="I413" s="171">
        <v>200</v>
      </c>
      <c r="J413" s="170">
        <v>200</v>
      </c>
      <c r="K413" s="172">
        <v>200</v>
      </c>
      <c r="L413" s="170">
        <v>200</v>
      </c>
      <c r="M413" s="171">
        <v>200</v>
      </c>
      <c r="N413" s="170"/>
      <c r="O413" s="177" t="s">
        <v>1523</v>
      </c>
      <c r="P413" s="162" t="s">
        <v>1604</v>
      </c>
      <c r="Q413" s="176"/>
      <c r="R413" s="174"/>
      <c r="S413" s="179"/>
      <c r="T413" s="162" t="s">
        <v>28</v>
      </c>
      <c r="U413" s="161" t="s">
        <v>16</v>
      </c>
      <c r="V413" s="174">
        <v>2488</v>
      </c>
      <c r="W413" s="180" t="s">
        <v>2242</v>
      </c>
      <c r="X413" s="185">
        <v>45017</v>
      </c>
      <c r="Y413" s="187">
        <v>45035.768900462965</v>
      </c>
    </row>
    <row r="414" spans="1:25">
      <c r="A414" s="167" t="s">
        <v>45</v>
      </c>
      <c r="B414" s="162" t="s">
        <v>1555</v>
      </c>
      <c r="C414" s="163" t="s">
        <v>723</v>
      </c>
      <c r="D414" s="162" t="s">
        <v>724</v>
      </c>
      <c r="E414" s="161" t="s">
        <v>1631</v>
      </c>
      <c r="F414" s="164" t="s">
        <v>1614</v>
      </c>
      <c r="G414" s="161" t="s">
        <v>725</v>
      </c>
      <c r="H414" s="215">
        <v>99</v>
      </c>
      <c r="I414" s="171"/>
      <c r="J414" s="173">
        <v>1.64</v>
      </c>
      <c r="K414" s="172"/>
      <c r="L414" s="173">
        <v>162.36000000000001</v>
      </c>
      <c r="M414" s="171">
        <v>162.36000000000001</v>
      </c>
      <c r="N414" s="170"/>
      <c r="O414" s="177" t="s">
        <v>76</v>
      </c>
      <c r="P414" s="162" t="s">
        <v>1620</v>
      </c>
      <c r="Q414" s="176">
        <v>43770</v>
      </c>
      <c r="R414" s="175">
        <v>2049</v>
      </c>
      <c r="S414" s="179"/>
      <c r="T414" s="164" t="s">
        <v>24</v>
      </c>
      <c r="U414" s="161" t="s">
        <v>1615</v>
      </c>
      <c r="V414" s="175">
        <v>1680</v>
      </c>
      <c r="W414" s="181"/>
      <c r="X414" s="185">
        <v>45017</v>
      </c>
      <c r="Y414" s="187">
        <v>45021.630706018521</v>
      </c>
    </row>
    <row r="415" spans="1:25">
      <c r="A415" s="167" t="s">
        <v>105</v>
      </c>
      <c r="B415" s="162" t="s">
        <v>1555</v>
      </c>
      <c r="C415" s="163" t="s">
        <v>2243</v>
      </c>
      <c r="D415" s="162" t="s">
        <v>1735</v>
      </c>
      <c r="E415" s="161" t="s">
        <v>1700</v>
      </c>
      <c r="F415" s="162" t="s">
        <v>1658</v>
      </c>
      <c r="G415" s="161" t="s">
        <v>2244</v>
      </c>
      <c r="H415" s="214">
        <v>1</v>
      </c>
      <c r="I415" s="171">
        <v>43.2</v>
      </c>
      <c r="J415" s="170">
        <v>43.2</v>
      </c>
      <c r="K415" s="172">
        <v>43.2</v>
      </c>
      <c r="L415" s="170">
        <v>43.2</v>
      </c>
      <c r="M415" s="171">
        <v>43.2</v>
      </c>
      <c r="N415" s="170"/>
      <c r="O415" s="177" t="s">
        <v>76</v>
      </c>
      <c r="P415" s="162" t="s">
        <v>1619</v>
      </c>
      <c r="Q415" s="176"/>
      <c r="R415" s="174">
        <v>2100</v>
      </c>
      <c r="S415" s="179"/>
      <c r="T415" s="162" t="s">
        <v>24</v>
      </c>
      <c r="U415" s="161" t="s">
        <v>17</v>
      </c>
      <c r="V415" s="174">
        <v>1076</v>
      </c>
      <c r="W415" s="180"/>
      <c r="X415" s="185">
        <v>45017</v>
      </c>
      <c r="Y415" s="187">
        <v>45086.829884259256</v>
      </c>
    </row>
    <row r="416" spans="1:25">
      <c r="A416" s="167" t="s">
        <v>110</v>
      </c>
      <c r="B416" s="162" t="s">
        <v>1555</v>
      </c>
      <c r="C416" s="163" t="s">
        <v>2245</v>
      </c>
      <c r="D416" s="162" t="s">
        <v>1604</v>
      </c>
      <c r="E416" s="161" t="s">
        <v>1613</v>
      </c>
      <c r="F416" s="162" t="s">
        <v>1614</v>
      </c>
      <c r="G416" s="161"/>
      <c r="H416" s="215">
        <v>1</v>
      </c>
      <c r="I416" s="171"/>
      <c r="J416" s="173">
        <v>0.15</v>
      </c>
      <c r="K416" s="172"/>
      <c r="L416" s="173">
        <v>0.15</v>
      </c>
      <c r="M416" s="171">
        <v>0.15</v>
      </c>
      <c r="N416" s="170"/>
      <c r="O416" s="177" t="s">
        <v>76</v>
      </c>
      <c r="P416" s="162" t="s">
        <v>1591</v>
      </c>
      <c r="Q416" s="176"/>
      <c r="R416" s="174"/>
      <c r="S416" s="179"/>
      <c r="T416" s="162" t="s">
        <v>24</v>
      </c>
      <c r="U416" s="161" t="s">
        <v>1615</v>
      </c>
      <c r="V416" s="174">
        <v>2086</v>
      </c>
      <c r="W416" s="180"/>
      <c r="X416" s="185" t="s">
        <v>259</v>
      </c>
      <c r="Y416" s="187">
        <v>44830.548263888886</v>
      </c>
    </row>
    <row r="417" spans="1:25">
      <c r="A417" s="167" t="s">
        <v>45</v>
      </c>
      <c r="B417" s="162" t="s">
        <v>1599</v>
      </c>
      <c r="C417" s="163" t="s">
        <v>2246</v>
      </c>
      <c r="D417" s="162" t="s">
        <v>2247</v>
      </c>
      <c r="E417" s="161" t="s">
        <v>1625</v>
      </c>
      <c r="F417" s="162" t="s">
        <v>1609</v>
      </c>
      <c r="G417" s="161"/>
      <c r="H417" s="214">
        <v>38</v>
      </c>
      <c r="I417" s="171">
        <v>3.83</v>
      </c>
      <c r="J417" s="170">
        <v>3.83</v>
      </c>
      <c r="K417" s="172">
        <v>145.54</v>
      </c>
      <c r="L417" s="170">
        <v>145.54</v>
      </c>
      <c r="M417" s="171">
        <v>145.54</v>
      </c>
      <c r="N417" s="170"/>
      <c r="O417" s="177" t="s">
        <v>27</v>
      </c>
      <c r="P417" s="162" t="s">
        <v>1620</v>
      </c>
      <c r="Q417" s="176">
        <v>45261</v>
      </c>
      <c r="R417" s="174">
        <v>2063</v>
      </c>
      <c r="S417" s="179"/>
      <c r="T417" s="162" t="s">
        <v>27</v>
      </c>
      <c r="U417" s="161" t="s">
        <v>16</v>
      </c>
      <c r="V417" s="174">
        <v>1268</v>
      </c>
      <c r="W417" s="180"/>
      <c r="X417" s="185">
        <v>45069</v>
      </c>
      <c r="Y417" s="187">
        <v>45097.368564814817</v>
      </c>
    </row>
    <row r="418" spans="1:25">
      <c r="A418" s="167" t="s">
        <v>45</v>
      </c>
      <c r="B418" s="162" t="s">
        <v>1599</v>
      </c>
      <c r="C418" s="163" t="s">
        <v>2248</v>
      </c>
      <c r="D418" s="162" t="s">
        <v>2249</v>
      </c>
      <c r="E418" s="161" t="s">
        <v>1613</v>
      </c>
      <c r="F418" s="162" t="s">
        <v>1614</v>
      </c>
      <c r="G418" s="161"/>
      <c r="H418" s="215">
        <v>1</v>
      </c>
      <c r="I418" s="171">
        <v>120</v>
      </c>
      <c r="J418" s="173">
        <v>120</v>
      </c>
      <c r="K418" s="172">
        <v>120</v>
      </c>
      <c r="L418" s="173">
        <v>120</v>
      </c>
      <c r="M418" s="171">
        <v>120</v>
      </c>
      <c r="N418" s="170"/>
      <c r="O418" s="177" t="s">
        <v>1523</v>
      </c>
      <c r="P418" s="162" t="s">
        <v>1604</v>
      </c>
      <c r="Q418" s="176"/>
      <c r="R418" s="174"/>
      <c r="S418" s="179"/>
      <c r="T418" s="162" t="s">
        <v>28</v>
      </c>
      <c r="U418" s="161" t="s">
        <v>1615</v>
      </c>
      <c r="V418" s="174">
        <v>2198</v>
      </c>
      <c r="W418" s="180" t="s">
        <v>2250</v>
      </c>
      <c r="X418" s="185">
        <v>45017</v>
      </c>
      <c r="Y418" s="187">
        <v>44944.578819444447</v>
      </c>
    </row>
    <row r="419" spans="1:25">
      <c r="A419" s="167" t="s">
        <v>45</v>
      </c>
      <c r="B419" s="162" t="s">
        <v>1599</v>
      </c>
      <c r="C419" s="163" t="s">
        <v>2251</v>
      </c>
      <c r="D419" s="162" t="s">
        <v>2252</v>
      </c>
      <c r="E419" s="161" t="s">
        <v>1631</v>
      </c>
      <c r="F419" s="164" t="s">
        <v>1614</v>
      </c>
      <c r="G419" s="161"/>
      <c r="H419" s="214">
        <v>1</v>
      </c>
      <c r="I419" s="171">
        <v>0</v>
      </c>
      <c r="J419" s="170">
        <v>90</v>
      </c>
      <c r="K419" s="172">
        <v>0</v>
      </c>
      <c r="L419" s="170">
        <v>90</v>
      </c>
      <c r="M419" s="171">
        <v>90</v>
      </c>
      <c r="N419" s="170"/>
      <c r="O419" s="177" t="s">
        <v>1523</v>
      </c>
      <c r="P419" s="162" t="s">
        <v>1620</v>
      </c>
      <c r="Q419" s="176"/>
      <c r="R419" s="175"/>
      <c r="S419" s="179"/>
      <c r="T419" s="164" t="s">
        <v>28</v>
      </c>
      <c r="U419" s="161" t="s">
        <v>1615</v>
      </c>
      <c r="V419" s="175">
        <v>2426</v>
      </c>
      <c r="W419" s="181"/>
      <c r="X419" s="186">
        <v>45069</v>
      </c>
      <c r="Y419" s="187">
        <v>45097.64638888889</v>
      </c>
    </row>
    <row r="420" spans="1:25">
      <c r="A420" s="167" t="s">
        <v>77</v>
      </c>
      <c r="B420" s="162" t="s">
        <v>1599</v>
      </c>
      <c r="C420" s="163" t="s">
        <v>2253</v>
      </c>
      <c r="D420" s="162" t="s">
        <v>2254</v>
      </c>
      <c r="E420" s="161" t="s">
        <v>1625</v>
      </c>
      <c r="F420" s="162" t="s">
        <v>1609</v>
      </c>
      <c r="G420" s="161"/>
      <c r="H420" s="215">
        <v>1</v>
      </c>
      <c r="I420" s="171">
        <v>1200</v>
      </c>
      <c r="J420" s="173">
        <v>1200</v>
      </c>
      <c r="K420" s="172">
        <v>1200</v>
      </c>
      <c r="L420" s="173">
        <v>1200</v>
      </c>
      <c r="M420" s="171">
        <v>1200</v>
      </c>
      <c r="N420" s="170"/>
      <c r="O420" s="177" t="s">
        <v>1523</v>
      </c>
      <c r="P420" s="162" t="s">
        <v>1604</v>
      </c>
      <c r="Q420" s="176"/>
      <c r="R420" s="174"/>
      <c r="S420" s="179"/>
      <c r="T420" s="162" t="s">
        <v>28</v>
      </c>
      <c r="U420" s="161" t="s">
        <v>16</v>
      </c>
      <c r="V420" s="174">
        <v>2486</v>
      </c>
      <c r="W420" s="180" t="s">
        <v>2255</v>
      </c>
      <c r="X420" s="185">
        <v>45017</v>
      </c>
      <c r="Y420" s="187">
        <v>45035.705289351848</v>
      </c>
    </row>
    <row r="421" spans="1:25">
      <c r="A421" s="167" t="s">
        <v>77</v>
      </c>
      <c r="B421" s="162" t="s">
        <v>1599</v>
      </c>
      <c r="C421" s="163" t="s">
        <v>2256</v>
      </c>
      <c r="D421" s="162" t="s">
        <v>2257</v>
      </c>
      <c r="E421" s="161" t="s">
        <v>1625</v>
      </c>
      <c r="F421" s="162" t="s">
        <v>1609</v>
      </c>
      <c r="G421" s="161"/>
      <c r="H421" s="214">
        <v>30</v>
      </c>
      <c r="I421" s="171">
        <v>2.5</v>
      </c>
      <c r="J421" s="170">
        <v>5.5</v>
      </c>
      <c r="K421" s="172">
        <v>75</v>
      </c>
      <c r="L421" s="170">
        <v>165</v>
      </c>
      <c r="M421" s="171" t="s">
        <v>2258</v>
      </c>
      <c r="N421" s="170"/>
      <c r="O421" s="177" t="s">
        <v>1523</v>
      </c>
      <c r="P421" s="162" t="s">
        <v>1620</v>
      </c>
      <c r="Q421" s="176"/>
      <c r="R421" s="174"/>
      <c r="S421" s="179"/>
      <c r="T421" s="162" t="s">
        <v>28</v>
      </c>
      <c r="U421" s="161" t="s">
        <v>16</v>
      </c>
      <c r="V421" s="174">
        <v>1279</v>
      </c>
      <c r="W421" s="180"/>
      <c r="X421" s="185">
        <v>45069</v>
      </c>
      <c r="Y421" s="187">
        <v>45097.374016203707</v>
      </c>
    </row>
    <row r="422" spans="1:25">
      <c r="A422" s="167" t="s">
        <v>110</v>
      </c>
      <c r="B422" s="162" t="s">
        <v>1599</v>
      </c>
      <c r="C422" s="163" t="s">
        <v>2259</v>
      </c>
      <c r="D422" s="162" t="s">
        <v>2260</v>
      </c>
      <c r="E422" s="161" t="s">
        <v>1602</v>
      </c>
      <c r="F422" s="162" t="s">
        <v>1614</v>
      </c>
      <c r="G422" s="161" t="s">
        <v>2261</v>
      </c>
      <c r="H422" s="215">
        <v>34</v>
      </c>
      <c r="I422" s="171"/>
      <c r="J422" s="173">
        <v>3.5</v>
      </c>
      <c r="K422" s="172"/>
      <c r="L422" s="173">
        <v>119</v>
      </c>
      <c r="M422" s="171">
        <v>119</v>
      </c>
      <c r="N422" s="170">
        <v>240</v>
      </c>
      <c r="O422" s="177" t="s">
        <v>1523</v>
      </c>
      <c r="P422" s="162" t="s">
        <v>1619</v>
      </c>
      <c r="Q422" s="176"/>
      <c r="R422" s="174"/>
      <c r="S422" s="179"/>
      <c r="T422" s="162" t="s">
        <v>28</v>
      </c>
      <c r="U422" s="161" t="s">
        <v>19</v>
      </c>
      <c r="V422" s="174">
        <v>2241</v>
      </c>
      <c r="W422" s="180" t="s">
        <v>2262</v>
      </c>
      <c r="X422" s="185">
        <v>45017</v>
      </c>
      <c r="Y422" s="187">
        <v>45014.411273148151</v>
      </c>
    </row>
    <row r="423" spans="1:25">
      <c r="A423" s="167" t="s">
        <v>110</v>
      </c>
      <c r="B423" s="162" t="s">
        <v>1599</v>
      </c>
      <c r="C423" s="163" t="s">
        <v>2259</v>
      </c>
      <c r="D423" s="162" t="s">
        <v>2260</v>
      </c>
      <c r="E423" s="161" t="s">
        <v>1631</v>
      </c>
      <c r="F423" s="162" t="s">
        <v>1614</v>
      </c>
      <c r="G423" s="161" t="s">
        <v>2263</v>
      </c>
      <c r="H423" s="214">
        <v>23</v>
      </c>
      <c r="I423" s="171"/>
      <c r="J423" s="170">
        <v>3.5</v>
      </c>
      <c r="K423" s="172"/>
      <c r="L423" s="170">
        <v>80.5</v>
      </c>
      <c r="M423" s="171">
        <v>80.5</v>
      </c>
      <c r="N423" s="170"/>
      <c r="O423" s="177" t="s">
        <v>1523</v>
      </c>
      <c r="P423" s="162" t="s">
        <v>1620</v>
      </c>
      <c r="Q423" s="176"/>
      <c r="R423" s="174"/>
      <c r="S423" s="179"/>
      <c r="T423" s="162" t="s">
        <v>28</v>
      </c>
      <c r="U423" s="161" t="s">
        <v>1615</v>
      </c>
      <c r="V423" s="174">
        <v>2241</v>
      </c>
      <c r="W423" s="180" t="s">
        <v>2262</v>
      </c>
      <c r="X423" s="185">
        <v>45017</v>
      </c>
      <c r="Y423" s="187">
        <v>45014.411273148151</v>
      </c>
    </row>
    <row r="424" spans="1:25">
      <c r="A424" s="167" t="s">
        <v>77</v>
      </c>
      <c r="B424" s="162" t="s">
        <v>1555</v>
      </c>
      <c r="C424" s="163" t="s">
        <v>2264</v>
      </c>
      <c r="D424" s="162" t="s">
        <v>2265</v>
      </c>
      <c r="E424" s="161" t="s">
        <v>1739</v>
      </c>
      <c r="F424" s="162" t="s">
        <v>2266</v>
      </c>
      <c r="G424" s="161"/>
      <c r="H424" s="215">
        <v>1</v>
      </c>
      <c r="I424" s="171"/>
      <c r="J424" s="173">
        <v>30</v>
      </c>
      <c r="K424" s="172"/>
      <c r="L424" s="173">
        <v>30</v>
      </c>
      <c r="M424" s="171">
        <v>30</v>
      </c>
      <c r="N424" s="170"/>
      <c r="O424" s="177" t="s">
        <v>76</v>
      </c>
      <c r="P424" s="162" t="s">
        <v>1591</v>
      </c>
      <c r="Q424" s="176"/>
      <c r="R424" s="174"/>
      <c r="S424" s="179"/>
      <c r="T424" s="162" t="s">
        <v>24</v>
      </c>
      <c r="U424" s="161" t="s">
        <v>18</v>
      </c>
      <c r="V424" s="174">
        <v>2034</v>
      </c>
      <c r="W424" s="180"/>
      <c r="X424" s="185" t="s">
        <v>259</v>
      </c>
      <c r="Y424" s="187">
        <v>44817.430185185185</v>
      </c>
    </row>
    <row r="425" spans="1:25">
      <c r="A425" s="167" t="s">
        <v>77</v>
      </c>
      <c r="B425" s="162" t="s">
        <v>1555</v>
      </c>
      <c r="C425" s="163" t="s">
        <v>2267</v>
      </c>
      <c r="D425" s="162" t="s">
        <v>2268</v>
      </c>
      <c r="E425" s="161" t="s">
        <v>1613</v>
      </c>
      <c r="F425" s="162" t="s">
        <v>1614</v>
      </c>
      <c r="G425" s="161"/>
      <c r="H425" s="214">
        <v>1</v>
      </c>
      <c r="I425" s="171">
        <v>0.4</v>
      </c>
      <c r="J425" s="170">
        <v>0.4</v>
      </c>
      <c r="K425" s="172">
        <v>0.4</v>
      </c>
      <c r="L425" s="170">
        <v>0.4</v>
      </c>
      <c r="M425" s="171">
        <v>0.4</v>
      </c>
      <c r="N425" s="170"/>
      <c r="O425" s="177" t="s">
        <v>76</v>
      </c>
      <c r="P425" s="162" t="s">
        <v>1591</v>
      </c>
      <c r="Q425" s="176"/>
      <c r="R425" s="174"/>
      <c r="S425" s="179"/>
      <c r="T425" s="162" t="s">
        <v>24</v>
      </c>
      <c r="U425" s="161" t="s">
        <v>1615</v>
      </c>
      <c r="V425" s="174">
        <v>1309</v>
      </c>
      <c r="W425" s="180"/>
      <c r="X425" s="185">
        <v>44805</v>
      </c>
      <c r="Y425" s="187">
        <v>43204.303680555553</v>
      </c>
    </row>
    <row r="426" spans="1:25">
      <c r="A426" s="167" t="s">
        <v>77</v>
      </c>
      <c r="B426" s="162" t="s">
        <v>1599</v>
      </c>
      <c r="C426" s="163" t="s">
        <v>2269</v>
      </c>
      <c r="D426" s="162" t="s">
        <v>2270</v>
      </c>
      <c r="E426" s="161" t="s">
        <v>1631</v>
      </c>
      <c r="F426" s="162" t="s">
        <v>1614</v>
      </c>
      <c r="G426" s="161"/>
      <c r="H426" s="215">
        <v>1</v>
      </c>
      <c r="I426" s="171">
        <v>350</v>
      </c>
      <c r="J426" s="173">
        <v>350</v>
      </c>
      <c r="K426" s="172">
        <v>350</v>
      </c>
      <c r="L426" s="173">
        <v>350</v>
      </c>
      <c r="M426" s="171">
        <v>350</v>
      </c>
      <c r="N426" s="170">
        <v>0</v>
      </c>
      <c r="O426" s="177" t="s">
        <v>1523</v>
      </c>
      <c r="P426" s="162" t="s">
        <v>1620</v>
      </c>
      <c r="Q426" s="176"/>
      <c r="R426" s="174">
        <v>2054</v>
      </c>
      <c r="S426" s="179"/>
      <c r="T426" s="162" t="s">
        <v>28</v>
      </c>
      <c r="U426" s="161" t="s">
        <v>1615</v>
      </c>
      <c r="V426" s="174">
        <v>1419</v>
      </c>
      <c r="W426" s="180" t="s">
        <v>2271</v>
      </c>
      <c r="X426" s="185">
        <v>45069</v>
      </c>
      <c r="Y426" s="187">
        <v>45035.381307870368</v>
      </c>
    </row>
    <row r="427" spans="1:25">
      <c r="A427" s="167" t="s">
        <v>110</v>
      </c>
      <c r="B427" s="162" t="s">
        <v>1599</v>
      </c>
      <c r="C427" s="163" t="s">
        <v>245</v>
      </c>
      <c r="D427" s="162" t="s">
        <v>246</v>
      </c>
      <c r="E427" s="161" t="s">
        <v>1631</v>
      </c>
      <c r="F427" s="162" t="s">
        <v>1614</v>
      </c>
      <c r="G427" s="161"/>
      <c r="H427" s="214">
        <v>1</v>
      </c>
      <c r="I427" s="171">
        <v>0</v>
      </c>
      <c r="J427" s="170">
        <v>77</v>
      </c>
      <c r="K427" s="172">
        <v>0</v>
      </c>
      <c r="L427" s="170">
        <v>77</v>
      </c>
      <c r="M427" s="171">
        <v>77</v>
      </c>
      <c r="N427" s="170"/>
      <c r="O427" s="177" t="s">
        <v>27</v>
      </c>
      <c r="P427" s="162" t="s">
        <v>1620</v>
      </c>
      <c r="Q427" s="176">
        <v>45597</v>
      </c>
      <c r="R427" s="174">
        <v>2054</v>
      </c>
      <c r="S427" s="179"/>
      <c r="T427" s="162" t="s">
        <v>27</v>
      </c>
      <c r="U427" s="161" t="s">
        <v>1615</v>
      </c>
      <c r="V427" s="174">
        <v>1971</v>
      </c>
      <c r="W427" s="180"/>
      <c r="X427" s="185">
        <v>45069</v>
      </c>
      <c r="Y427" s="187">
        <v>45097.559837962966</v>
      </c>
    </row>
    <row r="428" spans="1:25">
      <c r="A428" s="167" t="s">
        <v>110</v>
      </c>
      <c r="B428" s="162" t="s">
        <v>1599</v>
      </c>
      <c r="C428" s="163" t="s">
        <v>2272</v>
      </c>
      <c r="D428" s="162" t="s">
        <v>2273</v>
      </c>
      <c r="E428" s="161" t="s">
        <v>1631</v>
      </c>
      <c r="F428" s="162" t="s">
        <v>1614</v>
      </c>
      <c r="G428" s="161"/>
      <c r="H428" s="215">
        <v>23</v>
      </c>
      <c r="I428" s="171">
        <v>0</v>
      </c>
      <c r="J428" s="173">
        <v>4.2</v>
      </c>
      <c r="K428" s="172">
        <v>0</v>
      </c>
      <c r="L428" s="173">
        <v>96.6</v>
      </c>
      <c r="M428" s="171">
        <v>96.6</v>
      </c>
      <c r="N428" s="170"/>
      <c r="O428" s="177" t="s">
        <v>1523</v>
      </c>
      <c r="P428" s="162" t="s">
        <v>1620</v>
      </c>
      <c r="Q428" s="176"/>
      <c r="R428" s="174"/>
      <c r="S428" s="179"/>
      <c r="T428" s="162" t="s">
        <v>28</v>
      </c>
      <c r="U428" s="161" t="s">
        <v>1615</v>
      </c>
      <c r="V428" s="174">
        <v>1977</v>
      </c>
      <c r="W428" s="180"/>
      <c r="X428" s="185">
        <v>45069</v>
      </c>
      <c r="Y428" s="187">
        <v>45028.617372685185</v>
      </c>
    </row>
    <row r="429" spans="1:25">
      <c r="A429" s="167" t="s">
        <v>110</v>
      </c>
      <c r="B429" s="162" t="s">
        <v>1599</v>
      </c>
      <c r="C429" s="163" t="s">
        <v>2272</v>
      </c>
      <c r="D429" s="162" t="s">
        <v>2273</v>
      </c>
      <c r="E429" s="161" t="s">
        <v>1602</v>
      </c>
      <c r="F429" s="162" t="s">
        <v>1614</v>
      </c>
      <c r="G429" s="161"/>
      <c r="H429" s="214">
        <v>23</v>
      </c>
      <c r="I429" s="171"/>
      <c r="J429" s="170">
        <v>2.7</v>
      </c>
      <c r="K429" s="172"/>
      <c r="L429" s="170">
        <v>62.1</v>
      </c>
      <c r="M429" s="171">
        <v>62.1</v>
      </c>
      <c r="N429" s="170">
        <v>120</v>
      </c>
      <c r="O429" s="177" t="s">
        <v>1523</v>
      </c>
      <c r="P429" s="162" t="s">
        <v>1619</v>
      </c>
      <c r="Q429" s="176"/>
      <c r="R429" s="174"/>
      <c r="S429" s="179"/>
      <c r="T429" s="162" t="s">
        <v>28</v>
      </c>
      <c r="U429" s="161" t="s">
        <v>19</v>
      </c>
      <c r="V429" s="174">
        <v>1977</v>
      </c>
      <c r="W429" s="180"/>
      <c r="X429" s="185">
        <v>45069</v>
      </c>
      <c r="Y429" s="187">
        <v>45028.617372685185</v>
      </c>
    </row>
    <row r="430" spans="1:25">
      <c r="A430" s="167" t="s">
        <v>77</v>
      </c>
      <c r="B430" s="162" t="s">
        <v>1555</v>
      </c>
      <c r="C430" s="163" t="s">
        <v>267</v>
      </c>
      <c r="D430" s="162" t="s">
        <v>131</v>
      </c>
      <c r="E430" s="161" t="s">
        <v>1631</v>
      </c>
      <c r="F430" s="162" t="s">
        <v>1614</v>
      </c>
      <c r="G430" s="161" t="s">
        <v>268</v>
      </c>
      <c r="H430" s="215">
        <v>54</v>
      </c>
      <c r="I430" s="171">
        <v>0</v>
      </c>
      <c r="J430" s="173">
        <v>3</v>
      </c>
      <c r="K430" s="172">
        <v>0</v>
      </c>
      <c r="L430" s="173">
        <v>162</v>
      </c>
      <c r="M430" s="171">
        <v>162</v>
      </c>
      <c r="N430" s="170"/>
      <c r="O430" s="177" t="s">
        <v>76</v>
      </c>
      <c r="P430" s="162" t="s">
        <v>1620</v>
      </c>
      <c r="Q430" s="176"/>
      <c r="R430" s="174">
        <v>2051</v>
      </c>
      <c r="S430" s="179"/>
      <c r="T430" s="162" t="s">
        <v>24</v>
      </c>
      <c r="U430" s="161" t="s">
        <v>1615</v>
      </c>
      <c r="V430" s="174">
        <v>1538</v>
      </c>
      <c r="W430" s="180"/>
      <c r="X430" s="185">
        <v>45017</v>
      </c>
      <c r="Y430" s="187">
        <v>45021.495405092595</v>
      </c>
    </row>
    <row r="431" spans="1:25">
      <c r="A431" s="167" t="s">
        <v>110</v>
      </c>
      <c r="B431" s="162" t="s">
        <v>1555</v>
      </c>
      <c r="C431" s="163" t="s">
        <v>949</v>
      </c>
      <c r="D431" s="162" t="s">
        <v>2274</v>
      </c>
      <c r="E431" s="161" t="s">
        <v>1602</v>
      </c>
      <c r="F431" s="162" t="s">
        <v>1603</v>
      </c>
      <c r="G431" s="161" t="s">
        <v>2275</v>
      </c>
      <c r="H431" s="214">
        <v>1</v>
      </c>
      <c r="I431" s="171">
        <v>0</v>
      </c>
      <c r="J431" s="170">
        <v>25.33</v>
      </c>
      <c r="K431" s="172">
        <v>0</v>
      </c>
      <c r="L431" s="170">
        <v>25.33</v>
      </c>
      <c r="M431" s="171">
        <v>25.33</v>
      </c>
      <c r="N431" s="170">
        <v>50</v>
      </c>
      <c r="O431" s="177" t="s">
        <v>76</v>
      </c>
      <c r="P431" s="162" t="s">
        <v>1619</v>
      </c>
      <c r="Q431" s="176"/>
      <c r="R431" s="174">
        <v>2033</v>
      </c>
      <c r="S431" s="179"/>
      <c r="T431" s="162" t="s">
        <v>24</v>
      </c>
      <c r="U431" s="161" t="s">
        <v>19</v>
      </c>
      <c r="V431" s="174">
        <v>1470</v>
      </c>
      <c r="W431" s="180"/>
      <c r="X431" s="185">
        <v>45017</v>
      </c>
      <c r="Y431" s="187">
        <v>45021.409178240741</v>
      </c>
    </row>
    <row r="432" spans="1:25">
      <c r="A432" s="167" t="s">
        <v>110</v>
      </c>
      <c r="B432" s="162" t="s">
        <v>1555</v>
      </c>
      <c r="C432" s="163" t="s">
        <v>951</v>
      </c>
      <c r="D432" s="162" t="s">
        <v>2276</v>
      </c>
      <c r="E432" s="161" t="s">
        <v>1631</v>
      </c>
      <c r="F432" s="162" t="s">
        <v>1614</v>
      </c>
      <c r="G432" s="161" t="s">
        <v>2277</v>
      </c>
      <c r="H432" s="215">
        <v>22</v>
      </c>
      <c r="I432" s="171"/>
      <c r="J432" s="173">
        <v>2.5</v>
      </c>
      <c r="K432" s="172"/>
      <c r="L432" s="173">
        <v>55</v>
      </c>
      <c r="M432" s="171">
        <v>55</v>
      </c>
      <c r="N432" s="170"/>
      <c r="O432" s="177" t="s">
        <v>76</v>
      </c>
      <c r="P432" s="162" t="s">
        <v>1620</v>
      </c>
      <c r="Q432" s="176"/>
      <c r="R432" s="174">
        <v>2048</v>
      </c>
      <c r="S432" s="179"/>
      <c r="T432" s="162" t="s">
        <v>24</v>
      </c>
      <c r="U432" s="161" t="s">
        <v>1615</v>
      </c>
      <c r="V432" s="174">
        <v>1396</v>
      </c>
      <c r="W432" s="180"/>
      <c r="X432" s="185">
        <v>45017</v>
      </c>
      <c r="Y432" s="187">
        <v>45020.607048611113</v>
      </c>
    </row>
    <row r="433" spans="1:25">
      <c r="A433" s="167" t="s">
        <v>77</v>
      </c>
      <c r="B433" s="162" t="s">
        <v>1599</v>
      </c>
      <c r="C433" s="163" t="s">
        <v>2278</v>
      </c>
      <c r="D433" s="162" t="s">
        <v>2279</v>
      </c>
      <c r="E433" s="161" t="s">
        <v>1625</v>
      </c>
      <c r="F433" s="162" t="s">
        <v>1609</v>
      </c>
      <c r="G433" s="161"/>
      <c r="H433" s="214">
        <v>80</v>
      </c>
      <c r="I433" s="171"/>
      <c r="J433" s="170">
        <v>7</v>
      </c>
      <c r="K433" s="172"/>
      <c r="L433" s="170">
        <v>560</v>
      </c>
      <c r="M433" s="171">
        <v>560</v>
      </c>
      <c r="N433" s="170"/>
      <c r="O433" s="177" t="s">
        <v>1523</v>
      </c>
      <c r="P433" s="162" t="s">
        <v>1620</v>
      </c>
      <c r="Q433" s="176"/>
      <c r="R433" s="174"/>
      <c r="S433" s="179"/>
      <c r="T433" s="162" t="s">
        <v>28</v>
      </c>
      <c r="U433" s="161" t="s">
        <v>16</v>
      </c>
      <c r="V433" s="174">
        <v>2451</v>
      </c>
      <c r="W433" s="180"/>
      <c r="X433" s="185">
        <v>45069</v>
      </c>
      <c r="Y433" s="187">
        <v>45027.621134259258</v>
      </c>
    </row>
    <row r="434" spans="1:25">
      <c r="A434" s="167" t="s">
        <v>105</v>
      </c>
      <c r="B434" s="162" t="s">
        <v>1599</v>
      </c>
      <c r="C434" s="163" t="s">
        <v>2280</v>
      </c>
      <c r="D434" s="162" t="s">
        <v>1735</v>
      </c>
      <c r="E434" s="161" t="s">
        <v>1602</v>
      </c>
      <c r="F434" s="162" t="s">
        <v>1603</v>
      </c>
      <c r="G434" s="161"/>
      <c r="H434" s="215">
        <v>1</v>
      </c>
      <c r="I434" s="171">
        <v>70</v>
      </c>
      <c r="J434" s="173">
        <v>70</v>
      </c>
      <c r="K434" s="172">
        <v>70</v>
      </c>
      <c r="L434" s="173">
        <v>70</v>
      </c>
      <c r="M434" s="171">
        <v>70</v>
      </c>
      <c r="N434" s="170">
        <v>0</v>
      </c>
      <c r="O434" s="177" t="s">
        <v>1523</v>
      </c>
      <c r="P434" s="162" t="s">
        <v>1619</v>
      </c>
      <c r="Q434" s="176"/>
      <c r="R434" s="174"/>
      <c r="S434" s="179"/>
      <c r="T434" s="162" t="s">
        <v>28</v>
      </c>
      <c r="U434" s="161" t="s">
        <v>19</v>
      </c>
      <c r="V434" s="174">
        <v>2235</v>
      </c>
      <c r="W434" s="180" t="s">
        <v>2281</v>
      </c>
      <c r="X434" s="185">
        <v>45017</v>
      </c>
      <c r="Y434" s="187">
        <v>45086.830300925925</v>
      </c>
    </row>
    <row r="435" spans="1:25">
      <c r="A435" s="167" t="s">
        <v>105</v>
      </c>
      <c r="B435" s="162" t="s">
        <v>1599</v>
      </c>
      <c r="C435" s="163" t="s">
        <v>2282</v>
      </c>
      <c r="D435" s="162" t="s">
        <v>2283</v>
      </c>
      <c r="E435" s="161" t="s">
        <v>1625</v>
      </c>
      <c r="F435" s="162" t="s">
        <v>1609</v>
      </c>
      <c r="G435" s="161"/>
      <c r="H435" s="214">
        <v>1</v>
      </c>
      <c r="I435" s="171">
        <v>232</v>
      </c>
      <c r="J435" s="170">
        <v>232</v>
      </c>
      <c r="K435" s="172">
        <v>232</v>
      </c>
      <c r="L435" s="170">
        <v>232</v>
      </c>
      <c r="M435" s="171">
        <v>232</v>
      </c>
      <c r="N435" s="170"/>
      <c r="O435" s="177" t="s">
        <v>1523</v>
      </c>
      <c r="P435" s="162" t="s">
        <v>1604</v>
      </c>
      <c r="Q435" s="176"/>
      <c r="R435" s="174"/>
      <c r="S435" s="179"/>
      <c r="T435" s="162" t="s">
        <v>28</v>
      </c>
      <c r="U435" s="161" t="s">
        <v>16</v>
      </c>
      <c r="V435" s="174">
        <v>2229</v>
      </c>
      <c r="W435" s="180" t="s">
        <v>2284</v>
      </c>
      <c r="X435" s="185">
        <v>45017</v>
      </c>
      <c r="Y435" s="187">
        <v>44944.579583333332</v>
      </c>
    </row>
    <row r="436" spans="1:25">
      <c r="A436" s="167" t="s">
        <v>45</v>
      </c>
      <c r="B436" s="162" t="s">
        <v>1599</v>
      </c>
      <c r="C436" s="163" t="s">
        <v>2285</v>
      </c>
      <c r="D436" s="162" t="s">
        <v>2286</v>
      </c>
      <c r="E436" s="161" t="s">
        <v>1608</v>
      </c>
      <c r="F436" s="162" t="s">
        <v>1609</v>
      </c>
      <c r="G436" s="161"/>
      <c r="H436" s="215">
        <v>44</v>
      </c>
      <c r="I436" s="171"/>
      <c r="J436" s="173">
        <v>23</v>
      </c>
      <c r="K436" s="172"/>
      <c r="L436" s="173">
        <v>1012</v>
      </c>
      <c r="M436" s="171">
        <v>1012</v>
      </c>
      <c r="N436" s="170"/>
      <c r="O436" s="177" t="s">
        <v>1523</v>
      </c>
      <c r="P436" s="162" t="s">
        <v>1604</v>
      </c>
      <c r="Q436" s="176"/>
      <c r="R436" s="174"/>
      <c r="S436" s="179"/>
      <c r="T436" s="162" t="s">
        <v>28</v>
      </c>
      <c r="U436" s="161" t="s">
        <v>16</v>
      </c>
      <c r="V436" s="174">
        <v>2447</v>
      </c>
      <c r="W436" s="180"/>
      <c r="X436" s="185">
        <v>45017</v>
      </c>
      <c r="Y436" s="187">
        <v>45078.374166666668</v>
      </c>
    </row>
    <row r="437" spans="1:25">
      <c r="A437" s="167" t="s">
        <v>45</v>
      </c>
      <c r="B437" s="162" t="s">
        <v>1599</v>
      </c>
      <c r="C437" s="163" t="s">
        <v>2287</v>
      </c>
      <c r="D437" s="162" t="s">
        <v>2288</v>
      </c>
      <c r="E437" s="161" t="s">
        <v>1608</v>
      </c>
      <c r="F437" s="162" t="s">
        <v>1609</v>
      </c>
      <c r="G437" s="161"/>
      <c r="H437" s="214">
        <v>130</v>
      </c>
      <c r="I437" s="171"/>
      <c r="J437" s="170">
        <v>23</v>
      </c>
      <c r="K437" s="172"/>
      <c r="L437" s="170">
        <v>2990</v>
      </c>
      <c r="M437" s="171">
        <v>2990</v>
      </c>
      <c r="N437" s="170"/>
      <c r="O437" s="177" t="s">
        <v>1523</v>
      </c>
      <c r="P437" s="162" t="s">
        <v>1604</v>
      </c>
      <c r="Q437" s="176"/>
      <c r="R437" s="174"/>
      <c r="S437" s="179"/>
      <c r="T437" s="162" t="s">
        <v>28</v>
      </c>
      <c r="U437" s="161" t="s">
        <v>16</v>
      </c>
      <c r="V437" s="174">
        <v>1915</v>
      </c>
      <c r="W437" s="180"/>
      <c r="X437" s="185">
        <v>45017</v>
      </c>
      <c r="Y437" s="187">
        <v>45028.430405092593</v>
      </c>
    </row>
    <row r="438" spans="1:25">
      <c r="A438" s="167" t="s">
        <v>77</v>
      </c>
      <c r="B438" s="162" t="s">
        <v>1599</v>
      </c>
      <c r="C438" s="163" t="s">
        <v>2289</v>
      </c>
      <c r="D438" s="162" t="s">
        <v>2288</v>
      </c>
      <c r="E438" s="161" t="s">
        <v>1608</v>
      </c>
      <c r="F438" s="162" t="s">
        <v>1609</v>
      </c>
      <c r="G438" s="161"/>
      <c r="H438" s="215">
        <v>44</v>
      </c>
      <c r="I438" s="171"/>
      <c r="J438" s="173">
        <v>23</v>
      </c>
      <c r="K438" s="172"/>
      <c r="L438" s="173">
        <v>1012</v>
      </c>
      <c r="M438" s="171">
        <v>1012</v>
      </c>
      <c r="N438" s="170"/>
      <c r="O438" s="177" t="s">
        <v>1523</v>
      </c>
      <c r="P438" s="162" t="s">
        <v>1620</v>
      </c>
      <c r="Q438" s="176"/>
      <c r="R438" s="174"/>
      <c r="S438" s="179"/>
      <c r="T438" s="162" t="s">
        <v>28</v>
      </c>
      <c r="U438" s="161" t="s">
        <v>16</v>
      </c>
      <c r="V438" s="174">
        <v>1919</v>
      </c>
      <c r="W438" s="180"/>
      <c r="X438" s="185">
        <v>45017</v>
      </c>
      <c r="Y438" s="187">
        <v>45028.442430555559</v>
      </c>
    </row>
    <row r="439" spans="1:25">
      <c r="A439" s="167" t="s">
        <v>91</v>
      </c>
      <c r="B439" s="162" t="s">
        <v>1599</v>
      </c>
      <c r="C439" s="163" t="s">
        <v>2290</v>
      </c>
      <c r="D439" s="162" t="s">
        <v>2286</v>
      </c>
      <c r="E439" s="161" t="s">
        <v>1608</v>
      </c>
      <c r="F439" s="162" t="s">
        <v>1609</v>
      </c>
      <c r="G439" s="161"/>
      <c r="H439" s="214">
        <v>87</v>
      </c>
      <c r="I439" s="171"/>
      <c r="J439" s="170">
        <v>23</v>
      </c>
      <c r="K439" s="172"/>
      <c r="L439" s="170">
        <v>2001</v>
      </c>
      <c r="M439" s="171">
        <v>2001</v>
      </c>
      <c r="N439" s="170"/>
      <c r="O439" s="177" t="s">
        <v>1523</v>
      </c>
      <c r="P439" s="162" t="s">
        <v>1620</v>
      </c>
      <c r="Q439" s="176"/>
      <c r="R439" s="174"/>
      <c r="S439" s="179"/>
      <c r="T439" s="162" t="s">
        <v>28</v>
      </c>
      <c r="U439" s="161" t="s">
        <v>16</v>
      </c>
      <c r="V439" s="174">
        <v>2443</v>
      </c>
      <c r="W439" s="180"/>
      <c r="X439" s="185">
        <v>45017</v>
      </c>
      <c r="Y439" s="187">
        <v>45078.36074074074</v>
      </c>
    </row>
    <row r="440" spans="1:25">
      <c r="A440" s="167" t="s">
        <v>105</v>
      </c>
      <c r="B440" s="162" t="s">
        <v>1599</v>
      </c>
      <c r="C440" s="163" t="s">
        <v>2291</v>
      </c>
      <c r="D440" s="162" t="s">
        <v>2286</v>
      </c>
      <c r="E440" s="161" t="s">
        <v>1608</v>
      </c>
      <c r="F440" s="162" t="s">
        <v>1609</v>
      </c>
      <c r="G440" s="161"/>
      <c r="H440" s="215">
        <v>44</v>
      </c>
      <c r="I440" s="171"/>
      <c r="J440" s="173">
        <v>23</v>
      </c>
      <c r="K440" s="172"/>
      <c r="L440" s="173">
        <v>1012</v>
      </c>
      <c r="M440" s="171">
        <v>1012</v>
      </c>
      <c r="N440" s="170"/>
      <c r="O440" s="177" t="s">
        <v>1523</v>
      </c>
      <c r="P440" s="162" t="s">
        <v>1620</v>
      </c>
      <c r="Q440" s="176"/>
      <c r="R440" s="174"/>
      <c r="S440" s="179"/>
      <c r="T440" s="162" t="s">
        <v>28</v>
      </c>
      <c r="U440" s="161" t="s">
        <v>16</v>
      </c>
      <c r="V440" s="174">
        <v>2445</v>
      </c>
      <c r="W440" s="180"/>
      <c r="X440" s="185">
        <v>45017</v>
      </c>
      <c r="Y440" s="187">
        <v>45078.368090277778</v>
      </c>
    </row>
    <row r="441" spans="1:25">
      <c r="A441" s="167" t="s">
        <v>105</v>
      </c>
      <c r="B441" s="162" t="s">
        <v>1599</v>
      </c>
      <c r="C441" s="163" t="s">
        <v>2292</v>
      </c>
      <c r="D441" s="162" t="s">
        <v>2286</v>
      </c>
      <c r="E441" s="161" t="s">
        <v>1608</v>
      </c>
      <c r="F441" s="162" t="s">
        <v>1609</v>
      </c>
      <c r="G441" s="161"/>
      <c r="H441" s="214">
        <v>44</v>
      </c>
      <c r="I441" s="171"/>
      <c r="J441" s="170">
        <v>23</v>
      </c>
      <c r="K441" s="172"/>
      <c r="L441" s="170">
        <v>1012</v>
      </c>
      <c r="M441" s="171">
        <v>1012</v>
      </c>
      <c r="N441" s="170"/>
      <c r="O441" s="177" t="s">
        <v>1523</v>
      </c>
      <c r="P441" s="162" t="s">
        <v>1620</v>
      </c>
      <c r="Q441" s="176"/>
      <c r="R441" s="174"/>
      <c r="S441" s="179"/>
      <c r="T441" s="162" t="s">
        <v>28</v>
      </c>
      <c r="U441" s="161" t="s">
        <v>16</v>
      </c>
      <c r="V441" s="174">
        <v>2446</v>
      </c>
      <c r="W441" s="180"/>
      <c r="X441" s="185">
        <v>45017</v>
      </c>
      <c r="Y441" s="187">
        <v>45078.372418981482</v>
      </c>
    </row>
    <row r="442" spans="1:25">
      <c r="A442" s="167" t="s">
        <v>110</v>
      </c>
      <c r="B442" s="162" t="s">
        <v>1599</v>
      </c>
      <c r="C442" s="163" t="s">
        <v>2293</v>
      </c>
      <c r="D442" s="162" t="s">
        <v>2286</v>
      </c>
      <c r="E442" s="161" t="s">
        <v>1608</v>
      </c>
      <c r="F442" s="162" t="s">
        <v>1609</v>
      </c>
      <c r="G442" s="161"/>
      <c r="H442" s="215">
        <v>35</v>
      </c>
      <c r="I442" s="171"/>
      <c r="J442" s="173">
        <v>23</v>
      </c>
      <c r="K442" s="172"/>
      <c r="L442" s="173">
        <v>805</v>
      </c>
      <c r="M442" s="171">
        <v>805</v>
      </c>
      <c r="N442" s="170"/>
      <c r="O442" s="177" t="s">
        <v>1523</v>
      </c>
      <c r="P442" s="162" t="s">
        <v>1620</v>
      </c>
      <c r="Q442" s="176"/>
      <c r="R442" s="174"/>
      <c r="S442" s="179"/>
      <c r="T442" s="162" t="s">
        <v>28</v>
      </c>
      <c r="U442" s="161" t="s">
        <v>16</v>
      </c>
      <c r="V442" s="174">
        <v>2444</v>
      </c>
      <c r="W442" s="180"/>
      <c r="X442" s="185">
        <v>45017</v>
      </c>
      <c r="Y442" s="187">
        <v>45078.366770833331</v>
      </c>
    </row>
    <row r="443" spans="1:25">
      <c r="A443" s="167" t="s">
        <v>110</v>
      </c>
      <c r="B443" s="162" t="s">
        <v>1599</v>
      </c>
      <c r="C443" s="163" t="s">
        <v>2294</v>
      </c>
      <c r="D443" s="162" t="s">
        <v>2286</v>
      </c>
      <c r="E443" s="161" t="s">
        <v>1608</v>
      </c>
      <c r="F443" s="162" t="s">
        <v>1609</v>
      </c>
      <c r="G443" s="161"/>
      <c r="H443" s="214">
        <v>139</v>
      </c>
      <c r="I443" s="171"/>
      <c r="J443" s="170">
        <v>23</v>
      </c>
      <c r="K443" s="172"/>
      <c r="L443" s="170">
        <v>3197</v>
      </c>
      <c r="M443" s="171">
        <v>3197</v>
      </c>
      <c r="N443" s="170"/>
      <c r="O443" s="177" t="s">
        <v>1523</v>
      </c>
      <c r="P443" s="162" t="s">
        <v>1620</v>
      </c>
      <c r="Q443" s="176"/>
      <c r="R443" s="174"/>
      <c r="S443" s="179"/>
      <c r="T443" s="162" t="s">
        <v>28</v>
      </c>
      <c r="U443" s="161" t="s">
        <v>16</v>
      </c>
      <c r="V443" s="174">
        <v>2440</v>
      </c>
      <c r="W443" s="180"/>
      <c r="X443" s="185">
        <v>45017</v>
      </c>
      <c r="Y443" s="187">
        <v>45078.355682870373</v>
      </c>
    </row>
    <row r="444" spans="1:25">
      <c r="A444" s="167" t="s">
        <v>110</v>
      </c>
      <c r="B444" s="162" t="s">
        <v>1599</v>
      </c>
      <c r="C444" s="163" t="s">
        <v>2295</v>
      </c>
      <c r="D444" s="162" t="s">
        <v>2288</v>
      </c>
      <c r="E444" s="161" t="s">
        <v>1608</v>
      </c>
      <c r="F444" s="162" t="s">
        <v>1609</v>
      </c>
      <c r="G444" s="161"/>
      <c r="H444" s="215">
        <v>110</v>
      </c>
      <c r="I444" s="171"/>
      <c r="J444" s="173">
        <v>23</v>
      </c>
      <c r="K444" s="172"/>
      <c r="L444" s="173">
        <v>2530</v>
      </c>
      <c r="M444" s="171">
        <v>2530</v>
      </c>
      <c r="N444" s="170"/>
      <c r="O444" s="177" t="s">
        <v>1523</v>
      </c>
      <c r="P444" s="162" t="s">
        <v>1620</v>
      </c>
      <c r="Q444" s="176"/>
      <c r="R444" s="174"/>
      <c r="S444" s="179"/>
      <c r="T444" s="162" t="s">
        <v>28</v>
      </c>
      <c r="U444" s="161" t="s">
        <v>16</v>
      </c>
      <c r="V444" s="174">
        <v>1920</v>
      </c>
      <c r="W444" s="180"/>
      <c r="X444" s="185">
        <v>45017</v>
      </c>
      <c r="Y444" s="187">
        <v>45028.444479166668</v>
      </c>
    </row>
    <row r="445" spans="1:25">
      <c r="A445" s="167" t="s">
        <v>110</v>
      </c>
      <c r="B445" s="162" t="s">
        <v>1599</v>
      </c>
      <c r="C445" s="163" t="s">
        <v>2296</v>
      </c>
      <c r="D445" s="162" t="s">
        <v>2288</v>
      </c>
      <c r="E445" s="161" t="s">
        <v>1608</v>
      </c>
      <c r="F445" s="162" t="s">
        <v>1609</v>
      </c>
      <c r="G445" s="161"/>
      <c r="H445" s="214">
        <v>139</v>
      </c>
      <c r="I445" s="171"/>
      <c r="J445" s="170">
        <v>23</v>
      </c>
      <c r="K445" s="172"/>
      <c r="L445" s="170">
        <v>3197</v>
      </c>
      <c r="M445" s="171">
        <v>3197</v>
      </c>
      <c r="N445" s="170"/>
      <c r="O445" s="177" t="s">
        <v>1523</v>
      </c>
      <c r="P445" s="162" t="s">
        <v>1620</v>
      </c>
      <c r="Q445" s="176"/>
      <c r="R445" s="174"/>
      <c r="S445" s="179"/>
      <c r="T445" s="162" t="s">
        <v>28</v>
      </c>
      <c r="U445" s="161" t="s">
        <v>16</v>
      </c>
      <c r="V445" s="174">
        <v>1918</v>
      </c>
      <c r="W445" s="180" t="s">
        <v>2297</v>
      </c>
      <c r="X445" s="185">
        <v>45017</v>
      </c>
      <c r="Y445" s="187">
        <v>45028.439826388887</v>
      </c>
    </row>
    <row r="446" spans="1:25">
      <c r="A446" s="167" t="s">
        <v>110</v>
      </c>
      <c r="B446" s="162" t="s">
        <v>1599</v>
      </c>
      <c r="C446" s="163" t="s">
        <v>2298</v>
      </c>
      <c r="D446" s="162" t="s">
        <v>2286</v>
      </c>
      <c r="E446" s="161" t="s">
        <v>1608</v>
      </c>
      <c r="F446" s="162" t="s">
        <v>1609</v>
      </c>
      <c r="G446" s="161"/>
      <c r="H446" s="215">
        <v>139</v>
      </c>
      <c r="I446" s="171"/>
      <c r="J446" s="173">
        <v>23</v>
      </c>
      <c r="K446" s="172"/>
      <c r="L446" s="173">
        <v>3197</v>
      </c>
      <c r="M446" s="171">
        <v>3197</v>
      </c>
      <c r="N446" s="170"/>
      <c r="O446" s="177" t="s">
        <v>1523</v>
      </c>
      <c r="P446" s="162" t="s">
        <v>1620</v>
      </c>
      <c r="Q446" s="176"/>
      <c r="R446" s="174"/>
      <c r="S446" s="179"/>
      <c r="T446" s="162" t="s">
        <v>28</v>
      </c>
      <c r="U446" s="161" t="s">
        <v>16</v>
      </c>
      <c r="V446" s="174">
        <v>2438</v>
      </c>
      <c r="W446" s="180"/>
      <c r="X446" s="185">
        <v>45017</v>
      </c>
      <c r="Y446" s="187">
        <v>45078.349722222221</v>
      </c>
    </row>
    <row r="447" spans="1:25">
      <c r="A447" s="167" t="s">
        <v>91</v>
      </c>
      <c r="B447" s="162" t="s">
        <v>1599</v>
      </c>
      <c r="C447" s="163" t="s">
        <v>2299</v>
      </c>
      <c r="D447" s="162" t="s">
        <v>2300</v>
      </c>
      <c r="E447" s="161" t="s">
        <v>1631</v>
      </c>
      <c r="F447" s="162" t="s">
        <v>1614</v>
      </c>
      <c r="G447" s="161"/>
      <c r="H447" s="214">
        <v>1</v>
      </c>
      <c r="I447" s="171"/>
      <c r="J447" s="170">
        <v>250</v>
      </c>
      <c r="K447" s="172"/>
      <c r="L447" s="170">
        <v>250</v>
      </c>
      <c r="M447" s="171">
        <v>250</v>
      </c>
      <c r="N447" s="170"/>
      <c r="O447" s="177" t="s">
        <v>1523</v>
      </c>
      <c r="P447" s="162" t="s">
        <v>1620</v>
      </c>
      <c r="Q447" s="176"/>
      <c r="R447" s="174"/>
      <c r="S447" s="179"/>
      <c r="T447" s="162" t="s">
        <v>28</v>
      </c>
      <c r="U447" s="161" t="s">
        <v>1615</v>
      </c>
      <c r="V447" s="174">
        <v>1943</v>
      </c>
      <c r="W447" s="180" t="s">
        <v>2301</v>
      </c>
      <c r="X447" s="185">
        <v>45017</v>
      </c>
      <c r="Y447" s="187">
        <v>44944.58084490741</v>
      </c>
    </row>
    <row r="448" spans="1:25">
      <c r="A448" s="167" t="s">
        <v>91</v>
      </c>
      <c r="B448" s="162" t="s">
        <v>1599</v>
      </c>
      <c r="C448" s="163" t="s">
        <v>2299</v>
      </c>
      <c r="D448" s="162" t="s">
        <v>2300</v>
      </c>
      <c r="E448" s="161" t="s">
        <v>1602</v>
      </c>
      <c r="F448" s="162" t="s">
        <v>1603</v>
      </c>
      <c r="G448" s="161"/>
      <c r="H448" s="215">
        <v>1</v>
      </c>
      <c r="I448" s="171"/>
      <c r="J448" s="173">
        <v>150</v>
      </c>
      <c r="K448" s="172"/>
      <c r="L448" s="173">
        <v>150</v>
      </c>
      <c r="M448" s="171">
        <v>150</v>
      </c>
      <c r="N448" s="170">
        <v>0</v>
      </c>
      <c r="O448" s="177" t="s">
        <v>1523</v>
      </c>
      <c r="P448" s="162" t="s">
        <v>1619</v>
      </c>
      <c r="Q448" s="176"/>
      <c r="R448" s="174"/>
      <c r="S448" s="179"/>
      <c r="T448" s="162" t="s">
        <v>28</v>
      </c>
      <c r="U448" s="161" t="s">
        <v>19</v>
      </c>
      <c r="V448" s="174">
        <v>1943</v>
      </c>
      <c r="W448" s="180" t="s">
        <v>2301</v>
      </c>
      <c r="X448" s="185">
        <v>45017</v>
      </c>
      <c r="Y448" s="187">
        <v>44944.58084490741</v>
      </c>
    </row>
    <row r="449" spans="1:25">
      <c r="A449" s="167" t="s">
        <v>77</v>
      </c>
      <c r="B449" s="162" t="s">
        <v>1555</v>
      </c>
      <c r="C449" s="163" t="s">
        <v>2302</v>
      </c>
      <c r="D449" s="162" t="s">
        <v>2303</v>
      </c>
      <c r="E449" s="161" t="s">
        <v>1596</v>
      </c>
      <c r="F449" s="162" t="s">
        <v>1639</v>
      </c>
      <c r="G449" s="161" t="s">
        <v>2304</v>
      </c>
      <c r="H449" s="214">
        <v>16</v>
      </c>
      <c r="I449" s="171"/>
      <c r="J449" s="170">
        <v>1.99</v>
      </c>
      <c r="K449" s="172"/>
      <c r="L449" s="170">
        <v>31.81</v>
      </c>
      <c r="M449" s="171">
        <v>31.81</v>
      </c>
      <c r="N449" s="170"/>
      <c r="O449" s="177" t="s">
        <v>76</v>
      </c>
      <c r="P449" s="162" t="s">
        <v>1591</v>
      </c>
      <c r="Q449" s="176"/>
      <c r="R449" s="174">
        <v>2036</v>
      </c>
      <c r="S449" s="179"/>
      <c r="T449" s="162" t="s">
        <v>24</v>
      </c>
      <c r="U449" s="161" t="s">
        <v>14</v>
      </c>
      <c r="V449" s="174">
        <v>1325</v>
      </c>
      <c r="W449" s="180"/>
      <c r="X449" s="185">
        <v>45017</v>
      </c>
      <c r="Y449" s="187">
        <v>45077.596990740742</v>
      </c>
    </row>
    <row r="450" spans="1:25">
      <c r="A450" s="167" t="s">
        <v>77</v>
      </c>
      <c r="B450" s="162" t="s">
        <v>1555</v>
      </c>
      <c r="C450" s="163" t="s">
        <v>2302</v>
      </c>
      <c r="D450" s="162" t="s">
        <v>2303</v>
      </c>
      <c r="E450" s="161" t="s">
        <v>1596</v>
      </c>
      <c r="F450" s="162" t="s">
        <v>1639</v>
      </c>
      <c r="G450" s="161" t="s">
        <v>2304</v>
      </c>
      <c r="H450" s="215">
        <v>4</v>
      </c>
      <c r="I450" s="171"/>
      <c r="J450" s="173">
        <v>3.3</v>
      </c>
      <c r="K450" s="172"/>
      <c r="L450" s="173">
        <v>13.2</v>
      </c>
      <c r="M450" s="171">
        <v>13.2</v>
      </c>
      <c r="N450" s="170"/>
      <c r="O450" s="177" t="s">
        <v>76</v>
      </c>
      <c r="P450" s="162" t="s">
        <v>1591</v>
      </c>
      <c r="Q450" s="176"/>
      <c r="R450" s="174">
        <v>2036</v>
      </c>
      <c r="S450" s="179"/>
      <c r="T450" s="162" t="s">
        <v>24</v>
      </c>
      <c r="U450" s="161" t="s">
        <v>14</v>
      </c>
      <c r="V450" s="174">
        <v>1325</v>
      </c>
      <c r="W450" s="180"/>
      <c r="X450" s="185">
        <v>45017</v>
      </c>
      <c r="Y450" s="187">
        <v>45077.596990740742</v>
      </c>
    </row>
    <row r="451" spans="1:25">
      <c r="A451" s="167" t="s">
        <v>45</v>
      </c>
      <c r="B451" s="162" t="s">
        <v>1599</v>
      </c>
      <c r="C451" s="163" t="s">
        <v>2305</v>
      </c>
      <c r="D451" s="162" t="s">
        <v>2306</v>
      </c>
      <c r="E451" s="161" t="s">
        <v>1613</v>
      </c>
      <c r="F451" s="162" t="s">
        <v>1614</v>
      </c>
      <c r="G451" s="161"/>
      <c r="H451" s="214">
        <v>1</v>
      </c>
      <c r="I451" s="171">
        <v>15</v>
      </c>
      <c r="J451" s="170">
        <v>15</v>
      </c>
      <c r="K451" s="172">
        <v>15</v>
      </c>
      <c r="L451" s="170">
        <v>15</v>
      </c>
      <c r="M451" s="171">
        <v>15</v>
      </c>
      <c r="N451" s="170"/>
      <c r="O451" s="177" t="s">
        <v>1523</v>
      </c>
      <c r="P451" s="162" t="s">
        <v>1591</v>
      </c>
      <c r="Q451" s="176"/>
      <c r="R451" s="174"/>
      <c r="S451" s="179"/>
      <c r="T451" s="162" t="s">
        <v>28</v>
      </c>
      <c r="U451" s="161" t="s">
        <v>1615</v>
      </c>
      <c r="V451" s="174">
        <v>1457</v>
      </c>
      <c r="W451" s="180"/>
      <c r="X451" s="185">
        <v>44805</v>
      </c>
      <c r="Y451" s="187">
        <v>43290.0234837963</v>
      </c>
    </row>
    <row r="452" spans="1:25">
      <c r="A452" s="167" t="s">
        <v>110</v>
      </c>
      <c r="B452" s="162" t="s">
        <v>1599</v>
      </c>
      <c r="C452" s="163" t="s">
        <v>2307</v>
      </c>
      <c r="D452" s="162" t="s">
        <v>2308</v>
      </c>
      <c r="E452" s="161" t="s">
        <v>1608</v>
      </c>
      <c r="F452" s="162" t="s">
        <v>1609</v>
      </c>
      <c r="G452" s="161"/>
      <c r="H452" s="215">
        <v>1</v>
      </c>
      <c r="I452" s="171">
        <v>2700</v>
      </c>
      <c r="J452" s="173">
        <v>2700</v>
      </c>
      <c r="K452" s="172">
        <v>2700</v>
      </c>
      <c r="L452" s="173">
        <v>2700</v>
      </c>
      <c r="M452" s="171">
        <v>2700</v>
      </c>
      <c r="N452" s="170"/>
      <c r="O452" s="177" t="s">
        <v>1523</v>
      </c>
      <c r="P452" s="162" t="s">
        <v>1604</v>
      </c>
      <c r="Q452" s="176"/>
      <c r="R452" s="174"/>
      <c r="S452" s="179"/>
      <c r="T452" s="162" t="s">
        <v>28</v>
      </c>
      <c r="U452" s="161" t="s">
        <v>16</v>
      </c>
      <c r="V452" s="174">
        <v>2401</v>
      </c>
      <c r="W452" s="180" t="s">
        <v>2309</v>
      </c>
      <c r="X452" s="185">
        <v>45017</v>
      </c>
      <c r="Y452" s="187">
        <v>44932.346435185187</v>
      </c>
    </row>
    <row r="453" spans="1:25">
      <c r="A453" s="167" t="s">
        <v>110</v>
      </c>
      <c r="B453" s="162" t="s">
        <v>1599</v>
      </c>
      <c r="C453" s="163" t="s">
        <v>2310</v>
      </c>
      <c r="D453" s="162" t="s">
        <v>2308</v>
      </c>
      <c r="E453" s="161" t="s">
        <v>1608</v>
      </c>
      <c r="F453" s="162" t="s">
        <v>1609</v>
      </c>
      <c r="G453" s="161"/>
      <c r="H453" s="214">
        <v>1</v>
      </c>
      <c r="I453" s="171">
        <v>2700</v>
      </c>
      <c r="J453" s="170">
        <v>2700</v>
      </c>
      <c r="K453" s="172">
        <v>2700</v>
      </c>
      <c r="L453" s="170">
        <v>2700</v>
      </c>
      <c r="M453" s="171">
        <v>2700</v>
      </c>
      <c r="N453" s="170"/>
      <c r="O453" s="177" t="s">
        <v>1523</v>
      </c>
      <c r="P453" s="162" t="s">
        <v>1604</v>
      </c>
      <c r="Q453" s="176"/>
      <c r="R453" s="174"/>
      <c r="S453" s="179"/>
      <c r="T453" s="162" t="s">
        <v>28</v>
      </c>
      <c r="U453" s="161" t="s">
        <v>16</v>
      </c>
      <c r="V453" s="174">
        <v>2402</v>
      </c>
      <c r="W453" s="180" t="s">
        <v>2311</v>
      </c>
      <c r="X453" s="185">
        <v>45017</v>
      </c>
      <c r="Y453" s="187">
        <v>44932.350162037037</v>
      </c>
    </row>
    <row r="454" spans="1:25">
      <c r="A454" s="167" t="s">
        <v>110</v>
      </c>
      <c r="B454" s="162" t="s">
        <v>1599</v>
      </c>
      <c r="C454" s="163" t="s">
        <v>2312</v>
      </c>
      <c r="D454" s="162" t="s">
        <v>2313</v>
      </c>
      <c r="E454" s="161" t="s">
        <v>1631</v>
      </c>
      <c r="F454" s="162" t="s">
        <v>1614</v>
      </c>
      <c r="G454" s="161" t="s">
        <v>2314</v>
      </c>
      <c r="H454" s="215">
        <v>57</v>
      </c>
      <c r="I454" s="171">
        <v>1.64</v>
      </c>
      <c r="J454" s="173">
        <v>1.64</v>
      </c>
      <c r="K454" s="172">
        <v>93.48</v>
      </c>
      <c r="L454" s="173">
        <v>93.48</v>
      </c>
      <c r="M454" s="171">
        <v>93.48</v>
      </c>
      <c r="N454" s="170"/>
      <c r="O454" s="177" t="s">
        <v>27</v>
      </c>
      <c r="P454" s="162" t="s">
        <v>1620</v>
      </c>
      <c r="Q454" s="176">
        <v>45627</v>
      </c>
      <c r="R454" s="174">
        <v>2054</v>
      </c>
      <c r="S454" s="179"/>
      <c r="T454" s="162" t="s">
        <v>27</v>
      </c>
      <c r="U454" s="161" t="s">
        <v>1615</v>
      </c>
      <c r="V454" s="174">
        <v>1982</v>
      </c>
      <c r="W454" s="180"/>
      <c r="X454" s="185">
        <v>45017</v>
      </c>
      <c r="Y454" s="187">
        <v>45100.467962962961</v>
      </c>
    </row>
    <row r="455" spans="1:25">
      <c r="A455" s="167" t="s">
        <v>77</v>
      </c>
      <c r="B455" s="162" t="s">
        <v>1555</v>
      </c>
      <c r="C455" s="163" t="s">
        <v>2315</v>
      </c>
      <c r="D455" s="162" t="s">
        <v>2316</v>
      </c>
      <c r="E455" s="161" t="s">
        <v>1739</v>
      </c>
      <c r="F455" s="162" t="s">
        <v>1740</v>
      </c>
      <c r="G455" s="161" t="s">
        <v>2317</v>
      </c>
      <c r="H455" s="214">
        <v>1</v>
      </c>
      <c r="I455" s="171"/>
      <c r="J455" s="170">
        <v>280</v>
      </c>
      <c r="K455" s="172"/>
      <c r="L455" s="170">
        <v>280</v>
      </c>
      <c r="M455" s="171">
        <v>280</v>
      </c>
      <c r="N455" s="170"/>
      <c r="O455" s="177" t="s">
        <v>76</v>
      </c>
      <c r="P455" s="162" t="s">
        <v>1619</v>
      </c>
      <c r="Q455" s="176"/>
      <c r="R455" s="174">
        <v>2035</v>
      </c>
      <c r="S455" s="179"/>
      <c r="T455" s="162" t="s">
        <v>24</v>
      </c>
      <c r="U455" s="161" t="s">
        <v>11</v>
      </c>
      <c r="V455" s="174">
        <v>1077</v>
      </c>
      <c r="W455" s="180"/>
      <c r="X455" s="185">
        <v>45069</v>
      </c>
      <c r="Y455" s="187">
        <v>45019.799479166664</v>
      </c>
    </row>
    <row r="456" spans="1:25">
      <c r="A456" s="167" t="s">
        <v>77</v>
      </c>
      <c r="B456" s="162" t="s">
        <v>1555</v>
      </c>
      <c r="C456" s="163" t="s">
        <v>2315</v>
      </c>
      <c r="D456" s="162" t="s">
        <v>2316</v>
      </c>
      <c r="E456" s="161" t="s">
        <v>1739</v>
      </c>
      <c r="F456" s="162" t="s">
        <v>1740</v>
      </c>
      <c r="G456" s="161" t="s">
        <v>2318</v>
      </c>
      <c r="H456" s="215">
        <v>1</v>
      </c>
      <c r="I456" s="171"/>
      <c r="J456" s="173">
        <v>280</v>
      </c>
      <c r="K456" s="172"/>
      <c r="L456" s="173">
        <v>280</v>
      </c>
      <c r="M456" s="171">
        <v>280</v>
      </c>
      <c r="N456" s="170"/>
      <c r="O456" s="177" t="s">
        <v>76</v>
      </c>
      <c r="P456" s="162" t="s">
        <v>1619</v>
      </c>
      <c r="Q456" s="184"/>
      <c r="R456" s="174">
        <v>2035</v>
      </c>
      <c r="S456" s="179"/>
      <c r="T456" s="162" t="s">
        <v>24</v>
      </c>
      <c r="U456" s="161" t="s">
        <v>11</v>
      </c>
      <c r="V456" s="174">
        <v>1077</v>
      </c>
      <c r="W456" s="180"/>
      <c r="X456" s="185">
        <v>45069</v>
      </c>
      <c r="Y456" s="187">
        <v>45019.799479166664</v>
      </c>
    </row>
    <row r="457" spans="1:25">
      <c r="A457" s="167" t="s">
        <v>77</v>
      </c>
      <c r="B457" s="162" t="s">
        <v>1555</v>
      </c>
      <c r="C457" s="163" t="s">
        <v>2315</v>
      </c>
      <c r="D457" s="162" t="s">
        <v>2316</v>
      </c>
      <c r="E457" s="161" t="s">
        <v>1739</v>
      </c>
      <c r="F457" s="162" t="s">
        <v>1740</v>
      </c>
      <c r="G457" s="161" t="s">
        <v>2319</v>
      </c>
      <c r="H457" s="214">
        <v>1</v>
      </c>
      <c r="I457" s="171"/>
      <c r="J457" s="170">
        <v>280</v>
      </c>
      <c r="K457" s="172"/>
      <c r="L457" s="170">
        <v>280</v>
      </c>
      <c r="M457" s="171">
        <v>280</v>
      </c>
      <c r="N457" s="170"/>
      <c r="O457" s="177" t="s">
        <v>76</v>
      </c>
      <c r="P457" s="162" t="s">
        <v>1619</v>
      </c>
      <c r="Q457" s="176"/>
      <c r="R457" s="174">
        <v>2035</v>
      </c>
      <c r="S457" s="179"/>
      <c r="T457" s="162" t="s">
        <v>24</v>
      </c>
      <c r="U457" s="161" t="s">
        <v>11</v>
      </c>
      <c r="V457" s="174">
        <v>1077</v>
      </c>
      <c r="W457" s="180"/>
      <c r="X457" s="185">
        <v>45069</v>
      </c>
      <c r="Y457" s="187">
        <v>45019.799479166664</v>
      </c>
    </row>
    <row r="458" spans="1:25">
      <c r="A458" s="167" t="s">
        <v>77</v>
      </c>
      <c r="B458" s="162" t="s">
        <v>1555</v>
      </c>
      <c r="C458" s="163" t="s">
        <v>2315</v>
      </c>
      <c r="D458" s="162" t="s">
        <v>2316</v>
      </c>
      <c r="E458" s="161" t="s">
        <v>1739</v>
      </c>
      <c r="F458" s="162" t="s">
        <v>1740</v>
      </c>
      <c r="G458" s="161" t="s">
        <v>2320</v>
      </c>
      <c r="H458" s="215">
        <v>1</v>
      </c>
      <c r="I458" s="171"/>
      <c r="J458" s="173">
        <v>280</v>
      </c>
      <c r="K458" s="172"/>
      <c r="L458" s="173">
        <v>280</v>
      </c>
      <c r="M458" s="171">
        <v>280</v>
      </c>
      <c r="N458" s="170"/>
      <c r="O458" s="177" t="s">
        <v>76</v>
      </c>
      <c r="P458" s="162" t="s">
        <v>1619</v>
      </c>
      <c r="Q458" s="184"/>
      <c r="R458" s="174">
        <v>2035</v>
      </c>
      <c r="S458" s="179"/>
      <c r="T458" s="162" t="s">
        <v>24</v>
      </c>
      <c r="U458" s="161" t="s">
        <v>11</v>
      </c>
      <c r="V458" s="174">
        <v>1077</v>
      </c>
      <c r="W458" s="180"/>
      <c r="X458" s="185">
        <v>45069</v>
      </c>
      <c r="Y458" s="187">
        <v>45019.799479166664</v>
      </c>
    </row>
    <row r="459" spans="1:25">
      <c r="A459" s="167" t="s">
        <v>77</v>
      </c>
      <c r="B459" s="162" t="s">
        <v>1555</v>
      </c>
      <c r="C459" s="163" t="s">
        <v>2315</v>
      </c>
      <c r="D459" s="162" t="s">
        <v>2316</v>
      </c>
      <c r="E459" s="161" t="s">
        <v>1739</v>
      </c>
      <c r="F459" s="162" t="s">
        <v>1740</v>
      </c>
      <c r="G459" s="161" t="s">
        <v>2321</v>
      </c>
      <c r="H459" s="214">
        <v>1</v>
      </c>
      <c r="I459" s="171"/>
      <c r="J459" s="170">
        <v>280</v>
      </c>
      <c r="K459" s="172"/>
      <c r="L459" s="170">
        <v>280</v>
      </c>
      <c r="M459" s="171">
        <v>280</v>
      </c>
      <c r="N459" s="170"/>
      <c r="O459" s="177" t="s">
        <v>76</v>
      </c>
      <c r="P459" s="162" t="s">
        <v>1619</v>
      </c>
      <c r="Q459" s="176"/>
      <c r="R459" s="174">
        <v>2035</v>
      </c>
      <c r="S459" s="179"/>
      <c r="T459" s="162" t="s">
        <v>24</v>
      </c>
      <c r="U459" s="161" t="s">
        <v>11</v>
      </c>
      <c r="V459" s="174">
        <v>1077</v>
      </c>
      <c r="W459" s="180"/>
      <c r="X459" s="185">
        <v>45069</v>
      </c>
      <c r="Y459" s="187">
        <v>45019.799479166664</v>
      </c>
    </row>
    <row r="460" spans="1:25">
      <c r="A460" s="167" t="s">
        <v>77</v>
      </c>
      <c r="B460" s="162" t="s">
        <v>1555</v>
      </c>
      <c r="C460" s="163" t="s">
        <v>2315</v>
      </c>
      <c r="D460" s="162" t="s">
        <v>2316</v>
      </c>
      <c r="E460" s="161" t="s">
        <v>1739</v>
      </c>
      <c r="F460" s="162" t="s">
        <v>1740</v>
      </c>
      <c r="G460" s="161" t="s">
        <v>2322</v>
      </c>
      <c r="H460" s="215">
        <v>1</v>
      </c>
      <c r="I460" s="171"/>
      <c r="J460" s="173">
        <v>280</v>
      </c>
      <c r="K460" s="172"/>
      <c r="L460" s="173">
        <v>280</v>
      </c>
      <c r="M460" s="171">
        <v>280</v>
      </c>
      <c r="N460" s="170"/>
      <c r="O460" s="177" t="s">
        <v>76</v>
      </c>
      <c r="P460" s="162" t="s">
        <v>1619</v>
      </c>
      <c r="Q460" s="176"/>
      <c r="R460" s="174">
        <v>2035</v>
      </c>
      <c r="S460" s="179"/>
      <c r="T460" s="162" t="s">
        <v>24</v>
      </c>
      <c r="U460" s="161" t="s">
        <v>11</v>
      </c>
      <c r="V460" s="174">
        <v>1077</v>
      </c>
      <c r="W460" s="180"/>
      <c r="X460" s="185">
        <v>45069</v>
      </c>
      <c r="Y460" s="187">
        <v>45019.799479166664</v>
      </c>
    </row>
    <row r="461" spans="1:25">
      <c r="A461" s="167" t="s">
        <v>45</v>
      </c>
      <c r="B461" s="162" t="s">
        <v>1555</v>
      </c>
      <c r="C461" s="163" t="s">
        <v>2323</v>
      </c>
      <c r="D461" s="162" t="s">
        <v>772</v>
      </c>
      <c r="E461" s="161" t="s">
        <v>1700</v>
      </c>
      <c r="F461" s="162" t="s">
        <v>1658</v>
      </c>
      <c r="G461" s="161"/>
      <c r="H461" s="214">
        <v>1</v>
      </c>
      <c r="I461" s="171">
        <v>5</v>
      </c>
      <c r="J461" s="170">
        <v>5</v>
      </c>
      <c r="K461" s="172">
        <v>5</v>
      </c>
      <c r="L461" s="170">
        <v>5</v>
      </c>
      <c r="M461" s="171">
        <v>5</v>
      </c>
      <c r="N461" s="170"/>
      <c r="O461" s="177" t="s">
        <v>76</v>
      </c>
      <c r="P461" s="162" t="s">
        <v>1591</v>
      </c>
      <c r="Q461" s="176"/>
      <c r="R461" s="174"/>
      <c r="S461" s="179"/>
      <c r="T461" s="162" t="s">
        <v>24</v>
      </c>
      <c r="U461" s="161" t="s">
        <v>17</v>
      </c>
      <c r="V461" s="174">
        <v>1078</v>
      </c>
      <c r="W461" s="180"/>
      <c r="X461" s="185">
        <v>44621</v>
      </c>
      <c r="Y461" s="187">
        <v>45077.489317129628</v>
      </c>
    </row>
    <row r="462" spans="1:25">
      <c r="A462" s="167" t="s">
        <v>110</v>
      </c>
      <c r="B462" s="162" t="s">
        <v>1599</v>
      </c>
      <c r="C462" s="163" t="s">
        <v>2324</v>
      </c>
      <c r="D462" s="162" t="s">
        <v>2325</v>
      </c>
      <c r="E462" s="161" t="s">
        <v>1602</v>
      </c>
      <c r="F462" s="162" t="s">
        <v>1603</v>
      </c>
      <c r="G462" s="161"/>
      <c r="H462" s="215">
        <v>1</v>
      </c>
      <c r="I462" s="171"/>
      <c r="J462" s="173">
        <v>250</v>
      </c>
      <c r="K462" s="172"/>
      <c r="L462" s="173">
        <v>250</v>
      </c>
      <c r="M462" s="171">
        <v>250</v>
      </c>
      <c r="N462" s="170">
        <v>250</v>
      </c>
      <c r="O462" s="177" t="s">
        <v>1523</v>
      </c>
      <c r="P462" s="162" t="s">
        <v>1619</v>
      </c>
      <c r="Q462" s="176"/>
      <c r="R462" s="174"/>
      <c r="S462" s="179"/>
      <c r="T462" s="162" t="s">
        <v>28</v>
      </c>
      <c r="U462" s="161" t="s">
        <v>19</v>
      </c>
      <c r="V462" s="174">
        <v>2244</v>
      </c>
      <c r="W462" s="180" t="s">
        <v>2326</v>
      </c>
      <c r="X462" s="185">
        <v>45017</v>
      </c>
      <c r="Y462" s="187">
        <v>45027.666597222225</v>
      </c>
    </row>
    <row r="463" spans="1:25">
      <c r="A463" s="167" t="s">
        <v>45</v>
      </c>
      <c r="B463" s="162" t="s">
        <v>1599</v>
      </c>
      <c r="C463" s="163" t="s">
        <v>2327</v>
      </c>
      <c r="D463" s="162" t="s">
        <v>2328</v>
      </c>
      <c r="E463" s="161" t="s">
        <v>1613</v>
      </c>
      <c r="F463" s="162" t="s">
        <v>1614</v>
      </c>
      <c r="G463" s="161"/>
      <c r="H463" s="214">
        <v>1</v>
      </c>
      <c r="I463" s="171">
        <v>200</v>
      </c>
      <c r="J463" s="170">
        <v>200</v>
      </c>
      <c r="K463" s="172">
        <v>200</v>
      </c>
      <c r="L463" s="170">
        <v>200</v>
      </c>
      <c r="M463" s="171">
        <v>200</v>
      </c>
      <c r="N463" s="170"/>
      <c r="O463" s="177" t="s">
        <v>1523</v>
      </c>
      <c r="P463" s="162" t="s">
        <v>1604</v>
      </c>
      <c r="Q463" s="176"/>
      <c r="R463" s="174"/>
      <c r="S463" s="179"/>
      <c r="T463" s="162" t="s">
        <v>28</v>
      </c>
      <c r="U463" s="161" t="s">
        <v>1615</v>
      </c>
      <c r="V463" s="174">
        <v>2178</v>
      </c>
      <c r="W463" s="180" t="s">
        <v>2329</v>
      </c>
      <c r="X463" s="185">
        <v>45017</v>
      </c>
      <c r="Y463" s="187">
        <v>44944.581192129626</v>
      </c>
    </row>
    <row r="464" spans="1:25">
      <c r="A464" s="167" t="s">
        <v>110</v>
      </c>
      <c r="B464" s="162" t="s">
        <v>1555</v>
      </c>
      <c r="C464" s="163" t="s">
        <v>2330</v>
      </c>
      <c r="D464" s="162" t="s">
        <v>2206</v>
      </c>
      <c r="E464" s="161" t="s">
        <v>1700</v>
      </c>
      <c r="F464" s="164" t="s">
        <v>1658</v>
      </c>
      <c r="G464" s="161" t="s">
        <v>2331</v>
      </c>
      <c r="H464" s="215">
        <v>1</v>
      </c>
      <c r="I464" s="171">
        <v>1.9</v>
      </c>
      <c r="J464" s="173">
        <v>1.9</v>
      </c>
      <c r="K464" s="172">
        <v>1.9</v>
      </c>
      <c r="L464" s="173">
        <v>1.9</v>
      </c>
      <c r="M464" s="171">
        <v>1.9</v>
      </c>
      <c r="N464" s="170">
        <v>0</v>
      </c>
      <c r="O464" s="177" t="s">
        <v>76</v>
      </c>
      <c r="P464" s="162" t="s">
        <v>1591</v>
      </c>
      <c r="Q464" s="176"/>
      <c r="R464" s="175"/>
      <c r="S464" s="179"/>
      <c r="T464" s="164" t="s">
        <v>24</v>
      </c>
      <c r="U464" s="161" t="s">
        <v>17</v>
      </c>
      <c r="V464" s="175">
        <v>1079</v>
      </c>
      <c r="W464" s="181"/>
      <c r="X464" s="186">
        <v>44805</v>
      </c>
      <c r="Y464" s="187">
        <v>45021.7425</v>
      </c>
    </row>
    <row r="465" spans="1:25">
      <c r="A465" s="167" t="s">
        <v>45</v>
      </c>
      <c r="B465" s="162" t="s">
        <v>1555</v>
      </c>
      <c r="C465" s="163" t="s">
        <v>2332</v>
      </c>
      <c r="D465" s="162" t="s">
        <v>2333</v>
      </c>
      <c r="E465" s="161" t="s">
        <v>1596</v>
      </c>
      <c r="F465" s="162" t="s">
        <v>1639</v>
      </c>
      <c r="G465" s="161"/>
      <c r="H465" s="214">
        <v>12</v>
      </c>
      <c r="I465" s="171"/>
      <c r="J465" s="170">
        <v>1.07</v>
      </c>
      <c r="K465" s="172"/>
      <c r="L465" s="170">
        <v>12.78</v>
      </c>
      <c r="M465" s="171">
        <v>12.78</v>
      </c>
      <c r="N465" s="170"/>
      <c r="O465" s="177" t="s">
        <v>76</v>
      </c>
      <c r="P465" s="162" t="s">
        <v>1591</v>
      </c>
      <c r="Q465" s="176"/>
      <c r="R465" s="174">
        <v>2027</v>
      </c>
      <c r="S465" s="179"/>
      <c r="T465" s="162" t="s">
        <v>24</v>
      </c>
      <c r="U465" s="161" t="s">
        <v>14</v>
      </c>
      <c r="V465" s="174">
        <v>1360</v>
      </c>
      <c r="W465" s="180"/>
      <c r="X465" s="185">
        <v>44621</v>
      </c>
      <c r="Y465" s="187">
        <v>44981.396261574075</v>
      </c>
    </row>
    <row r="466" spans="1:25">
      <c r="A466" s="167" t="s">
        <v>105</v>
      </c>
      <c r="B466" s="162" t="s">
        <v>1555</v>
      </c>
      <c r="C466" s="163" t="s">
        <v>2334</v>
      </c>
      <c r="D466" s="162" t="s">
        <v>2335</v>
      </c>
      <c r="E466" s="161" t="s">
        <v>1596</v>
      </c>
      <c r="F466" s="162" t="s">
        <v>1627</v>
      </c>
      <c r="G466" s="161"/>
      <c r="H466" s="215">
        <v>2</v>
      </c>
      <c r="I466" s="171"/>
      <c r="J466" s="173">
        <v>1.69</v>
      </c>
      <c r="K466" s="172"/>
      <c r="L466" s="173">
        <v>3.38</v>
      </c>
      <c r="M466" s="171">
        <v>3.38</v>
      </c>
      <c r="N466" s="170"/>
      <c r="O466" s="177" t="s">
        <v>76</v>
      </c>
      <c r="P466" s="162" t="s">
        <v>1591</v>
      </c>
      <c r="Q466" s="176"/>
      <c r="R466" s="174">
        <v>2100</v>
      </c>
      <c r="S466" s="179"/>
      <c r="T466" s="162" t="s">
        <v>24</v>
      </c>
      <c r="U466" s="161" t="s">
        <v>18</v>
      </c>
      <c r="V466" s="174">
        <v>1315</v>
      </c>
      <c r="W466" s="180"/>
      <c r="X466" s="185">
        <v>44621</v>
      </c>
      <c r="Y466" s="187">
        <v>45029.633101851854</v>
      </c>
    </row>
    <row r="467" spans="1:25">
      <c r="A467" s="167" t="s">
        <v>105</v>
      </c>
      <c r="B467" s="162" t="s">
        <v>1555</v>
      </c>
      <c r="C467" s="163" t="s">
        <v>2336</v>
      </c>
      <c r="D467" s="162" t="s">
        <v>295</v>
      </c>
      <c r="E467" s="161" t="s">
        <v>1596</v>
      </c>
      <c r="F467" s="162" t="s">
        <v>1627</v>
      </c>
      <c r="G467" s="161"/>
      <c r="H467" s="214">
        <v>1</v>
      </c>
      <c r="I467" s="171"/>
      <c r="J467" s="170">
        <v>1.06</v>
      </c>
      <c r="K467" s="172"/>
      <c r="L467" s="170">
        <v>1.06</v>
      </c>
      <c r="M467" s="171">
        <v>1.06</v>
      </c>
      <c r="N467" s="170"/>
      <c r="O467" s="177" t="s">
        <v>76</v>
      </c>
      <c r="P467" s="162" t="s">
        <v>1591</v>
      </c>
      <c r="Q467" s="176"/>
      <c r="R467" s="174">
        <v>2042</v>
      </c>
      <c r="S467" s="179"/>
      <c r="T467" s="162" t="s">
        <v>24</v>
      </c>
      <c r="U467" s="161" t="s">
        <v>18</v>
      </c>
      <c r="V467" s="174">
        <v>2162</v>
      </c>
      <c r="W467" s="180"/>
      <c r="X467" s="185" t="s">
        <v>259</v>
      </c>
      <c r="Y467" s="187">
        <v>44981.422199074077</v>
      </c>
    </row>
    <row r="468" spans="1:25">
      <c r="A468" s="167" t="s">
        <v>105</v>
      </c>
      <c r="B468" s="162" t="s">
        <v>1555</v>
      </c>
      <c r="C468" s="163" t="s">
        <v>2336</v>
      </c>
      <c r="D468" s="162" t="s">
        <v>295</v>
      </c>
      <c r="E468" s="161" t="s">
        <v>1596</v>
      </c>
      <c r="F468" s="162" t="s">
        <v>1627</v>
      </c>
      <c r="G468" s="161"/>
      <c r="H468" s="215">
        <v>1</v>
      </c>
      <c r="I468" s="171"/>
      <c r="J468" s="173">
        <v>0.6</v>
      </c>
      <c r="K468" s="172"/>
      <c r="L468" s="173">
        <v>0.6</v>
      </c>
      <c r="M468" s="171">
        <v>0.6</v>
      </c>
      <c r="N468" s="170"/>
      <c r="O468" s="177" t="s">
        <v>76</v>
      </c>
      <c r="P468" s="162" t="s">
        <v>1591</v>
      </c>
      <c r="Q468" s="176"/>
      <c r="R468" s="174">
        <v>2042</v>
      </c>
      <c r="S468" s="179"/>
      <c r="T468" s="162" t="s">
        <v>24</v>
      </c>
      <c r="U468" s="161" t="s">
        <v>18</v>
      </c>
      <c r="V468" s="174">
        <v>2162</v>
      </c>
      <c r="W468" s="180"/>
      <c r="X468" s="185" t="s">
        <v>259</v>
      </c>
      <c r="Y468" s="187">
        <v>44981.422199074077</v>
      </c>
    </row>
    <row r="469" spans="1:25">
      <c r="A469" s="167" t="s">
        <v>110</v>
      </c>
      <c r="B469" s="162" t="s">
        <v>1599</v>
      </c>
      <c r="C469" s="163" t="s">
        <v>2337</v>
      </c>
      <c r="D469" s="162" t="s">
        <v>2338</v>
      </c>
      <c r="E469" s="161" t="s">
        <v>1602</v>
      </c>
      <c r="F469" s="162" t="s">
        <v>1603</v>
      </c>
      <c r="G469" s="161"/>
      <c r="H469" s="214">
        <v>1</v>
      </c>
      <c r="I469" s="171">
        <v>400</v>
      </c>
      <c r="J469" s="170">
        <v>400</v>
      </c>
      <c r="K469" s="172">
        <v>400</v>
      </c>
      <c r="L469" s="170">
        <v>400</v>
      </c>
      <c r="M469" s="171">
        <v>400</v>
      </c>
      <c r="N469" s="170">
        <v>0</v>
      </c>
      <c r="O469" s="177" t="s">
        <v>1523</v>
      </c>
      <c r="P469" s="162" t="s">
        <v>1604</v>
      </c>
      <c r="Q469" s="176"/>
      <c r="R469" s="174"/>
      <c r="S469" s="179"/>
      <c r="T469" s="162" t="s">
        <v>28</v>
      </c>
      <c r="U469" s="161" t="s">
        <v>19</v>
      </c>
      <c r="V469" s="174">
        <v>2396</v>
      </c>
      <c r="W469" s="180" t="s">
        <v>2339</v>
      </c>
      <c r="X469" s="185">
        <v>45017</v>
      </c>
      <c r="Y469" s="187">
        <v>44932.31726851852</v>
      </c>
    </row>
    <row r="470" spans="1:25">
      <c r="A470" s="167" t="s">
        <v>110</v>
      </c>
      <c r="B470" s="162" t="s">
        <v>1599</v>
      </c>
      <c r="C470" s="163" t="s">
        <v>247</v>
      </c>
      <c r="D470" s="162" t="s">
        <v>248</v>
      </c>
      <c r="E470" s="161" t="s">
        <v>1631</v>
      </c>
      <c r="F470" s="162" t="s">
        <v>1614</v>
      </c>
      <c r="G470" s="161"/>
      <c r="H470" s="215">
        <v>46</v>
      </c>
      <c r="I470" s="171">
        <v>2.75</v>
      </c>
      <c r="J470" s="173">
        <v>2.75</v>
      </c>
      <c r="K470" s="172">
        <v>126.5</v>
      </c>
      <c r="L470" s="173">
        <v>126.5</v>
      </c>
      <c r="M470" s="171">
        <v>126.5</v>
      </c>
      <c r="N470" s="170"/>
      <c r="O470" s="177" t="s">
        <v>26</v>
      </c>
      <c r="P470" s="162" t="s">
        <v>1620</v>
      </c>
      <c r="Q470" s="176">
        <v>45261</v>
      </c>
      <c r="R470" s="174">
        <v>2054</v>
      </c>
      <c r="S470" s="179"/>
      <c r="T470" s="162" t="s">
        <v>26</v>
      </c>
      <c r="U470" s="161" t="s">
        <v>1615</v>
      </c>
      <c r="V470" s="174">
        <v>1623</v>
      </c>
      <c r="W470" s="180"/>
      <c r="X470" s="185">
        <v>45069</v>
      </c>
      <c r="Y470" s="187">
        <v>45099.330277777779</v>
      </c>
    </row>
    <row r="471" spans="1:25">
      <c r="A471" s="167" t="s">
        <v>110</v>
      </c>
      <c r="B471" s="162" t="s">
        <v>1555</v>
      </c>
      <c r="C471" s="163" t="s">
        <v>2340</v>
      </c>
      <c r="D471" s="162" t="s">
        <v>593</v>
      </c>
      <c r="E471" s="161" t="s">
        <v>1631</v>
      </c>
      <c r="F471" s="162" t="s">
        <v>1614</v>
      </c>
      <c r="G471" s="161" t="s">
        <v>594</v>
      </c>
      <c r="H471" s="214">
        <v>48</v>
      </c>
      <c r="I471" s="171">
        <v>1.88</v>
      </c>
      <c r="J471" s="170">
        <v>2.75</v>
      </c>
      <c r="K471" s="172">
        <v>90</v>
      </c>
      <c r="L471" s="170">
        <v>132</v>
      </c>
      <c r="M471" s="171">
        <v>132</v>
      </c>
      <c r="N471" s="170"/>
      <c r="O471" s="177" t="s">
        <v>76</v>
      </c>
      <c r="P471" s="162" t="s">
        <v>1620</v>
      </c>
      <c r="Q471" s="176">
        <v>44287</v>
      </c>
      <c r="R471" s="174">
        <v>2051</v>
      </c>
      <c r="S471" s="179"/>
      <c r="T471" s="162" t="s">
        <v>24</v>
      </c>
      <c r="U471" s="161" t="s">
        <v>1615</v>
      </c>
      <c r="V471" s="174">
        <v>1541</v>
      </c>
      <c r="W471" s="180"/>
      <c r="X471" s="185">
        <v>45069</v>
      </c>
      <c r="Y471" s="187">
        <v>45021.499907407408</v>
      </c>
    </row>
    <row r="472" spans="1:25">
      <c r="A472" s="167" t="s">
        <v>110</v>
      </c>
      <c r="B472" s="162" t="s">
        <v>1599</v>
      </c>
      <c r="C472" s="163" t="s">
        <v>303</v>
      </c>
      <c r="D472" s="162" t="s">
        <v>249</v>
      </c>
      <c r="E472" s="161" t="s">
        <v>1602</v>
      </c>
      <c r="F472" s="162" t="s">
        <v>1603</v>
      </c>
      <c r="G472" s="161"/>
      <c r="H472" s="215">
        <v>100</v>
      </c>
      <c r="I472" s="171">
        <v>2.9</v>
      </c>
      <c r="J472" s="173">
        <v>2.9</v>
      </c>
      <c r="K472" s="172">
        <v>290</v>
      </c>
      <c r="L472" s="173">
        <v>290</v>
      </c>
      <c r="M472" s="171">
        <v>290</v>
      </c>
      <c r="N472" s="170">
        <v>550</v>
      </c>
      <c r="O472" s="177" t="s">
        <v>27</v>
      </c>
      <c r="P472" s="162" t="s">
        <v>1619</v>
      </c>
      <c r="Q472" s="176">
        <v>45444</v>
      </c>
      <c r="R472" s="174">
        <v>2054</v>
      </c>
      <c r="S472" s="179"/>
      <c r="T472" s="162" t="s">
        <v>27</v>
      </c>
      <c r="U472" s="161" t="s">
        <v>19</v>
      </c>
      <c r="V472" s="174">
        <v>1912</v>
      </c>
      <c r="W472" s="180" t="s">
        <v>2341</v>
      </c>
      <c r="X472" s="185">
        <v>45069</v>
      </c>
      <c r="Y472" s="187">
        <v>45098.474351851852</v>
      </c>
    </row>
    <row r="473" spans="1:25">
      <c r="A473" s="167" t="s">
        <v>91</v>
      </c>
      <c r="B473" s="162" t="s">
        <v>1599</v>
      </c>
      <c r="C473" s="163" t="s">
        <v>2342</v>
      </c>
      <c r="D473" s="162" t="s">
        <v>2343</v>
      </c>
      <c r="E473" s="161" t="s">
        <v>1657</v>
      </c>
      <c r="F473" s="162" t="s">
        <v>1658</v>
      </c>
      <c r="G473" s="161"/>
      <c r="H473" s="214">
        <v>1</v>
      </c>
      <c r="I473" s="171">
        <v>0</v>
      </c>
      <c r="J473" s="170">
        <v>230</v>
      </c>
      <c r="K473" s="172">
        <v>0</v>
      </c>
      <c r="L473" s="170">
        <v>230</v>
      </c>
      <c r="M473" s="171">
        <v>230</v>
      </c>
      <c r="N473" s="170">
        <v>1840</v>
      </c>
      <c r="O473" s="177" t="s">
        <v>1523</v>
      </c>
      <c r="P473" s="162" t="s">
        <v>1619</v>
      </c>
      <c r="Q473" s="176"/>
      <c r="R473" s="174"/>
      <c r="S473" s="179"/>
      <c r="T473" s="162" t="s">
        <v>28</v>
      </c>
      <c r="U473" s="161" t="s">
        <v>17</v>
      </c>
      <c r="V473" s="174">
        <v>1491</v>
      </c>
      <c r="W473" s="180"/>
      <c r="X473" s="185">
        <v>45069</v>
      </c>
      <c r="Y473" s="187">
        <v>45097.417928240742</v>
      </c>
    </row>
    <row r="474" spans="1:25">
      <c r="A474" s="220" t="s">
        <v>110</v>
      </c>
      <c r="B474" s="221" t="s">
        <v>1599</v>
      </c>
      <c r="C474" s="222" t="s">
        <v>3873</v>
      </c>
      <c r="D474" s="221" t="s">
        <v>3874</v>
      </c>
      <c r="E474" s="223" t="s">
        <v>1602</v>
      </c>
      <c r="F474" s="224" t="s">
        <v>20</v>
      </c>
      <c r="G474" s="161"/>
      <c r="H474" s="215">
        <v>1</v>
      </c>
      <c r="I474" s="171"/>
      <c r="J474" s="173">
        <v>300</v>
      </c>
      <c r="K474" s="172"/>
      <c r="L474" s="173">
        <v>300</v>
      </c>
      <c r="M474" s="171">
        <v>300</v>
      </c>
      <c r="N474" s="170">
        <v>0</v>
      </c>
      <c r="O474" s="230" t="s">
        <v>1523</v>
      </c>
      <c r="P474" s="221" t="s">
        <v>1604</v>
      </c>
      <c r="Q474" s="231"/>
      <c r="R474" s="232"/>
      <c r="S474" s="233"/>
      <c r="T474" s="224" t="s">
        <v>28</v>
      </c>
      <c r="U474" s="223" t="s">
        <v>19</v>
      </c>
      <c r="V474" s="232">
        <v>2543</v>
      </c>
      <c r="W474" s="234" t="s">
        <v>3935</v>
      </c>
      <c r="X474" s="235"/>
      <c r="Y474" s="236">
        <v>45111.474502314813</v>
      </c>
    </row>
    <row r="475" spans="1:25">
      <c r="A475" s="167" t="s">
        <v>110</v>
      </c>
      <c r="B475" s="162" t="s">
        <v>1599</v>
      </c>
      <c r="C475" s="163" t="s">
        <v>304</v>
      </c>
      <c r="D475" s="162" t="s">
        <v>305</v>
      </c>
      <c r="E475" s="161" t="s">
        <v>1625</v>
      </c>
      <c r="F475" s="162" t="s">
        <v>1609</v>
      </c>
      <c r="G475" s="161"/>
      <c r="H475" s="214">
        <v>122</v>
      </c>
      <c r="I475" s="171">
        <v>6.2</v>
      </c>
      <c r="J475" s="170">
        <v>6.2</v>
      </c>
      <c r="K475" s="172">
        <v>756.4</v>
      </c>
      <c r="L475" s="170">
        <v>756.4</v>
      </c>
      <c r="M475" s="171">
        <v>756.4</v>
      </c>
      <c r="N475" s="170"/>
      <c r="O475" s="177" t="s">
        <v>26</v>
      </c>
      <c r="P475" s="162" t="s">
        <v>1620</v>
      </c>
      <c r="Q475" s="176">
        <v>45870</v>
      </c>
      <c r="R475" s="174">
        <v>2054</v>
      </c>
      <c r="S475" s="179"/>
      <c r="T475" s="162" t="s">
        <v>26</v>
      </c>
      <c r="U475" s="161" t="s">
        <v>16</v>
      </c>
      <c r="V475" s="174">
        <v>1487</v>
      </c>
      <c r="W475" s="180" t="s">
        <v>2344</v>
      </c>
      <c r="X475" s="185">
        <v>45069</v>
      </c>
      <c r="Y475" s="187">
        <v>45097.414525462962</v>
      </c>
    </row>
    <row r="476" spans="1:25">
      <c r="A476" s="167" t="s">
        <v>110</v>
      </c>
      <c r="B476" s="162" t="s">
        <v>1599</v>
      </c>
      <c r="C476" s="163" t="s">
        <v>2345</v>
      </c>
      <c r="D476" s="162" t="s">
        <v>2346</v>
      </c>
      <c r="E476" s="161" t="s">
        <v>1625</v>
      </c>
      <c r="F476" s="162" t="s">
        <v>1609</v>
      </c>
      <c r="G476" s="161"/>
      <c r="H476" s="215">
        <v>93</v>
      </c>
      <c r="I476" s="171">
        <v>6.2</v>
      </c>
      <c r="J476" s="173">
        <v>6.2</v>
      </c>
      <c r="K476" s="172">
        <v>576.6</v>
      </c>
      <c r="L476" s="173">
        <v>576.6</v>
      </c>
      <c r="M476" s="171">
        <v>576.6</v>
      </c>
      <c r="N476" s="170"/>
      <c r="O476" s="177" t="s">
        <v>1523</v>
      </c>
      <c r="P476" s="162" t="s">
        <v>1620</v>
      </c>
      <c r="Q476" s="176"/>
      <c r="R476" s="174">
        <v>2055</v>
      </c>
      <c r="S476" s="179"/>
      <c r="T476" s="162" t="s">
        <v>28</v>
      </c>
      <c r="U476" s="161" t="s">
        <v>16</v>
      </c>
      <c r="V476" s="174">
        <v>1990</v>
      </c>
      <c r="W476" s="180" t="s">
        <v>2347</v>
      </c>
      <c r="X476" s="185">
        <v>45069</v>
      </c>
      <c r="Y476" s="187">
        <v>45097.566122685188</v>
      </c>
    </row>
    <row r="477" spans="1:25">
      <c r="A477" s="167" t="s">
        <v>45</v>
      </c>
      <c r="B477" s="162" t="s">
        <v>1599</v>
      </c>
      <c r="C477" s="163" t="s">
        <v>2348</v>
      </c>
      <c r="D477" s="162" t="s">
        <v>2349</v>
      </c>
      <c r="E477" s="161" t="s">
        <v>1602</v>
      </c>
      <c r="F477" s="162" t="s">
        <v>1603</v>
      </c>
      <c r="G477" s="161"/>
      <c r="H477" s="214">
        <v>1</v>
      </c>
      <c r="I477" s="171">
        <v>0</v>
      </c>
      <c r="J477" s="170">
        <v>12</v>
      </c>
      <c r="K477" s="172">
        <v>0</v>
      </c>
      <c r="L477" s="170">
        <v>12</v>
      </c>
      <c r="M477" s="171">
        <v>12</v>
      </c>
      <c r="N477" s="170">
        <v>6.66</v>
      </c>
      <c r="O477" s="177" t="s">
        <v>1523</v>
      </c>
      <c r="P477" s="162" t="s">
        <v>1604</v>
      </c>
      <c r="Q477" s="176"/>
      <c r="R477" s="174"/>
      <c r="S477" s="179"/>
      <c r="T477" s="162" t="s">
        <v>28</v>
      </c>
      <c r="U477" s="161" t="s">
        <v>19</v>
      </c>
      <c r="V477" s="174">
        <v>1891</v>
      </c>
      <c r="W477" s="180"/>
      <c r="X477" s="185">
        <v>45017</v>
      </c>
      <c r="Y477" s="187">
        <v>44679.716087962966</v>
      </c>
    </row>
    <row r="478" spans="1:25">
      <c r="A478" s="167" t="s">
        <v>45</v>
      </c>
      <c r="B478" s="162" t="s">
        <v>1599</v>
      </c>
      <c r="C478" s="163" t="s">
        <v>2350</v>
      </c>
      <c r="D478" s="162" t="s">
        <v>2349</v>
      </c>
      <c r="E478" s="161" t="s">
        <v>1589</v>
      </c>
      <c r="F478" s="162" t="s">
        <v>1590</v>
      </c>
      <c r="G478" s="161"/>
      <c r="H478" s="215">
        <v>1</v>
      </c>
      <c r="I478" s="171">
        <v>0</v>
      </c>
      <c r="J478" s="173">
        <v>72</v>
      </c>
      <c r="K478" s="172">
        <v>0</v>
      </c>
      <c r="L478" s="173">
        <v>72</v>
      </c>
      <c r="M478" s="171">
        <v>72</v>
      </c>
      <c r="N478" s="170">
        <v>0</v>
      </c>
      <c r="O478" s="177" t="s">
        <v>1523</v>
      </c>
      <c r="P478" s="162" t="s">
        <v>1604</v>
      </c>
      <c r="Q478" s="176"/>
      <c r="R478" s="174"/>
      <c r="S478" s="179"/>
      <c r="T478" s="162" t="s">
        <v>28</v>
      </c>
      <c r="U478" s="161" t="s">
        <v>14</v>
      </c>
      <c r="V478" s="174">
        <v>1892</v>
      </c>
      <c r="W478" s="180"/>
      <c r="X478" s="185">
        <v>45017</v>
      </c>
      <c r="Y478" s="187">
        <v>44679.715937499997</v>
      </c>
    </row>
    <row r="479" spans="1:25">
      <c r="A479" s="167" t="s">
        <v>45</v>
      </c>
      <c r="B479" s="162" t="s">
        <v>1555</v>
      </c>
      <c r="C479" s="163" t="s">
        <v>494</v>
      </c>
      <c r="D479" s="162" t="s">
        <v>495</v>
      </c>
      <c r="E479" s="161" t="s">
        <v>1631</v>
      </c>
      <c r="F479" s="162" t="s">
        <v>1614</v>
      </c>
      <c r="G479" s="161" t="s">
        <v>496</v>
      </c>
      <c r="H479" s="214">
        <v>31</v>
      </c>
      <c r="I479" s="171"/>
      <c r="J479" s="170">
        <v>2.25</v>
      </c>
      <c r="K479" s="172"/>
      <c r="L479" s="170">
        <v>69.75</v>
      </c>
      <c r="M479" s="171">
        <v>69.75</v>
      </c>
      <c r="N479" s="170"/>
      <c r="O479" s="177" t="s">
        <v>76</v>
      </c>
      <c r="P479" s="162" t="s">
        <v>1620</v>
      </c>
      <c r="Q479" s="176">
        <v>44501</v>
      </c>
      <c r="R479" s="174">
        <v>2050</v>
      </c>
      <c r="S479" s="179"/>
      <c r="T479" s="162" t="s">
        <v>24</v>
      </c>
      <c r="U479" s="161" t="s">
        <v>1615</v>
      </c>
      <c r="V479" s="174">
        <v>1400</v>
      </c>
      <c r="W479" s="180"/>
      <c r="X479" s="185">
        <v>45017</v>
      </c>
      <c r="Y479" s="187">
        <v>45016.647673611114</v>
      </c>
    </row>
    <row r="480" spans="1:25">
      <c r="A480" s="220" t="s">
        <v>110</v>
      </c>
      <c r="B480" s="221" t="s">
        <v>1599</v>
      </c>
      <c r="C480" s="222" t="s">
        <v>3920</v>
      </c>
      <c r="D480" s="221" t="s">
        <v>134</v>
      </c>
      <c r="E480" s="223" t="s">
        <v>1603</v>
      </c>
      <c r="F480" s="224" t="s">
        <v>20</v>
      </c>
      <c r="G480" s="161"/>
      <c r="H480" s="215">
        <v>1</v>
      </c>
      <c r="I480" s="171"/>
      <c r="J480" s="173">
        <v>800</v>
      </c>
      <c r="K480" s="172"/>
      <c r="L480" s="173">
        <v>800</v>
      </c>
      <c r="M480" s="171">
        <v>800</v>
      </c>
      <c r="N480" s="170"/>
      <c r="O480" s="230" t="s">
        <v>1523</v>
      </c>
      <c r="P480" s="221" t="s">
        <v>1604</v>
      </c>
      <c r="Q480" s="231"/>
      <c r="R480" s="232"/>
      <c r="S480" s="233"/>
      <c r="T480" s="224" t="s">
        <v>28</v>
      </c>
      <c r="U480" s="223" t="s">
        <v>20</v>
      </c>
      <c r="V480" s="232">
        <v>2570</v>
      </c>
      <c r="W480" s="234" t="s">
        <v>3961</v>
      </c>
      <c r="X480" s="235"/>
      <c r="Y480" s="236">
        <v>45111.827280092592</v>
      </c>
    </row>
    <row r="481" spans="1:25">
      <c r="A481" s="167" t="s">
        <v>110</v>
      </c>
      <c r="B481" s="162" t="s">
        <v>1599</v>
      </c>
      <c r="C481" s="163" t="s">
        <v>2351</v>
      </c>
      <c r="D481" s="162" t="s">
        <v>142</v>
      </c>
      <c r="E481" s="161" t="s">
        <v>1631</v>
      </c>
      <c r="F481" s="162" t="s">
        <v>1614</v>
      </c>
      <c r="G481" s="161" t="s">
        <v>2352</v>
      </c>
      <c r="H481" s="214">
        <v>83</v>
      </c>
      <c r="I481" s="171">
        <v>0</v>
      </c>
      <c r="J481" s="170">
        <v>4.2</v>
      </c>
      <c r="K481" s="172">
        <v>0.17</v>
      </c>
      <c r="L481" s="170">
        <v>348.6</v>
      </c>
      <c r="M481" s="171" t="s">
        <v>2353</v>
      </c>
      <c r="N481" s="170"/>
      <c r="O481" s="177" t="s">
        <v>1523</v>
      </c>
      <c r="P481" s="162" t="s">
        <v>1620</v>
      </c>
      <c r="Q481" s="176"/>
      <c r="R481" s="174">
        <v>2051</v>
      </c>
      <c r="S481" s="179"/>
      <c r="T481" s="162" t="s">
        <v>28</v>
      </c>
      <c r="U481" s="161" t="s">
        <v>1615</v>
      </c>
      <c r="V481" s="174">
        <v>1889</v>
      </c>
      <c r="W481" s="180"/>
      <c r="X481" s="185">
        <v>45069</v>
      </c>
      <c r="Y481" s="187">
        <v>45098.337326388886</v>
      </c>
    </row>
    <row r="482" spans="1:25">
      <c r="A482" s="167" t="s">
        <v>105</v>
      </c>
      <c r="B482" s="162" t="s">
        <v>1555</v>
      </c>
      <c r="C482" s="163" t="s">
        <v>2354</v>
      </c>
      <c r="D482" s="162" t="s">
        <v>1735</v>
      </c>
      <c r="E482" s="161" t="s">
        <v>1700</v>
      </c>
      <c r="F482" s="162" t="s">
        <v>1658</v>
      </c>
      <c r="G482" s="161" t="s">
        <v>2355</v>
      </c>
      <c r="H482" s="215">
        <v>3</v>
      </c>
      <c r="I482" s="171">
        <v>144</v>
      </c>
      <c r="J482" s="173">
        <v>144</v>
      </c>
      <c r="K482" s="172">
        <v>432</v>
      </c>
      <c r="L482" s="173">
        <v>432</v>
      </c>
      <c r="M482" s="171">
        <v>432</v>
      </c>
      <c r="N482" s="170"/>
      <c r="O482" s="177" t="s">
        <v>76</v>
      </c>
      <c r="P482" s="162" t="s">
        <v>1619</v>
      </c>
      <c r="Q482" s="176"/>
      <c r="R482" s="174">
        <v>2100</v>
      </c>
      <c r="S482" s="179"/>
      <c r="T482" s="162" t="s">
        <v>24</v>
      </c>
      <c r="U482" s="161" t="s">
        <v>17</v>
      </c>
      <c r="V482" s="174">
        <v>1081</v>
      </c>
      <c r="W482" s="180"/>
      <c r="X482" s="185">
        <v>45017</v>
      </c>
      <c r="Y482" s="187">
        <v>45086.83079861111</v>
      </c>
    </row>
    <row r="483" spans="1:25">
      <c r="A483" s="167" t="s">
        <v>45</v>
      </c>
      <c r="B483" s="162" t="s">
        <v>1555</v>
      </c>
      <c r="C483" s="163" t="s">
        <v>2356</v>
      </c>
      <c r="D483" s="162" t="s">
        <v>2357</v>
      </c>
      <c r="E483" s="161" t="s">
        <v>1596</v>
      </c>
      <c r="F483" s="162" t="s">
        <v>1885</v>
      </c>
      <c r="G483" s="161"/>
      <c r="H483" s="214">
        <v>2</v>
      </c>
      <c r="I483" s="171"/>
      <c r="J483" s="170">
        <v>0.8</v>
      </c>
      <c r="K483" s="172"/>
      <c r="L483" s="170">
        <v>1.6</v>
      </c>
      <c r="M483" s="171">
        <v>1.6</v>
      </c>
      <c r="N483" s="170"/>
      <c r="O483" s="177" t="s">
        <v>76</v>
      </c>
      <c r="P483" s="162" t="s">
        <v>1591</v>
      </c>
      <c r="Q483" s="176"/>
      <c r="R483" s="174">
        <v>2038</v>
      </c>
      <c r="S483" s="179"/>
      <c r="T483" s="162" t="s">
        <v>24</v>
      </c>
      <c r="U483" s="161" t="s">
        <v>18</v>
      </c>
      <c r="V483" s="174">
        <v>1658</v>
      </c>
      <c r="W483" s="180"/>
      <c r="X483" s="185">
        <v>44805</v>
      </c>
      <c r="Y483" s="187">
        <v>44981.392210648148</v>
      </c>
    </row>
    <row r="484" spans="1:25">
      <c r="A484" s="167" t="s">
        <v>45</v>
      </c>
      <c r="B484" s="162" t="s">
        <v>1599</v>
      </c>
      <c r="C484" s="163" t="s">
        <v>2358</v>
      </c>
      <c r="D484" s="162" t="s">
        <v>2082</v>
      </c>
      <c r="E484" s="161" t="s">
        <v>1602</v>
      </c>
      <c r="F484" s="162" t="s">
        <v>1603</v>
      </c>
      <c r="G484" s="161"/>
      <c r="H484" s="215">
        <v>1</v>
      </c>
      <c r="I484" s="171">
        <v>450</v>
      </c>
      <c r="J484" s="173">
        <v>450</v>
      </c>
      <c r="K484" s="172">
        <v>450</v>
      </c>
      <c r="L484" s="173">
        <v>450</v>
      </c>
      <c r="M484" s="171">
        <v>450</v>
      </c>
      <c r="N484" s="170">
        <v>0</v>
      </c>
      <c r="O484" s="177" t="s">
        <v>1523</v>
      </c>
      <c r="P484" s="162" t="s">
        <v>1604</v>
      </c>
      <c r="Q484" s="176"/>
      <c r="R484" s="174"/>
      <c r="S484" s="179"/>
      <c r="T484" s="162" t="s">
        <v>28</v>
      </c>
      <c r="U484" s="161" t="s">
        <v>19</v>
      </c>
      <c r="V484" s="174">
        <v>2191</v>
      </c>
      <c r="W484" s="180" t="s">
        <v>2359</v>
      </c>
      <c r="X484" s="185">
        <v>45017</v>
      </c>
      <c r="Y484" s="187">
        <v>44986.403356481482</v>
      </c>
    </row>
    <row r="485" spans="1:25">
      <c r="A485" s="167" t="s">
        <v>45</v>
      </c>
      <c r="B485" s="162" t="s">
        <v>1599</v>
      </c>
      <c r="C485" s="163" t="s">
        <v>2360</v>
      </c>
      <c r="D485" s="162" t="s">
        <v>2082</v>
      </c>
      <c r="E485" s="161" t="s">
        <v>1613</v>
      </c>
      <c r="F485" s="162" t="s">
        <v>1614</v>
      </c>
      <c r="G485" s="161"/>
      <c r="H485" s="214">
        <v>1</v>
      </c>
      <c r="I485" s="171">
        <v>500</v>
      </c>
      <c r="J485" s="170">
        <v>500</v>
      </c>
      <c r="K485" s="172">
        <v>500</v>
      </c>
      <c r="L485" s="170">
        <v>500</v>
      </c>
      <c r="M485" s="171">
        <v>500</v>
      </c>
      <c r="N485" s="170"/>
      <c r="O485" s="177" t="s">
        <v>1523</v>
      </c>
      <c r="P485" s="162" t="s">
        <v>1604</v>
      </c>
      <c r="Q485" s="176"/>
      <c r="R485" s="174"/>
      <c r="S485" s="179"/>
      <c r="T485" s="162" t="s">
        <v>28</v>
      </c>
      <c r="U485" s="161" t="s">
        <v>1615</v>
      </c>
      <c r="V485" s="174">
        <v>2190</v>
      </c>
      <c r="W485" s="180" t="s">
        <v>2361</v>
      </c>
      <c r="X485" s="185">
        <v>45017</v>
      </c>
      <c r="Y485" s="187">
        <v>44986.403090277781</v>
      </c>
    </row>
    <row r="486" spans="1:25">
      <c r="A486" s="167" t="s">
        <v>91</v>
      </c>
      <c r="B486" s="162" t="s">
        <v>1599</v>
      </c>
      <c r="C486" s="163" t="s">
        <v>2362</v>
      </c>
      <c r="D486" s="162" t="s">
        <v>93</v>
      </c>
      <c r="E486" s="161" t="s">
        <v>1602</v>
      </c>
      <c r="F486" s="162" t="s">
        <v>1603</v>
      </c>
      <c r="G486" s="161"/>
      <c r="H486" s="215">
        <v>1</v>
      </c>
      <c r="I486" s="171">
        <v>0</v>
      </c>
      <c r="J486" s="173">
        <v>200</v>
      </c>
      <c r="K486" s="172">
        <v>0</v>
      </c>
      <c r="L486" s="173">
        <v>200</v>
      </c>
      <c r="M486" s="171">
        <v>200</v>
      </c>
      <c r="N486" s="170">
        <v>0</v>
      </c>
      <c r="O486" s="177" t="s">
        <v>1523</v>
      </c>
      <c r="P486" s="162" t="s">
        <v>1619</v>
      </c>
      <c r="Q486" s="176"/>
      <c r="R486" s="174"/>
      <c r="S486" s="179"/>
      <c r="T486" s="162" t="s">
        <v>28</v>
      </c>
      <c r="U486" s="161" t="s">
        <v>19</v>
      </c>
      <c r="V486" s="174">
        <v>1962</v>
      </c>
      <c r="W486" s="180" t="s">
        <v>2363</v>
      </c>
      <c r="X486" s="185">
        <v>45069</v>
      </c>
      <c r="Y486" s="187">
        <v>45097.53696759259</v>
      </c>
    </row>
    <row r="487" spans="1:25">
      <c r="A487" s="167" t="s">
        <v>91</v>
      </c>
      <c r="B487" s="162" t="s">
        <v>1599</v>
      </c>
      <c r="C487" s="163" t="s">
        <v>285</v>
      </c>
      <c r="D487" s="162" t="s">
        <v>142</v>
      </c>
      <c r="E487" s="161" t="s">
        <v>1625</v>
      </c>
      <c r="F487" s="162" t="s">
        <v>1609</v>
      </c>
      <c r="G487" s="161" t="s">
        <v>286</v>
      </c>
      <c r="H487" s="214">
        <v>38</v>
      </c>
      <c r="I487" s="171">
        <v>0</v>
      </c>
      <c r="J487" s="170">
        <v>5.5</v>
      </c>
      <c r="K487" s="172">
        <v>0</v>
      </c>
      <c r="L487" s="170">
        <v>209</v>
      </c>
      <c r="M487" s="171">
        <v>209</v>
      </c>
      <c r="N487" s="170"/>
      <c r="O487" s="177" t="s">
        <v>26</v>
      </c>
      <c r="P487" s="162" t="s">
        <v>1620</v>
      </c>
      <c r="Q487" s="176">
        <v>45108</v>
      </c>
      <c r="R487" s="174">
        <v>2048</v>
      </c>
      <c r="S487" s="179"/>
      <c r="T487" s="162" t="s">
        <v>26</v>
      </c>
      <c r="U487" s="161" t="s">
        <v>16</v>
      </c>
      <c r="V487" s="174">
        <v>1964</v>
      </c>
      <c r="W487" s="180" t="s">
        <v>2363</v>
      </c>
      <c r="X487" s="185">
        <v>45069</v>
      </c>
      <c r="Y487" s="187">
        <v>45097.539629629631</v>
      </c>
    </row>
    <row r="488" spans="1:25">
      <c r="A488" s="167" t="s">
        <v>91</v>
      </c>
      <c r="B488" s="162" t="s">
        <v>1599</v>
      </c>
      <c r="C488" s="163" t="s">
        <v>287</v>
      </c>
      <c r="D488" s="162" t="s">
        <v>142</v>
      </c>
      <c r="E488" s="161" t="s">
        <v>1625</v>
      </c>
      <c r="F488" s="162" t="s">
        <v>1609</v>
      </c>
      <c r="G488" s="161" t="s">
        <v>288</v>
      </c>
      <c r="H488" s="215">
        <v>37</v>
      </c>
      <c r="I488" s="171">
        <v>0</v>
      </c>
      <c r="J488" s="173">
        <v>5.5</v>
      </c>
      <c r="K488" s="172">
        <v>0</v>
      </c>
      <c r="L488" s="173">
        <v>203.5</v>
      </c>
      <c r="M488" s="171">
        <v>203.5</v>
      </c>
      <c r="N488" s="170"/>
      <c r="O488" s="177" t="s">
        <v>26</v>
      </c>
      <c r="P488" s="162" t="s">
        <v>1620</v>
      </c>
      <c r="Q488" s="176">
        <v>45474</v>
      </c>
      <c r="R488" s="174">
        <v>2049</v>
      </c>
      <c r="S488" s="179"/>
      <c r="T488" s="162" t="s">
        <v>26</v>
      </c>
      <c r="U488" s="161" t="s">
        <v>16</v>
      </c>
      <c r="V488" s="174">
        <v>2404</v>
      </c>
      <c r="W488" s="180" t="s">
        <v>2363</v>
      </c>
      <c r="X488" s="185">
        <v>45069</v>
      </c>
      <c r="Y488" s="187">
        <v>45099.517337962963</v>
      </c>
    </row>
    <row r="489" spans="1:25">
      <c r="A489" s="167" t="s">
        <v>45</v>
      </c>
      <c r="B489" s="162" t="s">
        <v>1555</v>
      </c>
      <c r="C489" s="163" t="s">
        <v>2364</v>
      </c>
      <c r="D489" s="162" t="s">
        <v>601</v>
      </c>
      <c r="E489" s="161" t="s">
        <v>1596</v>
      </c>
      <c r="F489" s="162" t="s">
        <v>1627</v>
      </c>
      <c r="G489" s="161" t="s">
        <v>2365</v>
      </c>
      <c r="H489" s="214">
        <v>1</v>
      </c>
      <c r="I489" s="171">
        <v>1.26</v>
      </c>
      <c r="J489" s="170">
        <v>1.26</v>
      </c>
      <c r="K489" s="172">
        <v>1.26</v>
      </c>
      <c r="L489" s="170">
        <v>1.26</v>
      </c>
      <c r="M489" s="171">
        <v>1.26</v>
      </c>
      <c r="N489" s="170"/>
      <c r="O489" s="177" t="s">
        <v>76</v>
      </c>
      <c r="P489" s="162" t="s">
        <v>1591</v>
      </c>
      <c r="Q489" s="176"/>
      <c r="R489" s="174">
        <v>2025</v>
      </c>
      <c r="S489" s="179"/>
      <c r="T489" s="162" t="s">
        <v>24</v>
      </c>
      <c r="U489" s="161" t="s">
        <v>18</v>
      </c>
      <c r="V489" s="174">
        <v>1329</v>
      </c>
      <c r="W489" s="180"/>
      <c r="X489" s="185">
        <v>44621</v>
      </c>
      <c r="Y489" s="187">
        <v>44981.410740740743</v>
      </c>
    </row>
    <row r="490" spans="1:25">
      <c r="A490" s="167" t="s">
        <v>45</v>
      </c>
      <c r="B490" s="162" t="s">
        <v>1599</v>
      </c>
      <c r="C490" s="163" t="s">
        <v>2366</v>
      </c>
      <c r="D490" s="162" t="s">
        <v>2367</v>
      </c>
      <c r="E490" s="161" t="s">
        <v>1625</v>
      </c>
      <c r="F490" s="162" t="s">
        <v>1609</v>
      </c>
      <c r="G490" s="161"/>
      <c r="H490" s="215">
        <v>121</v>
      </c>
      <c r="I490" s="171">
        <v>1</v>
      </c>
      <c r="J490" s="173">
        <v>1</v>
      </c>
      <c r="K490" s="172">
        <v>121</v>
      </c>
      <c r="L490" s="173">
        <v>121</v>
      </c>
      <c r="M490" s="171">
        <v>121</v>
      </c>
      <c r="N490" s="170"/>
      <c r="O490" s="177" t="s">
        <v>1523</v>
      </c>
      <c r="P490" s="162" t="s">
        <v>1620</v>
      </c>
      <c r="Q490" s="176"/>
      <c r="R490" s="174"/>
      <c r="S490" s="179"/>
      <c r="T490" s="162" t="s">
        <v>28</v>
      </c>
      <c r="U490" s="161" t="s">
        <v>16</v>
      </c>
      <c r="V490" s="174">
        <v>1624</v>
      </c>
      <c r="W490" s="180"/>
      <c r="X490" s="185">
        <v>45017</v>
      </c>
      <c r="Y490" s="187">
        <v>43283.092430555553</v>
      </c>
    </row>
    <row r="491" spans="1:25">
      <c r="A491" s="167" t="s">
        <v>105</v>
      </c>
      <c r="B491" s="162" t="s">
        <v>1555</v>
      </c>
      <c r="C491" s="163" t="s">
        <v>1137</v>
      </c>
      <c r="D491" s="162" t="s">
        <v>2368</v>
      </c>
      <c r="E491" s="161" t="s">
        <v>1625</v>
      </c>
      <c r="F491" s="162" t="s">
        <v>1609</v>
      </c>
      <c r="G491" s="161" t="s">
        <v>2369</v>
      </c>
      <c r="H491" s="214">
        <v>31</v>
      </c>
      <c r="I491" s="171">
        <v>3.6</v>
      </c>
      <c r="J491" s="170">
        <v>3.6</v>
      </c>
      <c r="K491" s="172">
        <v>111.6</v>
      </c>
      <c r="L491" s="170">
        <v>111.6</v>
      </c>
      <c r="M491" s="171">
        <v>111.6</v>
      </c>
      <c r="N491" s="170"/>
      <c r="O491" s="177" t="s">
        <v>76</v>
      </c>
      <c r="P491" s="162" t="s">
        <v>1620</v>
      </c>
      <c r="Q491" s="176">
        <v>44166</v>
      </c>
      <c r="R491" s="174">
        <v>2055</v>
      </c>
      <c r="S491" s="179"/>
      <c r="T491" s="162" t="s">
        <v>24</v>
      </c>
      <c r="U491" s="161" t="s">
        <v>16</v>
      </c>
      <c r="V491" s="174">
        <v>1322</v>
      </c>
      <c r="W491" s="180"/>
      <c r="X491" s="185">
        <v>45017</v>
      </c>
      <c r="Y491" s="187">
        <v>45016.481458333335</v>
      </c>
    </row>
    <row r="492" spans="1:25">
      <c r="A492" s="167" t="s">
        <v>110</v>
      </c>
      <c r="B492" s="162" t="s">
        <v>1599</v>
      </c>
      <c r="C492" s="163" t="s">
        <v>2370</v>
      </c>
      <c r="D492" s="162" t="s">
        <v>2371</v>
      </c>
      <c r="E492" s="161" t="s">
        <v>1608</v>
      </c>
      <c r="F492" s="162" t="s">
        <v>1609</v>
      </c>
      <c r="G492" s="161"/>
      <c r="H492" s="215">
        <v>1</v>
      </c>
      <c r="I492" s="171">
        <v>2508</v>
      </c>
      <c r="J492" s="173">
        <v>2508</v>
      </c>
      <c r="K492" s="172">
        <v>2508</v>
      </c>
      <c r="L492" s="173">
        <v>2508</v>
      </c>
      <c r="M492" s="171">
        <v>2508</v>
      </c>
      <c r="N492" s="170"/>
      <c r="O492" s="177" t="s">
        <v>1523</v>
      </c>
      <c r="P492" s="162" t="s">
        <v>1604</v>
      </c>
      <c r="Q492" s="176"/>
      <c r="R492" s="174"/>
      <c r="S492" s="179"/>
      <c r="T492" s="162" t="s">
        <v>28</v>
      </c>
      <c r="U492" s="161" t="s">
        <v>16</v>
      </c>
      <c r="V492" s="174">
        <v>2403</v>
      </c>
      <c r="W492" s="180" t="s">
        <v>2372</v>
      </c>
      <c r="X492" s="185">
        <v>45017</v>
      </c>
      <c r="Y492" s="187">
        <v>44932.354409722226</v>
      </c>
    </row>
    <row r="493" spans="1:25">
      <c r="A493" s="167" t="s">
        <v>45</v>
      </c>
      <c r="B493" s="162" t="s">
        <v>1599</v>
      </c>
      <c r="C493" s="163" t="s">
        <v>2373</v>
      </c>
      <c r="D493" s="162" t="s">
        <v>2374</v>
      </c>
      <c r="E493" s="161" t="s">
        <v>1602</v>
      </c>
      <c r="F493" s="162" t="s">
        <v>1603</v>
      </c>
      <c r="G493" s="161"/>
      <c r="H493" s="214">
        <v>1</v>
      </c>
      <c r="I493" s="171"/>
      <c r="J493" s="170">
        <v>500</v>
      </c>
      <c r="K493" s="172"/>
      <c r="L493" s="170">
        <v>500</v>
      </c>
      <c r="M493" s="171">
        <v>500</v>
      </c>
      <c r="N493" s="170">
        <v>1000</v>
      </c>
      <c r="O493" s="177" t="s">
        <v>1523</v>
      </c>
      <c r="P493" s="162" t="s">
        <v>1619</v>
      </c>
      <c r="Q493" s="176">
        <v>45078</v>
      </c>
      <c r="R493" s="174"/>
      <c r="S493" s="179"/>
      <c r="T493" s="162" t="s">
        <v>28</v>
      </c>
      <c r="U493" s="161" t="s">
        <v>19</v>
      </c>
      <c r="V493" s="174">
        <v>1869</v>
      </c>
      <c r="W493" s="180" t="s">
        <v>2375</v>
      </c>
      <c r="X493" s="185">
        <v>45017</v>
      </c>
      <c r="Y493" s="187">
        <v>45022.671666666669</v>
      </c>
    </row>
    <row r="494" spans="1:25">
      <c r="A494" s="167" t="s">
        <v>110</v>
      </c>
      <c r="B494" s="162" t="s">
        <v>1599</v>
      </c>
      <c r="C494" s="163" t="s">
        <v>2376</v>
      </c>
      <c r="D494" s="162" t="s">
        <v>2377</v>
      </c>
      <c r="E494" s="161" t="s">
        <v>1608</v>
      </c>
      <c r="F494" s="162" t="s">
        <v>1609</v>
      </c>
      <c r="G494" s="161"/>
      <c r="H494" s="215">
        <v>139</v>
      </c>
      <c r="I494" s="171">
        <v>15</v>
      </c>
      <c r="J494" s="173">
        <v>15</v>
      </c>
      <c r="K494" s="172">
        <v>2085</v>
      </c>
      <c r="L494" s="173">
        <v>2085</v>
      </c>
      <c r="M494" s="171">
        <v>2085</v>
      </c>
      <c r="N494" s="170"/>
      <c r="O494" s="177" t="s">
        <v>1523</v>
      </c>
      <c r="P494" s="162" t="s">
        <v>1620</v>
      </c>
      <c r="Q494" s="176">
        <v>47270</v>
      </c>
      <c r="R494" s="174"/>
      <c r="S494" s="179"/>
      <c r="T494" s="162" t="s">
        <v>28</v>
      </c>
      <c r="U494" s="161" t="s">
        <v>16</v>
      </c>
      <c r="V494" s="174">
        <v>2027</v>
      </c>
      <c r="W494" s="180" t="s">
        <v>2378</v>
      </c>
      <c r="X494" s="185">
        <v>45017</v>
      </c>
      <c r="Y494" s="187">
        <v>45027.706446759257</v>
      </c>
    </row>
    <row r="495" spans="1:25">
      <c r="A495" s="167" t="s">
        <v>110</v>
      </c>
      <c r="B495" s="162" t="s">
        <v>1599</v>
      </c>
      <c r="C495" s="163" t="s">
        <v>2379</v>
      </c>
      <c r="D495" s="162" t="s">
        <v>2380</v>
      </c>
      <c r="E495" s="161" t="s">
        <v>1608</v>
      </c>
      <c r="F495" s="162" t="s">
        <v>1609</v>
      </c>
      <c r="G495" s="161"/>
      <c r="H495" s="214">
        <v>1</v>
      </c>
      <c r="I495" s="171">
        <v>1500</v>
      </c>
      <c r="J495" s="170">
        <v>1500</v>
      </c>
      <c r="K495" s="172">
        <v>1500</v>
      </c>
      <c r="L495" s="170">
        <v>1500</v>
      </c>
      <c r="M495" s="171">
        <v>1500</v>
      </c>
      <c r="N495" s="170"/>
      <c r="O495" s="177" t="s">
        <v>1523</v>
      </c>
      <c r="P495" s="162" t="s">
        <v>1604</v>
      </c>
      <c r="Q495" s="176"/>
      <c r="R495" s="174"/>
      <c r="S495" s="179"/>
      <c r="T495" s="162" t="s">
        <v>28</v>
      </c>
      <c r="U495" s="161" t="s">
        <v>16</v>
      </c>
      <c r="V495" s="174">
        <v>2337</v>
      </c>
      <c r="W495" s="180" t="s">
        <v>2381</v>
      </c>
      <c r="X495" s="185">
        <v>45017</v>
      </c>
      <c r="Y495" s="187">
        <v>44944.582557870373</v>
      </c>
    </row>
    <row r="496" spans="1:25">
      <c r="A496" s="167" t="s">
        <v>77</v>
      </c>
      <c r="B496" s="162" t="s">
        <v>1599</v>
      </c>
      <c r="C496" s="163" t="s">
        <v>2382</v>
      </c>
      <c r="D496" s="162" t="s">
        <v>344</v>
      </c>
      <c r="E496" s="161" t="s">
        <v>1602</v>
      </c>
      <c r="F496" s="162" t="s">
        <v>1603</v>
      </c>
      <c r="G496" s="161"/>
      <c r="H496" s="215">
        <v>1</v>
      </c>
      <c r="I496" s="171"/>
      <c r="J496" s="173">
        <v>200</v>
      </c>
      <c r="K496" s="172"/>
      <c r="L496" s="173">
        <v>200</v>
      </c>
      <c r="M496" s="171">
        <v>200</v>
      </c>
      <c r="N496" s="170">
        <v>400</v>
      </c>
      <c r="O496" s="177" t="s">
        <v>1523</v>
      </c>
      <c r="P496" s="162" t="s">
        <v>1604</v>
      </c>
      <c r="Q496" s="176">
        <v>45627</v>
      </c>
      <c r="R496" s="174">
        <v>2044</v>
      </c>
      <c r="S496" s="179"/>
      <c r="T496" s="162" t="s">
        <v>28</v>
      </c>
      <c r="U496" s="161" t="s">
        <v>19</v>
      </c>
      <c r="V496" s="174">
        <v>2170</v>
      </c>
      <c r="W496" s="180" t="s">
        <v>2383</v>
      </c>
      <c r="X496" s="185">
        <v>45069</v>
      </c>
      <c r="Y496" s="187">
        <v>45021.362604166665</v>
      </c>
    </row>
    <row r="497" spans="1:25">
      <c r="A497" s="167" t="s">
        <v>45</v>
      </c>
      <c r="B497" s="162" t="s">
        <v>1599</v>
      </c>
      <c r="C497" s="163" t="s">
        <v>2384</v>
      </c>
      <c r="D497" s="162" t="s">
        <v>2385</v>
      </c>
      <c r="E497" s="161" t="s">
        <v>1613</v>
      </c>
      <c r="F497" s="162" t="s">
        <v>1614</v>
      </c>
      <c r="G497" s="161"/>
      <c r="H497" s="214">
        <v>1</v>
      </c>
      <c r="I497" s="171">
        <v>45</v>
      </c>
      <c r="J497" s="170">
        <v>45</v>
      </c>
      <c r="K497" s="172">
        <v>45</v>
      </c>
      <c r="L497" s="170">
        <v>45</v>
      </c>
      <c r="M497" s="171">
        <v>45</v>
      </c>
      <c r="N497" s="170"/>
      <c r="O497" s="177" t="s">
        <v>1523</v>
      </c>
      <c r="P497" s="162" t="s">
        <v>1591</v>
      </c>
      <c r="Q497" s="176"/>
      <c r="R497" s="174"/>
      <c r="S497" s="179"/>
      <c r="T497" s="162" t="s">
        <v>28</v>
      </c>
      <c r="U497" s="161" t="s">
        <v>1615</v>
      </c>
      <c r="V497" s="174">
        <v>1543</v>
      </c>
      <c r="W497" s="180" t="s">
        <v>2386</v>
      </c>
      <c r="X497" s="185">
        <v>45017</v>
      </c>
      <c r="Y497" s="187">
        <v>44938.57435185185</v>
      </c>
    </row>
    <row r="498" spans="1:25">
      <c r="A498" s="167" t="s">
        <v>45</v>
      </c>
      <c r="B498" s="162" t="s">
        <v>1555</v>
      </c>
      <c r="C498" s="163" t="s">
        <v>1139</v>
      </c>
      <c r="D498" s="162" t="s">
        <v>2387</v>
      </c>
      <c r="E498" s="161" t="s">
        <v>1631</v>
      </c>
      <c r="F498" s="162" t="s">
        <v>1614</v>
      </c>
      <c r="G498" s="161" t="s">
        <v>2388</v>
      </c>
      <c r="H498" s="215">
        <v>1</v>
      </c>
      <c r="I498" s="171">
        <v>0</v>
      </c>
      <c r="J498" s="173">
        <v>30</v>
      </c>
      <c r="K498" s="172">
        <v>0</v>
      </c>
      <c r="L498" s="173">
        <v>30</v>
      </c>
      <c r="M498" s="171">
        <v>30</v>
      </c>
      <c r="N498" s="170"/>
      <c r="O498" s="177" t="s">
        <v>76</v>
      </c>
      <c r="P498" s="162" t="s">
        <v>1591</v>
      </c>
      <c r="Q498" s="176"/>
      <c r="R498" s="174">
        <v>2058</v>
      </c>
      <c r="S498" s="179"/>
      <c r="T498" s="162" t="s">
        <v>24</v>
      </c>
      <c r="U498" s="161" t="s">
        <v>1615</v>
      </c>
      <c r="V498" s="174">
        <v>1403</v>
      </c>
      <c r="W498" s="180"/>
      <c r="X498" s="185">
        <v>44621</v>
      </c>
      <c r="Y498" s="187">
        <v>44981.406145833331</v>
      </c>
    </row>
    <row r="499" spans="1:25">
      <c r="A499" s="167" t="s">
        <v>77</v>
      </c>
      <c r="B499" s="162" t="s">
        <v>1555</v>
      </c>
      <c r="C499" s="163" t="s">
        <v>1108</v>
      </c>
      <c r="D499" s="162" t="s">
        <v>2389</v>
      </c>
      <c r="E499" s="161" t="s">
        <v>1596</v>
      </c>
      <c r="F499" s="162" t="s">
        <v>1639</v>
      </c>
      <c r="G499" s="161"/>
      <c r="H499" s="214">
        <v>7</v>
      </c>
      <c r="I499" s="171"/>
      <c r="J499" s="170">
        <v>3</v>
      </c>
      <c r="K499" s="172"/>
      <c r="L499" s="170">
        <v>21</v>
      </c>
      <c r="M499" s="171">
        <v>21</v>
      </c>
      <c r="N499" s="170"/>
      <c r="O499" s="177" t="s">
        <v>76</v>
      </c>
      <c r="P499" s="162" t="s">
        <v>1591</v>
      </c>
      <c r="Q499" s="176"/>
      <c r="R499" s="174">
        <v>2038</v>
      </c>
      <c r="S499" s="179"/>
      <c r="T499" s="162" t="s">
        <v>24</v>
      </c>
      <c r="U499" s="161" t="s">
        <v>14</v>
      </c>
      <c r="V499" s="174">
        <v>1428</v>
      </c>
      <c r="W499" s="180"/>
      <c r="X499" s="185">
        <v>44621</v>
      </c>
      <c r="Y499" s="187">
        <v>44981.409398148149</v>
      </c>
    </row>
    <row r="500" spans="1:25">
      <c r="A500" s="167" t="s">
        <v>77</v>
      </c>
      <c r="B500" s="162" t="s">
        <v>1599</v>
      </c>
      <c r="C500" s="163" t="s">
        <v>2390</v>
      </c>
      <c r="D500" s="162" t="s">
        <v>2389</v>
      </c>
      <c r="E500" s="161" t="s">
        <v>1596</v>
      </c>
      <c r="F500" s="162" t="s">
        <v>1857</v>
      </c>
      <c r="G500" s="161"/>
      <c r="H500" s="215">
        <v>1</v>
      </c>
      <c r="I500" s="171">
        <v>15.21</v>
      </c>
      <c r="J500" s="173">
        <v>15.21</v>
      </c>
      <c r="K500" s="172">
        <v>15.21</v>
      </c>
      <c r="L500" s="173">
        <v>15.21</v>
      </c>
      <c r="M500" s="171">
        <v>15.21</v>
      </c>
      <c r="N500" s="170"/>
      <c r="O500" s="177" t="s">
        <v>1523</v>
      </c>
      <c r="P500" s="162" t="s">
        <v>1591</v>
      </c>
      <c r="Q500" s="176"/>
      <c r="R500" s="174">
        <v>2038</v>
      </c>
      <c r="S500" s="179"/>
      <c r="T500" s="162" t="s">
        <v>28</v>
      </c>
      <c r="U500" s="161" t="s">
        <v>14</v>
      </c>
      <c r="V500" s="174">
        <v>1582</v>
      </c>
      <c r="W500" s="180"/>
      <c r="X500" s="185">
        <v>44621</v>
      </c>
      <c r="Y500" s="187">
        <v>44981.410439814812</v>
      </c>
    </row>
    <row r="501" spans="1:25">
      <c r="A501" s="167" t="s">
        <v>77</v>
      </c>
      <c r="B501" s="162" t="s">
        <v>1599</v>
      </c>
      <c r="C501" s="163" t="s">
        <v>2391</v>
      </c>
      <c r="D501" s="162" t="s">
        <v>837</v>
      </c>
      <c r="E501" s="161" t="s">
        <v>1613</v>
      </c>
      <c r="F501" s="162" t="s">
        <v>1614</v>
      </c>
      <c r="G501" s="161"/>
      <c r="H501" s="214">
        <v>5</v>
      </c>
      <c r="I501" s="171">
        <v>0.03</v>
      </c>
      <c r="J501" s="170">
        <v>0.03</v>
      </c>
      <c r="K501" s="172">
        <v>0.17</v>
      </c>
      <c r="L501" s="170">
        <v>0.17</v>
      </c>
      <c r="M501" s="171">
        <v>0.17</v>
      </c>
      <c r="N501" s="170">
        <v>0</v>
      </c>
      <c r="O501" s="177" t="s">
        <v>317</v>
      </c>
      <c r="P501" s="162" t="s">
        <v>1591</v>
      </c>
      <c r="Q501" s="184">
        <v>43282</v>
      </c>
      <c r="R501" s="174"/>
      <c r="S501" s="179"/>
      <c r="T501" s="162" t="s">
        <v>26</v>
      </c>
      <c r="U501" s="161" t="s">
        <v>1615</v>
      </c>
      <c r="V501" s="174">
        <v>1556</v>
      </c>
      <c r="W501" s="239"/>
      <c r="X501" s="240">
        <v>45069</v>
      </c>
      <c r="Y501" s="188">
        <v>45099.370729166665</v>
      </c>
    </row>
    <row r="502" spans="1:25">
      <c r="A502" s="167" t="s">
        <v>77</v>
      </c>
      <c r="B502" s="162" t="s">
        <v>1599</v>
      </c>
      <c r="C502" s="163" t="s">
        <v>2392</v>
      </c>
      <c r="D502" s="162" t="s">
        <v>837</v>
      </c>
      <c r="E502" s="161" t="s">
        <v>1613</v>
      </c>
      <c r="F502" s="162" t="s">
        <v>1614</v>
      </c>
      <c r="G502" s="161"/>
      <c r="H502" s="215">
        <v>10</v>
      </c>
      <c r="I502" s="171">
        <v>0.03</v>
      </c>
      <c r="J502" s="173">
        <v>0.03</v>
      </c>
      <c r="K502" s="172">
        <v>0.33</v>
      </c>
      <c r="L502" s="173">
        <v>0.33</v>
      </c>
      <c r="M502" s="171">
        <v>0.33</v>
      </c>
      <c r="N502" s="170">
        <v>0</v>
      </c>
      <c r="O502" s="177" t="s">
        <v>317</v>
      </c>
      <c r="P502" s="162" t="s">
        <v>1591</v>
      </c>
      <c r="Q502" s="176">
        <v>43405</v>
      </c>
      <c r="R502" s="174"/>
      <c r="S502" s="179"/>
      <c r="T502" s="162" t="s">
        <v>26</v>
      </c>
      <c r="U502" s="161" t="s">
        <v>1615</v>
      </c>
      <c r="V502" s="174">
        <v>1555</v>
      </c>
      <c r="W502" s="180"/>
      <c r="X502" s="185">
        <v>45069</v>
      </c>
      <c r="Y502" s="187">
        <v>45099.36550925926</v>
      </c>
    </row>
    <row r="503" spans="1:25">
      <c r="A503" s="167" t="s">
        <v>105</v>
      </c>
      <c r="B503" s="162" t="s">
        <v>1599</v>
      </c>
      <c r="C503" s="163" t="s">
        <v>2393</v>
      </c>
      <c r="D503" s="162" t="s">
        <v>1845</v>
      </c>
      <c r="E503" s="161" t="s">
        <v>1625</v>
      </c>
      <c r="F503" s="162" t="s">
        <v>1609</v>
      </c>
      <c r="G503" s="161"/>
      <c r="H503" s="214">
        <v>73</v>
      </c>
      <c r="I503" s="171"/>
      <c r="J503" s="170">
        <v>7.2</v>
      </c>
      <c r="K503" s="172"/>
      <c r="L503" s="170">
        <v>525.6</v>
      </c>
      <c r="M503" s="171">
        <v>525.6</v>
      </c>
      <c r="N503" s="170"/>
      <c r="O503" s="177" t="s">
        <v>1523</v>
      </c>
      <c r="P503" s="162" t="s">
        <v>1604</v>
      </c>
      <c r="Q503" s="176"/>
      <c r="R503" s="174"/>
      <c r="S503" s="179"/>
      <c r="T503" s="162" t="s">
        <v>28</v>
      </c>
      <c r="U503" s="161" t="s">
        <v>16</v>
      </c>
      <c r="V503" s="174">
        <v>2008</v>
      </c>
      <c r="W503" s="180" t="s">
        <v>3972</v>
      </c>
      <c r="X503" s="185">
        <v>45017</v>
      </c>
      <c r="Y503" s="187">
        <v>45099.699861111112</v>
      </c>
    </row>
    <row r="504" spans="1:25">
      <c r="A504" s="167" t="s">
        <v>45</v>
      </c>
      <c r="B504" s="162" t="s">
        <v>1555</v>
      </c>
      <c r="C504" s="163" t="s">
        <v>1097</v>
      </c>
      <c r="D504" s="162" t="s">
        <v>2394</v>
      </c>
      <c r="E504" s="161" t="s">
        <v>1613</v>
      </c>
      <c r="F504" s="162" t="s">
        <v>1614</v>
      </c>
      <c r="G504" s="161" t="s">
        <v>2395</v>
      </c>
      <c r="H504" s="215">
        <v>4</v>
      </c>
      <c r="I504" s="171">
        <v>2.5</v>
      </c>
      <c r="J504" s="173">
        <v>2.5</v>
      </c>
      <c r="K504" s="172">
        <v>10</v>
      </c>
      <c r="L504" s="173">
        <v>10</v>
      </c>
      <c r="M504" s="171">
        <v>10</v>
      </c>
      <c r="N504" s="170"/>
      <c r="O504" s="177" t="s">
        <v>76</v>
      </c>
      <c r="P504" s="162" t="s">
        <v>1620</v>
      </c>
      <c r="Q504" s="176"/>
      <c r="R504" s="174">
        <v>2100</v>
      </c>
      <c r="S504" s="179"/>
      <c r="T504" s="162" t="s">
        <v>24</v>
      </c>
      <c r="U504" s="161" t="s">
        <v>1615</v>
      </c>
      <c r="V504" s="174">
        <v>1432</v>
      </c>
      <c r="W504" s="180"/>
      <c r="X504" s="185">
        <v>45017</v>
      </c>
      <c r="Y504" s="187">
        <v>45020.651458333334</v>
      </c>
    </row>
    <row r="505" spans="1:25">
      <c r="A505" s="167" t="s">
        <v>45</v>
      </c>
      <c r="B505" s="162" t="s">
        <v>1555</v>
      </c>
      <c r="C505" s="163" t="s">
        <v>1285</v>
      </c>
      <c r="D505" s="162" t="s">
        <v>2394</v>
      </c>
      <c r="E505" s="161" t="s">
        <v>1625</v>
      </c>
      <c r="F505" s="162" t="s">
        <v>1609</v>
      </c>
      <c r="G505" s="161" t="s">
        <v>2396</v>
      </c>
      <c r="H505" s="214">
        <v>56</v>
      </c>
      <c r="I505" s="171">
        <v>2.5</v>
      </c>
      <c r="J505" s="170">
        <v>2.5</v>
      </c>
      <c r="K505" s="172">
        <v>140</v>
      </c>
      <c r="L505" s="170">
        <v>140</v>
      </c>
      <c r="M505" s="171">
        <v>140</v>
      </c>
      <c r="N505" s="170"/>
      <c r="O505" s="177" t="s">
        <v>76</v>
      </c>
      <c r="P505" s="162" t="s">
        <v>1620</v>
      </c>
      <c r="Q505" s="184"/>
      <c r="R505" s="174">
        <v>2100</v>
      </c>
      <c r="S505" s="179"/>
      <c r="T505" s="162" t="s">
        <v>24</v>
      </c>
      <c r="U505" s="161" t="s">
        <v>16</v>
      </c>
      <c r="V505" s="174">
        <v>1422</v>
      </c>
      <c r="W505" s="180"/>
      <c r="X505" s="185">
        <v>45017</v>
      </c>
      <c r="Y505" s="187">
        <v>45020.634571759256</v>
      </c>
    </row>
    <row r="506" spans="1:25">
      <c r="A506" s="167" t="s">
        <v>45</v>
      </c>
      <c r="B506" s="162" t="s">
        <v>1555</v>
      </c>
      <c r="C506" s="163" t="s">
        <v>1285</v>
      </c>
      <c r="D506" s="162" t="s">
        <v>2394</v>
      </c>
      <c r="E506" s="161" t="s">
        <v>1625</v>
      </c>
      <c r="F506" s="162" t="s">
        <v>1609</v>
      </c>
      <c r="G506" s="161" t="s">
        <v>2396</v>
      </c>
      <c r="H506" s="215">
        <v>17</v>
      </c>
      <c r="I506" s="171">
        <v>1.5</v>
      </c>
      <c r="J506" s="173">
        <v>1.5</v>
      </c>
      <c r="K506" s="172">
        <v>25.5</v>
      </c>
      <c r="L506" s="173">
        <v>25.5</v>
      </c>
      <c r="M506" s="171">
        <v>25.5</v>
      </c>
      <c r="N506" s="170"/>
      <c r="O506" s="177" t="s">
        <v>76</v>
      </c>
      <c r="P506" s="162" t="s">
        <v>1620</v>
      </c>
      <c r="Q506" s="176"/>
      <c r="R506" s="174">
        <v>2100</v>
      </c>
      <c r="S506" s="179"/>
      <c r="T506" s="162" t="s">
        <v>24</v>
      </c>
      <c r="U506" s="161" t="s">
        <v>16</v>
      </c>
      <c r="V506" s="174">
        <v>1422</v>
      </c>
      <c r="W506" s="180"/>
      <c r="X506" s="185">
        <v>45017</v>
      </c>
      <c r="Y506" s="187">
        <v>45020.634571759256</v>
      </c>
    </row>
    <row r="507" spans="1:25">
      <c r="A507" s="167" t="s">
        <v>45</v>
      </c>
      <c r="B507" s="164" t="s">
        <v>1555</v>
      </c>
      <c r="C507" s="163" t="s">
        <v>2397</v>
      </c>
      <c r="D507" s="162" t="s">
        <v>158</v>
      </c>
      <c r="E507" s="161" t="s">
        <v>1625</v>
      </c>
      <c r="F507" s="164" t="s">
        <v>1609</v>
      </c>
      <c r="G507" s="161" t="s">
        <v>159</v>
      </c>
      <c r="H507" s="214">
        <v>31</v>
      </c>
      <c r="I507" s="171">
        <v>3.57</v>
      </c>
      <c r="J507" s="170">
        <v>3.57</v>
      </c>
      <c r="K507" s="172">
        <v>110.67</v>
      </c>
      <c r="L507" s="170">
        <v>110.67</v>
      </c>
      <c r="M507" s="171">
        <v>110.67</v>
      </c>
      <c r="N507" s="170"/>
      <c r="O507" s="177" t="s">
        <v>76</v>
      </c>
      <c r="P507" s="162" t="s">
        <v>1620</v>
      </c>
      <c r="Q507" s="176">
        <v>45261</v>
      </c>
      <c r="R507" s="175">
        <v>2120</v>
      </c>
      <c r="S507" s="179"/>
      <c r="T507" s="164" t="s">
        <v>24</v>
      </c>
      <c r="U507" s="161" t="s">
        <v>16</v>
      </c>
      <c r="V507" s="175">
        <v>1588</v>
      </c>
      <c r="W507" s="181"/>
      <c r="X507" s="186">
        <v>45017</v>
      </c>
      <c r="Y507" s="187">
        <v>45021.576956018522</v>
      </c>
    </row>
    <row r="508" spans="1:25">
      <c r="A508" s="167" t="s">
        <v>45</v>
      </c>
      <c r="B508" s="162" t="s">
        <v>1599</v>
      </c>
      <c r="C508" s="163" t="s">
        <v>2398</v>
      </c>
      <c r="D508" s="162" t="s">
        <v>2082</v>
      </c>
      <c r="E508" s="161" t="s">
        <v>1613</v>
      </c>
      <c r="F508" s="162" t="s">
        <v>1614</v>
      </c>
      <c r="G508" s="161"/>
      <c r="H508" s="215">
        <v>4</v>
      </c>
      <c r="I508" s="171">
        <v>100</v>
      </c>
      <c r="J508" s="173">
        <v>100</v>
      </c>
      <c r="K508" s="172">
        <v>400</v>
      </c>
      <c r="L508" s="173">
        <v>400</v>
      </c>
      <c r="M508" s="171">
        <v>400</v>
      </c>
      <c r="N508" s="170"/>
      <c r="O508" s="177" t="s">
        <v>1523</v>
      </c>
      <c r="P508" s="162" t="s">
        <v>1604</v>
      </c>
      <c r="Q508" s="176"/>
      <c r="R508" s="174"/>
      <c r="S508" s="179"/>
      <c r="T508" s="162" t="s">
        <v>28</v>
      </c>
      <c r="U508" s="161" t="s">
        <v>1615</v>
      </c>
      <c r="V508" s="174">
        <v>2212</v>
      </c>
      <c r="W508" s="180" t="s">
        <v>2399</v>
      </c>
      <c r="X508" s="185">
        <v>45069</v>
      </c>
      <c r="Y508" s="187">
        <v>44986.403657407405</v>
      </c>
    </row>
    <row r="509" spans="1:25">
      <c r="A509" s="167" t="s">
        <v>45</v>
      </c>
      <c r="B509" s="162" t="s">
        <v>1599</v>
      </c>
      <c r="C509" s="163" t="s">
        <v>2398</v>
      </c>
      <c r="D509" s="162" t="s">
        <v>2082</v>
      </c>
      <c r="E509" s="161" t="s">
        <v>1602</v>
      </c>
      <c r="F509" s="162" t="s">
        <v>1603</v>
      </c>
      <c r="G509" s="161"/>
      <c r="H509" s="214">
        <v>1</v>
      </c>
      <c r="I509" s="171">
        <v>200</v>
      </c>
      <c r="J509" s="170">
        <v>200</v>
      </c>
      <c r="K509" s="172">
        <v>200</v>
      </c>
      <c r="L509" s="170">
        <v>200</v>
      </c>
      <c r="M509" s="171">
        <v>200</v>
      </c>
      <c r="N509" s="170">
        <v>0</v>
      </c>
      <c r="O509" s="177" t="s">
        <v>1523</v>
      </c>
      <c r="P509" s="162" t="s">
        <v>1604</v>
      </c>
      <c r="Q509" s="176"/>
      <c r="R509" s="174"/>
      <c r="S509" s="179"/>
      <c r="T509" s="162" t="s">
        <v>28</v>
      </c>
      <c r="U509" s="161" t="s">
        <v>19</v>
      </c>
      <c r="V509" s="174">
        <v>2212</v>
      </c>
      <c r="W509" s="180" t="s">
        <v>2399</v>
      </c>
      <c r="X509" s="185">
        <v>45069</v>
      </c>
      <c r="Y509" s="187">
        <v>44986.403657407405</v>
      </c>
    </row>
    <row r="510" spans="1:25">
      <c r="A510" s="167" t="s">
        <v>45</v>
      </c>
      <c r="B510" s="162" t="s">
        <v>1599</v>
      </c>
      <c r="C510" s="163" t="s">
        <v>2400</v>
      </c>
      <c r="D510" s="162" t="s">
        <v>2401</v>
      </c>
      <c r="E510" s="161" t="s">
        <v>1602</v>
      </c>
      <c r="F510" s="162" t="s">
        <v>1603</v>
      </c>
      <c r="G510" s="161"/>
      <c r="H510" s="215">
        <v>1</v>
      </c>
      <c r="I510" s="171">
        <v>70</v>
      </c>
      <c r="J510" s="173">
        <v>70</v>
      </c>
      <c r="K510" s="172">
        <v>70</v>
      </c>
      <c r="L510" s="173">
        <v>70</v>
      </c>
      <c r="M510" s="171">
        <v>70</v>
      </c>
      <c r="N510" s="170">
        <v>0</v>
      </c>
      <c r="O510" s="177" t="s">
        <v>1523</v>
      </c>
      <c r="P510" s="162" t="s">
        <v>1604</v>
      </c>
      <c r="Q510" s="176"/>
      <c r="R510" s="174"/>
      <c r="S510" s="179"/>
      <c r="T510" s="162" t="s">
        <v>28</v>
      </c>
      <c r="U510" s="161" t="s">
        <v>19</v>
      </c>
      <c r="V510" s="174">
        <v>2217</v>
      </c>
      <c r="W510" s="180" t="s">
        <v>2402</v>
      </c>
      <c r="X510" s="185">
        <v>45017</v>
      </c>
      <c r="Y510" s="187">
        <v>44944.584178240744</v>
      </c>
    </row>
    <row r="511" spans="1:25">
      <c r="A511" s="167" t="s">
        <v>45</v>
      </c>
      <c r="B511" s="162" t="s">
        <v>1555</v>
      </c>
      <c r="C511" s="163" t="s">
        <v>565</v>
      </c>
      <c r="D511" s="162" t="s">
        <v>2403</v>
      </c>
      <c r="E511" s="161" t="s">
        <v>1631</v>
      </c>
      <c r="F511" s="162" t="s">
        <v>1614</v>
      </c>
      <c r="G511" s="161" t="s">
        <v>2404</v>
      </c>
      <c r="H511" s="214">
        <v>1</v>
      </c>
      <c r="I511" s="171">
        <v>0</v>
      </c>
      <c r="J511" s="170">
        <v>110</v>
      </c>
      <c r="K511" s="172">
        <v>0</v>
      </c>
      <c r="L511" s="170">
        <v>110</v>
      </c>
      <c r="M511" s="171">
        <v>110</v>
      </c>
      <c r="N511" s="170"/>
      <c r="O511" s="177" t="s">
        <v>76</v>
      </c>
      <c r="P511" s="162" t="s">
        <v>1620</v>
      </c>
      <c r="Q511" s="176">
        <v>44470</v>
      </c>
      <c r="R511" s="174">
        <v>2056</v>
      </c>
      <c r="S511" s="179"/>
      <c r="T511" s="162" t="s">
        <v>24</v>
      </c>
      <c r="U511" s="161" t="s">
        <v>1615</v>
      </c>
      <c r="V511" s="174">
        <v>1585</v>
      </c>
      <c r="W511" s="180"/>
      <c r="X511" s="185">
        <v>44896</v>
      </c>
      <c r="Y511" s="187">
        <v>45077.604513888888</v>
      </c>
    </row>
    <row r="512" spans="1:25">
      <c r="A512" s="167" t="s">
        <v>45</v>
      </c>
      <c r="B512" s="162" t="s">
        <v>1599</v>
      </c>
      <c r="C512" s="163" t="s">
        <v>2405</v>
      </c>
      <c r="D512" s="162" t="s">
        <v>2406</v>
      </c>
      <c r="E512" s="161" t="s">
        <v>1613</v>
      </c>
      <c r="F512" s="162" t="s">
        <v>1614</v>
      </c>
      <c r="G512" s="161"/>
      <c r="H512" s="215">
        <v>70</v>
      </c>
      <c r="I512" s="171">
        <v>3.4</v>
      </c>
      <c r="J512" s="173">
        <v>4.2</v>
      </c>
      <c r="K512" s="172">
        <v>238</v>
      </c>
      <c r="L512" s="173">
        <v>294</v>
      </c>
      <c r="M512" s="171" t="s">
        <v>2407</v>
      </c>
      <c r="N512" s="170"/>
      <c r="O512" s="177" t="s">
        <v>1523</v>
      </c>
      <c r="P512" s="162" t="s">
        <v>1604</v>
      </c>
      <c r="Q512" s="176"/>
      <c r="R512" s="174"/>
      <c r="S512" s="179"/>
      <c r="T512" s="162" t="s">
        <v>28</v>
      </c>
      <c r="U512" s="161" t="s">
        <v>1615</v>
      </c>
      <c r="V512" s="174">
        <v>2186</v>
      </c>
      <c r="W512" s="180" t="s">
        <v>2408</v>
      </c>
      <c r="X512" s="185">
        <v>45017</v>
      </c>
      <c r="Y512" s="187">
        <v>44985.416180555556</v>
      </c>
    </row>
    <row r="513" spans="1:25">
      <c r="A513" s="167" t="s">
        <v>45</v>
      </c>
      <c r="B513" s="162" t="s">
        <v>1599</v>
      </c>
      <c r="C513" s="163" t="s">
        <v>2405</v>
      </c>
      <c r="D513" s="162" t="s">
        <v>2406</v>
      </c>
      <c r="E513" s="161" t="s">
        <v>1602</v>
      </c>
      <c r="F513" s="162" t="s">
        <v>1603</v>
      </c>
      <c r="G513" s="161"/>
      <c r="H513" s="214">
        <v>1</v>
      </c>
      <c r="I513" s="171">
        <v>200</v>
      </c>
      <c r="J513" s="170">
        <v>200</v>
      </c>
      <c r="K513" s="172">
        <v>200</v>
      </c>
      <c r="L513" s="170">
        <v>200</v>
      </c>
      <c r="M513" s="171">
        <v>200</v>
      </c>
      <c r="N513" s="170">
        <v>0</v>
      </c>
      <c r="O513" s="177" t="s">
        <v>1523</v>
      </c>
      <c r="P513" s="162" t="s">
        <v>1604</v>
      </c>
      <c r="Q513" s="176"/>
      <c r="R513" s="174"/>
      <c r="S513" s="179"/>
      <c r="T513" s="162" t="s">
        <v>28</v>
      </c>
      <c r="U513" s="161" t="s">
        <v>19</v>
      </c>
      <c r="V513" s="174">
        <v>2186</v>
      </c>
      <c r="W513" s="183" t="s">
        <v>2408</v>
      </c>
      <c r="X513" s="198">
        <v>45017</v>
      </c>
      <c r="Y513" s="189">
        <v>44985.416180555556</v>
      </c>
    </row>
    <row r="514" spans="1:25">
      <c r="A514" s="167" t="s">
        <v>45</v>
      </c>
      <c r="B514" s="162" t="s">
        <v>1555</v>
      </c>
      <c r="C514" s="163" t="s">
        <v>2409</v>
      </c>
      <c r="D514" s="162" t="s">
        <v>2410</v>
      </c>
      <c r="E514" s="161" t="s">
        <v>1625</v>
      </c>
      <c r="F514" s="162" t="s">
        <v>1609</v>
      </c>
      <c r="G514" s="161" t="s">
        <v>2411</v>
      </c>
      <c r="H514" s="215">
        <v>20</v>
      </c>
      <c r="I514" s="171"/>
      <c r="J514" s="173">
        <v>1.5</v>
      </c>
      <c r="K514" s="172"/>
      <c r="L514" s="173">
        <v>30</v>
      </c>
      <c r="M514" s="171">
        <v>30</v>
      </c>
      <c r="N514" s="170"/>
      <c r="O514" s="177" t="s">
        <v>76</v>
      </c>
      <c r="P514" s="162" t="s">
        <v>1620</v>
      </c>
      <c r="Q514" s="176"/>
      <c r="R514" s="174">
        <v>2036</v>
      </c>
      <c r="S514" s="179"/>
      <c r="T514" s="162" t="s">
        <v>24</v>
      </c>
      <c r="U514" s="161" t="s">
        <v>16</v>
      </c>
      <c r="V514" s="174">
        <v>1082</v>
      </c>
      <c r="W514" s="180"/>
      <c r="X514" s="185">
        <v>45017</v>
      </c>
      <c r="Y514" s="187">
        <v>45015.4453125</v>
      </c>
    </row>
    <row r="515" spans="1:25">
      <c r="A515" s="167" t="s">
        <v>45</v>
      </c>
      <c r="B515" s="162" t="s">
        <v>1555</v>
      </c>
      <c r="C515" s="163" t="s">
        <v>2409</v>
      </c>
      <c r="D515" s="162" t="s">
        <v>2410</v>
      </c>
      <c r="E515" s="161" t="s">
        <v>1625</v>
      </c>
      <c r="F515" s="162" t="s">
        <v>1609</v>
      </c>
      <c r="G515" s="161" t="s">
        <v>2411</v>
      </c>
      <c r="H515" s="214">
        <v>11</v>
      </c>
      <c r="I515" s="171"/>
      <c r="J515" s="170">
        <v>1.5</v>
      </c>
      <c r="K515" s="172"/>
      <c r="L515" s="170">
        <v>16.5</v>
      </c>
      <c r="M515" s="171">
        <v>16.5</v>
      </c>
      <c r="N515" s="170"/>
      <c r="O515" s="177" t="s">
        <v>76</v>
      </c>
      <c r="P515" s="162" t="s">
        <v>1620</v>
      </c>
      <c r="Q515" s="176"/>
      <c r="R515" s="174">
        <v>2036</v>
      </c>
      <c r="S515" s="179"/>
      <c r="T515" s="162" t="s">
        <v>24</v>
      </c>
      <c r="U515" s="161" t="s">
        <v>16</v>
      </c>
      <c r="V515" s="174">
        <v>1082</v>
      </c>
      <c r="W515" s="180"/>
      <c r="X515" s="185">
        <v>45017</v>
      </c>
      <c r="Y515" s="187">
        <v>45015.4453125</v>
      </c>
    </row>
    <row r="516" spans="1:25">
      <c r="A516" s="167" t="s">
        <v>77</v>
      </c>
      <c r="B516" s="162" t="s">
        <v>1599</v>
      </c>
      <c r="C516" s="163" t="s">
        <v>2412</v>
      </c>
      <c r="D516" s="162" t="s">
        <v>2413</v>
      </c>
      <c r="E516" s="161" t="s">
        <v>1613</v>
      </c>
      <c r="F516" s="162" t="s">
        <v>1614</v>
      </c>
      <c r="G516" s="161"/>
      <c r="H516" s="215">
        <v>1</v>
      </c>
      <c r="I516" s="171">
        <v>94</v>
      </c>
      <c r="J516" s="173">
        <v>94</v>
      </c>
      <c r="K516" s="172">
        <v>94</v>
      </c>
      <c r="L516" s="173">
        <v>94</v>
      </c>
      <c r="M516" s="171">
        <v>94</v>
      </c>
      <c r="N516" s="170"/>
      <c r="O516" s="177" t="s">
        <v>1523</v>
      </c>
      <c r="P516" s="162" t="s">
        <v>1620</v>
      </c>
      <c r="Q516" s="176">
        <v>44896</v>
      </c>
      <c r="R516" s="174"/>
      <c r="S516" s="179"/>
      <c r="T516" s="162" t="s">
        <v>28</v>
      </c>
      <c r="U516" s="161" t="s">
        <v>1615</v>
      </c>
      <c r="V516" s="174">
        <v>2422</v>
      </c>
      <c r="W516" s="180"/>
      <c r="X516" s="185">
        <v>45069</v>
      </c>
      <c r="Y516" s="187">
        <v>45068.438101851854</v>
      </c>
    </row>
    <row r="517" spans="1:25">
      <c r="A517" s="220" t="s">
        <v>77</v>
      </c>
      <c r="B517" s="221" t="s">
        <v>1599</v>
      </c>
      <c r="C517" s="222" t="s">
        <v>3912</v>
      </c>
      <c r="D517" s="221" t="s">
        <v>3913</v>
      </c>
      <c r="E517" s="223" t="s">
        <v>1603</v>
      </c>
      <c r="F517" s="224" t="s">
        <v>20</v>
      </c>
      <c r="G517" s="161"/>
      <c r="H517" s="214">
        <v>1</v>
      </c>
      <c r="I517" s="171"/>
      <c r="J517" s="170">
        <v>1186</v>
      </c>
      <c r="K517" s="172"/>
      <c r="L517" s="170">
        <v>1186</v>
      </c>
      <c r="M517" s="171">
        <v>1186</v>
      </c>
      <c r="N517" s="170"/>
      <c r="O517" s="230" t="s">
        <v>1523</v>
      </c>
      <c r="P517" s="221" t="s">
        <v>1604</v>
      </c>
      <c r="Q517" s="231"/>
      <c r="R517" s="232"/>
      <c r="S517" s="233"/>
      <c r="T517" s="224" t="s">
        <v>28</v>
      </c>
      <c r="U517" s="223" t="s">
        <v>20</v>
      </c>
      <c r="V517" s="232">
        <v>2565</v>
      </c>
      <c r="W517" s="234" t="s">
        <v>3957</v>
      </c>
      <c r="X517" s="235"/>
      <c r="Y517" s="236">
        <v>45111.714999999997</v>
      </c>
    </row>
    <row r="518" spans="1:25">
      <c r="A518" s="167" t="s">
        <v>45</v>
      </c>
      <c r="B518" s="162" t="s">
        <v>1555</v>
      </c>
      <c r="C518" s="163" t="s">
        <v>2414</v>
      </c>
      <c r="D518" s="162" t="s">
        <v>805</v>
      </c>
      <c r="E518" s="161" t="s">
        <v>1700</v>
      </c>
      <c r="F518" s="162" t="s">
        <v>1658</v>
      </c>
      <c r="G518" s="161" t="s">
        <v>2415</v>
      </c>
      <c r="H518" s="215">
        <v>2</v>
      </c>
      <c r="I518" s="171"/>
      <c r="J518" s="173">
        <v>30</v>
      </c>
      <c r="K518" s="172"/>
      <c r="L518" s="173">
        <v>60</v>
      </c>
      <c r="M518" s="171">
        <v>60</v>
      </c>
      <c r="N518" s="170"/>
      <c r="O518" s="177" t="s">
        <v>76</v>
      </c>
      <c r="P518" s="162" t="s">
        <v>1619</v>
      </c>
      <c r="Q518" s="176"/>
      <c r="R518" s="174">
        <v>2070</v>
      </c>
      <c r="S518" s="179"/>
      <c r="T518" s="162" t="s">
        <v>24</v>
      </c>
      <c r="U518" s="161" t="s">
        <v>17</v>
      </c>
      <c r="V518" s="174">
        <v>1083</v>
      </c>
      <c r="W518" s="180"/>
      <c r="X518" s="185">
        <v>45017</v>
      </c>
      <c r="Y518" s="187">
        <v>45016.382349537038</v>
      </c>
    </row>
    <row r="519" spans="1:25">
      <c r="A519" s="167" t="s">
        <v>110</v>
      </c>
      <c r="B519" s="162" t="s">
        <v>1599</v>
      </c>
      <c r="C519" s="163" t="s">
        <v>2416</v>
      </c>
      <c r="D519" s="162" t="s">
        <v>2416</v>
      </c>
      <c r="E519" s="161" t="s">
        <v>1613</v>
      </c>
      <c r="F519" s="162" t="s">
        <v>1614</v>
      </c>
      <c r="G519" s="161"/>
      <c r="H519" s="214">
        <v>1</v>
      </c>
      <c r="I519" s="171">
        <v>12</v>
      </c>
      <c r="J519" s="170">
        <v>12</v>
      </c>
      <c r="K519" s="172">
        <v>12</v>
      </c>
      <c r="L519" s="170">
        <v>12</v>
      </c>
      <c r="M519" s="171">
        <v>12</v>
      </c>
      <c r="N519" s="170"/>
      <c r="O519" s="177" t="s">
        <v>1523</v>
      </c>
      <c r="P519" s="162" t="s">
        <v>1591</v>
      </c>
      <c r="Q519" s="176"/>
      <c r="R519" s="174"/>
      <c r="S519" s="179"/>
      <c r="T519" s="162" t="s">
        <v>28</v>
      </c>
      <c r="U519" s="161" t="s">
        <v>1615</v>
      </c>
      <c r="V519" s="174">
        <v>1646</v>
      </c>
      <c r="W519" s="180"/>
      <c r="X519" s="185" t="s">
        <v>259</v>
      </c>
      <c r="Y519" s="187">
        <v>43283.959652777776</v>
      </c>
    </row>
    <row r="520" spans="1:25">
      <c r="A520" s="167" t="s">
        <v>110</v>
      </c>
      <c r="B520" s="162" t="s">
        <v>1555</v>
      </c>
      <c r="C520" s="163" t="s">
        <v>2417</v>
      </c>
      <c r="D520" s="162" t="s">
        <v>403</v>
      </c>
      <c r="E520" s="161" t="s">
        <v>1596</v>
      </c>
      <c r="F520" s="162" t="s">
        <v>1627</v>
      </c>
      <c r="G520" s="161" t="s">
        <v>2418</v>
      </c>
      <c r="H520" s="215">
        <v>8</v>
      </c>
      <c r="I520" s="171"/>
      <c r="J520" s="173">
        <v>1.1200000000000001</v>
      </c>
      <c r="K520" s="172"/>
      <c r="L520" s="173">
        <v>8.98</v>
      </c>
      <c r="M520" s="171">
        <v>8.98</v>
      </c>
      <c r="N520" s="170"/>
      <c r="O520" s="177" t="s">
        <v>76</v>
      </c>
      <c r="P520" s="162" t="s">
        <v>1591</v>
      </c>
      <c r="Q520" s="176"/>
      <c r="R520" s="174">
        <v>2042</v>
      </c>
      <c r="S520" s="179"/>
      <c r="T520" s="162" t="s">
        <v>24</v>
      </c>
      <c r="U520" s="161" t="s">
        <v>18</v>
      </c>
      <c r="V520" s="174">
        <v>1084</v>
      </c>
      <c r="W520" s="180"/>
      <c r="X520" s="185">
        <v>44287</v>
      </c>
      <c r="Y520" s="187">
        <v>44981.426041666666</v>
      </c>
    </row>
    <row r="521" spans="1:25">
      <c r="A521" s="167" t="s">
        <v>91</v>
      </c>
      <c r="B521" s="162" t="s">
        <v>1555</v>
      </c>
      <c r="C521" s="163" t="s">
        <v>1390</v>
      </c>
      <c r="D521" s="162" t="s">
        <v>2419</v>
      </c>
      <c r="E521" s="161" t="s">
        <v>1625</v>
      </c>
      <c r="F521" s="162" t="s">
        <v>1609</v>
      </c>
      <c r="G521" s="161" t="s">
        <v>2420</v>
      </c>
      <c r="H521" s="214">
        <v>63</v>
      </c>
      <c r="I521" s="171">
        <v>2.1</v>
      </c>
      <c r="J521" s="170">
        <v>2.1</v>
      </c>
      <c r="K521" s="172">
        <v>132.30000000000001</v>
      </c>
      <c r="L521" s="170">
        <v>132.30000000000001</v>
      </c>
      <c r="M521" s="171">
        <v>132.30000000000001</v>
      </c>
      <c r="N521" s="170"/>
      <c r="O521" s="177" t="s">
        <v>76</v>
      </c>
      <c r="P521" s="162" t="s">
        <v>1620</v>
      </c>
      <c r="Q521" s="176"/>
      <c r="R521" s="174">
        <v>2036</v>
      </c>
      <c r="S521" s="179"/>
      <c r="T521" s="162" t="s">
        <v>24</v>
      </c>
      <c r="U521" s="161" t="s">
        <v>16</v>
      </c>
      <c r="V521" s="174">
        <v>1311</v>
      </c>
      <c r="W521" s="180"/>
      <c r="X521" s="185">
        <v>45017</v>
      </c>
      <c r="Y521" s="187">
        <v>45016.477222222224</v>
      </c>
    </row>
    <row r="522" spans="1:25">
      <c r="A522" s="167" t="s">
        <v>91</v>
      </c>
      <c r="B522" s="162" t="s">
        <v>1555</v>
      </c>
      <c r="C522" s="163" t="s">
        <v>2421</v>
      </c>
      <c r="D522" s="162" t="s">
        <v>2422</v>
      </c>
      <c r="E522" s="161" t="s">
        <v>1625</v>
      </c>
      <c r="F522" s="162" t="s">
        <v>1609</v>
      </c>
      <c r="G522" s="161" t="s">
        <v>2423</v>
      </c>
      <c r="H522" s="215">
        <v>25</v>
      </c>
      <c r="I522" s="171"/>
      <c r="J522" s="173">
        <v>2.1</v>
      </c>
      <c r="K522" s="172"/>
      <c r="L522" s="173">
        <v>52.5</v>
      </c>
      <c r="M522" s="171">
        <v>52.5</v>
      </c>
      <c r="N522" s="170"/>
      <c r="O522" s="177" t="s">
        <v>76</v>
      </c>
      <c r="P522" s="162" t="s">
        <v>1620</v>
      </c>
      <c r="Q522" s="176"/>
      <c r="R522" s="174">
        <v>2036</v>
      </c>
      <c r="S522" s="179"/>
      <c r="T522" s="162" t="s">
        <v>24</v>
      </c>
      <c r="U522" s="161" t="s">
        <v>16</v>
      </c>
      <c r="V522" s="174">
        <v>1085</v>
      </c>
      <c r="W522" s="180"/>
      <c r="X522" s="185">
        <v>45017</v>
      </c>
      <c r="Y522" s="187">
        <v>45015.446828703702</v>
      </c>
    </row>
    <row r="523" spans="1:25">
      <c r="A523" s="167" t="s">
        <v>91</v>
      </c>
      <c r="B523" s="162" t="s">
        <v>1555</v>
      </c>
      <c r="C523" s="163" t="s">
        <v>689</v>
      </c>
      <c r="D523" s="162" t="s">
        <v>690</v>
      </c>
      <c r="E523" s="161" t="s">
        <v>1673</v>
      </c>
      <c r="F523" s="162" t="s">
        <v>1592</v>
      </c>
      <c r="G523" s="161" t="s">
        <v>691</v>
      </c>
      <c r="H523" s="214">
        <v>4</v>
      </c>
      <c r="I523" s="171"/>
      <c r="J523" s="170">
        <v>17</v>
      </c>
      <c r="K523" s="172"/>
      <c r="L523" s="170">
        <v>68</v>
      </c>
      <c r="M523" s="171">
        <v>68</v>
      </c>
      <c r="N523" s="170"/>
      <c r="O523" s="177" t="s">
        <v>76</v>
      </c>
      <c r="P523" s="162" t="s">
        <v>1619</v>
      </c>
      <c r="Q523" s="176"/>
      <c r="R523" s="174">
        <v>2032</v>
      </c>
      <c r="S523" s="179"/>
      <c r="T523" s="162" t="s">
        <v>24</v>
      </c>
      <c r="U523" s="161" t="s">
        <v>13</v>
      </c>
      <c r="V523" s="174">
        <v>1086</v>
      </c>
      <c r="W523" s="180"/>
      <c r="X523" s="185">
        <v>45017</v>
      </c>
      <c r="Y523" s="187">
        <v>45019.414039351854</v>
      </c>
    </row>
    <row r="524" spans="1:25">
      <c r="A524" s="167" t="s">
        <v>91</v>
      </c>
      <c r="B524" s="162" t="s">
        <v>1555</v>
      </c>
      <c r="C524" s="163" t="s">
        <v>689</v>
      </c>
      <c r="D524" s="162" t="s">
        <v>690</v>
      </c>
      <c r="E524" s="161" t="s">
        <v>1673</v>
      </c>
      <c r="F524" s="162" t="s">
        <v>1592</v>
      </c>
      <c r="G524" s="161" t="s">
        <v>691</v>
      </c>
      <c r="H524" s="215">
        <v>2</v>
      </c>
      <c r="I524" s="171"/>
      <c r="J524" s="173">
        <v>20.75</v>
      </c>
      <c r="K524" s="172"/>
      <c r="L524" s="173">
        <v>41.5</v>
      </c>
      <c r="M524" s="171">
        <v>41.5</v>
      </c>
      <c r="N524" s="170"/>
      <c r="O524" s="177" t="s">
        <v>76</v>
      </c>
      <c r="P524" s="162" t="s">
        <v>1619</v>
      </c>
      <c r="Q524" s="176"/>
      <c r="R524" s="174">
        <v>2032</v>
      </c>
      <c r="S524" s="179"/>
      <c r="T524" s="162" t="s">
        <v>24</v>
      </c>
      <c r="U524" s="161" t="s">
        <v>13</v>
      </c>
      <c r="V524" s="174">
        <v>1086</v>
      </c>
      <c r="W524" s="180"/>
      <c r="X524" s="185">
        <v>45017</v>
      </c>
      <c r="Y524" s="187">
        <v>45019.414039351854</v>
      </c>
    </row>
    <row r="525" spans="1:25">
      <c r="A525" s="167" t="s">
        <v>91</v>
      </c>
      <c r="B525" s="162" t="s">
        <v>1555</v>
      </c>
      <c r="C525" s="163" t="s">
        <v>689</v>
      </c>
      <c r="D525" s="162" t="s">
        <v>690</v>
      </c>
      <c r="E525" s="161" t="s">
        <v>1673</v>
      </c>
      <c r="F525" s="162" t="s">
        <v>1592</v>
      </c>
      <c r="G525" s="161" t="s">
        <v>691</v>
      </c>
      <c r="H525" s="214">
        <v>2</v>
      </c>
      <c r="I525" s="171"/>
      <c r="J525" s="170">
        <v>18.899999999999999</v>
      </c>
      <c r="K525" s="172"/>
      <c r="L525" s="170">
        <v>37.799999999999997</v>
      </c>
      <c r="M525" s="171">
        <v>37.799999999999997</v>
      </c>
      <c r="N525" s="170"/>
      <c r="O525" s="177" t="s">
        <v>76</v>
      </c>
      <c r="P525" s="162" t="s">
        <v>1619</v>
      </c>
      <c r="Q525" s="176"/>
      <c r="R525" s="174">
        <v>2032</v>
      </c>
      <c r="S525" s="179"/>
      <c r="T525" s="162" t="s">
        <v>24</v>
      </c>
      <c r="U525" s="161" t="s">
        <v>13</v>
      </c>
      <c r="V525" s="174">
        <v>1086</v>
      </c>
      <c r="W525" s="180"/>
      <c r="X525" s="185">
        <v>45017</v>
      </c>
      <c r="Y525" s="187">
        <v>45019.414039351854</v>
      </c>
    </row>
    <row r="526" spans="1:25">
      <c r="A526" s="167" t="s">
        <v>91</v>
      </c>
      <c r="B526" s="162" t="s">
        <v>1555</v>
      </c>
      <c r="C526" s="163" t="s">
        <v>689</v>
      </c>
      <c r="D526" s="162" t="s">
        <v>690</v>
      </c>
      <c r="E526" s="161" t="s">
        <v>1673</v>
      </c>
      <c r="F526" s="162" t="s">
        <v>1592</v>
      </c>
      <c r="G526" s="161" t="s">
        <v>691</v>
      </c>
      <c r="H526" s="215">
        <v>1</v>
      </c>
      <c r="I526" s="171"/>
      <c r="J526" s="173">
        <v>37.200000000000003</v>
      </c>
      <c r="K526" s="172"/>
      <c r="L526" s="173">
        <v>37.200000000000003</v>
      </c>
      <c r="M526" s="171">
        <v>37.200000000000003</v>
      </c>
      <c r="N526" s="170"/>
      <c r="O526" s="177" t="s">
        <v>76</v>
      </c>
      <c r="P526" s="162" t="s">
        <v>1619</v>
      </c>
      <c r="Q526" s="176"/>
      <c r="R526" s="174">
        <v>2050</v>
      </c>
      <c r="S526" s="179"/>
      <c r="T526" s="162" t="s">
        <v>24</v>
      </c>
      <c r="U526" s="161" t="s">
        <v>13</v>
      </c>
      <c r="V526" s="174">
        <v>1086</v>
      </c>
      <c r="W526" s="180"/>
      <c r="X526" s="185">
        <v>45017</v>
      </c>
      <c r="Y526" s="187">
        <v>45019.414039351854</v>
      </c>
    </row>
    <row r="527" spans="1:25">
      <c r="A527" s="167" t="s">
        <v>91</v>
      </c>
      <c r="B527" s="162" t="s">
        <v>1555</v>
      </c>
      <c r="C527" s="163" t="s">
        <v>689</v>
      </c>
      <c r="D527" s="162" t="s">
        <v>690</v>
      </c>
      <c r="E527" s="161" t="s">
        <v>1673</v>
      </c>
      <c r="F527" s="162" t="s">
        <v>1592</v>
      </c>
      <c r="G527" s="161" t="s">
        <v>691</v>
      </c>
      <c r="H527" s="214">
        <v>1</v>
      </c>
      <c r="I527" s="171"/>
      <c r="J527" s="170">
        <v>27</v>
      </c>
      <c r="K527" s="172"/>
      <c r="L527" s="170">
        <v>27</v>
      </c>
      <c r="M527" s="171">
        <v>27</v>
      </c>
      <c r="N527" s="170"/>
      <c r="O527" s="177" t="s">
        <v>76</v>
      </c>
      <c r="P527" s="162" t="s">
        <v>1619</v>
      </c>
      <c r="Q527" s="176"/>
      <c r="R527" s="174">
        <v>2032</v>
      </c>
      <c r="S527" s="179"/>
      <c r="T527" s="162" t="s">
        <v>24</v>
      </c>
      <c r="U527" s="161" t="s">
        <v>13</v>
      </c>
      <c r="V527" s="174">
        <v>1086</v>
      </c>
      <c r="W527" s="180"/>
      <c r="X527" s="185">
        <v>45017</v>
      </c>
      <c r="Y527" s="187">
        <v>45019.414039351854</v>
      </c>
    </row>
    <row r="528" spans="1:25">
      <c r="A528" s="167" t="s">
        <v>91</v>
      </c>
      <c r="B528" s="162" t="s">
        <v>1555</v>
      </c>
      <c r="C528" s="163" t="s">
        <v>689</v>
      </c>
      <c r="D528" s="162" t="s">
        <v>690</v>
      </c>
      <c r="E528" s="161" t="s">
        <v>1673</v>
      </c>
      <c r="F528" s="162" t="s">
        <v>1592</v>
      </c>
      <c r="G528" s="161" t="s">
        <v>691</v>
      </c>
      <c r="H528" s="215">
        <v>1</v>
      </c>
      <c r="I528" s="171"/>
      <c r="J528" s="173">
        <v>25.6</v>
      </c>
      <c r="K528" s="172"/>
      <c r="L528" s="173">
        <v>25.6</v>
      </c>
      <c r="M528" s="171">
        <v>25.6</v>
      </c>
      <c r="N528" s="170"/>
      <c r="O528" s="177" t="s">
        <v>76</v>
      </c>
      <c r="P528" s="162" t="s">
        <v>1619</v>
      </c>
      <c r="Q528" s="176"/>
      <c r="R528" s="174">
        <v>2032</v>
      </c>
      <c r="S528" s="179"/>
      <c r="T528" s="162" t="s">
        <v>24</v>
      </c>
      <c r="U528" s="161" t="s">
        <v>13</v>
      </c>
      <c r="V528" s="174">
        <v>1086</v>
      </c>
      <c r="W528" s="180"/>
      <c r="X528" s="185">
        <v>45017</v>
      </c>
      <c r="Y528" s="187">
        <v>45019.414039351854</v>
      </c>
    </row>
    <row r="529" spans="1:25">
      <c r="A529" s="167" t="s">
        <v>91</v>
      </c>
      <c r="B529" s="162" t="s">
        <v>1555</v>
      </c>
      <c r="C529" s="163" t="s">
        <v>689</v>
      </c>
      <c r="D529" s="162" t="s">
        <v>690</v>
      </c>
      <c r="E529" s="161" t="s">
        <v>1673</v>
      </c>
      <c r="F529" s="162" t="s">
        <v>1592</v>
      </c>
      <c r="G529" s="161" t="s">
        <v>691</v>
      </c>
      <c r="H529" s="214">
        <v>1</v>
      </c>
      <c r="I529" s="171"/>
      <c r="J529" s="170">
        <v>21.76</v>
      </c>
      <c r="K529" s="172"/>
      <c r="L529" s="170">
        <v>21.76</v>
      </c>
      <c r="M529" s="171">
        <v>21.76</v>
      </c>
      <c r="N529" s="170"/>
      <c r="O529" s="177" t="s">
        <v>76</v>
      </c>
      <c r="P529" s="162" t="s">
        <v>1619</v>
      </c>
      <c r="Q529" s="176"/>
      <c r="R529" s="174">
        <v>2032</v>
      </c>
      <c r="S529" s="179"/>
      <c r="T529" s="162" t="s">
        <v>24</v>
      </c>
      <c r="U529" s="161" t="s">
        <v>13</v>
      </c>
      <c r="V529" s="174">
        <v>1086</v>
      </c>
      <c r="W529" s="180"/>
      <c r="X529" s="185">
        <v>45017</v>
      </c>
      <c r="Y529" s="187">
        <v>45019.414039351854</v>
      </c>
    </row>
    <row r="530" spans="1:25">
      <c r="A530" s="167" t="s">
        <v>91</v>
      </c>
      <c r="B530" s="162" t="s">
        <v>1555</v>
      </c>
      <c r="C530" s="163" t="s">
        <v>689</v>
      </c>
      <c r="D530" s="162" t="s">
        <v>690</v>
      </c>
      <c r="E530" s="161" t="s">
        <v>1673</v>
      </c>
      <c r="F530" s="162" t="s">
        <v>1592</v>
      </c>
      <c r="G530" s="161" t="s">
        <v>691</v>
      </c>
      <c r="H530" s="215">
        <v>1</v>
      </c>
      <c r="I530" s="171"/>
      <c r="J530" s="173">
        <v>18</v>
      </c>
      <c r="K530" s="172"/>
      <c r="L530" s="173">
        <v>18</v>
      </c>
      <c r="M530" s="171">
        <v>18</v>
      </c>
      <c r="N530" s="170"/>
      <c r="O530" s="177" t="s">
        <v>76</v>
      </c>
      <c r="P530" s="162" t="s">
        <v>1619</v>
      </c>
      <c r="Q530" s="176"/>
      <c r="R530" s="174">
        <v>2032</v>
      </c>
      <c r="S530" s="179"/>
      <c r="T530" s="162" t="s">
        <v>24</v>
      </c>
      <c r="U530" s="161" t="s">
        <v>13</v>
      </c>
      <c r="V530" s="174">
        <v>1086</v>
      </c>
      <c r="W530" s="180"/>
      <c r="X530" s="185">
        <v>45017</v>
      </c>
      <c r="Y530" s="187">
        <v>45019.414039351854</v>
      </c>
    </row>
    <row r="531" spans="1:25">
      <c r="A531" s="167" t="s">
        <v>91</v>
      </c>
      <c r="B531" s="162" t="s">
        <v>1555</v>
      </c>
      <c r="C531" s="163" t="s">
        <v>1392</v>
      </c>
      <c r="D531" s="162" t="s">
        <v>2424</v>
      </c>
      <c r="E531" s="161" t="s">
        <v>1625</v>
      </c>
      <c r="F531" s="162" t="s">
        <v>1609</v>
      </c>
      <c r="G531" s="161" t="s">
        <v>2425</v>
      </c>
      <c r="H531" s="214">
        <v>45</v>
      </c>
      <c r="I531" s="171">
        <v>2.1</v>
      </c>
      <c r="J531" s="170">
        <v>2.1</v>
      </c>
      <c r="K531" s="172">
        <v>94.5</v>
      </c>
      <c r="L531" s="170">
        <v>94.5</v>
      </c>
      <c r="M531" s="171">
        <v>94.5</v>
      </c>
      <c r="N531" s="170"/>
      <c r="O531" s="177" t="s">
        <v>76</v>
      </c>
      <c r="P531" s="162" t="s">
        <v>1620</v>
      </c>
      <c r="Q531" s="176"/>
      <c r="R531" s="174">
        <v>2043</v>
      </c>
      <c r="S531" s="179"/>
      <c r="T531" s="162" t="s">
        <v>24</v>
      </c>
      <c r="U531" s="161" t="s">
        <v>16</v>
      </c>
      <c r="V531" s="174">
        <v>1087</v>
      </c>
      <c r="W531" s="180"/>
      <c r="X531" s="185">
        <v>45017</v>
      </c>
      <c r="Y531" s="187">
        <v>45015.449143518519</v>
      </c>
    </row>
    <row r="532" spans="1:25">
      <c r="A532" s="167" t="s">
        <v>91</v>
      </c>
      <c r="B532" s="162" t="s">
        <v>1555</v>
      </c>
      <c r="C532" s="163" t="s">
        <v>2426</v>
      </c>
      <c r="D532" s="162" t="s">
        <v>2427</v>
      </c>
      <c r="E532" s="161" t="s">
        <v>1625</v>
      </c>
      <c r="F532" s="162" t="s">
        <v>1609</v>
      </c>
      <c r="G532" s="161" t="s">
        <v>2428</v>
      </c>
      <c r="H532" s="215">
        <v>34</v>
      </c>
      <c r="I532" s="171">
        <v>2.1</v>
      </c>
      <c r="J532" s="173">
        <v>2.1</v>
      </c>
      <c r="K532" s="172">
        <v>71.400000000000006</v>
      </c>
      <c r="L532" s="173">
        <v>71.400000000000006</v>
      </c>
      <c r="M532" s="171">
        <v>71.400000000000006</v>
      </c>
      <c r="N532" s="170"/>
      <c r="O532" s="177" t="s">
        <v>76</v>
      </c>
      <c r="P532" s="162" t="s">
        <v>1620</v>
      </c>
      <c r="Q532" s="176"/>
      <c r="R532" s="174">
        <v>2035</v>
      </c>
      <c r="S532" s="179"/>
      <c r="T532" s="162" t="s">
        <v>24</v>
      </c>
      <c r="U532" s="161" t="s">
        <v>16</v>
      </c>
      <c r="V532" s="174">
        <v>1088</v>
      </c>
      <c r="W532" s="180"/>
      <c r="X532" s="185">
        <v>45017</v>
      </c>
      <c r="Y532" s="187">
        <v>45015.450578703705</v>
      </c>
    </row>
    <row r="533" spans="1:25">
      <c r="A533" s="167" t="s">
        <v>77</v>
      </c>
      <c r="B533" s="162" t="s">
        <v>1599</v>
      </c>
      <c r="C533" s="163" t="s">
        <v>2429</v>
      </c>
      <c r="D533" s="162" t="s">
        <v>2430</v>
      </c>
      <c r="E533" s="161" t="s">
        <v>1602</v>
      </c>
      <c r="F533" s="162" t="s">
        <v>1603</v>
      </c>
      <c r="G533" s="161"/>
      <c r="H533" s="214">
        <v>1</v>
      </c>
      <c r="I533" s="171">
        <v>150</v>
      </c>
      <c r="J533" s="170">
        <v>150</v>
      </c>
      <c r="K533" s="172">
        <v>150</v>
      </c>
      <c r="L533" s="170">
        <v>150</v>
      </c>
      <c r="M533" s="171">
        <v>150</v>
      </c>
      <c r="N533" s="170">
        <v>0</v>
      </c>
      <c r="O533" s="177" t="s">
        <v>1523</v>
      </c>
      <c r="P533" s="162" t="s">
        <v>1604</v>
      </c>
      <c r="Q533" s="176"/>
      <c r="R533" s="174"/>
      <c r="S533" s="179"/>
      <c r="T533" s="162" t="s">
        <v>28</v>
      </c>
      <c r="U533" s="161" t="s">
        <v>19</v>
      </c>
      <c r="V533" s="174">
        <v>2279</v>
      </c>
      <c r="W533" s="180" t="s">
        <v>2431</v>
      </c>
      <c r="X533" s="185">
        <v>45017</v>
      </c>
      <c r="Y533" s="187">
        <v>44944.585439814815</v>
      </c>
    </row>
    <row r="534" spans="1:25">
      <c r="A534" s="167" t="s">
        <v>77</v>
      </c>
      <c r="B534" s="162" t="s">
        <v>1555</v>
      </c>
      <c r="C534" s="163" t="s">
        <v>972</v>
      </c>
      <c r="D534" s="162" t="s">
        <v>2432</v>
      </c>
      <c r="E534" s="161" t="s">
        <v>1631</v>
      </c>
      <c r="F534" s="162" t="s">
        <v>1614</v>
      </c>
      <c r="G534" s="161" t="s">
        <v>2433</v>
      </c>
      <c r="H534" s="215">
        <v>23</v>
      </c>
      <c r="I534" s="171"/>
      <c r="J534" s="173">
        <v>2.5</v>
      </c>
      <c r="K534" s="172"/>
      <c r="L534" s="173">
        <v>57.5</v>
      </c>
      <c r="M534" s="171">
        <v>57.5</v>
      </c>
      <c r="N534" s="170"/>
      <c r="O534" s="177" t="s">
        <v>76</v>
      </c>
      <c r="P534" s="162" t="s">
        <v>1620</v>
      </c>
      <c r="Q534" s="176"/>
      <c r="R534" s="174">
        <v>2048</v>
      </c>
      <c r="S534" s="179"/>
      <c r="T534" s="162" t="s">
        <v>24</v>
      </c>
      <c r="U534" s="161" t="s">
        <v>1615</v>
      </c>
      <c r="V534" s="174">
        <v>1408</v>
      </c>
      <c r="W534" s="180"/>
      <c r="X534" s="185">
        <v>45017</v>
      </c>
      <c r="Y534" s="187">
        <v>45020.625023148146</v>
      </c>
    </row>
    <row r="535" spans="1:25">
      <c r="A535" s="167" t="s">
        <v>91</v>
      </c>
      <c r="B535" s="162" t="s">
        <v>1555</v>
      </c>
      <c r="C535" s="163" t="s">
        <v>353</v>
      </c>
      <c r="D535" s="162" t="s">
        <v>347</v>
      </c>
      <c r="E535" s="161" t="s">
        <v>1602</v>
      </c>
      <c r="F535" s="164" t="s">
        <v>1603</v>
      </c>
      <c r="G535" s="161" t="s">
        <v>460</v>
      </c>
      <c r="H535" s="214">
        <v>1</v>
      </c>
      <c r="I535" s="171"/>
      <c r="J535" s="170">
        <v>4.41</v>
      </c>
      <c r="K535" s="172"/>
      <c r="L535" s="170">
        <v>4.41</v>
      </c>
      <c r="M535" s="171">
        <v>4.41</v>
      </c>
      <c r="N535" s="170">
        <v>8.82</v>
      </c>
      <c r="O535" s="177" t="s">
        <v>76</v>
      </c>
      <c r="P535" s="162" t="s">
        <v>1619</v>
      </c>
      <c r="Q535" s="176">
        <v>44896</v>
      </c>
      <c r="R535" s="175">
        <v>2041</v>
      </c>
      <c r="S535" s="179"/>
      <c r="T535" s="164" t="s">
        <v>24</v>
      </c>
      <c r="U535" s="161" t="s">
        <v>19</v>
      </c>
      <c r="V535" s="175">
        <v>1846</v>
      </c>
      <c r="W535" s="181"/>
      <c r="X535" s="185">
        <v>45017</v>
      </c>
      <c r="Y535" s="187">
        <v>45022.47420138889</v>
      </c>
    </row>
    <row r="536" spans="1:25">
      <c r="A536" s="167" t="s">
        <v>91</v>
      </c>
      <c r="B536" s="162" t="s">
        <v>1555</v>
      </c>
      <c r="C536" s="163" t="s">
        <v>353</v>
      </c>
      <c r="D536" s="162" t="s">
        <v>347</v>
      </c>
      <c r="E536" s="161" t="s">
        <v>1631</v>
      </c>
      <c r="F536" s="162" t="s">
        <v>1614</v>
      </c>
      <c r="G536" s="161" t="s">
        <v>461</v>
      </c>
      <c r="H536" s="215">
        <v>3</v>
      </c>
      <c r="I536" s="171"/>
      <c r="J536" s="173">
        <v>2.78</v>
      </c>
      <c r="K536" s="172"/>
      <c r="L536" s="173">
        <v>8.34</v>
      </c>
      <c r="M536" s="171">
        <v>8.34</v>
      </c>
      <c r="N536" s="170"/>
      <c r="O536" s="177" t="s">
        <v>76</v>
      </c>
      <c r="P536" s="162" t="s">
        <v>1620</v>
      </c>
      <c r="Q536" s="176">
        <v>44805</v>
      </c>
      <c r="R536" s="174">
        <v>2041</v>
      </c>
      <c r="S536" s="179"/>
      <c r="T536" s="162" t="s">
        <v>24</v>
      </c>
      <c r="U536" s="161" t="s">
        <v>1615</v>
      </c>
      <c r="V536" s="174">
        <v>1846</v>
      </c>
      <c r="W536" s="180"/>
      <c r="X536" s="185">
        <v>45017</v>
      </c>
      <c r="Y536" s="187">
        <v>45022.47420138889</v>
      </c>
    </row>
    <row r="537" spans="1:25">
      <c r="A537" s="167" t="s">
        <v>77</v>
      </c>
      <c r="B537" s="162" t="s">
        <v>1599</v>
      </c>
      <c r="C537" s="163" t="s">
        <v>2434</v>
      </c>
      <c r="D537" s="162" t="s">
        <v>2435</v>
      </c>
      <c r="E537" s="161" t="s">
        <v>1602</v>
      </c>
      <c r="F537" s="162" t="s">
        <v>1603</v>
      </c>
      <c r="G537" s="161"/>
      <c r="H537" s="214">
        <v>1</v>
      </c>
      <c r="I537" s="171">
        <v>240</v>
      </c>
      <c r="J537" s="170">
        <v>240</v>
      </c>
      <c r="K537" s="172">
        <v>240</v>
      </c>
      <c r="L537" s="170">
        <v>240</v>
      </c>
      <c r="M537" s="171">
        <v>240</v>
      </c>
      <c r="N537" s="170">
        <v>0</v>
      </c>
      <c r="O537" s="177" t="s">
        <v>1523</v>
      </c>
      <c r="P537" s="162" t="s">
        <v>1619</v>
      </c>
      <c r="Q537" s="176"/>
      <c r="R537" s="174"/>
      <c r="S537" s="179"/>
      <c r="T537" s="162" t="s">
        <v>28</v>
      </c>
      <c r="U537" s="161" t="s">
        <v>19</v>
      </c>
      <c r="V537" s="174">
        <v>1922</v>
      </c>
      <c r="W537" s="180" t="s">
        <v>2436</v>
      </c>
      <c r="X537" s="185">
        <v>45069</v>
      </c>
      <c r="Y537" s="187">
        <v>45020.471689814818</v>
      </c>
    </row>
    <row r="538" spans="1:25">
      <c r="A538" s="167" t="s">
        <v>77</v>
      </c>
      <c r="B538" s="162" t="s">
        <v>1599</v>
      </c>
      <c r="C538" s="163" t="s">
        <v>2434</v>
      </c>
      <c r="D538" s="162" t="s">
        <v>2435</v>
      </c>
      <c r="E538" s="161" t="s">
        <v>1631</v>
      </c>
      <c r="F538" s="162" t="s">
        <v>1614</v>
      </c>
      <c r="G538" s="161"/>
      <c r="H538" s="215">
        <v>1</v>
      </c>
      <c r="I538" s="171">
        <v>0</v>
      </c>
      <c r="J538" s="173">
        <v>400</v>
      </c>
      <c r="K538" s="172">
        <v>0</v>
      </c>
      <c r="L538" s="173">
        <v>400</v>
      </c>
      <c r="M538" s="171">
        <v>400</v>
      </c>
      <c r="N538" s="170"/>
      <c r="O538" s="177" t="s">
        <v>1523</v>
      </c>
      <c r="P538" s="162" t="s">
        <v>1620</v>
      </c>
      <c r="Q538" s="176"/>
      <c r="R538" s="174"/>
      <c r="S538" s="179"/>
      <c r="T538" s="162" t="s">
        <v>28</v>
      </c>
      <c r="U538" s="161" t="s">
        <v>1615</v>
      </c>
      <c r="V538" s="174">
        <v>1922</v>
      </c>
      <c r="W538" s="180" t="s">
        <v>2436</v>
      </c>
      <c r="X538" s="185">
        <v>45069</v>
      </c>
      <c r="Y538" s="187">
        <v>45020.471689814818</v>
      </c>
    </row>
    <row r="539" spans="1:25">
      <c r="A539" s="167" t="s">
        <v>77</v>
      </c>
      <c r="B539" s="162" t="s">
        <v>1599</v>
      </c>
      <c r="C539" s="163" t="s">
        <v>2437</v>
      </c>
      <c r="D539" s="162" t="s">
        <v>2438</v>
      </c>
      <c r="E539" s="161" t="s">
        <v>1625</v>
      </c>
      <c r="F539" s="162" t="s">
        <v>1609</v>
      </c>
      <c r="G539" s="161"/>
      <c r="H539" s="214">
        <v>1</v>
      </c>
      <c r="I539" s="171">
        <v>800</v>
      </c>
      <c r="J539" s="170">
        <v>800</v>
      </c>
      <c r="K539" s="172">
        <v>800</v>
      </c>
      <c r="L539" s="170">
        <v>800</v>
      </c>
      <c r="M539" s="171">
        <v>800</v>
      </c>
      <c r="N539" s="170"/>
      <c r="O539" s="177" t="s">
        <v>1523</v>
      </c>
      <c r="P539" s="162" t="s">
        <v>1604</v>
      </c>
      <c r="Q539" s="176"/>
      <c r="R539" s="174"/>
      <c r="S539" s="179"/>
      <c r="T539" s="162" t="s">
        <v>28</v>
      </c>
      <c r="U539" s="161" t="s">
        <v>16</v>
      </c>
      <c r="V539" s="174">
        <v>2493</v>
      </c>
      <c r="W539" s="180" t="s">
        <v>2439</v>
      </c>
      <c r="X539" s="185">
        <v>45017</v>
      </c>
      <c r="Y539" s="187">
        <v>45035.840219907404</v>
      </c>
    </row>
    <row r="540" spans="1:25">
      <c r="A540" s="167" t="s">
        <v>110</v>
      </c>
      <c r="B540" s="162" t="s">
        <v>1599</v>
      </c>
      <c r="C540" s="163" t="s">
        <v>2440</v>
      </c>
      <c r="D540" s="162" t="s">
        <v>2441</v>
      </c>
      <c r="E540" s="161" t="s">
        <v>1673</v>
      </c>
      <c r="F540" s="162" t="s">
        <v>2442</v>
      </c>
      <c r="G540" s="161"/>
      <c r="H540" s="215">
        <v>2</v>
      </c>
      <c r="I540" s="171"/>
      <c r="J540" s="173">
        <v>13.95</v>
      </c>
      <c r="K540" s="172"/>
      <c r="L540" s="173">
        <v>27.9</v>
      </c>
      <c r="M540" s="171">
        <v>27.9</v>
      </c>
      <c r="N540" s="170"/>
      <c r="O540" s="177" t="s">
        <v>1523</v>
      </c>
      <c r="P540" s="162" t="s">
        <v>1619</v>
      </c>
      <c r="Q540" s="176"/>
      <c r="R540" s="174"/>
      <c r="S540" s="179"/>
      <c r="T540" s="162" t="s">
        <v>28</v>
      </c>
      <c r="U540" s="161" t="s">
        <v>13</v>
      </c>
      <c r="V540" s="174">
        <v>1981</v>
      </c>
      <c r="W540" s="180"/>
      <c r="X540" s="185">
        <v>45069</v>
      </c>
      <c r="Y540" s="187">
        <v>45075.349340277775</v>
      </c>
    </row>
    <row r="541" spans="1:25">
      <c r="A541" s="167" t="s">
        <v>110</v>
      </c>
      <c r="B541" s="162" t="s">
        <v>1599</v>
      </c>
      <c r="C541" s="163" t="s">
        <v>2440</v>
      </c>
      <c r="D541" s="162" t="s">
        <v>2441</v>
      </c>
      <c r="E541" s="161" t="s">
        <v>1673</v>
      </c>
      <c r="F541" s="162" t="s">
        <v>2442</v>
      </c>
      <c r="G541" s="161"/>
      <c r="H541" s="214">
        <v>1</v>
      </c>
      <c r="I541" s="171"/>
      <c r="J541" s="170">
        <v>13.95</v>
      </c>
      <c r="K541" s="172"/>
      <c r="L541" s="170">
        <v>13.95</v>
      </c>
      <c r="M541" s="171">
        <v>13.95</v>
      </c>
      <c r="N541" s="170"/>
      <c r="O541" s="177" t="s">
        <v>1523</v>
      </c>
      <c r="P541" s="162" t="s">
        <v>1619</v>
      </c>
      <c r="Q541" s="176"/>
      <c r="R541" s="174"/>
      <c r="S541" s="179"/>
      <c r="T541" s="162" t="s">
        <v>28</v>
      </c>
      <c r="U541" s="161" t="s">
        <v>13</v>
      </c>
      <c r="V541" s="174">
        <v>1981</v>
      </c>
      <c r="W541" s="180"/>
      <c r="X541" s="185">
        <v>45069</v>
      </c>
      <c r="Y541" s="187">
        <v>45075.349340277775</v>
      </c>
    </row>
    <row r="542" spans="1:25">
      <c r="A542" s="167" t="s">
        <v>77</v>
      </c>
      <c r="B542" s="162" t="s">
        <v>1599</v>
      </c>
      <c r="C542" s="163" t="s">
        <v>2443</v>
      </c>
      <c r="D542" s="162" t="s">
        <v>729</v>
      </c>
      <c r="E542" s="161" t="s">
        <v>1602</v>
      </c>
      <c r="F542" s="162" t="s">
        <v>1603</v>
      </c>
      <c r="G542" s="161"/>
      <c r="H542" s="215">
        <v>1</v>
      </c>
      <c r="I542" s="171"/>
      <c r="J542" s="173">
        <v>150</v>
      </c>
      <c r="K542" s="172"/>
      <c r="L542" s="173">
        <v>150</v>
      </c>
      <c r="M542" s="171">
        <v>150</v>
      </c>
      <c r="N542" s="170">
        <v>150</v>
      </c>
      <c r="O542" s="177" t="s">
        <v>1523</v>
      </c>
      <c r="P542" s="162" t="s">
        <v>1619</v>
      </c>
      <c r="Q542" s="176">
        <v>46113</v>
      </c>
      <c r="R542" s="174"/>
      <c r="S542" s="179"/>
      <c r="T542" s="162" t="s">
        <v>28</v>
      </c>
      <c r="U542" s="161" t="s">
        <v>19</v>
      </c>
      <c r="V542" s="174">
        <v>1992</v>
      </c>
      <c r="W542" s="180"/>
      <c r="X542" s="185">
        <v>45069</v>
      </c>
      <c r="Y542" s="187">
        <v>45028.438333333332</v>
      </c>
    </row>
    <row r="543" spans="1:25">
      <c r="A543" s="167" t="s">
        <v>77</v>
      </c>
      <c r="B543" s="162" t="s">
        <v>1555</v>
      </c>
      <c r="C543" s="163" t="s">
        <v>728</v>
      </c>
      <c r="D543" s="162" t="s">
        <v>729</v>
      </c>
      <c r="E543" s="161" t="s">
        <v>1631</v>
      </c>
      <c r="F543" s="162" t="s">
        <v>1614</v>
      </c>
      <c r="G543" s="161" t="s">
        <v>730</v>
      </c>
      <c r="H543" s="214">
        <v>81</v>
      </c>
      <c r="I543" s="171">
        <v>1.24</v>
      </c>
      <c r="J543" s="170">
        <v>1.64</v>
      </c>
      <c r="K543" s="172">
        <v>100.04</v>
      </c>
      <c r="L543" s="170">
        <v>132.6</v>
      </c>
      <c r="M543" s="171">
        <v>132.6</v>
      </c>
      <c r="N543" s="170"/>
      <c r="O543" s="177" t="s">
        <v>76</v>
      </c>
      <c r="P543" s="162" t="s">
        <v>1620</v>
      </c>
      <c r="Q543" s="176">
        <v>44075</v>
      </c>
      <c r="R543" s="174">
        <v>2050</v>
      </c>
      <c r="S543" s="179"/>
      <c r="T543" s="162" t="s">
        <v>24</v>
      </c>
      <c r="U543" s="161" t="s">
        <v>1615</v>
      </c>
      <c r="V543" s="174">
        <v>1564</v>
      </c>
      <c r="W543" s="180"/>
      <c r="X543" s="185">
        <v>45017</v>
      </c>
      <c r="Y543" s="187">
        <v>45021.525972222225</v>
      </c>
    </row>
    <row r="544" spans="1:25">
      <c r="A544" s="167" t="s">
        <v>77</v>
      </c>
      <c r="B544" s="162" t="s">
        <v>1599</v>
      </c>
      <c r="C544" s="163" t="s">
        <v>2444</v>
      </c>
      <c r="D544" s="162" t="s">
        <v>2445</v>
      </c>
      <c r="E544" s="161" t="s">
        <v>1613</v>
      </c>
      <c r="F544" s="162" t="s">
        <v>1603</v>
      </c>
      <c r="G544" s="161"/>
      <c r="H544" s="215">
        <v>1</v>
      </c>
      <c r="I544" s="171"/>
      <c r="J544" s="173">
        <v>300</v>
      </c>
      <c r="K544" s="172"/>
      <c r="L544" s="173">
        <v>300</v>
      </c>
      <c r="M544" s="171">
        <v>300</v>
      </c>
      <c r="N544" s="170"/>
      <c r="O544" s="177" t="s">
        <v>1523</v>
      </c>
      <c r="P544" s="162" t="s">
        <v>1620</v>
      </c>
      <c r="Q544" s="176"/>
      <c r="R544" s="174"/>
      <c r="S544" s="179"/>
      <c r="T544" s="162" t="s">
        <v>28</v>
      </c>
      <c r="U544" s="161" t="s">
        <v>1615</v>
      </c>
      <c r="V544" s="174">
        <v>1933</v>
      </c>
      <c r="W544" s="180" t="s">
        <v>2446</v>
      </c>
      <c r="X544" s="185">
        <v>45017</v>
      </c>
      <c r="Y544" s="187">
        <v>45020.478564814817</v>
      </c>
    </row>
    <row r="545" spans="1:25">
      <c r="A545" s="167" t="s">
        <v>110</v>
      </c>
      <c r="B545" s="162" t="s">
        <v>1599</v>
      </c>
      <c r="C545" s="163" t="s">
        <v>2447</v>
      </c>
      <c r="D545" s="162" t="s">
        <v>1750</v>
      </c>
      <c r="E545" s="161" t="s">
        <v>1602</v>
      </c>
      <c r="F545" s="162" t="s">
        <v>1603</v>
      </c>
      <c r="G545" s="161"/>
      <c r="H545" s="214">
        <v>1</v>
      </c>
      <c r="I545" s="171">
        <v>400</v>
      </c>
      <c r="J545" s="170">
        <v>400</v>
      </c>
      <c r="K545" s="172">
        <v>400</v>
      </c>
      <c r="L545" s="170">
        <v>400</v>
      </c>
      <c r="M545" s="171">
        <v>400</v>
      </c>
      <c r="N545" s="170">
        <v>0</v>
      </c>
      <c r="O545" s="177" t="s">
        <v>1523</v>
      </c>
      <c r="P545" s="162" t="s">
        <v>1619</v>
      </c>
      <c r="Q545" s="176"/>
      <c r="R545" s="174"/>
      <c r="S545" s="179"/>
      <c r="T545" s="162" t="s">
        <v>28</v>
      </c>
      <c r="U545" s="161" t="s">
        <v>19</v>
      </c>
      <c r="V545" s="174">
        <v>2338</v>
      </c>
      <c r="W545" s="180" t="s">
        <v>2448</v>
      </c>
      <c r="X545" s="185">
        <v>45017</v>
      </c>
      <c r="Y545" s="187">
        <v>45027.650763888887</v>
      </c>
    </row>
    <row r="546" spans="1:25">
      <c r="A546" s="167" t="s">
        <v>110</v>
      </c>
      <c r="B546" s="162" t="s">
        <v>1599</v>
      </c>
      <c r="C546" s="163" t="s">
        <v>2449</v>
      </c>
      <c r="D546" s="162" t="s">
        <v>2338</v>
      </c>
      <c r="E546" s="161" t="s">
        <v>1602</v>
      </c>
      <c r="F546" s="162" t="s">
        <v>1603</v>
      </c>
      <c r="G546" s="161"/>
      <c r="H546" s="215">
        <v>1</v>
      </c>
      <c r="I546" s="171">
        <v>400</v>
      </c>
      <c r="J546" s="173">
        <v>400</v>
      </c>
      <c r="K546" s="172">
        <v>400</v>
      </c>
      <c r="L546" s="173">
        <v>400</v>
      </c>
      <c r="M546" s="171">
        <v>400</v>
      </c>
      <c r="N546" s="170">
        <v>0</v>
      </c>
      <c r="O546" s="177" t="s">
        <v>1523</v>
      </c>
      <c r="P546" s="162" t="s">
        <v>1604</v>
      </c>
      <c r="Q546" s="176"/>
      <c r="R546" s="174"/>
      <c r="S546" s="179"/>
      <c r="T546" s="162" t="s">
        <v>28</v>
      </c>
      <c r="U546" s="161" t="s">
        <v>19</v>
      </c>
      <c r="V546" s="174">
        <v>2395</v>
      </c>
      <c r="W546" s="180" t="s">
        <v>2450</v>
      </c>
      <c r="X546" s="185">
        <v>45017</v>
      </c>
      <c r="Y546" s="187">
        <v>44932.313287037039</v>
      </c>
    </row>
    <row r="547" spans="1:25">
      <c r="A547" s="167" t="s">
        <v>110</v>
      </c>
      <c r="B547" s="162" t="s">
        <v>1599</v>
      </c>
      <c r="C547" s="163" t="s">
        <v>117</v>
      </c>
      <c r="D547" s="162" t="s">
        <v>118</v>
      </c>
      <c r="E547" s="161" t="s">
        <v>1625</v>
      </c>
      <c r="F547" s="162" t="s">
        <v>1609</v>
      </c>
      <c r="G547" s="161"/>
      <c r="H547" s="214">
        <v>23</v>
      </c>
      <c r="I547" s="171">
        <v>4.2</v>
      </c>
      <c r="J547" s="170">
        <v>4.2</v>
      </c>
      <c r="K547" s="172">
        <v>96.6</v>
      </c>
      <c r="L547" s="170">
        <v>96.6</v>
      </c>
      <c r="M547" s="171">
        <v>96.6</v>
      </c>
      <c r="N547" s="170"/>
      <c r="O547" s="177" t="s">
        <v>26</v>
      </c>
      <c r="P547" s="162" t="s">
        <v>1620</v>
      </c>
      <c r="Q547" s="202">
        <v>45383</v>
      </c>
      <c r="R547" s="174"/>
      <c r="S547" s="179"/>
      <c r="T547" s="162" t="s">
        <v>26</v>
      </c>
      <c r="U547" s="161" t="s">
        <v>16</v>
      </c>
      <c r="V547" s="174">
        <v>1089</v>
      </c>
      <c r="W547" s="180" t="s">
        <v>2451</v>
      </c>
      <c r="X547" s="185">
        <v>45069</v>
      </c>
      <c r="Y547" s="187">
        <v>45110</v>
      </c>
    </row>
    <row r="548" spans="1:25">
      <c r="A548" s="167" t="s">
        <v>45</v>
      </c>
      <c r="B548" s="162" t="s">
        <v>1599</v>
      </c>
      <c r="C548" s="163" t="s">
        <v>2452</v>
      </c>
      <c r="D548" s="162" t="s">
        <v>2453</v>
      </c>
      <c r="E548" s="161" t="s">
        <v>1631</v>
      </c>
      <c r="F548" s="162" t="s">
        <v>1614</v>
      </c>
      <c r="G548" s="161"/>
      <c r="H548" s="215">
        <v>1</v>
      </c>
      <c r="I548" s="171">
        <v>110</v>
      </c>
      <c r="J548" s="173">
        <v>110</v>
      </c>
      <c r="K548" s="172">
        <v>110</v>
      </c>
      <c r="L548" s="173">
        <v>110</v>
      </c>
      <c r="M548" s="171">
        <v>110</v>
      </c>
      <c r="N548" s="170"/>
      <c r="O548" s="177" t="s">
        <v>1523</v>
      </c>
      <c r="P548" s="162" t="s">
        <v>1620</v>
      </c>
      <c r="Q548" s="176"/>
      <c r="R548" s="174"/>
      <c r="S548" s="179"/>
      <c r="T548" s="162" t="s">
        <v>28</v>
      </c>
      <c r="U548" s="161" t="s">
        <v>1615</v>
      </c>
      <c r="V548" s="174">
        <v>1451</v>
      </c>
      <c r="W548" s="180"/>
      <c r="X548" s="185">
        <v>45017</v>
      </c>
      <c r="Y548" s="187">
        <v>43245.037557870368</v>
      </c>
    </row>
    <row r="549" spans="1:25">
      <c r="A549" s="167" t="s">
        <v>77</v>
      </c>
      <c r="B549" s="162" t="s">
        <v>1555</v>
      </c>
      <c r="C549" s="163" t="s">
        <v>839</v>
      </c>
      <c r="D549" s="162" t="s">
        <v>840</v>
      </c>
      <c r="E549" s="161" t="s">
        <v>1631</v>
      </c>
      <c r="F549" s="162" t="s">
        <v>1614</v>
      </c>
      <c r="G549" s="161" t="s">
        <v>841</v>
      </c>
      <c r="H549" s="214">
        <v>21</v>
      </c>
      <c r="I549" s="171">
        <v>0</v>
      </c>
      <c r="J549" s="170">
        <v>2.75</v>
      </c>
      <c r="K549" s="172">
        <v>0</v>
      </c>
      <c r="L549" s="170">
        <v>57.75</v>
      </c>
      <c r="M549" s="171">
        <v>57.75</v>
      </c>
      <c r="N549" s="170"/>
      <c r="O549" s="177" t="s">
        <v>76</v>
      </c>
      <c r="P549" s="162" t="s">
        <v>1620</v>
      </c>
      <c r="Q549" s="176"/>
      <c r="R549" s="174">
        <v>2048</v>
      </c>
      <c r="S549" s="179"/>
      <c r="T549" s="162" t="s">
        <v>24</v>
      </c>
      <c r="U549" s="161" t="s">
        <v>1615</v>
      </c>
      <c r="V549" s="174">
        <v>1517</v>
      </c>
      <c r="W549" s="180"/>
      <c r="X549" s="185">
        <v>45017</v>
      </c>
      <c r="Y549" s="187">
        <v>45021.456493055557</v>
      </c>
    </row>
    <row r="550" spans="1:25">
      <c r="A550" s="167" t="s">
        <v>77</v>
      </c>
      <c r="B550" s="162" t="s">
        <v>1599</v>
      </c>
      <c r="C550" s="163" t="s">
        <v>2454</v>
      </c>
      <c r="D550" s="162" t="s">
        <v>2142</v>
      </c>
      <c r="E550" s="161" t="s">
        <v>1602</v>
      </c>
      <c r="F550" s="162" t="s">
        <v>1603</v>
      </c>
      <c r="G550" s="161"/>
      <c r="H550" s="215">
        <v>1</v>
      </c>
      <c r="I550" s="171">
        <v>1100</v>
      </c>
      <c r="J550" s="173">
        <v>1100</v>
      </c>
      <c r="K550" s="172">
        <v>1100</v>
      </c>
      <c r="L550" s="173">
        <v>1100</v>
      </c>
      <c r="M550" s="171">
        <v>1100</v>
      </c>
      <c r="N550" s="170">
        <v>0</v>
      </c>
      <c r="O550" s="177" t="s">
        <v>1523</v>
      </c>
      <c r="P550" s="162" t="s">
        <v>1604</v>
      </c>
      <c r="Q550" s="176"/>
      <c r="R550" s="174"/>
      <c r="S550" s="179"/>
      <c r="T550" s="162" t="s">
        <v>28</v>
      </c>
      <c r="U550" s="161" t="s">
        <v>19</v>
      </c>
      <c r="V550" s="174">
        <v>2386</v>
      </c>
      <c r="W550" s="180" t="s">
        <v>2455</v>
      </c>
      <c r="X550" s="185">
        <v>45017</v>
      </c>
      <c r="Y550" s="187">
        <v>44931.584016203706</v>
      </c>
    </row>
    <row r="551" spans="1:25">
      <c r="A551" s="167" t="s">
        <v>110</v>
      </c>
      <c r="B551" s="162" t="s">
        <v>1599</v>
      </c>
      <c r="C551" s="163" t="s">
        <v>377</v>
      </c>
      <c r="D551" s="162" t="s">
        <v>378</v>
      </c>
      <c r="E551" s="161" t="s">
        <v>1602</v>
      </c>
      <c r="F551" s="162" t="s">
        <v>1603</v>
      </c>
      <c r="G551" s="161" t="s">
        <v>379</v>
      </c>
      <c r="H551" s="214">
        <v>1</v>
      </c>
      <c r="I551" s="171">
        <v>200.07</v>
      </c>
      <c r="J551" s="170">
        <v>200.07</v>
      </c>
      <c r="K551" s="172">
        <v>200.07</v>
      </c>
      <c r="L551" s="170">
        <v>200.07</v>
      </c>
      <c r="M551" s="171">
        <v>200.07</v>
      </c>
      <c r="N551" s="170">
        <v>150</v>
      </c>
      <c r="O551" s="177" t="s">
        <v>26</v>
      </c>
      <c r="P551" s="162" t="s">
        <v>1619</v>
      </c>
      <c r="Q551" s="176">
        <v>45078</v>
      </c>
      <c r="R551" s="174">
        <v>2043</v>
      </c>
      <c r="S551" s="179"/>
      <c r="T551" s="162" t="s">
        <v>26</v>
      </c>
      <c r="U551" s="161" t="s">
        <v>19</v>
      </c>
      <c r="V551" s="174">
        <v>1991</v>
      </c>
      <c r="W551" s="180" t="s">
        <v>2456</v>
      </c>
      <c r="X551" s="185">
        <v>45069</v>
      </c>
      <c r="Y551" s="187">
        <v>45097.567650462966</v>
      </c>
    </row>
    <row r="552" spans="1:25">
      <c r="A552" s="167" t="s">
        <v>110</v>
      </c>
      <c r="B552" s="162" t="s">
        <v>1599</v>
      </c>
      <c r="C552" s="163" t="s">
        <v>2457</v>
      </c>
      <c r="D552" s="162" t="s">
        <v>2458</v>
      </c>
      <c r="E552" s="161" t="s">
        <v>1613</v>
      </c>
      <c r="F552" s="162" t="s">
        <v>1614</v>
      </c>
      <c r="G552" s="161"/>
      <c r="H552" s="215">
        <v>1</v>
      </c>
      <c r="I552" s="171">
        <v>480</v>
      </c>
      <c r="J552" s="173">
        <v>480</v>
      </c>
      <c r="K552" s="172">
        <v>480</v>
      </c>
      <c r="L552" s="173">
        <v>480</v>
      </c>
      <c r="M552" s="171">
        <v>480</v>
      </c>
      <c r="N552" s="170"/>
      <c r="O552" s="177" t="s">
        <v>1523</v>
      </c>
      <c r="P552" s="162" t="s">
        <v>1604</v>
      </c>
      <c r="Q552" s="176"/>
      <c r="R552" s="174"/>
      <c r="S552" s="179"/>
      <c r="T552" s="162" t="s">
        <v>28</v>
      </c>
      <c r="U552" s="161" t="s">
        <v>1615</v>
      </c>
      <c r="V552" s="174">
        <v>2399</v>
      </c>
      <c r="W552" s="180" t="s">
        <v>2459</v>
      </c>
      <c r="X552" s="185">
        <v>45017</v>
      </c>
      <c r="Y552" s="187">
        <v>44932.338796296295</v>
      </c>
    </row>
    <row r="553" spans="1:25">
      <c r="A553" s="167" t="s">
        <v>91</v>
      </c>
      <c r="B553" s="162" t="s">
        <v>1599</v>
      </c>
      <c r="C553" s="163" t="s">
        <v>2460</v>
      </c>
      <c r="D553" s="162" t="s">
        <v>2461</v>
      </c>
      <c r="E553" s="161" t="s">
        <v>1602</v>
      </c>
      <c r="F553" s="162" t="s">
        <v>1603</v>
      </c>
      <c r="G553" s="161"/>
      <c r="H553" s="214">
        <v>1</v>
      </c>
      <c r="I553" s="171"/>
      <c r="J553" s="170">
        <v>1</v>
      </c>
      <c r="K553" s="172"/>
      <c r="L553" s="170">
        <v>1</v>
      </c>
      <c r="M553" s="171">
        <v>1</v>
      </c>
      <c r="N553" s="170">
        <v>0</v>
      </c>
      <c r="O553" s="177" t="s">
        <v>1523</v>
      </c>
      <c r="P553" s="162" t="s">
        <v>1604</v>
      </c>
      <c r="Q553" s="176"/>
      <c r="R553" s="174"/>
      <c r="S553" s="179"/>
      <c r="T553" s="162" t="s">
        <v>28</v>
      </c>
      <c r="U553" s="161" t="s">
        <v>19</v>
      </c>
      <c r="V553" s="174">
        <v>2050</v>
      </c>
      <c r="W553" s="180"/>
      <c r="X553" s="185">
        <v>45017</v>
      </c>
      <c r="Y553" s="187">
        <v>44824.625868055555</v>
      </c>
    </row>
    <row r="554" spans="1:25">
      <c r="A554" s="167" t="s">
        <v>105</v>
      </c>
      <c r="B554" s="162" t="s">
        <v>1599</v>
      </c>
      <c r="C554" s="163" t="s">
        <v>2462</v>
      </c>
      <c r="D554" s="162" t="s">
        <v>1845</v>
      </c>
      <c r="E554" s="161" t="s">
        <v>1625</v>
      </c>
      <c r="F554" s="162" t="s">
        <v>1609</v>
      </c>
      <c r="G554" s="161"/>
      <c r="H554" s="215">
        <v>25</v>
      </c>
      <c r="I554" s="171"/>
      <c r="J554" s="173">
        <v>6.2</v>
      </c>
      <c r="K554" s="172"/>
      <c r="L554" s="173">
        <v>155</v>
      </c>
      <c r="M554" s="171">
        <v>155</v>
      </c>
      <c r="N554" s="170"/>
      <c r="O554" s="177" t="s">
        <v>1523</v>
      </c>
      <c r="P554" s="162" t="s">
        <v>1604</v>
      </c>
      <c r="Q554" s="176"/>
      <c r="R554" s="174"/>
      <c r="S554" s="179"/>
      <c r="T554" s="162" t="s">
        <v>28</v>
      </c>
      <c r="U554" s="161" t="s">
        <v>16</v>
      </c>
      <c r="V554" s="174">
        <v>2007</v>
      </c>
      <c r="W554" s="180" t="s">
        <v>3973</v>
      </c>
      <c r="X554" s="185">
        <v>45017</v>
      </c>
      <c r="Y554" s="187">
        <v>45099.699756944443</v>
      </c>
    </row>
    <row r="555" spans="1:25">
      <c r="A555" s="167" t="s">
        <v>77</v>
      </c>
      <c r="B555" s="162" t="s">
        <v>1599</v>
      </c>
      <c r="C555" s="163" t="s">
        <v>2463</v>
      </c>
      <c r="D555" s="162" t="s">
        <v>2464</v>
      </c>
      <c r="E555" s="161" t="s">
        <v>1625</v>
      </c>
      <c r="F555" s="162" t="s">
        <v>1609</v>
      </c>
      <c r="G555" s="161"/>
      <c r="H555" s="214">
        <v>1</v>
      </c>
      <c r="I555" s="171"/>
      <c r="J555" s="170">
        <v>1000</v>
      </c>
      <c r="K555" s="172"/>
      <c r="L555" s="170">
        <v>1000</v>
      </c>
      <c r="M555" s="171">
        <v>1000</v>
      </c>
      <c r="N555" s="170"/>
      <c r="O555" s="177" t="s">
        <v>1523</v>
      </c>
      <c r="P555" s="162" t="s">
        <v>1620</v>
      </c>
      <c r="Q555" s="176"/>
      <c r="R555" s="174"/>
      <c r="S555" s="179"/>
      <c r="T555" s="162" t="s">
        <v>28</v>
      </c>
      <c r="U555" s="161" t="s">
        <v>16</v>
      </c>
      <c r="V555" s="174">
        <v>2264</v>
      </c>
      <c r="W555" s="180"/>
      <c r="X555" s="185">
        <v>45017</v>
      </c>
      <c r="Y555" s="187">
        <v>45027.662708333337</v>
      </c>
    </row>
    <row r="556" spans="1:25">
      <c r="A556" s="167" t="s">
        <v>110</v>
      </c>
      <c r="B556" s="162" t="s">
        <v>1599</v>
      </c>
      <c r="C556" s="163" t="s">
        <v>2465</v>
      </c>
      <c r="D556" s="162" t="s">
        <v>2466</v>
      </c>
      <c r="E556" s="161" t="s">
        <v>1625</v>
      </c>
      <c r="F556" s="162" t="s">
        <v>1609</v>
      </c>
      <c r="G556" s="161"/>
      <c r="H556" s="215">
        <v>109</v>
      </c>
      <c r="I556" s="171">
        <v>7</v>
      </c>
      <c r="J556" s="173">
        <v>7</v>
      </c>
      <c r="K556" s="172">
        <v>763</v>
      </c>
      <c r="L556" s="173">
        <v>763</v>
      </c>
      <c r="M556" s="171">
        <v>763</v>
      </c>
      <c r="N556" s="170"/>
      <c r="O556" s="177" t="s">
        <v>1523</v>
      </c>
      <c r="P556" s="162" t="s">
        <v>1620</v>
      </c>
      <c r="Q556" s="176"/>
      <c r="R556" s="174"/>
      <c r="S556" s="179"/>
      <c r="T556" s="162" t="s">
        <v>28</v>
      </c>
      <c r="U556" s="161" t="s">
        <v>16</v>
      </c>
      <c r="V556" s="174">
        <v>1287</v>
      </c>
      <c r="W556" s="180"/>
      <c r="X556" s="185">
        <v>45069</v>
      </c>
      <c r="Y556" s="187">
        <v>45097.376921296294</v>
      </c>
    </row>
    <row r="557" spans="1:25">
      <c r="A557" s="167" t="s">
        <v>77</v>
      </c>
      <c r="B557" s="162" t="s">
        <v>1599</v>
      </c>
      <c r="C557" s="163" t="s">
        <v>2467</v>
      </c>
      <c r="D557" s="162" t="s">
        <v>442</v>
      </c>
      <c r="E557" s="161" t="s">
        <v>1625</v>
      </c>
      <c r="F557" s="162" t="s">
        <v>1609</v>
      </c>
      <c r="G557" s="161"/>
      <c r="H557" s="214">
        <v>18</v>
      </c>
      <c r="I557" s="171">
        <v>3.7</v>
      </c>
      <c r="J557" s="170">
        <v>4.7</v>
      </c>
      <c r="K557" s="172">
        <v>66.599999999999994</v>
      </c>
      <c r="L557" s="170">
        <v>84.6</v>
      </c>
      <c r="M557" s="171" t="s">
        <v>2468</v>
      </c>
      <c r="N557" s="170"/>
      <c r="O557" s="177" t="s">
        <v>1523</v>
      </c>
      <c r="P557" s="162" t="s">
        <v>1620</v>
      </c>
      <c r="Q557" s="176">
        <v>45809</v>
      </c>
      <c r="R557" s="174"/>
      <c r="S557" s="179"/>
      <c r="T557" s="162" t="s">
        <v>28</v>
      </c>
      <c r="U557" s="161" t="s">
        <v>16</v>
      </c>
      <c r="V557" s="174">
        <v>1090</v>
      </c>
      <c r="W557" s="180"/>
      <c r="X557" s="185">
        <v>45017</v>
      </c>
      <c r="Y557" s="187">
        <v>45015.452106481483</v>
      </c>
    </row>
    <row r="558" spans="1:25">
      <c r="A558" s="167" t="s">
        <v>91</v>
      </c>
      <c r="B558" s="162" t="s">
        <v>1599</v>
      </c>
      <c r="C558" s="163" t="s">
        <v>2469</v>
      </c>
      <c r="D558" s="162" t="s">
        <v>301</v>
      </c>
      <c r="E558" s="161" t="s">
        <v>1657</v>
      </c>
      <c r="F558" s="164" t="s">
        <v>1658</v>
      </c>
      <c r="G558" s="161"/>
      <c r="H558" s="215">
        <v>1</v>
      </c>
      <c r="I558" s="171">
        <v>0</v>
      </c>
      <c r="J558" s="173">
        <v>300</v>
      </c>
      <c r="K558" s="172">
        <v>0</v>
      </c>
      <c r="L558" s="173">
        <v>300</v>
      </c>
      <c r="M558" s="171">
        <v>300</v>
      </c>
      <c r="N558" s="170">
        <v>0</v>
      </c>
      <c r="O558" s="177" t="s">
        <v>1523</v>
      </c>
      <c r="P558" s="162" t="s">
        <v>1619</v>
      </c>
      <c r="Q558" s="176"/>
      <c r="R558" s="175"/>
      <c r="S558" s="179"/>
      <c r="T558" s="164" t="s">
        <v>28</v>
      </c>
      <c r="U558" s="161" t="s">
        <v>17</v>
      </c>
      <c r="V558" s="175">
        <v>1485</v>
      </c>
      <c r="W558" s="181"/>
      <c r="X558" s="185">
        <v>45017</v>
      </c>
      <c r="Y558" s="187">
        <v>44981.39916666667</v>
      </c>
    </row>
    <row r="559" spans="1:25">
      <c r="A559" s="167" t="s">
        <v>45</v>
      </c>
      <c r="B559" s="162" t="s">
        <v>1599</v>
      </c>
      <c r="C559" s="163" t="s">
        <v>2470</v>
      </c>
      <c r="D559" s="162" t="s">
        <v>2471</v>
      </c>
      <c r="E559" s="161" t="s">
        <v>1625</v>
      </c>
      <c r="F559" s="162" t="s">
        <v>1609</v>
      </c>
      <c r="G559" s="161"/>
      <c r="H559" s="214">
        <v>1</v>
      </c>
      <c r="I559" s="171"/>
      <c r="J559" s="170">
        <v>400</v>
      </c>
      <c r="K559" s="172"/>
      <c r="L559" s="170">
        <v>400</v>
      </c>
      <c r="M559" s="171">
        <v>400</v>
      </c>
      <c r="N559" s="170"/>
      <c r="O559" s="177" t="s">
        <v>1523</v>
      </c>
      <c r="P559" s="162" t="s">
        <v>1620</v>
      </c>
      <c r="Q559" s="176"/>
      <c r="R559" s="174"/>
      <c r="S559" s="179"/>
      <c r="T559" s="162" t="s">
        <v>28</v>
      </c>
      <c r="U559" s="161" t="s">
        <v>16</v>
      </c>
      <c r="V559" s="174">
        <v>2040</v>
      </c>
      <c r="W559" s="180"/>
      <c r="X559" s="185">
        <v>45017</v>
      </c>
      <c r="Y559" s="187">
        <v>44824.478020833332</v>
      </c>
    </row>
    <row r="560" spans="1:25">
      <c r="A560" s="167" t="s">
        <v>45</v>
      </c>
      <c r="B560" s="162" t="s">
        <v>1555</v>
      </c>
      <c r="C560" s="163" t="s">
        <v>327</v>
      </c>
      <c r="D560" s="162" t="s">
        <v>328</v>
      </c>
      <c r="E560" s="161" t="s">
        <v>1631</v>
      </c>
      <c r="F560" s="162" t="s">
        <v>1614</v>
      </c>
      <c r="G560" s="161" t="s">
        <v>329</v>
      </c>
      <c r="H560" s="215">
        <v>40</v>
      </c>
      <c r="I560" s="171">
        <v>2.75</v>
      </c>
      <c r="J560" s="173">
        <v>2.75</v>
      </c>
      <c r="K560" s="172">
        <v>110</v>
      </c>
      <c r="L560" s="173">
        <v>110</v>
      </c>
      <c r="M560" s="171">
        <v>110</v>
      </c>
      <c r="N560" s="170"/>
      <c r="O560" s="177" t="s">
        <v>76</v>
      </c>
      <c r="P560" s="162" t="s">
        <v>1620</v>
      </c>
      <c r="Q560" s="176">
        <v>44743</v>
      </c>
      <c r="R560" s="174">
        <v>2046</v>
      </c>
      <c r="S560" s="179"/>
      <c r="T560" s="162" t="s">
        <v>24</v>
      </c>
      <c r="U560" s="161" t="s">
        <v>1615</v>
      </c>
      <c r="V560" s="174">
        <v>1452</v>
      </c>
      <c r="W560" s="180"/>
      <c r="X560" s="185">
        <v>45017</v>
      </c>
      <c r="Y560" s="187">
        <v>45022.422615740739</v>
      </c>
    </row>
    <row r="561" spans="1:25">
      <c r="A561" s="167" t="s">
        <v>105</v>
      </c>
      <c r="B561" s="162" t="s">
        <v>1555</v>
      </c>
      <c r="C561" s="163" t="s">
        <v>2472</v>
      </c>
      <c r="D561" s="162" t="s">
        <v>2473</v>
      </c>
      <c r="E561" s="161" t="s">
        <v>1596</v>
      </c>
      <c r="F561" s="162" t="s">
        <v>1603</v>
      </c>
      <c r="G561" s="161"/>
      <c r="H561" s="214">
        <v>1</v>
      </c>
      <c r="I561" s="171">
        <v>1</v>
      </c>
      <c r="J561" s="170">
        <v>1</v>
      </c>
      <c r="K561" s="172">
        <v>1</v>
      </c>
      <c r="L561" s="170">
        <v>1</v>
      </c>
      <c r="M561" s="171">
        <v>1</v>
      </c>
      <c r="N561" s="170"/>
      <c r="O561" s="177" t="s">
        <v>76</v>
      </c>
      <c r="P561" s="162" t="s">
        <v>1591</v>
      </c>
      <c r="Q561" s="176"/>
      <c r="R561" s="174"/>
      <c r="S561" s="179"/>
      <c r="T561" s="162" t="s">
        <v>24</v>
      </c>
      <c r="U561" s="161" t="s">
        <v>20</v>
      </c>
      <c r="V561" s="174">
        <v>1314</v>
      </c>
      <c r="W561" s="180"/>
      <c r="X561" s="185">
        <v>44621</v>
      </c>
      <c r="Y561" s="187">
        <v>45029.636018518519</v>
      </c>
    </row>
    <row r="562" spans="1:25">
      <c r="A562" s="167" t="s">
        <v>105</v>
      </c>
      <c r="B562" s="162" t="s">
        <v>1599</v>
      </c>
      <c r="C562" s="163" t="s">
        <v>2474</v>
      </c>
      <c r="D562" s="162" t="s">
        <v>2475</v>
      </c>
      <c r="E562" s="161" t="s">
        <v>1602</v>
      </c>
      <c r="F562" s="162" t="s">
        <v>1603</v>
      </c>
      <c r="G562" s="161"/>
      <c r="H562" s="215">
        <v>1</v>
      </c>
      <c r="I562" s="171">
        <v>11</v>
      </c>
      <c r="J562" s="173">
        <v>11</v>
      </c>
      <c r="K562" s="172">
        <v>11</v>
      </c>
      <c r="L562" s="173">
        <v>11</v>
      </c>
      <c r="M562" s="171">
        <v>11</v>
      </c>
      <c r="N562" s="170">
        <v>0</v>
      </c>
      <c r="O562" s="177" t="s">
        <v>1523</v>
      </c>
      <c r="P562" s="162" t="s">
        <v>1604</v>
      </c>
      <c r="Q562" s="176"/>
      <c r="R562" s="174"/>
      <c r="S562" s="179"/>
      <c r="T562" s="162" t="s">
        <v>28</v>
      </c>
      <c r="U562" s="161" t="s">
        <v>19</v>
      </c>
      <c r="V562" s="174">
        <v>2472</v>
      </c>
      <c r="W562" s="180" t="s">
        <v>2476</v>
      </c>
      <c r="X562" s="185">
        <v>45017</v>
      </c>
      <c r="Y562" s="187">
        <v>45035.517708333333</v>
      </c>
    </row>
    <row r="563" spans="1:25">
      <c r="A563" s="220" t="s">
        <v>77</v>
      </c>
      <c r="B563" s="221" t="s">
        <v>1599</v>
      </c>
      <c r="C563" s="222" t="s">
        <v>3899</v>
      </c>
      <c r="D563" s="221" t="s">
        <v>3900</v>
      </c>
      <c r="E563" s="223" t="s">
        <v>1613</v>
      </c>
      <c r="F563" s="224" t="s">
        <v>1615</v>
      </c>
      <c r="G563" s="161"/>
      <c r="H563" s="214">
        <v>1</v>
      </c>
      <c r="I563" s="171"/>
      <c r="J563" s="170">
        <v>2480</v>
      </c>
      <c r="K563" s="172"/>
      <c r="L563" s="170">
        <v>2480</v>
      </c>
      <c r="M563" s="171">
        <v>2480</v>
      </c>
      <c r="N563" s="170"/>
      <c r="O563" s="230" t="s">
        <v>1523</v>
      </c>
      <c r="P563" s="221" t="s">
        <v>1604</v>
      </c>
      <c r="Q563" s="231"/>
      <c r="R563" s="232"/>
      <c r="S563" s="233"/>
      <c r="T563" s="224" t="s">
        <v>28</v>
      </c>
      <c r="U563" s="223" t="s">
        <v>1615</v>
      </c>
      <c r="V563" s="232">
        <v>2562</v>
      </c>
      <c r="W563" s="234" t="s">
        <v>3950</v>
      </c>
      <c r="X563" s="235"/>
      <c r="Y563" s="236">
        <v>45111.596944444442</v>
      </c>
    </row>
    <row r="564" spans="1:25">
      <c r="A564" s="167" t="s">
        <v>91</v>
      </c>
      <c r="B564" s="162" t="s">
        <v>1555</v>
      </c>
      <c r="C564" s="163" t="s">
        <v>664</v>
      </c>
      <c r="D564" s="162" t="s">
        <v>665</v>
      </c>
      <c r="E564" s="161" t="s">
        <v>1602</v>
      </c>
      <c r="F564" s="162" t="s">
        <v>1603</v>
      </c>
      <c r="G564" s="161" t="s">
        <v>666</v>
      </c>
      <c r="H564" s="215">
        <v>1</v>
      </c>
      <c r="I564" s="171"/>
      <c r="J564" s="173">
        <v>100</v>
      </c>
      <c r="K564" s="172"/>
      <c r="L564" s="173">
        <v>100</v>
      </c>
      <c r="M564" s="171">
        <v>100</v>
      </c>
      <c r="N564" s="170">
        <v>117</v>
      </c>
      <c r="O564" s="177" t="s">
        <v>76</v>
      </c>
      <c r="P564" s="162" t="s">
        <v>1619</v>
      </c>
      <c r="Q564" s="176"/>
      <c r="R564" s="174">
        <v>2057</v>
      </c>
      <c r="S564" s="179"/>
      <c r="T564" s="162" t="s">
        <v>24</v>
      </c>
      <c r="U564" s="161" t="s">
        <v>19</v>
      </c>
      <c r="V564" s="174">
        <v>1610</v>
      </c>
      <c r="W564" s="180"/>
      <c r="X564" s="185">
        <v>45017</v>
      </c>
      <c r="Y564" s="187">
        <v>45021.586446759262</v>
      </c>
    </row>
    <row r="565" spans="1:25">
      <c r="A565" s="167" t="s">
        <v>91</v>
      </c>
      <c r="B565" s="162" t="s">
        <v>1555</v>
      </c>
      <c r="C565" s="163" t="s">
        <v>664</v>
      </c>
      <c r="D565" s="162" t="s">
        <v>665</v>
      </c>
      <c r="E565" s="161" t="s">
        <v>1602</v>
      </c>
      <c r="F565" s="162" t="s">
        <v>1603</v>
      </c>
      <c r="G565" s="161" t="s">
        <v>666</v>
      </c>
      <c r="H565" s="214">
        <v>1</v>
      </c>
      <c r="I565" s="171"/>
      <c r="J565" s="170">
        <v>50</v>
      </c>
      <c r="K565" s="172"/>
      <c r="L565" s="170">
        <v>50</v>
      </c>
      <c r="M565" s="171">
        <v>50</v>
      </c>
      <c r="N565" s="170">
        <v>61.3</v>
      </c>
      <c r="O565" s="177" t="s">
        <v>76</v>
      </c>
      <c r="P565" s="162" t="s">
        <v>1619</v>
      </c>
      <c r="Q565" s="176">
        <v>44013</v>
      </c>
      <c r="R565" s="174">
        <v>2057</v>
      </c>
      <c r="S565" s="179"/>
      <c r="T565" s="162" t="s">
        <v>24</v>
      </c>
      <c r="U565" s="161" t="s">
        <v>19</v>
      </c>
      <c r="V565" s="174">
        <v>1610</v>
      </c>
      <c r="W565" s="180"/>
      <c r="X565" s="185">
        <v>45017</v>
      </c>
      <c r="Y565" s="187">
        <v>45021.586446759262</v>
      </c>
    </row>
    <row r="566" spans="1:25">
      <c r="A566" s="167" t="s">
        <v>91</v>
      </c>
      <c r="B566" s="162" t="s">
        <v>1555</v>
      </c>
      <c r="C566" s="163" t="s">
        <v>1156</v>
      </c>
      <c r="D566" s="162" t="s">
        <v>2477</v>
      </c>
      <c r="E566" s="161" t="s">
        <v>1625</v>
      </c>
      <c r="F566" s="162" t="s">
        <v>1609</v>
      </c>
      <c r="G566" s="161" t="s">
        <v>2478</v>
      </c>
      <c r="H566" s="215">
        <v>32</v>
      </c>
      <c r="I566" s="171">
        <v>3.2</v>
      </c>
      <c r="J566" s="173">
        <v>3.2</v>
      </c>
      <c r="K566" s="172">
        <v>102.4</v>
      </c>
      <c r="L566" s="173">
        <v>102.4</v>
      </c>
      <c r="M566" s="171">
        <v>102.4</v>
      </c>
      <c r="N566" s="170"/>
      <c r="O566" s="177" t="s">
        <v>76</v>
      </c>
      <c r="P566" s="162" t="s">
        <v>1620</v>
      </c>
      <c r="Q566" s="176"/>
      <c r="R566" s="174">
        <v>2056</v>
      </c>
      <c r="S566" s="179"/>
      <c r="T566" s="162" t="s">
        <v>24</v>
      </c>
      <c r="U566" s="161" t="s">
        <v>16</v>
      </c>
      <c r="V566" s="174">
        <v>1300</v>
      </c>
      <c r="W566" s="180"/>
      <c r="X566" s="185">
        <v>45017</v>
      </c>
      <c r="Y566" s="187">
        <v>45016.472592592596</v>
      </c>
    </row>
    <row r="567" spans="1:25">
      <c r="A567" s="167" t="s">
        <v>91</v>
      </c>
      <c r="B567" s="162" t="s">
        <v>1555</v>
      </c>
      <c r="C567" s="163" t="s">
        <v>1078</v>
      </c>
      <c r="D567" s="162" t="s">
        <v>2479</v>
      </c>
      <c r="E567" s="161" t="s">
        <v>1625</v>
      </c>
      <c r="F567" s="162" t="s">
        <v>1609</v>
      </c>
      <c r="G567" s="161" t="s">
        <v>2480</v>
      </c>
      <c r="H567" s="214">
        <v>32</v>
      </c>
      <c r="I567" s="171">
        <v>3.2</v>
      </c>
      <c r="J567" s="170">
        <v>3.2</v>
      </c>
      <c r="K567" s="172">
        <v>102.4</v>
      </c>
      <c r="L567" s="170">
        <v>102.4</v>
      </c>
      <c r="M567" s="171">
        <v>102.4</v>
      </c>
      <c r="N567" s="170"/>
      <c r="O567" s="177" t="s">
        <v>76</v>
      </c>
      <c r="P567" s="162" t="s">
        <v>1620</v>
      </c>
      <c r="Q567" s="176"/>
      <c r="R567" s="174">
        <v>2057</v>
      </c>
      <c r="S567" s="179"/>
      <c r="T567" s="162" t="s">
        <v>24</v>
      </c>
      <c r="U567" s="161" t="s">
        <v>16</v>
      </c>
      <c r="V567" s="174">
        <v>1376</v>
      </c>
      <c r="W567" s="180"/>
      <c r="X567" s="185">
        <v>45017</v>
      </c>
      <c r="Y567" s="187">
        <v>45016.503634259258</v>
      </c>
    </row>
    <row r="568" spans="1:25">
      <c r="A568" s="167" t="s">
        <v>91</v>
      </c>
      <c r="B568" s="162" t="s">
        <v>1555</v>
      </c>
      <c r="C568" s="163" t="s">
        <v>1080</v>
      </c>
      <c r="D568" s="162" t="s">
        <v>2481</v>
      </c>
      <c r="E568" s="161" t="s">
        <v>1625</v>
      </c>
      <c r="F568" s="162" t="s">
        <v>1609</v>
      </c>
      <c r="G568" s="161" t="s">
        <v>2482</v>
      </c>
      <c r="H568" s="215">
        <v>35</v>
      </c>
      <c r="I568" s="171">
        <v>3.2</v>
      </c>
      <c r="J568" s="173">
        <v>3.2</v>
      </c>
      <c r="K568" s="172">
        <v>112</v>
      </c>
      <c r="L568" s="173">
        <v>112</v>
      </c>
      <c r="M568" s="171">
        <v>112</v>
      </c>
      <c r="N568" s="170"/>
      <c r="O568" s="177" t="s">
        <v>76</v>
      </c>
      <c r="P568" s="162" t="s">
        <v>1620</v>
      </c>
      <c r="Q568" s="176"/>
      <c r="R568" s="174">
        <v>2057</v>
      </c>
      <c r="S568" s="179"/>
      <c r="T568" s="162" t="s">
        <v>24</v>
      </c>
      <c r="U568" s="161" t="s">
        <v>16</v>
      </c>
      <c r="V568" s="174">
        <v>1381</v>
      </c>
      <c r="W568" s="180"/>
      <c r="X568" s="185">
        <v>45017</v>
      </c>
      <c r="Y568" s="187">
        <v>45016.514687499999</v>
      </c>
    </row>
    <row r="569" spans="1:25">
      <c r="A569" s="167" t="s">
        <v>110</v>
      </c>
      <c r="B569" s="162" t="s">
        <v>1599</v>
      </c>
      <c r="C569" s="163" t="s">
        <v>2483</v>
      </c>
      <c r="D569" s="162" t="s">
        <v>2159</v>
      </c>
      <c r="E569" s="161" t="s">
        <v>1631</v>
      </c>
      <c r="F569" s="162" t="s">
        <v>1614</v>
      </c>
      <c r="G569" s="161"/>
      <c r="H569" s="214">
        <v>1</v>
      </c>
      <c r="I569" s="171"/>
      <c r="J569" s="170">
        <v>118.8</v>
      </c>
      <c r="K569" s="172"/>
      <c r="L569" s="170">
        <v>118.8</v>
      </c>
      <c r="M569" s="171">
        <v>118.8</v>
      </c>
      <c r="N569" s="170"/>
      <c r="O569" s="177" t="s">
        <v>1523</v>
      </c>
      <c r="P569" s="162" t="s">
        <v>1620</v>
      </c>
      <c r="Q569" s="176"/>
      <c r="R569" s="174"/>
      <c r="S569" s="179"/>
      <c r="T569" s="162" t="s">
        <v>28</v>
      </c>
      <c r="U569" s="161" t="s">
        <v>1615</v>
      </c>
      <c r="V569" s="174">
        <v>1954</v>
      </c>
      <c r="W569" s="180" t="s">
        <v>2484</v>
      </c>
      <c r="X569" s="185">
        <v>45017</v>
      </c>
      <c r="Y569" s="187">
        <v>45028.478541666664</v>
      </c>
    </row>
    <row r="570" spans="1:25">
      <c r="A570" s="167" t="s">
        <v>77</v>
      </c>
      <c r="B570" s="162" t="s">
        <v>1555</v>
      </c>
      <c r="C570" s="163" t="s">
        <v>929</v>
      </c>
      <c r="D570" s="162" t="s">
        <v>2485</v>
      </c>
      <c r="E570" s="161" t="s">
        <v>1631</v>
      </c>
      <c r="F570" s="162" t="s">
        <v>1614</v>
      </c>
      <c r="G570" s="161" t="s">
        <v>2486</v>
      </c>
      <c r="H570" s="215">
        <v>18</v>
      </c>
      <c r="I570" s="171">
        <v>1</v>
      </c>
      <c r="J570" s="173">
        <v>1.17</v>
      </c>
      <c r="K570" s="172">
        <v>18</v>
      </c>
      <c r="L570" s="173">
        <v>20.97</v>
      </c>
      <c r="M570" s="171">
        <v>20.97</v>
      </c>
      <c r="N570" s="170"/>
      <c r="O570" s="177" t="s">
        <v>76</v>
      </c>
      <c r="P570" s="162" t="s">
        <v>1591</v>
      </c>
      <c r="Q570" s="176">
        <v>44652</v>
      </c>
      <c r="R570" s="174">
        <v>2048</v>
      </c>
      <c r="S570" s="179"/>
      <c r="T570" s="162" t="s">
        <v>24</v>
      </c>
      <c r="U570" s="161" t="s">
        <v>1615</v>
      </c>
      <c r="V570" s="174">
        <v>1388</v>
      </c>
      <c r="W570" s="180"/>
      <c r="X570" s="185">
        <v>44805</v>
      </c>
      <c r="Y570" s="187">
        <v>44981.403726851851</v>
      </c>
    </row>
    <row r="571" spans="1:25">
      <c r="A571" s="167" t="s">
        <v>45</v>
      </c>
      <c r="B571" s="162" t="s">
        <v>1599</v>
      </c>
      <c r="C571" s="163" t="s">
        <v>2487</v>
      </c>
      <c r="D571" s="162" t="s">
        <v>1938</v>
      </c>
      <c r="E571" s="161" t="s">
        <v>1602</v>
      </c>
      <c r="F571" s="162" t="s">
        <v>1603</v>
      </c>
      <c r="G571" s="161"/>
      <c r="H571" s="214">
        <v>2</v>
      </c>
      <c r="I571" s="171">
        <v>10</v>
      </c>
      <c r="J571" s="170">
        <v>10</v>
      </c>
      <c r="K571" s="172">
        <v>20</v>
      </c>
      <c r="L571" s="170">
        <v>20</v>
      </c>
      <c r="M571" s="171">
        <v>20</v>
      </c>
      <c r="N571" s="170">
        <v>40</v>
      </c>
      <c r="O571" s="177" t="s">
        <v>1523</v>
      </c>
      <c r="P571" s="162" t="s">
        <v>1619</v>
      </c>
      <c r="Q571" s="176"/>
      <c r="R571" s="174">
        <v>2043</v>
      </c>
      <c r="S571" s="179"/>
      <c r="T571" s="162" t="s">
        <v>28</v>
      </c>
      <c r="U571" s="161" t="s">
        <v>19</v>
      </c>
      <c r="V571" s="174">
        <v>1878</v>
      </c>
      <c r="W571" s="180"/>
      <c r="X571" s="185">
        <v>45069</v>
      </c>
      <c r="Y571" s="187">
        <v>44830.509768518517</v>
      </c>
    </row>
    <row r="572" spans="1:25">
      <c r="A572" s="220" t="s">
        <v>45</v>
      </c>
      <c r="B572" s="221" t="s">
        <v>1599</v>
      </c>
      <c r="C572" s="222" t="s">
        <v>3918</v>
      </c>
      <c r="D572" s="221" t="s">
        <v>3919</v>
      </c>
      <c r="E572" s="223" t="s">
        <v>1603</v>
      </c>
      <c r="F572" s="224" t="s">
        <v>20</v>
      </c>
      <c r="G572" s="161"/>
      <c r="H572" s="215">
        <v>1</v>
      </c>
      <c r="I572" s="171"/>
      <c r="J572" s="173">
        <v>74</v>
      </c>
      <c r="K572" s="172"/>
      <c r="L572" s="173">
        <v>74</v>
      </c>
      <c r="M572" s="171">
        <v>74</v>
      </c>
      <c r="N572" s="170"/>
      <c r="O572" s="230" t="s">
        <v>1523</v>
      </c>
      <c r="P572" s="221" t="s">
        <v>1604</v>
      </c>
      <c r="Q572" s="231"/>
      <c r="R572" s="232"/>
      <c r="S572" s="233"/>
      <c r="T572" s="224" t="s">
        <v>28</v>
      </c>
      <c r="U572" s="223" t="s">
        <v>20</v>
      </c>
      <c r="V572" s="232">
        <v>2569</v>
      </c>
      <c r="W572" s="234" t="s">
        <v>3960</v>
      </c>
      <c r="X572" s="235"/>
      <c r="Y572" s="236">
        <v>45111.82267361111</v>
      </c>
    </row>
    <row r="573" spans="1:25">
      <c r="A573" s="167" t="s">
        <v>45</v>
      </c>
      <c r="B573" s="162" t="s">
        <v>1555</v>
      </c>
      <c r="C573" s="163" t="s">
        <v>2488</v>
      </c>
      <c r="D573" s="162" t="s">
        <v>2489</v>
      </c>
      <c r="E573" s="161" t="s">
        <v>1700</v>
      </c>
      <c r="F573" s="162" t="s">
        <v>1658</v>
      </c>
      <c r="G573" s="161" t="s">
        <v>2490</v>
      </c>
      <c r="H573" s="214">
        <v>1</v>
      </c>
      <c r="I573" s="171">
        <v>29</v>
      </c>
      <c r="J573" s="170">
        <v>29</v>
      </c>
      <c r="K573" s="172">
        <v>29</v>
      </c>
      <c r="L573" s="170">
        <v>29</v>
      </c>
      <c r="M573" s="171">
        <v>29</v>
      </c>
      <c r="N573" s="170"/>
      <c r="O573" s="177" t="s">
        <v>76</v>
      </c>
      <c r="P573" s="162" t="s">
        <v>1619</v>
      </c>
      <c r="Q573" s="176"/>
      <c r="R573" s="174">
        <v>2057</v>
      </c>
      <c r="S573" s="179"/>
      <c r="T573" s="162" t="s">
        <v>24</v>
      </c>
      <c r="U573" s="161" t="s">
        <v>17</v>
      </c>
      <c r="V573" s="174">
        <v>1732</v>
      </c>
      <c r="W573" s="180"/>
      <c r="X573" s="185">
        <v>45017</v>
      </c>
      <c r="Y573" s="187">
        <v>45077.63354166667</v>
      </c>
    </row>
    <row r="574" spans="1:25">
      <c r="A574" s="167" t="s">
        <v>110</v>
      </c>
      <c r="B574" s="162" t="s">
        <v>1555</v>
      </c>
      <c r="C574" s="163" t="s">
        <v>2491</v>
      </c>
      <c r="D574" s="162" t="s">
        <v>1938</v>
      </c>
      <c r="E574" s="161" t="s">
        <v>1700</v>
      </c>
      <c r="F574" s="162" t="s">
        <v>1658</v>
      </c>
      <c r="G574" s="161" t="s">
        <v>2492</v>
      </c>
      <c r="H574" s="215">
        <v>1</v>
      </c>
      <c r="I574" s="171">
        <v>1</v>
      </c>
      <c r="J574" s="173">
        <v>29</v>
      </c>
      <c r="K574" s="172">
        <v>1</v>
      </c>
      <c r="L574" s="173">
        <v>29</v>
      </c>
      <c r="M574" s="171">
        <v>29</v>
      </c>
      <c r="N574" s="170"/>
      <c r="O574" s="177" t="s">
        <v>76</v>
      </c>
      <c r="P574" s="162" t="s">
        <v>1619</v>
      </c>
      <c r="Q574" s="176"/>
      <c r="R574" s="174">
        <v>2057</v>
      </c>
      <c r="S574" s="179"/>
      <c r="T574" s="162" t="s">
        <v>24</v>
      </c>
      <c r="U574" s="161" t="s">
        <v>17</v>
      </c>
      <c r="V574" s="174">
        <v>1736</v>
      </c>
      <c r="W574" s="180"/>
      <c r="X574" s="185">
        <v>45017</v>
      </c>
      <c r="Y574" s="187">
        <v>45077.637037037035</v>
      </c>
    </row>
    <row r="575" spans="1:25">
      <c r="A575" s="167" t="s">
        <v>45</v>
      </c>
      <c r="B575" s="162" t="s">
        <v>1599</v>
      </c>
      <c r="C575" s="163" t="s">
        <v>2493</v>
      </c>
      <c r="D575" s="162" t="s">
        <v>2494</v>
      </c>
      <c r="E575" s="161" t="s">
        <v>1608</v>
      </c>
      <c r="F575" s="162" t="s">
        <v>1609</v>
      </c>
      <c r="G575" s="161"/>
      <c r="H575" s="214">
        <v>1</v>
      </c>
      <c r="I575" s="171"/>
      <c r="J575" s="170">
        <v>1400</v>
      </c>
      <c r="K575" s="172"/>
      <c r="L575" s="170">
        <v>1400</v>
      </c>
      <c r="M575" s="171">
        <v>1400</v>
      </c>
      <c r="N575" s="170"/>
      <c r="O575" s="177" t="s">
        <v>1523</v>
      </c>
      <c r="P575" s="162" t="s">
        <v>1620</v>
      </c>
      <c r="Q575" s="176"/>
      <c r="R575" s="174"/>
      <c r="S575" s="179"/>
      <c r="T575" s="162" t="s">
        <v>28</v>
      </c>
      <c r="U575" s="161" t="s">
        <v>16</v>
      </c>
      <c r="V575" s="174">
        <v>2029</v>
      </c>
      <c r="W575" s="180" t="s">
        <v>2495</v>
      </c>
      <c r="X575" s="185">
        <v>45017</v>
      </c>
      <c r="Y575" s="187">
        <v>45008.640775462962</v>
      </c>
    </row>
    <row r="576" spans="1:25">
      <c r="A576" s="167" t="s">
        <v>45</v>
      </c>
      <c r="B576" s="162" t="s">
        <v>1555</v>
      </c>
      <c r="C576" s="163" t="s">
        <v>2496</v>
      </c>
      <c r="D576" s="162" t="s">
        <v>805</v>
      </c>
      <c r="E576" s="161" t="s">
        <v>1589</v>
      </c>
      <c r="F576" s="162" t="s">
        <v>1635</v>
      </c>
      <c r="G576" s="161"/>
      <c r="H576" s="215">
        <v>1</v>
      </c>
      <c r="I576" s="171"/>
      <c r="J576" s="173">
        <v>20.8</v>
      </c>
      <c r="K576" s="172"/>
      <c r="L576" s="173">
        <v>20.8</v>
      </c>
      <c r="M576" s="171">
        <v>20.8</v>
      </c>
      <c r="N576" s="170"/>
      <c r="O576" s="177" t="s">
        <v>76</v>
      </c>
      <c r="P576" s="162" t="s">
        <v>1591</v>
      </c>
      <c r="Q576" s="176"/>
      <c r="R576" s="174">
        <v>2036</v>
      </c>
      <c r="S576" s="179"/>
      <c r="T576" s="162" t="s">
        <v>24</v>
      </c>
      <c r="U576" s="161" t="s">
        <v>20</v>
      </c>
      <c r="V576" s="174">
        <v>1601</v>
      </c>
      <c r="W576" s="180"/>
      <c r="X576" s="185">
        <v>44896</v>
      </c>
      <c r="Y576" s="187">
        <v>45058.649641203701</v>
      </c>
    </row>
    <row r="577" spans="1:25">
      <c r="A577" s="167" t="s">
        <v>110</v>
      </c>
      <c r="B577" s="162" t="s">
        <v>1555</v>
      </c>
      <c r="C577" s="163" t="s">
        <v>2497</v>
      </c>
      <c r="D577" s="162" t="s">
        <v>2498</v>
      </c>
      <c r="E577" s="161" t="s">
        <v>1700</v>
      </c>
      <c r="F577" s="162" t="s">
        <v>1658</v>
      </c>
      <c r="G577" s="161" t="s">
        <v>2499</v>
      </c>
      <c r="H577" s="214">
        <v>1</v>
      </c>
      <c r="I577" s="171">
        <v>0.25</v>
      </c>
      <c r="J577" s="170">
        <v>0.25</v>
      </c>
      <c r="K577" s="172">
        <v>0.25</v>
      </c>
      <c r="L577" s="170">
        <v>0.25</v>
      </c>
      <c r="M577" s="171">
        <v>0.25</v>
      </c>
      <c r="N577" s="170">
        <v>0</v>
      </c>
      <c r="O577" s="177" t="s">
        <v>76</v>
      </c>
      <c r="P577" s="162" t="s">
        <v>1591</v>
      </c>
      <c r="Q577" s="176"/>
      <c r="R577" s="174"/>
      <c r="S577" s="179"/>
      <c r="T577" s="162" t="s">
        <v>24</v>
      </c>
      <c r="U577" s="161" t="s">
        <v>17</v>
      </c>
      <c r="V577" s="174">
        <v>1565</v>
      </c>
      <c r="W577" s="180"/>
      <c r="X577" s="185">
        <v>44805</v>
      </c>
      <c r="Y577" s="187">
        <v>44823.588136574072</v>
      </c>
    </row>
    <row r="578" spans="1:25">
      <c r="A578" s="167" t="s">
        <v>45</v>
      </c>
      <c r="B578" s="162" t="s">
        <v>1599</v>
      </c>
      <c r="C578" s="163" t="s">
        <v>2500</v>
      </c>
      <c r="D578" s="162" t="s">
        <v>255</v>
      </c>
      <c r="E578" s="161" t="s">
        <v>1631</v>
      </c>
      <c r="F578" s="162" t="s">
        <v>1614</v>
      </c>
      <c r="G578" s="161"/>
      <c r="H578" s="215">
        <v>97</v>
      </c>
      <c r="I578" s="171"/>
      <c r="J578" s="173">
        <v>4.3899999999999997</v>
      </c>
      <c r="K578" s="172"/>
      <c r="L578" s="173">
        <v>425.83</v>
      </c>
      <c r="M578" s="171">
        <v>425.83</v>
      </c>
      <c r="N578" s="170"/>
      <c r="O578" s="177" t="s">
        <v>1523</v>
      </c>
      <c r="P578" s="162" t="s">
        <v>1620</v>
      </c>
      <c r="Q578" s="176"/>
      <c r="R578" s="174"/>
      <c r="S578" s="179"/>
      <c r="T578" s="162" t="s">
        <v>28</v>
      </c>
      <c r="U578" s="161" t="s">
        <v>1615</v>
      </c>
      <c r="V578" s="174">
        <v>2413</v>
      </c>
      <c r="W578" s="180" t="s">
        <v>3974</v>
      </c>
      <c r="X578" s="185">
        <v>45017</v>
      </c>
      <c r="Y578" s="187">
        <v>45077.651307870372</v>
      </c>
    </row>
    <row r="579" spans="1:25">
      <c r="A579" s="167" t="s">
        <v>45</v>
      </c>
      <c r="B579" s="162" t="s">
        <v>1599</v>
      </c>
      <c r="C579" s="163" t="s">
        <v>2500</v>
      </c>
      <c r="D579" s="162" t="s">
        <v>255</v>
      </c>
      <c r="E579" s="161" t="s">
        <v>1602</v>
      </c>
      <c r="F579" s="162" t="s">
        <v>1614</v>
      </c>
      <c r="G579" s="161"/>
      <c r="H579" s="214">
        <v>97</v>
      </c>
      <c r="I579" s="171"/>
      <c r="J579" s="170">
        <v>4.3899999999999997</v>
      </c>
      <c r="K579" s="172"/>
      <c r="L579" s="170">
        <v>425.83</v>
      </c>
      <c r="M579" s="171">
        <v>425.83</v>
      </c>
      <c r="N579" s="170">
        <v>425</v>
      </c>
      <c r="O579" s="177" t="s">
        <v>1523</v>
      </c>
      <c r="P579" s="162" t="s">
        <v>1619</v>
      </c>
      <c r="Q579" s="176"/>
      <c r="R579" s="174"/>
      <c r="S579" s="179"/>
      <c r="T579" s="162" t="s">
        <v>28</v>
      </c>
      <c r="U579" s="161" t="s">
        <v>19</v>
      </c>
      <c r="V579" s="174">
        <v>2413</v>
      </c>
      <c r="W579" s="180" t="s">
        <v>3974</v>
      </c>
      <c r="X579" s="185">
        <v>45017</v>
      </c>
      <c r="Y579" s="187">
        <v>45077.651307870372</v>
      </c>
    </row>
    <row r="580" spans="1:25">
      <c r="A580" s="167" t="s">
        <v>45</v>
      </c>
      <c r="B580" s="162" t="s">
        <v>1599</v>
      </c>
      <c r="C580" s="163" t="s">
        <v>2500</v>
      </c>
      <c r="D580" s="162" t="s">
        <v>255</v>
      </c>
      <c r="E580" s="161" t="s">
        <v>1625</v>
      </c>
      <c r="F580" s="162" t="s">
        <v>1609</v>
      </c>
      <c r="G580" s="161"/>
      <c r="H580" s="215">
        <v>50</v>
      </c>
      <c r="I580" s="171"/>
      <c r="J580" s="173">
        <v>6</v>
      </c>
      <c r="K580" s="172"/>
      <c r="L580" s="173">
        <v>300</v>
      </c>
      <c r="M580" s="171">
        <v>300</v>
      </c>
      <c r="N580" s="170"/>
      <c r="O580" s="177" t="s">
        <v>1523</v>
      </c>
      <c r="P580" s="162" t="s">
        <v>1620</v>
      </c>
      <c r="Q580" s="176"/>
      <c r="R580" s="174"/>
      <c r="S580" s="179"/>
      <c r="T580" s="162" t="s">
        <v>28</v>
      </c>
      <c r="U580" s="161" t="s">
        <v>16</v>
      </c>
      <c r="V580" s="174">
        <v>2413</v>
      </c>
      <c r="W580" s="180" t="s">
        <v>3974</v>
      </c>
      <c r="X580" s="185">
        <v>45017</v>
      </c>
      <c r="Y580" s="187">
        <v>45077.651307870372</v>
      </c>
    </row>
    <row r="581" spans="1:25">
      <c r="A581" s="167" t="s">
        <v>45</v>
      </c>
      <c r="B581" s="162" t="s">
        <v>1599</v>
      </c>
      <c r="C581" s="163" t="s">
        <v>2501</v>
      </c>
      <c r="D581" s="162" t="s">
        <v>2200</v>
      </c>
      <c r="E581" s="161" t="s">
        <v>1608</v>
      </c>
      <c r="F581" s="162" t="s">
        <v>1609</v>
      </c>
      <c r="G581" s="161"/>
      <c r="H581" s="214">
        <v>1</v>
      </c>
      <c r="I581" s="171"/>
      <c r="J581" s="170">
        <v>2000</v>
      </c>
      <c r="K581" s="172"/>
      <c r="L581" s="170">
        <v>2000</v>
      </c>
      <c r="M581" s="171">
        <v>2000</v>
      </c>
      <c r="N581" s="170"/>
      <c r="O581" s="177" t="s">
        <v>1523</v>
      </c>
      <c r="P581" s="162" t="s">
        <v>1620</v>
      </c>
      <c r="Q581" s="176">
        <v>47849</v>
      </c>
      <c r="R581" s="174"/>
      <c r="S581" s="179"/>
      <c r="T581" s="162" t="s">
        <v>28</v>
      </c>
      <c r="U581" s="161" t="s">
        <v>16</v>
      </c>
      <c r="V581" s="174">
        <v>2024</v>
      </c>
      <c r="W581" s="180"/>
      <c r="X581" s="185">
        <v>45017</v>
      </c>
      <c r="Y581" s="187">
        <v>44721.360856481479</v>
      </c>
    </row>
    <row r="582" spans="1:25">
      <c r="A582" s="167" t="s">
        <v>77</v>
      </c>
      <c r="B582" s="162" t="s">
        <v>1555</v>
      </c>
      <c r="C582" s="163" t="s">
        <v>2502</v>
      </c>
      <c r="D582" s="162" t="s">
        <v>2503</v>
      </c>
      <c r="E582" s="161" t="s">
        <v>1739</v>
      </c>
      <c r="F582" s="162" t="s">
        <v>1986</v>
      </c>
      <c r="G582" s="161"/>
      <c r="H582" s="215">
        <v>1</v>
      </c>
      <c r="I582" s="171"/>
      <c r="J582" s="173">
        <v>10</v>
      </c>
      <c r="K582" s="172"/>
      <c r="L582" s="173">
        <v>10</v>
      </c>
      <c r="M582" s="171">
        <v>10</v>
      </c>
      <c r="N582" s="170"/>
      <c r="O582" s="177" t="s">
        <v>76</v>
      </c>
      <c r="P582" s="162" t="s">
        <v>1591</v>
      </c>
      <c r="Q582" s="176"/>
      <c r="R582" s="174">
        <v>2035</v>
      </c>
      <c r="S582" s="179"/>
      <c r="T582" s="162" t="s">
        <v>24</v>
      </c>
      <c r="U582" s="161" t="s">
        <v>18</v>
      </c>
      <c r="V582" s="174">
        <v>1094</v>
      </c>
      <c r="W582" s="180"/>
      <c r="X582" s="185">
        <v>44621</v>
      </c>
      <c r="Y582" s="187">
        <v>45021.743692129632</v>
      </c>
    </row>
    <row r="583" spans="1:25">
      <c r="A583" s="167" t="s">
        <v>77</v>
      </c>
      <c r="B583" s="162" t="s">
        <v>1555</v>
      </c>
      <c r="C583" s="163" t="s">
        <v>2502</v>
      </c>
      <c r="D583" s="162" t="s">
        <v>2503</v>
      </c>
      <c r="E583" s="161" t="s">
        <v>1739</v>
      </c>
      <c r="F583" s="162" t="s">
        <v>1986</v>
      </c>
      <c r="G583" s="161"/>
      <c r="H583" s="214">
        <v>1</v>
      </c>
      <c r="I583" s="171"/>
      <c r="J583" s="170">
        <v>2.5</v>
      </c>
      <c r="K583" s="172"/>
      <c r="L583" s="170">
        <v>2.5</v>
      </c>
      <c r="M583" s="171">
        <v>2.5</v>
      </c>
      <c r="N583" s="170"/>
      <c r="O583" s="177" t="s">
        <v>76</v>
      </c>
      <c r="P583" s="162" t="s">
        <v>1591</v>
      </c>
      <c r="Q583" s="176"/>
      <c r="R583" s="174">
        <v>2035</v>
      </c>
      <c r="S583" s="179"/>
      <c r="T583" s="162" t="s">
        <v>24</v>
      </c>
      <c r="U583" s="161" t="s">
        <v>18</v>
      </c>
      <c r="V583" s="174">
        <v>1094</v>
      </c>
      <c r="W583" s="180"/>
      <c r="X583" s="185">
        <v>44621</v>
      </c>
      <c r="Y583" s="187">
        <v>45021.743692129632</v>
      </c>
    </row>
    <row r="584" spans="1:25">
      <c r="A584" s="167" t="s">
        <v>77</v>
      </c>
      <c r="B584" s="162" t="s">
        <v>1599</v>
      </c>
      <c r="C584" s="163" t="s">
        <v>2504</v>
      </c>
      <c r="D584" s="162" t="s">
        <v>173</v>
      </c>
      <c r="E584" s="161" t="s">
        <v>1631</v>
      </c>
      <c r="F584" s="162" t="s">
        <v>1614</v>
      </c>
      <c r="G584" s="161"/>
      <c r="H584" s="215">
        <v>6</v>
      </c>
      <c r="I584" s="171">
        <v>4</v>
      </c>
      <c r="J584" s="173">
        <v>4</v>
      </c>
      <c r="K584" s="172">
        <v>24</v>
      </c>
      <c r="L584" s="173">
        <v>24</v>
      </c>
      <c r="M584" s="171">
        <v>24</v>
      </c>
      <c r="N584" s="170"/>
      <c r="O584" s="177" t="s">
        <v>1523</v>
      </c>
      <c r="P584" s="162" t="s">
        <v>1591</v>
      </c>
      <c r="Q584" s="176"/>
      <c r="R584" s="174">
        <v>2054</v>
      </c>
      <c r="S584" s="179"/>
      <c r="T584" s="162" t="s">
        <v>28</v>
      </c>
      <c r="U584" s="161" t="s">
        <v>1615</v>
      </c>
      <c r="V584" s="174">
        <v>1710</v>
      </c>
      <c r="W584" s="180"/>
      <c r="X584" s="185">
        <v>44713</v>
      </c>
      <c r="Y584" s="187">
        <v>45029.461643518516</v>
      </c>
    </row>
    <row r="585" spans="1:25">
      <c r="A585" s="167" t="s">
        <v>110</v>
      </c>
      <c r="B585" s="162" t="s">
        <v>1599</v>
      </c>
      <c r="C585" s="163" t="s">
        <v>2505</v>
      </c>
      <c r="D585" s="162" t="s">
        <v>1604</v>
      </c>
      <c r="E585" s="161" t="s">
        <v>1613</v>
      </c>
      <c r="F585" s="162" t="s">
        <v>1614</v>
      </c>
      <c r="G585" s="161"/>
      <c r="H585" s="214">
        <v>1</v>
      </c>
      <c r="I585" s="171"/>
      <c r="J585" s="170">
        <v>22</v>
      </c>
      <c r="K585" s="172"/>
      <c r="L585" s="170">
        <v>22</v>
      </c>
      <c r="M585" s="171">
        <v>22</v>
      </c>
      <c r="N585" s="170"/>
      <c r="O585" s="177" t="s">
        <v>1523</v>
      </c>
      <c r="P585" s="162" t="s">
        <v>1620</v>
      </c>
      <c r="Q585" s="176"/>
      <c r="R585" s="174"/>
      <c r="S585" s="179"/>
      <c r="T585" s="162" t="s">
        <v>28</v>
      </c>
      <c r="U585" s="161" t="s">
        <v>1615</v>
      </c>
      <c r="V585" s="174">
        <v>2057</v>
      </c>
      <c r="W585" s="180"/>
      <c r="X585" s="185">
        <v>45017</v>
      </c>
      <c r="Y585" s="187">
        <v>44824.664189814815</v>
      </c>
    </row>
    <row r="586" spans="1:25">
      <c r="A586" s="167" t="s">
        <v>110</v>
      </c>
      <c r="B586" s="162" t="s">
        <v>1599</v>
      </c>
      <c r="C586" s="163" t="s">
        <v>2506</v>
      </c>
      <c r="D586" s="162" t="s">
        <v>250</v>
      </c>
      <c r="E586" s="161" t="s">
        <v>1625</v>
      </c>
      <c r="F586" s="162" t="s">
        <v>1609</v>
      </c>
      <c r="G586" s="161"/>
      <c r="H586" s="215">
        <v>15</v>
      </c>
      <c r="I586" s="171">
        <v>6.1</v>
      </c>
      <c r="J586" s="173">
        <v>6.8</v>
      </c>
      <c r="K586" s="172">
        <v>91.5</v>
      </c>
      <c r="L586" s="173">
        <v>102</v>
      </c>
      <c r="M586" s="171" t="s">
        <v>2507</v>
      </c>
      <c r="N586" s="170"/>
      <c r="O586" s="177" t="s">
        <v>1523</v>
      </c>
      <c r="P586" s="162" t="s">
        <v>1620</v>
      </c>
      <c r="Q586" s="176"/>
      <c r="R586" s="174"/>
      <c r="S586" s="179"/>
      <c r="T586" s="162" t="s">
        <v>28</v>
      </c>
      <c r="U586" s="161" t="s">
        <v>16</v>
      </c>
      <c r="V586" s="174">
        <v>1631</v>
      </c>
      <c r="W586" s="180"/>
      <c r="X586" s="185">
        <v>45069</v>
      </c>
      <c r="Y586" s="187">
        <v>45021.610659722224</v>
      </c>
    </row>
    <row r="587" spans="1:25">
      <c r="A587" s="167" t="s">
        <v>77</v>
      </c>
      <c r="B587" s="162" t="s">
        <v>1555</v>
      </c>
      <c r="C587" s="163" t="s">
        <v>2508</v>
      </c>
      <c r="D587" s="162" t="s">
        <v>2509</v>
      </c>
      <c r="E587" s="161" t="s">
        <v>1739</v>
      </c>
      <c r="F587" s="162" t="s">
        <v>1986</v>
      </c>
      <c r="G587" s="161"/>
      <c r="H587" s="214">
        <v>1</v>
      </c>
      <c r="I587" s="171"/>
      <c r="J587" s="170">
        <v>38.799999999999997</v>
      </c>
      <c r="K587" s="172"/>
      <c r="L587" s="170">
        <v>38.799999999999997</v>
      </c>
      <c r="M587" s="171">
        <v>38.799999999999997</v>
      </c>
      <c r="N587" s="170"/>
      <c r="O587" s="177" t="s">
        <v>76</v>
      </c>
      <c r="P587" s="162" t="s">
        <v>1591</v>
      </c>
      <c r="Q587" s="176"/>
      <c r="R587" s="174">
        <v>2035</v>
      </c>
      <c r="S587" s="179"/>
      <c r="T587" s="162" t="s">
        <v>24</v>
      </c>
      <c r="U587" s="161" t="s">
        <v>18</v>
      </c>
      <c r="V587" s="174">
        <v>1095</v>
      </c>
      <c r="W587" s="180"/>
      <c r="X587" s="185">
        <v>45017</v>
      </c>
      <c r="Y587" s="187">
        <v>45077.491597222222</v>
      </c>
    </row>
    <row r="588" spans="1:25">
      <c r="A588" s="167" t="s">
        <v>77</v>
      </c>
      <c r="B588" s="162" t="s">
        <v>1555</v>
      </c>
      <c r="C588" s="163" t="s">
        <v>2508</v>
      </c>
      <c r="D588" s="162" t="s">
        <v>2509</v>
      </c>
      <c r="E588" s="161" t="s">
        <v>1739</v>
      </c>
      <c r="F588" s="162" t="s">
        <v>1986</v>
      </c>
      <c r="G588" s="161"/>
      <c r="H588" s="215">
        <v>1</v>
      </c>
      <c r="I588" s="171"/>
      <c r="J588" s="173">
        <v>9</v>
      </c>
      <c r="K588" s="172"/>
      <c r="L588" s="173">
        <v>9</v>
      </c>
      <c r="M588" s="171">
        <v>9</v>
      </c>
      <c r="N588" s="170"/>
      <c r="O588" s="177" t="s">
        <v>76</v>
      </c>
      <c r="P588" s="162" t="s">
        <v>1591</v>
      </c>
      <c r="Q588" s="176"/>
      <c r="R588" s="174">
        <v>2031</v>
      </c>
      <c r="S588" s="179"/>
      <c r="T588" s="162" t="s">
        <v>24</v>
      </c>
      <c r="U588" s="161" t="s">
        <v>18</v>
      </c>
      <c r="V588" s="174">
        <v>1095</v>
      </c>
      <c r="W588" s="180"/>
      <c r="X588" s="185">
        <v>45017</v>
      </c>
      <c r="Y588" s="187">
        <v>45077.491597222222</v>
      </c>
    </row>
    <row r="589" spans="1:25">
      <c r="A589" s="167" t="s">
        <v>77</v>
      </c>
      <c r="B589" s="162" t="s">
        <v>1555</v>
      </c>
      <c r="C589" s="163" t="s">
        <v>2508</v>
      </c>
      <c r="D589" s="162" t="s">
        <v>2509</v>
      </c>
      <c r="E589" s="161" t="s">
        <v>1739</v>
      </c>
      <c r="F589" s="162" t="s">
        <v>1986</v>
      </c>
      <c r="G589" s="161"/>
      <c r="H589" s="214">
        <v>1</v>
      </c>
      <c r="I589" s="171"/>
      <c r="J589" s="170">
        <v>2.5</v>
      </c>
      <c r="K589" s="172"/>
      <c r="L589" s="170">
        <v>2.5</v>
      </c>
      <c r="M589" s="171">
        <v>2.5</v>
      </c>
      <c r="N589" s="170"/>
      <c r="O589" s="177" t="s">
        <v>76</v>
      </c>
      <c r="P589" s="162" t="s">
        <v>1591</v>
      </c>
      <c r="Q589" s="176"/>
      <c r="R589" s="174">
        <v>2031</v>
      </c>
      <c r="S589" s="179"/>
      <c r="T589" s="162" t="s">
        <v>24</v>
      </c>
      <c r="U589" s="161" t="s">
        <v>18</v>
      </c>
      <c r="V589" s="174">
        <v>1095</v>
      </c>
      <c r="W589" s="180"/>
      <c r="X589" s="185">
        <v>45017</v>
      </c>
      <c r="Y589" s="187">
        <v>45077.491597222222</v>
      </c>
    </row>
    <row r="590" spans="1:25">
      <c r="A590" s="167" t="s">
        <v>77</v>
      </c>
      <c r="B590" s="162" t="s">
        <v>1599</v>
      </c>
      <c r="C590" s="163" t="s">
        <v>2510</v>
      </c>
      <c r="D590" s="162" t="s">
        <v>2511</v>
      </c>
      <c r="E590" s="161" t="s">
        <v>1625</v>
      </c>
      <c r="F590" s="162" t="s">
        <v>1609</v>
      </c>
      <c r="G590" s="161"/>
      <c r="H590" s="215">
        <v>1</v>
      </c>
      <c r="I590" s="171">
        <v>381</v>
      </c>
      <c r="J590" s="173">
        <v>381</v>
      </c>
      <c r="K590" s="172">
        <v>381</v>
      </c>
      <c r="L590" s="173">
        <v>381</v>
      </c>
      <c r="M590" s="171">
        <v>381</v>
      </c>
      <c r="N590" s="170"/>
      <c r="O590" s="177" t="s">
        <v>1523</v>
      </c>
      <c r="P590" s="162" t="s">
        <v>1604</v>
      </c>
      <c r="Q590" s="176"/>
      <c r="R590" s="174"/>
      <c r="S590" s="179"/>
      <c r="T590" s="162" t="s">
        <v>28</v>
      </c>
      <c r="U590" s="161" t="s">
        <v>16</v>
      </c>
      <c r="V590" s="174">
        <v>2296</v>
      </c>
      <c r="W590" s="180" t="s">
        <v>2512</v>
      </c>
      <c r="X590" s="185">
        <v>45017</v>
      </c>
      <c r="Y590" s="187">
        <v>44944.586909722224</v>
      </c>
    </row>
    <row r="591" spans="1:25">
      <c r="A591" s="167" t="s">
        <v>77</v>
      </c>
      <c r="B591" s="162" t="s">
        <v>1555</v>
      </c>
      <c r="C591" s="163" t="s">
        <v>2513</v>
      </c>
      <c r="D591" s="162" t="s">
        <v>2473</v>
      </c>
      <c r="E591" s="161" t="s">
        <v>1739</v>
      </c>
      <c r="F591" s="162" t="s">
        <v>1603</v>
      </c>
      <c r="G591" s="161"/>
      <c r="H591" s="214">
        <v>1</v>
      </c>
      <c r="I591" s="171">
        <v>25</v>
      </c>
      <c r="J591" s="170">
        <v>25</v>
      </c>
      <c r="K591" s="172">
        <v>25</v>
      </c>
      <c r="L591" s="170">
        <v>25</v>
      </c>
      <c r="M591" s="171">
        <v>25</v>
      </c>
      <c r="N591" s="170"/>
      <c r="O591" s="177" t="s">
        <v>76</v>
      </c>
      <c r="P591" s="162" t="s">
        <v>1591</v>
      </c>
      <c r="Q591" s="176"/>
      <c r="R591" s="174"/>
      <c r="S591" s="179"/>
      <c r="T591" s="162" t="s">
        <v>24</v>
      </c>
      <c r="U591" s="161" t="s">
        <v>14</v>
      </c>
      <c r="V591" s="174">
        <v>1249</v>
      </c>
      <c r="W591" s="180"/>
      <c r="X591" s="185">
        <v>44621</v>
      </c>
      <c r="Y591" s="187">
        <v>45029.438564814816</v>
      </c>
    </row>
    <row r="592" spans="1:25">
      <c r="A592" s="167" t="s">
        <v>45</v>
      </c>
      <c r="B592" s="162" t="s">
        <v>1555</v>
      </c>
      <c r="C592" s="163" t="s">
        <v>2514</v>
      </c>
      <c r="D592" s="162" t="s">
        <v>601</v>
      </c>
      <c r="E592" s="161" t="s">
        <v>1596</v>
      </c>
      <c r="F592" s="162" t="s">
        <v>1627</v>
      </c>
      <c r="G592" s="161" t="s">
        <v>2515</v>
      </c>
      <c r="H592" s="215">
        <v>2</v>
      </c>
      <c r="I592" s="171"/>
      <c r="J592" s="173">
        <v>1.1499999999999999</v>
      </c>
      <c r="K592" s="172"/>
      <c r="L592" s="173">
        <v>2.2999999999999998</v>
      </c>
      <c r="M592" s="171">
        <v>2.2999999999999998</v>
      </c>
      <c r="N592" s="170"/>
      <c r="O592" s="177" t="s">
        <v>76</v>
      </c>
      <c r="P592" s="162" t="s">
        <v>1591</v>
      </c>
      <c r="Q592" s="176"/>
      <c r="R592" s="174">
        <v>2026</v>
      </c>
      <c r="S592" s="179"/>
      <c r="T592" s="162" t="s">
        <v>24</v>
      </c>
      <c r="U592" s="161" t="s">
        <v>18</v>
      </c>
      <c r="V592" s="174">
        <v>1330</v>
      </c>
      <c r="W592" s="180"/>
      <c r="X592" s="185">
        <v>44621</v>
      </c>
      <c r="Y592" s="187">
        <v>44981.411041666666</v>
      </c>
    </row>
    <row r="593" spans="1:25">
      <c r="A593" s="167" t="s">
        <v>110</v>
      </c>
      <c r="B593" s="162" t="s">
        <v>1555</v>
      </c>
      <c r="C593" s="163" t="s">
        <v>2516</v>
      </c>
      <c r="D593" s="162" t="s">
        <v>2517</v>
      </c>
      <c r="E593" s="161" t="s">
        <v>1673</v>
      </c>
      <c r="F593" s="162" t="s">
        <v>1592</v>
      </c>
      <c r="G593" s="161" t="s">
        <v>2518</v>
      </c>
      <c r="H593" s="214">
        <v>1</v>
      </c>
      <c r="I593" s="171"/>
      <c r="J593" s="170">
        <v>53</v>
      </c>
      <c r="K593" s="172"/>
      <c r="L593" s="170">
        <v>53</v>
      </c>
      <c r="M593" s="171">
        <v>53</v>
      </c>
      <c r="N593" s="170"/>
      <c r="O593" s="177" t="s">
        <v>76</v>
      </c>
      <c r="P593" s="162" t="s">
        <v>1619</v>
      </c>
      <c r="Q593" s="176"/>
      <c r="R593" s="174">
        <v>2039</v>
      </c>
      <c r="S593" s="179"/>
      <c r="T593" s="162" t="s">
        <v>24</v>
      </c>
      <c r="U593" s="161" t="s">
        <v>13</v>
      </c>
      <c r="V593" s="174">
        <v>1373</v>
      </c>
      <c r="W593" s="180"/>
      <c r="X593" s="185">
        <v>45017</v>
      </c>
      <c r="Y593" s="187">
        <v>45016.490231481483</v>
      </c>
    </row>
    <row r="594" spans="1:25">
      <c r="A594" s="167" t="s">
        <v>110</v>
      </c>
      <c r="B594" s="162" t="s">
        <v>1555</v>
      </c>
      <c r="C594" s="163" t="s">
        <v>2516</v>
      </c>
      <c r="D594" s="162" t="s">
        <v>2517</v>
      </c>
      <c r="E594" s="161" t="s">
        <v>1673</v>
      </c>
      <c r="F594" s="162" t="s">
        <v>1592</v>
      </c>
      <c r="G594" s="161" t="s">
        <v>2519</v>
      </c>
      <c r="H594" s="215">
        <v>1</v>
      </c>
      <c r="I594" s="171"/>
      <c r="J594" s="173">
        <v>53</v>
      </c>
      <c r="K594" s="172"/>
      <c r="L594" s="173">
        <v>53</v>
      </c>
      <c r="M594" s="171">
        <v>53</v>
      </c>
      <c r="N594" s="170"/>
      <c r="O594" s="177" t="s">
        <v>76</v>
      </c>
      <c r="P594" s="162" t="s">
        <v>1619</v>
      </c>
      <c r="Q594" s="176"/>
      <c r="R594" s="174">
        <v>2039</v>
      </c>
      <c r="S594" s="179"/>
      <c r="T594" s="162" t="s">
        <v>24</v>
      </c>
      <c r="U594" s="161" t="s">
        <v>13</v>
      </c>
      <c r="V594" s="174">
        <v>1373</v>
      </c>
      <c r="W594" s="180"/>
      <c r="X594" s="185">
        <v>45017</v>
      </c>
      <c r="Y594" s="187">
        <v>45016.490231481483</v>
      </c>
    </row>
    <row r="595" spans="1:25">
      <c r="A595" s="167" t="s">
        <v>110</v>
      </c>
      <c r="B595" s="162" t="s">
        <v>1555</v>
      </c>
      <c r="C595" s="163" t="s">
        <v>2516</v>
      </c>
      <c r="D595" s="162" t="s">
        <v>2517</v>
      </c>
      <c r="E595" s="161" t="s">
        <v>1673</v>
      </c>
      <c r="F595" s="162" t="s">
        <v>1592</v>
      </c>
      <c r="G595" s="161" t="s">
        <v>2520</v>
      </c>
      <c r="H595" s="214">
        <v>1</v>
      </c>
      <c r="I595" s="171"/>
      <c r="J595" s="170">
        <v>53</v>
      </c>
      <c r="K595" s="172"/>
      <c r="L595" s="170">
        <v>53</v>
      </c>
      <c r="M595" s="171">
        <v>53</v>
      </c>
      <c r="N595" s="170"/>
      <c r="O595" s="177" t="s">
        <v>76</v>
      </c>
      <c r="P595" s="162" t="s">
        <v>1619</v>
      </c>
      <c r="Q595" s="176"/>
      <c r="R595" s="174">
        <v>2039</v>
      </c>
      <c r="S595" s="179"/>
      <c r="T595" s="162" t="s">
        <v>24</v>
      </c>
      <c r="U595" s="161" t="s">
        <v>13</v>
      </c>
      <c r="V595" s="174">
        <v>1373</v>
      </c>
      <c r="W595" s="180"/>
      <c r="X595" s="185">
        <v>45017</v>
      </c>
      <c r="Y595" s="187">
        <v>45016.490231481483</v>
      </c>
    </row>
    <row r="596" spans="1:25">
      <c r="A596" s="167" t="s">
        <v>110</v>
      </c>
      <c r="B596" s="162" t="s">
        <v>1555</v>
      </c>
      <c r="C596" s="163" t="s">
        <v>2516</v>
      </c>
      <c r="D596" s="162" t="s">
        <v>2517</v>
      </c>
      <c r="E596" s="161" t="s">
        <v>1673</v>
      </c>
      <c r="F596" s="162" t="s">
        <v>1592</v>
      </c>
      <c r="G596" s="161" t="s">
        <v>2521</v>
      </c>
      <c r="H596" s="215">
        <v>1</v>
      </c>
      <c r="I596" s="171"/>
      <c r="J596" s="173">
        <v>53</v>
      </c>
      <c r="K596" s="172"/>
      <c r="L596" s="173">
        <v>53</v>
      </c>
      <c r="M596" s="171">
        <v>53</v>
      </c>
      <c r="N596" s="170"/>
      <c r="O596" s="177" t="s">
        <v>76</v>
      </c>
      <c r="P596" s="162" t="s">
        <v>1619</v>
      </c>
      <c r="Q596" s="176"/>
      <c r="R596" s="174">
        <v>2039</v>
      </c>
      <c r="S596" s="179"/>
      <c r="T596" s="162" t="s">
        <v>24</v>
      </c>
      <c r="U596" s="161" t="s">
        <v>13</v>
      </c>
      <c r="V596" s="174">
        <v>1373</v>
      </c>
      <c r="W596" s="180"/>
      <c r="X596" s="185">
        <v>45017</v>
      </c>
      <c r="Y596" s="187">
        <v>45016.490231481483</v>
      </c>
    </row>
    <row r="597" spans="1:25">
      <c r="A597" s="167" t="s">
        <v>110</v>
      </c>
      <c r="B597" s="162" t="s">
        <v>1555</v>
      </c>
      <c r="C597" s="163" t="s">
        <v>2522</v>
      </c>
      <c r="D597" s="162" t="s">
        <v>883</v>
      </c>
      <c r="E597" s="161" t="s">
        <v>1673</v>
      </c>
      <c r="F597" s="162" t="s">
        <v>1592</v>
      </c>
      <c r="G597" s="161" t="s">
        <v>2523</v>
      </c>
      <c r="H597" s="214">
        <v>1</v>
      </c>
      <c r="I597" s="171"/>
      <c r="J597" s="170">
        <v>76</v>
      </c>
      <c r="K597" s="172"/>
      <c r="L597" s="170">
        <v>76</v>
      </c>
      <c r="M597" s="171">
        <v>76</v>
      </c>
      <c r="N597" s="170"/>
      <c r="O597" s="177" t="s">
        <v>76</v>
      </c>
      <c r="P597" s="162" t="s">
        <v>1619</v>
      </c>
      <c r="Q597" s="176"/>
      <c r="R597" s="174">
        <v>2039</v>
      </c>
      <c r="S597" s="179"/>
      <c r="T597" s="162" t="s">
        <v>24</v>
      </c>
      <c r="U597" s="161" t="s">
        <v>13</v>
      </c>
      <c r="V597" s="174">
        <v>1374</v>
      </c>
      <c r="W597" s="180"/>
      <c r="X597" s="185">
        <v>45017</v>
      </c>
      <c r="Y597" s="187">
        <v>45016.492256944446</v>
      </c>
    </row>
    <row r="598" spans="1:25">
      <c r="A598" s="167" t="s">
        <v>110</v>
      </c>
      <c r="B598" s="162" t="s">
        <v>1555</v>
      </c>
      <c r="C598" s="163" t="s">
        <v>2522</v>
      </c>
      <c r="D598" s="162" t="s">
        <v>883</v>
      </c>
      <c r="E598" s="161" t="s">
        <v>1673</v>
      </c>
      <c r="F598" s="162" t="s">
        <v>1592</v>
      </c>
      <c r="G598" s="161" t="s">
        <v>2524</v>
      </c>
      <c r="H598" s="215">
        <v>1</v>
      </c>
      <c r="I598" s="171"/>
      <c r="J598" s="173">
        <v>76</v>
      </c>
      <c r="K598" s="172"/>
      <c r="L598" s="173">
        <v>76</v>
      </c>
      <c r="M598" s="171">
        <v>76</v>
      </c>
      <c r="N598" s="170"/>
      <c r="O598" s="177" t="s">
        <v>76</v>
      </c>
      <c r="P598" s="162" t="s">
        <v>1619</v>
      </c>
      <c r="Q598" s="176"/>
      <c r="R598" s="174">
        <v>2039</v>
      </c>
      <c r="S598" s="179"/>
      <c r="T598" s="162" t="s">
        <v>24</v>
      </c>
      <c r="U598" s="161" t="s">
        <v>13</v>
      </c>
      <c r="V598" s="174">
        <v>1374</v>
      </c>
      <c r="W598" s="180"/>
      <c r="X598" s="185">
        <v>45017</v>
      </c>
      <c r="Y598" s="187">
        <v>45016.492256944446</v>
      </c>
    </row>
    <row r="599" spans="1:25">
      <c r="A599" s="167" t="s">
        <v>110</v>
      </c>
      <c r="B599" s="162" t="s">
        <v>1555</v>
      </c>
      <c r="C599" s="163" t="s">
        <v>2522</v>
      </c>
      <c r="D599" s="162" t="s">
        <v>883</v>
      </c>
      <c r="E599" s="161" t="s">
        <v>1673</v>
      </c>
      <c r="F599" s="162" t="s">
        <v>1592</v>
      </c>
      <c r="G599" s="161" t="s">
        <v>2525</v>
      </c>
      <c r="H599" s="214">
        <v>1</v>
      </c>
      <c r="I599" s="171"/>
      <c r="J599" s="170">
        <v>76</v>
      </c>
      <c r="K599" s="172"/>
      <c r="L599" s="170">
        <v>76</v>
      </c>
      <c r="M599" s="171">
        <v>76</v>
      </c>
      <c r="N599" s="170"/>
      <c r="O599" s="177" t="s">
        <v>76</v>
      </c>
      <c r="P599" s="162" t="s">
        <v>1619</v>
      </c>
      <c r="Q599" s="176"/>
      <c r="R599" s="174">
        <v>2039</v>
      </c>
      <c r="S599" s="179"/>
      <c r="T599" s="162" t="s">
        <v>24</v>
      </c>
      <c r="U599" s="161" t="s">
        <v>13</v>
      </c>
      <c r="V599" s="174">
        <v>1374</v>
      </c>
      <c r="W599" s="180"/>
      <c r="X599" s="185">
        <v>45017</v>
      </c>
      <c r="Y599" s="187">
        <v>45016.492256944446</v>
      </c>
    </row>
    <row r="600" spans="1:25">
      <c r="A600" s="167" t="s">
        <v>45</v>
      </c>
      <c r="B600" s="162" t="s">
        <v>1555</v>
      </c>
      <c r="C600" s="163" t="s">
        <v>413</v>
      </c>
      <c r="D600" s="162" t="s">
        <v>414</v>
      </c>
      <c r="E600" s="161" t="s">
        <v>1631</v>
      </c>
      <c r="F600" s="162" t="s">
        <v>1614</v>
      </c>
      <c r="G600" s="161" t="s">
        <v>415</v>
      </c>
      <c r="H600" s="215">
        <v>20</v>
      </c>
      <c r="I600" s="171"/>
      <c r="J600" s="173">
        <v>2.75</v>
      </c>
      <c r="K600" s="172"/>
      <c r="L600" s="173">
        <v>55</v>
      </c>
      <c r="M600" s="171">
        <v>55</v>
      </c>
      <c r="N600" s="170">
        <v>0</v>
      </c>
      <c r="O600" s="177" t="s">
        <v>76</v>
      </c>
      <c r="P600" s="162" t="s">
        <v>1620</v>
      </c>
      <c r="Q600" s="176">
        <v>44531</v>
      </c>
      <c r="R600" s="174">
        <v>2050</v>
      </c>
      <c r="S600" s="179"/>
      <c r="T600" s="162" t="s">
        <v>24</v>
      </c>
      <c r="U600" s="161" t="s">
        <v>1615</v>
      </c>
      <c r="V600" s="174">
        <v>1521</v>
      </c>
      <c r="W600" s="180"/>
      <c r="X600" s="185">
        <v>45017</v>
      </c>
      <c r="Y600" s="187">
        <v>45021.476157407407</v>
      </c>
    </row>
    <row r="601" spans="1:25">
      <c r="A601" s="167" t="s">
        <v>45</v>
      </c>
      <c r="B601" s="162" t="s">
        <v>1599</v>
      </c>
      <c r="C601" s="163" t="s">
        <v>2526</v>
      </c>
      <c r="D601" s="162" t="s">
        <v>2527</v>
      </c>
      <c r="E601" s="161" t="s">
        <v>1625</v>
      </c>
      <c r="F601" s="164" t="s">
        <v>1609</v>
      </c>
      <c r="G601" s="161"/>
      <c r="H601" s="214">
        <v>1</v>
      </c>
      <c r="I601" s="171"/>
      <c r="J601" s="170">
        <v>288</v>
      </c>
      <c r="K601" s="172"/>
      <c r="L601" s="170">
        <v>288</v>
      </c>
      <c r="M601" s="171">
        <v>288</v>
      </c>
      <c r="N601" s="170"/>
      <c r="O601" s="177" t="s">
        <v>1523</v>
      </c>
      <c r="P601" s="162" t="s">
        <v>1604</v>
      </c>
      <c r="Q601" s="176"/>
      <c r="R601" s="175"/>
      <c r="S601" s="179"/>
      <c r="T601" s="164" t="s">
        <v>28</v>
      </c>
      <c r="U601" s="161" t="s">
        <v>16</v>
      </c>
      <c r="V601" s="175">
        <v>2203</v>
      </c>
      <c r="W601" s="181" t="s">
        <v>2528</v>
      </c>
      <c r="X601" s="186">
        <v>45017</v>
      </c>
      <c r="Y601" s="187">
        <v>44944.587187500001</v>
      </c>
    </row>
    <row r="602" spans="1:25">
      <c r="A602" s="167" t="s">
        <v>110</v>
      </c>
      <c r="B602" s="162" t="s">
        <v>1555</v>
      </c>
      <c r="C602" s="163" t="s">
        <v>2529</v>
      </c>
      <c r="D602" s="162" t="s">
        <v>1604</v>
      </c>
      <c r="E602" s="161" t="s">
        <v>1613</v>
      </c>
      <c r="F602" s="162" t="s">
        <v>1614</v>
      </c>
      <c r="G602" s="161"/>
      <c r="H602" s="215">
        <v>1</v>
      </c>
      <c r="I602" s="171"/>
      <c r="J602" s="173">
        <v>0.37</v>
      </c>
      <c r="K602" s="172"/>
      <c r="L602" s="173">
        <v>0.37</v>
      </c>
      <c r="M602" s="171">
        <v>0.37</v>
      </c>
      <c r="N602" s="170"/>
      <c r="O602" s="177" t="s">
        <v>76</v>
      </c>
      <c r="P602" s="162" t="s">
        <v>1591</v>
      </c>
      <c r="Q602" s="176"/>
      <c r="R602" s="174"/>
      <c r="S602" s="179"/>
      <c r="T602" s="162" t="s">
        <v>24</v>
      </c>
      <c r="U602" s="161" t="s">
        <v>1615</v>
      </c>
      <c r="V602" s="174">
        <v>2087</v>
      </c>
      <c r="W602" s="180"/>
      <c r="X602" s="185" t="s">
        <v>259</v>
      </c>
      <c r="Y602" s="187">
        <v>44830.605104166665</v>
      </c>
    </row>
    <row r="603" spans="1:25">
      <c r="A603" s="167" t="s">
        <v>45</v>
      </c>
      <c r="B603" s="162" t="s">
        <v>1555</v>
      </c>
      <c r="C603" s="163" t="s">
        <v>2530</v>
      </c>
      <c r="D603" s="162" t="s">
        <v>805</v>
      </c>
      <c r="E603" s="161" t="s">
        <v>1700</v>
      </c>
      <c r="F603" s="162" t="s">
        <v>1658</v>
      </c>
      <c r="G603" s="161" t="s">
        <v>2531</v>
      </c>
      <c r="H603" s="214">
        <v>1</v>
      </c>
      <c r="I603" s="171">
        <v>1.1000000000000001</v>
      </c>
      <c r="J603" s="170">
        <v>1.1000000000000001</v>
      </c>
      <c r="K603" s="172">
        <v>1.1000000000000001</v>
      </c>
      <c r="L603" s="170">
        <v>1.1000000000000001</v>
      </c>
      <c r="M603" s="171">
        <v>1.1000000000000001</v>
      </c>
      <c r="N603" s="170"/>
      <c r="O603" s="177" t="s">
        <v>76</v>
      </c>
      <c r="P603" s="162" t="s">
        <v>1591</v>
      </c>
      <c r="Q603" s="176"/>
      <c r="R603" s="174">
        <v>2070</v>
      </c>
      <c r="S603" s="179"/>
      <c r="T603" s="162" t="s">
        <v>24</v>
      </c>
      <c r="U603" s="161" t="s">
        <v>17</v>
      </c>
      <c r="V603" s="174">
        <v>1096</v>
      </c>
      <c r="W603" s="180"/>
      <c r="X603" s="185">
        <v>44621</v>
      </c>
      <c r="Y603" s="187">
        <v>45021.745081018518</v>
      </c>
    </row>
    <row r="604" spans="1:25">
      <c r="A604" s="167" t="s">
        <v>45</v>
      </c>
      <c r="B604" s="162" t="s">
        <v>1599</v>
      </c>
      <c r="C604" s="163" t="s">
        <v>2532</v>
      </c>
      <c r="D604" s="162" t="s">
        <v>2533</v>
      </c>
      <c r="E604" s="161" t="s">
        <v>1602</v>
      </c>
      <c r="F604" s="162" t="s">
        <v>1603</v>
      </c>
      <c r="G604" s="161"/>
      <c r="H604" s="215">
        <v>1</v>
      </c>
      <c r="I604" s="171">
        <v>250</v>
      </c>
      <c r="J604" s="173">
        <v>250</v>
      </c>
      <c r="K604" s="172">
        <v>250</v>
      </c>
      <c r="L604" s="173">
        <v>250</v>
      </c>
      <c r="M604" s="171">
        <v>250</v>
      </c>
      <c r="N604" s="170">
        <v>0</v>
      </c>
      <c r="O604" s="177" t="s">
        <v>1523</v>
      </c>
      <c r="P604" s="162" t="s">
        <v>1604</v>
      </c>
      <c r="Q604" s="176"/>
      <c r="R604" s="174"/>
      <c r="S604" s="179"/>
      <c r="T604" s="162" t="s">
        <v>28</v>
      </c>
      <c r="U604" s="161" t="s">
        <v>19</v>
      </c>
      <c r="V604" s="174">
        <v>2379</v>
      </c>
      <c r="W604" s="180" t="s">
        <v>2534</v>
      </c>
      <c r="X604" s="185">
        <v>45017</v>
      </c>
      <c r="Y604" s="187">
        <v>44931.523564814815</v>
      </c>
    </row>
    <row r="605" spans="1:25">
      <c r="A605" s="220" t="s">
        <v>45</v>
      </c>
      <c r="B605" s="221" t="s">
        <v>1599</v>
      </c>
      <c r="C605" s="222" t="s">
        <v>3865</v>
      </c>
      <c r="D605" s="221" t="s">
        <v>3866</v>
      </c>
      <c r="E605" s="223" t="s">
        <v>1613</v>
      </c>
      <c r="F605" s="224" t="s">
        <v>1615</v>
      </c>
      <c r="G605" s="161"/>
      <c r="H605" s="214">
        <v>38</v>
      </c>
      <c r="I605" s="171"/>
      <c r="J605" s="170">
        <v>3.16</v>
      </c>
      <c r="K605" s="172"/>
      <c r="L605" s="170">
        <v>120.08</v>
      </c>
      <c r="M605" s="171">
        <v>120.08</v>
      </c>
      <c r="N605" s="170"/>
      <c r="O605" s="230" t="s">
        <v>1523</v>
      </c>
      <c r="P605" s="221" t="s">
        <v>1604</v>
      </c>
      <c r="Q605" s="231"/>
      <c r="R605" s="232"/>
      <c r="S605" s="233"/>
      <c r="T605" s="224" t="s">
        <v>28</v>
      </c>
      <c r="U605" s="223" t="s">
        <v>1615</v>
      </c>
      <c r="V605" s="232">
        <v>2539</v>
      </c>
      <c r="W605" s="234" t="s">
        <v>3931</v>
      </c>
      <c r="X605" s="235"/>
      <c r="Y605" s="236">
        <v>45111.394143518519</v>
      </c>
    </row>
    <row r="606" spans="1:25">
      <c r="A606" s="167" t="s">
        <v>110</v>
      </c>
      <c r="B606" s="162" t="s">
        <v>1555</v>
      </c>
      <c r="C606" s="163" t="s">
        <v>2535</v>
      </c>
      <c r="D606" s="162" t="s">
        <v>1604</v>
      </c>
      <c r="E606" s="161" t="s">
        <v>1613</v>
      </c>
      <c r="F606" s="162" t="s">
        <v>1614</v>
      </c>
      <c r="G606" s="161"/>
      <c r="H606" s="215">
        <v>1</v>
      </c>
      <c r="I606" s="171"/>
      <c r="J606" s="173">
        <v>0.15</v>
      </c>
      <c r="K606" s="172"/>
      <c r="L606" s="173">
        <v>0.15</v>
      </c>
      <c r="M606" s="171">
        <v>0.15</v>
      </c>
      <c r="N606" s="170"/>
      <c r="O606" s="177" t="s">
        <v>76</v>
      </c>
      <c r="P606" s="162" t="s">
        <v>1591</v>
      </c>
      <c r="Q606" s="176"/>
      <c r="R606" s="174"/>
      <c r="S606" s="179"/>
      <c r="T606" s="162" t="s">
        <v>24</v>
      </c>
      <c r="U606" s="161" t="s">
        <v>1615</v>
      </c>
      <c r="V606" s="174">
        <v>2088</v>
      </c>
      <c r="W606" s="180"/>
      <c r="X606" s="185" t="s">
        <v>259</v>
      </c>
      <c r="Y606" s="187">
        <v>44830.608159722222</v>
      </c>
    </row>
    <row r="607" spans="1:25">
      <c r="A607" s="167" t="s">
        <v>110</v>
      </c>
      <c r="B607" s="162" t="s">
        <v>1599</v>
      </c>
      <c r="C607" s="163" t="s">
        <v>2536</v>
      </c>
      <c r="D607" s="162" t="s">
        <v>249</v>
      </c>
      <c r="E607" s="161" t="s">
        <v>1602</v>
      </c>
      <c r="F607" s="162" t="s">
        <v>1603</v>
      </c>
      <c r="G607" s="161"/>
      <c r="H607" s="214">
        <v>1</v>
      </c>
      <c r="I607" s="171"/>
      <c r="J607" s="170">
        <v>250</v>
      </c>
      <c r="K607" s="172"/>
      <c r="L607" s="170">
        <v>250</v>
      </c>
      <c r="M607" s="171">
        <v>250</v>
      </c>
      <c r="N607" s="170">
        <v>1000</v>
      </c>
      <c r="O607" s="177" t="s">
        <v>1523</v>
      </c>
      <c r="P607" s="162" t="s">
        <v>1619</v>
      </c>
      <c r="Q607" s="176"/>
      <c r="R607" s="174"/>
      <c r="S607" s="179"/>
      <c r="T607" s="162" t="s">
        <v>28</v>
      </c>
      <c r="U607" s="161" t="s">
        <v>19</v>
      </c>
      <c r="V607" s="174">
        <v>2246</v>
      </c>
      <c r="W607" s="180" t="s">
        <v>2537</v>
      </c>
      <c r="X607" s="185">
        <v>45017</v>
      </c>
      <c r="Y607" s="187">
        <v>45027.665555555555</v>
      </c>
    </row>
    <row r="608" spans="1:25">
      <c r="A608" s="167" t="s">
        <v>105</v>
      </c>
      <c r="B608" s="162" t="s">
        <v>1555</v>
      </c>
      <c r="C608" s="163" t="s">
        <v>2538</v>
      </c>
      <c r="D608" s="162" t="s">
        <v>1735</v>
      </c>
      <c r="E608" s="161" t="s">
        <v>1700</v>
      </c>
      <c r="F608" s="162" t="s">
        <v>1658</v>
      </c>
      <c r="G608" s="161" t="s">
        <v>2539</v>
      </c>
      <c r="H608" s="215">
        <v>1</v>
      </c>
      <c r="I608" s="171">
        <v>144</v>
      </c>
      <c r="J608" s="173">
        <v>144</v>
      </c>
      <c r="K608" s="172">
        <v>144</v>
      </c>
      <c r="L608" s="173">
        <v>144</v>
      </c>
      <c r="M608" s="171">
        <v>144</v>
      </c>
      <c r="N608" s="170"/>
      <c r="O608" s="177" t="s">
        <v>76</v>
      </c>
      <c r="P608" s="162" t="s">
        <v>1619</v>
      </c>
      <c r="Q608" s="176"/>
      <c r="R608" s="174">
        <v>2100</v>
      </c>
      <c r="S608" s="179"/>
      <c r="T608" s="162" t="s">
        <v>24</v>
      </c>
      <c r="U608" s="161" t="s">
        <v>17</v>
      </c>
      <c r="V608" s="174">
        <v>1097</v>
      </c>
      <c r="W608" s="180"/>
      <c r="X608" s="185">
        <v>45017</v>
      </c>
      <c r="Y608" s="187">
        <v>45086.830057870371</v>
      </c>
    </row>
    <row r="609" spans="1:25">
      <c r="A609" s="167" t="s">
        <v>45</v>
      </c>
      <c r="B609" s="162" t="s">
        <v>1555</v>
      </c>
      <c r="C609" s="163" t="s">
        <v>2540</v>
      </c>
      <c r="D609" s="162" t="s">
        <v>805</v>
      </c>
      <c r="E609" s="161" t="s">
        <v>1700</v>
      </c>
      <c r="F609" s="162" t="s">
        <v>1658</v>
      </c>
      <c r="G609" s="161" t="s">
        <v>2541</v>
      </c>
      <c r="H609" s="214">
        <v>1</v>
      </c>
      <c r="I609" s="171">
        <v>14.4</v>
      </c>
      <c r="J609" s="170">
        <v>14.4</v>
      </c>
      <c r="K609" s="172">
        <v>14.4</v>
      </c>
      <c r="L609" s="170">
        <v>14.4</v>
      </c>
      <c r="M609" s="171">
        <v>14.4</v>
      </c>
      <c r="N609" s="170"/>
      <c r="O609" s="177" t="s">
        <v>76</v>
      </c>
      <c r="P609" s="162" t="s">
        <v>1591</v>
      </c>
      <c r="Q609" s="176"/>
      <c r="R609" s="174">
        <v>2070</v>
      </c>
      <c r="S609" s="179"/>
      <c r="T609" s="162" t="s">
        <v>24</v>
      </c>
      <c r="U609" s="161" t="s">
        <v>17</v>
      </c>
      <c r="V609" s="174">
        <v>1098</v>
      </c>
      <c r="W609" s="180"/>
      <c r="X609" s="185">
        <v>44621</v>
      </c>
      <c r="Y609" s="187">
        <v>45021.747534722221</v>
      </c>
    </row>
    <row r="610" spans="1:25">
      <c r="A610" s="167" t="s">
        <v>45</v>
      </c>
      <c r="B610" s="162" t="s">
        <v>1555</v>
      </c>
      <c r="C610" s="163" t="s">
        <v>330</v>
      </c>
      <c r="D610" s="162" t="s">
        <v>331</v>
      </c>
      <c r="E610" s="161" t="s">
        <v>1631</v>
      </c>
      <c r="F610" s="162" t="s">
        <v>1614</v>
      </c>
      <c r="G610" s="161" t="s">
        <v>332</v>
      </c>
      <c r="H610" s="215">
        <v>22</v>
      </c>
      <c r="I610" s="171">
        <v>1.64</v>
      </c>
      <c r="J610" s="173">
        <v>1.64</v>
      </c>
      <c r="K610" s="172">
        <v>36.01</v>
      </c>
      <c r="L610" s="173">
        <v>36.01</v>
      </c>
      <c r="M610" s="171">
        <v>36.01</v>
      </c>
      <c r="N610" s="170"/>
      <c r="O610" s="177" t="s">
        <v>76</v>
      </c>
      <c r="P610" s="162" t="s">
        <v>1620</v>
      </c>
      <c r="Q610" s="176"/>
      <c r="R610" s="174">
        <v>2050</v>
      </c>
      <c r="S610" s="179"/>
      <c r="T610" s="162" t="s">
        <v>24</v>
      </c>
      <c r="U610" s="161" t="s">
        <v>1615</v>
      </c>
      <c r="V610" s="174">
        <v>1526</v>
      </c>
      <c r="W610" s="180"/>
      <c r="X610" s="185">
        <v>45017</v>
      </c>
      <c r="Y610" s="187">
        <v>45086.088275462964</v>
      </c>
    </row>
    <row r="611" spans="1:25">
      <c r="A611" s="167" t="s">
        <v>77</v>
      </c>
      <c r="B611" s="162" t="s">
        <v>1555</v>
      </c>
      <c r="C611" s="163" t="s">
        <v>2542</v>
      </c>
      <c r="D611" s="162" t="s">
        <v>2543</v>
      </c>
      <c r="E611" s="161" t="s">
        <v>1625</v>
      </c>
      <c r="F611" s="162" t="s">
        <v>1609</v>
      </c>
      <c r="G611" s="161" t="s">
        <v>2544</v>
      </c>
      <c r="H611" s="214">
        <v>28</v>
      </c>
      <c r="I611" s="171">
        <v>0</v>
      </c>
      <c r="J611" s="170">
        <v>5.6</v>
      </c>
      <c r="K611" s="172">
        <v>0</v>
      </c>
      <c r="L611" s="170">
        <v>156.80000000000001</v>
      </c>
      <c r="M611" s="171">
        <v>156.80000000000001</v>
      </c>
      <c r="N611" s="170"/>
      <c r="O611" s="177" t="s">
        <v>401</v>
      </c>
      <c r="P611" s="162" t="s">
        <v>1620</v>
      </c>
      <c r="Q611" s="176">
        <v>45017</v>
      </c>
      <c r="R611" s="174">
        <v>2048</v>
      </c>
      <c r="S611" s="179"/>
      <c r="T611" s="162" t="s">
        <v>24</v>
      </c>
      <c r="U611" s="161" t="s">
        <v>16</v>
      </c>
      <c r="V611" s="174">
        <v>2020</v>
      </c>
      <c r="W611" s="180"/>
      <c r="X611" s="185">
        <v>45069</v>
      </c>
      <c r="Y611" s="187">
        <v>45097.59033564815</v>
      </c>
    </row>
    <row r="612" spans="1:25">
      <c r="A612" s="167" t="s">
        <v>77</v>
      </c>
      <c r="B612" s="162" t="s">
        <v>1555</v>
      </c>
      <c r="C612" s="163" t="s">
        <v>2545</v>
      </c>
      <c r="D612" s="162" t="s">
        <v>2503</v>
      </c>
      <c r="E612" s="161" t="s">
        <v>1739</v>
      </c>
      <c r="F612" s="162" t="s">
        <v>1986</v>
      </c>
      <c r="G612" s="161"/>
      <c r="H612" s="215">
        <v>1</v>
      </c>
      <c r="I612" s="171">
        <v>9</v>
      </c>
      <c r="J612" s="173">
        <v>9</v>
      </c>
      <c r="K612" s="172">
        <v>9</v>
      </c>
      <c r="L612" s="173">
        <v>9</v>
      </c>
      <c r="M612" s="171">
        <v>9</v>
      </c>
      <c r="N612" s="170"/>
      <c r="O612" s="177" t="s">
        <v>76</v>
      </c>
      <c r="P612" s="162" t="s">
        <v>1591</v>
      </c>
      <c r="Q612" s="176"/>
      <c r="R612" s="174">
        <v>2035</v>
      </c>
      <c r="S612" s="179"/>
      <c r="T612" s="162" t="s">
        <v>24</v>
      </c>
      <c r="U612" s="161" t="s">
        <v>18</v>
      </c>
      <c r="V612" s="174">
        <v>1099</v>
      </c>
      <c r="W612" s="180"/>
      <c r="X612" s="185">
        <v>44621</v>
      </c>
      <c r="Y612" s="187">
        <v>45021.748726851853</v>
      </c>
    </row>
    <row r="613" spans="1:25">
      <c r="A613" s="167" t="s">
        <v>45</v>
      </c>
      <c r="B613" s="162" t="s">
        <v>1599</v>
      </c>
      <c r="C613" s="163" t="s">
        <v>2546</v>
      </c>
      <c r="D613" s="162" t="s">
        <v>2547</v>
      </c>
      <c r="E613" s="161" t="s">
        <v>1602</v>
      </c>
      <c r="F613" s="162" t="s">
        <v>1609</v>
      </c>
      <c r="G613" s="161"/>
      <c r="H613" s="214">
        <v>1</v>
      </c>
      <c r="I613" s="171">
        <v>30</v>
      </c>
      <c r="J613" s="170">
        <v>30</v>
      </c>
      <c r="K613" s="172">
        <v>30</v>
      </c>
      <c r="L613" s="170">
        <v>30</v>
      </c>
      <c r="M613" s="171">
        <v>30</v>
      </c>
      <c r="N613" s="170">
        <v>60</v>
      </c>
      <c r="O613" s="177" t="s">
        <v>1523</v>
      </c>
      <c r="P613" s="162" t="s">
        <v>1620</v>
      </c>
      <c r="Q613" s="176">
        <v>46631</v>
      </c>
      <c r="R613" s="174"/>
      <c r="S613" s="179"/>
      <c r="T613" s="162" t="s">
        <v>28</v>
      </c>
      <c r="U613" s="161" t="s">
        <v>19</v>
      </c>
      <c r="V613" s="174">
        <v>2454</v>
      </c>
      <c r="W613" s="180"/>
      <c r="X613" s="185">
        <v>45069</v>
      </c>
      <c r="Y613" s="187">
        <v>45027.618287037039</v>
      </c>
    </row>
    <row r="614" spans="1:25">
      <c r="A614" s="167" t="s">
        <v>45</v>
      </c>
      <c r="B614" s="162" t="s">
        <v>1599</v>
      </c>
      <c r="C614" s="163" t="s">
        <v>2548</v>
      </c>
      <c r="D614" s="162" t="s">
        <v>146</v>
      </c>
      <c r="E614" s="161" t="s">
        <v>1625</v>
      </c>
      <c r="F614" s="162" t="s">
        <v>1609</v>
      </c>
      <c r="G614" s="161"/>
      <c r="H614" s="215">
        <v>25</v>
      </c>
      <c r="I614" s="171">
        <v>6</v>
      </c>
      <c r="J614" s="173">
        <v>6.2</v>
      </c>
      <c r="K614" s="172">
        <v>150</v>
      </c>
      <c r="L614" s="173">
        <v>155</v>
      </c>
      <c r="M614" s="171" t="s">
        <v>2549</v>
      </c>
      <c r="N614" s="170"/>
      <c r="O614" s="177" t="s">
        <v>1523</v>
      </c>
      <c r="P614" s="162" t="s">
        <v>1620</v>
      </c>
      <c r="Q614" s="176"/>
      <c r="R614" s="174"/>
      <c r="S614" s="179"/>
      <c r="T614" s="162" t="s">
        <v>28</v>
      </c>
      <c r="U614" s="161" t="s">
        <v>16</v>
      </c>
      <c r="V614" s="174">
        <v>2449</v>
      </c>
      <c r="W614" s="180"/>
      <c r="X614" s="185">
        <v>45069</v>
      </c>
      <c r="Y614" s="187">
        <v>45027.625208333331</v>
      </c>
    </row>
    <row r="615" spans="1:25">
      <c r="A615" s="167" t="s">
        <v>45</v>
      </c>
      <c r="B615" s="162" t="s">
        <v>1555</v>
      </c>
      <c r="C615" s="163" t="s">
        <v>2550</v>
      </c>
      <c r="D615" s="162" t="s">
        <v>2551</v>
      </c>
      <c r="E615" s="161" t="s">
        <v>1613</v>
      </c>
      <c r="F615" s="162" t="s">
        <v>1614</v>
      </c>
      <c r="G615" s="161"/>
      <c r="H615" s="214">
        <v>2</v>
      </c>
      <c r="I615" s="171"/>
      <c r="J615" s="170">
        <v>2.5</v>
      </c>
      <c r="K615" s="172"/>
      <c r="L615" s="170">
        <v>5</v>
      </c>
      <c r="M615" s="171">
        <v>5</v>
      </c>
      <c r="N615" s="170"/>
      <c r="O615" s="177" t="s">
        <v>76</v>
      </c>
      <c r="P615" s="162" t="s">
        <v>1591</v>
      </c>
      <c r="Q615" s="184">
        <v>43678</v>
      </c>
      <c r="R615" s="174">
        <v>2049</v>
      </c>
      <c r="S615" s="179"/>
      <c r="T615" s="162" t="s">
        <v>24</v>
      </c>
      <c r="U615" s="161" t="s">
        <v>1615</v>
      </c>
      <c r="V615" s="174">
        <v>1723</v>
      </c>
      <c r="W615" s="180"/>
      <c r="X615" s="185">
        <v>44805</v>
      </c>
      <c r="Y615" s="187">
        <v>44981.375347222223</v>
      </c>
    </row>
    <row r="616" spans="1:25">
      <c r="A616" s="167" t="s">
        <v>110</v>
      </c>
      <c r="B616" s="162" t="s">
        <v>1555</v>
      </c>
      <c r="C616" s="163" t="s">
        <v>913</v>
      </c>
      <c r="D616" s="162" t="s">
        <v>2552</v>
      </c>
      <c r="E616" s="161" t="s">
        <v>1631</v>
      </c>
      <c r="F616" s="162" t="s">
        <v>1614</v>
      </c>
      <c r="G616" s="161" t="s">
        <v>2553</v>
      </c>
      <c r="H616" s="215">
        <v>38</v>
      </c>
      <c r="I616" s="171">
        <v>2.37</v>
      </c>
      <c r="J616" s="173">
        <v>2.75</v>
      </c>
      <c r="K616" s="172">
        <v>89.98</v>
      </c>
      <c r="L616" s="173">
        <v>104.5</v>
      </c>
      <c r="M616" s="171">
        <v>104.5</v>
      </c>
      <c r="N616" s="170"/>
      <c r="O616" s="177" t="s">
        <v>76</v>
      </c>
      <c r="P616" s="162" t="s">
        <v>1620</v>
      </c>
      <c r="Q616" s="176">
        <v>43435</v>
      </c>
      <c r="R616" s="174">
        <v>2048</v>
      </c>
      <c r="S616" s="179"/>
      <c r="T616" s="162" t="s">
        <v>24</v>
      </c>
      <c r="U616" s="161" t="s">
        <v>1615</v>
      </c>
      <c r="V616" s="174">
        <v>1424</v>
      </c>
      <c r="W616" s="180"/>
      <c r="X616" s="185">
        <v>45017</v>
      </c>
      <c r="Y616" s="187">
        <v>45020.638171296298</v>
      </c>
    </row>
    <row r="617" spans="1:25">
      <c r="A617" s="167" t="s">
        <v>77</v>
      </c>
      <c r="B617" s="162" t="s">
        <v>1599</v>
      </c>
      <c r="C617" s="163" t="s">
        <v>3998</v>
      </c>
      <c r="D617" s="162" t="s">
        <v>83</v>
      </c>
      <c r="E617" s="161" t="s">
        <v>1625</v>
      </c>
      <c r="F617" s="162" t="s">
        <v>1609</v>
      </c>
      <c r="G617" s="161"/>
      <c r="H617" s="214">
        <v>18</v>
      </c>
      <c r="I617" s="171"/>
      <c r="J617" s="170">
        <v>5.7</v>
      </c>
      <c r="K617" s="172"/>
      <c r="L617" s="170">
        <v>102.6</v>
      </c>
      <c r="M617" s="171">
        <v>102.6</v>
      </c>
      <c r="N617" s="170"/>
      <c r="O617" s="177" t="s">
        <v>1523</v>
      </c>
      <c r="P617" s="162" t="s">
        <v>1620</v>
      </c>
      <c r="Q617" s="176">
        <v>45992</v>
      </c>
      <c r="R617" s="174">
        <v>2055</v>
      </c>
      <c r="S617" s="179"/>
      <c r="T617" s="162" t="s">
        <v>28</v>
      </c>
      <c r="U617" s="161" t="s">
        <v>16</v>
      </c>
      <c r="V617" s="174">
        <v>1887</v>
      </c>
      <c r="W617" s="180"/>
      <c r="X617" s="185">
        <v>45069</v>
      </c>
      <c r="Y617" s="187">
        <v>45098.354513888888</v>
      </c>
    </row>
    <row r="618" spans="1:25">
      <c r="A618" s="167" t="s">
        <v>77</v>
      </c>
      <c r="B618" s="162" t="s">
        <v>1555</v>
      </c>
      <c r="C618" s="163" t="s">
        <v>2554</v>
      </c>
      <c r="D618" s="162" t="s">
        <v>1715</v>
      </c>
      <c r="E618" s="161" t="s">
        <v>1716</v>
      </c>
      <c r="F618" s="162" t="s">
        <v>1658</v>
      </c>
      <c r="G618" s="161" t="s">
        <v>2555</v>
      </c>
      <c r="H618" s="215">
        <v>1</v>
      </c>
      <c r="I618" s="171"/>
      <c r="J618" s="173">
        <v>21.6</v>
      </c>
      <c r="K618" s="172"/>
      <c r="L618" s="173">
        <v>21.6</v>
      </c>
      <c r="M618" s="171">
        <v>21.6</v>
      </c>
      <c r="N618" s="170"/>
      <c r="O618" s="177" t="s">
        <v>76</v>
      </c>
      <c r="P618" s="162" t="s">
        <v>1619</v>
      </c>
      <c r="Q618" s="176"/>
      <c r="R618" s="174">
        <v>2037</v>
      </c>
      <c r="S618" s="179"/>
      <c r="T618" s="162" t="s">
        <v>24</v>
      </c>
      <c r="U618" s="161" t="s">
        <v>17</v>
      </c>
      <c r="V618" s="174">
        <v>1100</v>
      </c>
      <c r="W618" s="180"/>
      <c r="X618" s="185">
        <v>45017</v>
      </c>
      <c r="Y618" s="187">
        <v>45085.460162037038</v>
      </c>
    </row>
    <row r="619" spans="1:25">
      <c r="A619" s="167" t="s">
        <v>77</v>
      </c>
      <c r="B619" s="162" t="s">
        <v>1555</v>
      </c>
      <c r="C619" s="163" t="s">
        <v>2554</v>
      </c>
      <c r="D619" s="162" t="s">
        <v>1715</v>
      </c>
      <c r="E619" s="161" t="s">
        <v>1716</v>
      </c>
      <c r="F619" s="162" t="s">
        <v>1658</v>
      </c>
      <c r="G619" s="161" t="s">
        <v>2556</v>
      </c>
      <c r="H619" s="214">
        <v>1</v>
      </c>
      <c r="I619" s="171"/>
      <c r="J619" s="170">
        <v>21.6</v>
      </c>
      <c r="K619" s="172"/>
      <c r="L619" s="170">
        <v>21.6</v>
      </c>
      <c r="M619" s="171">
        <v>21.6</v>
      </c>
      <c r="N619" s="170"/>
      <c r="O619" s="177" t="s">
        <v>76</v>
      </c>
      <c r="P619" s="162" t="s">
        <v>1619</v>
      </c>
      <c r="Q619" s="176"/>
      <c r="R619" s="174">
        <v>2037</v>
      </c>
      <c r="S619" s="179"/>
      <c r="T619" s="162" t="s">
        <v>24</v>
      </c>
      <c r="U619" s="161" t="s">
        <v>17</v>
      </c>
      <c r="V619" s="174">
        <v>1100</v>
      </c>
      <c r="W619" s="180"/>
      <c r="X619" s="185">
        <v>45017</v>
      </c>
      <c r="Y619" s="187">
        <v>45085.460162037038</v>
      </c>
    </row>
    <row r="620" spans="1:25">
      <c r="A620" s="167" t="s">
        <v>77</v>
      </c>
      <c r="B620" s="162" t="s">
        <v>1555</v>
      </c>
      <c r="C620" s="163" t="s">
        <v>2554</v>
      </c>
      <c r="D620" s="162" t="s">
        <v>1715</v>
      </c>
      <c r="E620" s="161" t="s">
        <v>1716</v>
      </c>
      <c r="F620" s="162" t="s">
        <v>1658</v>
      </c>
      <c r="G620" s="161" t="s">
        <v>2557</v>
      </c>
      <c r="H620" s="215">
        <v>1</v>
      </c>
      <c r="I620" s="171"/>
      <c r="J620" s="173">
        <v>21.6</v>
      </c>
      <c r="K620" s="172"/>
      <c r="L620" s="173">
        <v>21.6</v>
      </c>
      <c r="M620" s="171">
        <v>21.6</v>
      </c>
      <c r="N620" s="170"/>
      <c r="O620" s="177" t="s">
        <v>76</v>
      </c>
      <c r="P620" s="162" t="s">
        <v>1619</v>
      </c>
      <c r="Q620" s="176"/>
      <c r="R620" s="174">
        <v>2037</v>
      </c>
      <c r="S620" s="179"/>
      <c r="T620" s="162" t="s">
        <v>24</v>
      </c>
      <c r="U620" s="161" t="s">
        <v>17</v>
      </c>
      <c r="V620" s="174">
        <v>1100</v>
      </c>
      <c r="W620" s="180"/>
      <c r="X620" s="185">
        <v>45017</v>
      </c>
      <c r="Y620" s="187">
        <v>45085.460162037038</v>
      </c>
    </row>
    <row r="621" spans="1:25">
      <c r="A621" s="167" t="s">
        <v>77</v>
      </c>
      <c r="B621" s="162" t="s">
        <v>1555</v>
      </c>
      <c r="C621" s="163" t="s">
        <v>2554</v>
      </c>
      <c r="D621" s="162" t="s">
        <v>1715</v>
      </c>
      <c r="E621" s="161" t="s">
        <v>1716</v>
      </c>
      <c r="F621" s="162" t="s">
        <v>1658</v>
      </c>
      <c r="G621" s="161" t="s">
        <v>2558</v>
      </c>
      <c r="H621" s="214">
        <v>1</v>
      </c>
      <c r="I621" s="171"/>
      <c r="J621" s="170">
        <v>21.6</v>
      </c>
      <c r="K621" s="172"/>
      <c r="L621" s="170">
        <v>21.6</v>
      </c>
      <c r="M621" s="171">
        <v>21.6</v>
      </c>
      <c r="N621" s="170"/>
      <c r="O621" s="177" t="s">
        <v>76</v>
      </c>
      <c r="P621" s="162" t="s">
        <v>1619</v>
      </c>
      <c r="Q621" s="176"/>
      <c r="R621" s="174">
        <v>2037</v>
      </c>
      <c r="S621" s="179"/>
      <c r="T621" s="162" t="s">
        <v>24</v>
      </c>
      <c r="U621" s="161" t="s">
        <v>17</v>
      </c>
      <c r="V621" s="174">
        <v>1100</v>
      </c>
      <c r="W621" s="180"/>
      <c r="X621" s="185">
        <v>45017</v>
      </c>
      <c r="Y621" s="187">
        <v>45085.460162037038</v>
      </c>
    </row>
    <row r="622" spans="1:25">
      <c r="A622" s="167" t="s">
        <v>77</v>
      </c>
      <c r="B622" s="162" t="s">
        <v>1555</v>
      </c>
      <c r="C622" s="163" t="s">
        <v>2559</v>
      </c>
      <c r="D622" s="162" t="s">
        <v>1715</v>
      </c>
      <c r="E622" s="161" t="s">
        <v>1700</v>
      </c>
      <c r="F622" s="162" t="s">
        <v>1658</v>
      </c>
      <c r="G622" s="161" t="s">
        <v>2560</v>
      </c>
      <c r="H622" s="215">
        <v>1</v>
      </c>
      <c r="I622" s="171"/>
      <c r="J622" s="173">
        <v>7</v>
      </c>
      <c r="K622" s="172"/>
      <c r="L622" s="173">
        <v>7</v>
      </c>
      <c r="M622" s="171">
        <v>7</v>
      </c>
      <c r="N622" s="170"/>
      <c r="O622" s="177" t="s">
        <v>76</v>
      </c>
      <c r="P622" s="162" t="s">
        <v>1591</v>
      </c>
      <c r="Q622" s="176"/>
      <c r="R622" s="174">
        <v>2037</v>
      </c>
      <c r="S622" s="179"/>
      <c r="T622" s="162" t="s">
        <v>24</v>
      </c>
      <c r="U622" s="161" t="s">
        <v>17</v>
      </c>
      <c r="V622" s="174">
        <v>1101</v>
      </c>
      <c r="W622" s="180"/>
      <c r="X622" s="185">
        <v>44621</v>
      </c>
      <c r="Y622" s="187">
        <v>45097.325648148151</v>
      </c>
    </row>
    <row r="623" spans="1:25">
      <c r="A623" s="167" t="s">
        <v>77</v>
      </c>
      <c r="B623" s="162" t="s">
        <v>1599</v>
      </c>
      <c r="C623" s="163" t="s">
        <v>2561</v>
      </c>
      <c r="D623" s="162" t="s">
        <v>2562</v>
      </c>
      <c r="E623" s="161" t="s">
        <v>1625</v>
      </c>
      <c r="F623" s="162" t="s">
        <v>1609</v>
      </c>
      <c r="G623" s="161"/>
      <c r="H623" s="214">
        <v>170</v>
      </c>
      <c r="I623" s="171"/>
      <c r="J623" s="170">
        <v>6</v>
      </c>
      <c r="K623" s="172"/>
      <c r="L623" s="170">
        <v>1020</v>
      </c>
      <c r="M623" s="171">
        <v>1020</v>
      </c>
      <c r="N623" s="170"/>
      <c r="O623" s="177" t="s">
        <v>1523</v>
      </c>
      <c r="P623" s="162" t="s">
        <v>1620</v>
      </c>
      <c r="Q623" s="176"/>
      <c r="R623" s="174"/>
      <c r="S623" s="179"/>
      <c r="T623" s="162" t="s">
        <v>28</v>
      </c>
      <c r="U623" s="161" t="s">
        <v>16</v>
      </c>
      <c r="V623" s="174">
        <v>2297</v>
      </c>
      <c r="W623" s="180" t="s">
        <v>2563</v>
      </c>
      <c r="X623" s="185">
        <v>45069</v>
      </c>
      <c r="Y623" s="187">
        <v>45097.620520833334</v>
      </c>
    </row>
    <row r="624" spans="1:25">
      <c r="A624" s="167" t="s">
        <v>45</v>
      </c>
      <c r="B624" s="162" t="s">
        <v>1555</v>
      </c>
      <c r="C624" s="163" t="s">
        <v>2564</v>
      </c>
      <c r="D624" s="162" t="s">
        <v>1938</v>
      </c>
      <c r="E624" s="161" t="s">
        <v>1700</v>
      </c>
      <c r="F624" s="162" t="s">
        <v>1658</v>
      </c>
      <c r="G624" s="161" t="s">
        <v>2565</v>
      </c>
      <c r="H624" s="215">
        <v>1</v>
      </c>
      <c r="I624" s="171">
        <v>7.2</v>
      </c>
      <c r="J624" s="173">
        <v>7.2</v>
      </c>
      <c r="K624" s="172">
        <v>7.2</v>
      </c>
      <c r="L624" s="173">
        <v>7.2</v>
      </c>
      <c r="M624" s="171">
        <v>7.2</v>
      </c>
      <c r="N624" s="170">
        <v>0</v>
      </c>
      <c r="O624" s="177" t="s">
        <v>76</v>
      </c>
      <c r="P624" s="162" t="s">
        <v>1591</v>
      </c>
      <c r="Q624" s="176"/>
      <c r="R624" s="174"/>
      <c r="S624" s="179"/>
      <c r="T624" s="162" t="s">
        <v>24</v>
      </c>
      <c r="U624" s="161" t="s">
        <v>17</v>
      </c>
      <c r="V624" s="174">
        <v>1102</v>
      </c>
      <c r="W624" s="180"/>
      <c r="X624" s="185">
        <v>44805</v>
      </c>
      <c r="Y624" s="187">
        <v>44830.509456018517</v>
      </c>
    </row>
    <row r="625" spans="1:25">
      <c r="A625" s="167" t="s">
        <v>77</v>
      </c>
      <c r="B625" s="162" t="s">
        <v>1599</v>
      </c>
      <c r="C625" s="163" t="s">
        <v>2566</v>
      </c>
      <c r="D625" s="162" t="s">
        <v>2567</v>
      </c>
      <c r="E625" s="161" t="s">
        <v>1613</v>
      </c>
      <c r="F625" s="162" t="s">
        <v>1614</v>
      </c>
      <c r="G625" s="161"/>
      <c r="H625" s="214">
        <v>1</v>
      </c>
      <c r="I625" s="171">
        <v>50</v>
      </c>
      <c r="J625" s="170">
        <v>50</v>
      </c>
      <c r="K625" s="172">
        <v>50</v>
      </c>
      <c r="L625" s="170">
        <v>50</v>
      </c>
      <c r="M625" s="171">
        <v>50</v>
      </c>
      <c r="N625" s="170"/>
      <c r="O625" s="177" t="s">
        <v>1523</v>
      </c>
      <c r="P625" s="162" t="s">
        <v>1620</v>
      </c>
      <c r="Q625" s="176"/>
      <c r="R625" s="174"/>
      <c r="S625" s="179"/>
      <c r="T625" s="162" t="s">
        <v>28</v>
      </c>
      <c r="U625" s="161" t="s">
        <v>1615</v>
      </c>
      <c r="V625" s="174">
        <v>1635</v>
      </c>
      <c r="W625" s="180"/>
      <c r="X625" s="185">
        <v>45017</v>
      </c>
      <c r="Y625" s="187">
        <v>45021.612222222226</v>
      </c>
    </row>
    <row r="626" spans="1:25">
      <c r="A626" s="167" t="s">
        <v>77</v>
      </c>
      <c r="B626" s="162" t="s">
        <v>1555</v>
      </c>
      <c r="C626" s="163" t="s">
        <v>532</v>
      </c>
      <c r="D626" s="162" t="s">
        <v>533</v>
      </c>
      <c r="E626" s="161" t="s">
        <v>1631</v>
      </c>
      <c r="F626" s="162" t="s">
        <v>1614</v>
      </c>
      <c r="G626" s="161" t="s">
        <v>534</v>
      </c>
      <c r="H626" s="215">
        <v>6</v>
      </c>
      <c r="I626" s="171"/>
      <c r="J626" s="173">
        <v>2.5</v>
      </c>
      <c r="K626" s="172"/>
      <c r="L626" s="173">
        <v>15</v>
      </c>
      <c r="M626" s="171">
        <v>15</v>
      </c>
      <c r="N626" s="170">
        <v>0</v>
      </c>
      <c r="O626" s="177" t="s">
        <v>401</v>
      </c>
      <c r="P626" s="162" t="s">
        <v>1620</v>
      </c>
      <c r="Q626" s="176">
        <v>45170</v>
      </c>
      <c r="R626" s="174">
        <v>2046</v>
      </c>
      <c r="S626" s="179"/>
      <c r="T626" s="162" t="s">
        <v>24</v>
      </c>
      <c r="U626" s="161" t="s">
        <v>1615</v>
      </c>
      <c r="V626" s="174">
        <v>1465</v>
      </c>
      <c r="W626" s="180"/>
      <c r="X626" s="185">
        <v>45069</v>
      </c>
      <c r="Y626" s="187">
        <v>45097.411157407405</v>
      </c>
    </row>
    <row r="627" spans="1:25">
      <c r="A627" s="167" t="s">
        <v>77</v>
      </c>
      <c r="B627" s="162" t="s">
        <v>1555</v>
      </c>
      <c r="C627" s="163" t="s">
        <v>535</v>
      </c>
      <c r="D627" s="162" t="s">
        <v>536</v>
      </c>
      <c r="E627" s="161" t="s">
        <v>1602</v>
      </c>
      <c r="F627" s="162" t="s">
        <v>1603</v>
      </c>
      <c r="G627" s="161" t="s">
        <v>537</v>
      </c>
      <c r="H627" s="214">
        <v>4</v>
      </c>
      <c r="I627" s="171">
        <v>0</v>
      </c>
      <c r="J627" s="170">
        <v>0.5</v>
      </c>
      <c r="K627" s="172">
        <v>0</v>
      </c>
      <c r="L627" s="170">
        <v>2</v>
      </c>
      <c r="M627" s="171">
        <v>2</v>
      </c>
      <c r="N627" s="170">
        <v>4</v>
      </c>
      <c r="O627" s="177" t="s">
        <v>401</v>
      </c>
      <c r="P627" s="162" t="s">
        <v>1591</v>
      </c>
      <c r="Q627" s="176">
        <v>45170</v>
      </c>
      <c r="R627" s="174">
        <v>2046</v>
      </c>
      <c r="S627" s="179"/>
      <c r="T627" s="162" t="s">
        <v>24</v>
      </c>
      <c r="U627" s="161" t="s">
        <v>19</v>
      </c>
      <c r="V627" s="174">
        <v>1604</v>
      </c>
      <c r="W627" s="180"/>
      <c r="X627" s="185">
        <v>45069</v>
      </c>
      <c r="Y627" s="187">
        <v>45097.431944444441</v>
      </c>
    </row>
    <row r="628" spans="1:25">
      <c r="A628" s="167" t="s">
        <v>77</v>
      </c>
      <c r="B628" s="162" t="s">
        <v>1555</v>
      </c>
      <c r="C628" s="163" t="s">
        <v>538</v>
      </c>
      <c r="D628" s="162" t="s">
        <v>533</v>
      </c>
      <c r="E628" s="161" t="s">
        <v>1625</v>
      </c>
      <c r="F628" s="162" t="s">
        <v>1609</v>
      </c>
      <c r="G628" s="161" t="s">
        <v>539</v>
      </c>
      <c r="H628" s="215">
        <v>12</v>
      </c>
      <c r="I628" s="171"/>
      <c r="J628" s="173">
        <v>3.6</v>
      </c>
      <c r="K628" s="172"/>
      <c r="L628" s="173">
        <v>43.2</v>
      </c>
      <c r="M628" s="171">
        <v>43.2</v>
      </c>
      <c r="N628" s="170"/>
      <c r="O628" s="177" t="s">
        <v>401</v>
      </c>
      <c r="P628" s="162" t="s">
        <v>1620</v>
      </c>
      <c r="Q628" s="176">
        <v>45170</v>
      </c>
      <c r="R628" s="174">
        <v>2046</v>
      </c>
      <c r="S628" s="179"/>
      <c r="T628" s="162" t="s">
        <v>24</v>
      </c>
      <c r="U628" s="161" t="s">
        <v>16</v>
      </c>
      <c r="V628" s="174">
        <v>1464</v>
      </c>
      <c r="W628" s="180"/>
      <c r="X628" s="185">
        <v>45069</v>
      </c>
      <c r="Y628" s="187">
        <v>45097.408136574071</v>
      </c>
    </row>
    <row r="629" spans="1:25">
      <c r="A629" s="167" t="s">
        <v>110</v>
      </c>
      <c r="B629" s="162" t="s">
        <v>1599</v>
      </c>
      <c r="C629" s="163" t="s">
        <v>251</v>
      </c>
      <c r="D629" s="162" t="s">
        <v>142</v>
      </c>
      <c r="E629" s="161" t="s">
        <v>1625</v>
      </c>
      <c r="F629" s="162" t="s">
        <v>1609</v>
      </c>
      <c r="G629" s="161"/>
      <c r="H629" s="214">
        <v>1</v>
      </c>
      <c r="I629" s="171">
        <v>5</v>
      </c>
      <c r="J629" s="170">
        <v>600</v>
      </c>
      <c r="K629" s="172">
        <v>5</v>
      </c>
      <c r="L629" s="170">
        <v>600</v>
      </c>
      <c r="M629" s="171" t="s">
        <v>2568</v>
      </c>
      <c r="N629" s="170"/>
      <c r="O629" s="177" t="s">
        <v>1523</v>
      </c>
      <c r="P629" s="162" t="s">
        <v>1620</v>
      </c>
      <c r="Q629" s="176"/>
      <c r="R629" s="174">
        <v>2057</v>
      </c>
      <c r="S629" s="179"/>
      <c r="T629" s="162" t="s">
        <v>28</v>
      </c>
      <c r="U629" s="161" t="s">
        <v>16</v>
      </c>
      <c r="V629" s="174">
        <v>1888</v>
      </c>
      <c r="W629" s="180"/>
      <c r="X629" s="185">
        <v>45069</v>
      </c>
      <c r="Y629" s="187">
        <v>45098.33630787037</v>
      </c>
    </row>
    <row r="630" spans="1:25">
      <c r="A630" s="167" t="s">
        <v>110</v>
      </c>
      <c r="B630" s="162" t="s">
        <v>1599</v>
      </c>
      <c r="C630" s="163" t="s">
        <v>2569</v>
      </c>
      <c r="D630" s="162" t="s">
        <v>2570</v>
      </c>
      <c r="E630" s="161" t="s">
        <v>1602</v>
      </c>
      <c r="F630" s="162" t="s">
        <v>1603</v>
      </c>
      <c r="G630" s="161"/>
      <c r="H630" s="215">
        <v>56</v>
      </c>
      <c r="I630" s="171">
        <v>2.4</v>
      </c>
      <c r="J630" s="173">
        <v>2.4</v>
      </c>
      <c r="K630" s="172">
        <v>134.4</v>
      </c>
      <c r="L630" s="173">
        <v>134.4</v>
      </c>
      <c r="M630" s="171">
        <v>134.4</v>
      </c>
      <c r="N630" s="170">
        <v>200</v>
      </c>
      <c r="O630" s="177" t="s">
        <v>1523</v>
      </c>
      <c r="P630" s="162" t="s">
        <v>1619</v>
      </c>
      <c r="Q630" s="176">
        <v>45717</v>
      </c>
      <c r="R630" s="174">
        <v>2054</v>
      </c>
      <c r="S630" s="179"/>
      <c r="T630" s="162" t="s">
        <v>28</v>
      </c>
      <c r="U630" s="161" t="s">
        <v>19</v>
      </c>
      <c r="V630" s="174">
        <v>2461</v>
      </c>
      <c r="W630" s="180"/>
      <c r="X630" s="185">
        <v>45069</v>
      </c>
      <c r="Y630" s="187">
        <v>45079.480138888888</v>
      </c>
    </row>
    <row r="631" spans="1:25">
      <c r="A631" s="167" t="s">
        <v>110</v>
      </c>
      <c r="B631" s="162" t="s">
        <v>1599</v>
      </c>
      <c r="C631" s="163" t="s">
        <v>2571</v>
      </c>
      <c r="D631" s="162" t="s">
        <v>2572</v>
      </c>
      <c r="E631" s="161" t="s">
        <v>1631</v>
      </c>
      <c r="F631" s="162" t="s">
        <v>1614</v>
      </c>
      <c r="G631" s="161"/>
      <c r="H631" s="214">
        <v>35</v>
      </c>
      <c r="I631" s="171">
        <v>0</v>
      </c>
      <c r="J631" s="170">
        <v>4.2</v>
      </c>
      <c r="K631" s="172">
        <v>0</v>
      </c>
      <c r="L631" s="170">
        <v>147</v>
      </c>
      <c r="M631" s="171">
        <v>147</v>
      </c>
      <c r="N631" s="170"/>
      <c r="O631" s="177" t="s">
        <v>1523</v>
      </c>
      <c r="P631" s="162" t="s">
        <v>1620</v>
      </c>
      <c r="Q631" s="176">
        <v>45717</v>
      </c>
      <c r="R631" s="174">
        <v>2050</v>
      </c>
      <c r="S631" s="179"/>
      <c r="T631" s="162" t="s">
        <v>28</v>
      </c>
      <c r="U631" s="161" t="s">
        <v>1615</v>
      </c>
      <c r="V631" s="174">
        <v>1980</v>
      </c>
      <c r="W631" s="180"/>
      <c r="X631" s="185">
        <v>45069</v>
      </c>
      <c r="Y631" s="187">
        <v>45079.479432870372</v>
      </c>
    </row>
    <row r="632" spans="1:25">
      <c r="A632" s="167" t="s">
        <v>110</v>
      </c>
      <c r="B632" s="162" t="s">
        <v>1599</v>
      </c>
      <c r="C632" s="163" t="s">
        <v>2571</v>
      </c>
      <c r="D632" s="162" t="s">
        <v>2572</v>
      </c>
      <c r="E632" s="161" t="s">
        <v>1602</v>
      </c>
      <c r="F632" s="162" t="s">
        <v>1603</v>
      </c>
      <c r="G632" s="161"/>
      <c r="H632" s="215">
        <v>21</v>
      </c>
      <c r="I632" s="171"/>
      <c r="J632" s="173">
        <v>3.62</v>
      </c>
      <c r="K632" s="172"/>
      <c r="L632" s="173">
        <v>76.02</v>
      </c>
      <c r="M632" s="171">
        <v>76.02</v>
      </c>
      <c r="N632" s="170">
        <v>100</v>
      </c>
      <c r="O632" s="177" t="s">
        <v>1523</v>
      </c>
      <c r="P632" s="162" t="s">
        <v>1620</v>
      </c>
      <c r="Q632" s="176">
        <v>45717</v>
      </c>
      <c r="R632" s="174">
        <v>2050</v>
      </c>
      <c r="S632" s="179"/>
      <c r="T632" s="162" t="s">
        <v>28</v>
      </c>
      <c r="U632" s="161" t="s">
        <v>19</v>
      </c>
      <c r="V632" s="174">
        <v>1980</v>
      </c>
      <c r="W632" s="180"/>
      <c r="X632" s="185">
        <v>45069</v>
      </c>
      <c r="Y632" s="187">
        <v>45079.479432870372</v>
      </c>
    </row>
    <row r="633" spans="1:25">
      <c r="A633" s="167" t="s">
        <v>110</v>
      </c>
      <c r="B633" s="162" t="s">
        <v>1599</v>
      </c>
      <c r="C633" s="163" t="s">
        <v>2573</v>
      </c>
      <c r="D633" s="162" t="s">
        <v>1770</v>
      </c>
      <c r="E633" s="161" t="s">
        <v>1631</v>
      </c>
      <c r="F633" s="162" t="s">
        <v>1614</v>
      </c>
      <c r="G633" s="161"/>
      <c r="H633" s="214">
        <v>38</v>
      </c>
      <c r="I633" s="171">
        <v>1.4</v>
      </c>
      <c r="J633" s="170">
        <v>1.4</v>
      </c>
      <c r="K633" s="172">
        <v>53.31</v>
      </c>
      <c r="L633" s="170">
        <v>53.31</v>
      </c>
      <c r="M633" s="171">
        <v>53.31</v>
      </c>
      <c r="N633" s="170">
        <v>0</v>
      </c>
      <c r="O633" s="177" t="s">
        <v>1523</v>
      </c>
      <c r="P633" s="162" t="s">
        <v>1620</v>
      </c>
      <c r="Q633" s="176"/>
      <c r="R633" s="174"/>
      <c r="S633" s="179"/>
      <c r="T633" s="162" t="s">
        <v>28</v>
      </c>
      <c r="U633" s="161" t="s">
        <v>1615</v>
      </c>
      <c r="V633" s="174">
        <v>1507</v>
      </c>
      <c r="W633" s="180" t="s">
        <v>2574</v>
      </c>
      <c r="X633" s="185">
        <v>45069</v>
      </c>
      <c r="Y633" s="187">
        <v>45021.427858796298</v>
      </c>
    </row>
    <row r="634" spans="1:25">
      <c r="A634" s="167" t="s">
        <v>110</v>
      </c>
      <c r="B634" s="162" t="s">
        <v>1599</v>
      </c>
      <c r="C634" s="163" t="s">
        <v>2575</v>
      </c>
      <c r="D634" s="162" t="s">
        <v>2576</v>
      </c>
      <c r="E634" s="161" t="s">
        <v>1631</v>
      </c>
      <c r="F634" s="162" t="s">
        <v>1614</v>
      </c>
      <c r="G634" s="161"/>
      <c r="H634" s="215">
        <v>1</v>
      </c>
      <c r="I634" s="171">
        <v>0</v>
      </c>
      <c r="J634" s="173">
        <v>29.9</v>
      </c>
      <c r="K634" s="172">
        <v>0</v>
      </c>
      <c r="L634" s="173">
        <v>29.9</v>
      </c>
      <c r="M634" s="171">
        <v>29.9</v>
      </c>
      <c r="N634" s="170">
        <v>0</v>
      </c>
      <c r="O634" s="177" t="s">
        <v>1523</v>
      </c>
      <c r="P634" s="162" t="s">
        <v>1591</v>
      </c>
      <c r="Q634" s="176"/>
      <c r="R634" s="174"/>
      <c r="S634" s="179"/>
      <c r="T634" s="162" t="s">
        <v>28</v>
      </c>
      <c r="U634" s="161" t="s">
        <v>1615</v>
      </c>
      <c r="V634" s="174">
        <v>1916</v>
      </c>
      <c r="W634" s="180"/>
      <c r="X634" s="185">
        <v>44805</v>
      </c>
      <c r="Y634" s="187">
        <v>44679.714062500003</v>
      </c>
    </row>
    <row r="635" spans="1:25">
      <c r="A635" s="167" t="s">
        <v>45</v>
      </c>
      <c r="B635" s="162" t="s">
        <v>1599</v>
      </c>
      <c r="C635" s="163" t="s">
        <v>2577</v>
      </c>
      <c r="D635" s="162" t="s">
        <v>2578</v>
      </c>
      <c r="E635" s="161" t="s">
        <v>1625</v>
      </c>
      <c r="F635" s="162" t="s">
        <v>1609</v>
      </c>
      <c r="G635" s="161"/>
      <c r="H635" s="214">
        <v>1</v>
      </c>
      <c r="I635" s="171">
        <v>385</v>
      </c>
      <c r="J635" s="170">
        <v>385</v>
      </c>
      <c r="K635" s="172">
        <v>385</v>
      </c>
      <c r="L635" s="170">
        <v>385</v>
      </c>
      <c r="M635" s="171">
        <v>385</v>
      </c>
      <c r="N635" s="170"/>
      <c r="O635" s="177" t="s">
        <v>1523</v>
      </c>
      <c r="P635" s="162" t="s">
        <v>1604</v>
      </c>
      <c r="Q635" s="176"/>
      <c r="R635" s="174"/>
      <c r="S635" s="179"/>
      <c r="T635" s="162" t="s">
        <v>28</v>
      </c>
      <c r="U635" s="161" t="s">
        <v>16</v>
      </c>
      <c r="V635" s="174">
        <v>2188</v>
      </c>
      <c r="W635" s="180" t="s">
        <v>2579</v>
      </c>
      <c r="X635" s="185">
        <v>45017</v>
      </c>
      <c r="Y635" s="187">
        <v>44986.407118055555</v>
      </c>
    </row>
    <row r="636" spans="1:25">
      <c r="A636" s="167" t="s">
        <v>110</v>
      </c>
      <c r="B636" s="162" t="s">
        <v>1555</v>
      </c>
      <c r="C636" s="163" t="s">
        <v>443</v>
      </c>
      <c r="D636" s="162" t="s">
        <v>444</v>
      </c>
      <c r="E636" s="161" t="s">
        <v>1631</v>
      </c>
      <c r="F636" s="162" t="s">
        <v>1614</v>
      </c>
      <c r="G636" s="161" t="s">
        <v>445</v>
      </c>
      <c r="H636" s="215">
        <v>150</v>
      </c>
      <c r="I636" s="171">
        <v>1.33</v>
      </c>
      <c r="J636" s="173">
        <v>1.33</v>
      </c>
      <c r="K636" s="172">
        <v>199.95</v>
      </c>
      <c r="L636" s="173">
        <v>199.95</v>
      </c>
      <c r="M636" s="171">
        <v>199.95</v>
      </c>
      <c r="N636" s="170">
        <v>0</v>
      </c>
      <c r="O636" s="177" t="s">
        <v>76</v>
      </c>
      <c r="P636" s="162" t="s">
        <v>1620</v>
      </c>
      <c r="Q636" s="176">
        <v>44562</v>
      </c>
      <c r="R636" s="174">
        <v>2049</v>
      </c>
      <c r="S636" s="179"/>
      <c r="T636" s="162" t="s">
        <v>24</v>
      </c>
      <c r="U636" s="161" t="s">
        <v>1615</v>
      </c>
      <c r="V636" s="174">
        <v>1602</v>
      </c>
      <c r="W636" s="180"/>
      <c r="X636" s="185">
        <v>45017</v>
      </c>
      <c r="Y636" s="187">
        <v>45021.580474537041</v>
      </c>
    </row>
    <row r="637" spans="1:25">
      <c r="A637" s="167" t="s">
        <v>110</v>
      </c>
      <c r="B637" s="162" t="s">
        <v>1599</v>
      </c>
      <c r="C637" s="163" t="s">
        <v>2580</v>
      </c>
      <c r="D637" s="162" t="s">
        <v>2581</v>
      </c>
      <c r="E637" s="161" t="s">
        <v>1602</v>
      </c>
      <c r="F637" s="162" t="s">
        <v>1614</v>
      </c>
      <c r="G637" s="161"/>
      <c r="H637" s="214">
        <v>110</v>
      </c>
      <c r="I637" s="171"/>
      <c r="J637" s="170">
        <v>1.36</v>
      </c>
      <c r="K637" s="172"/>
      <c r="L637" s="170">
        <v>150.04</v>
      </c>
      <c r="M637" s="171">
        <v>150.04</v>
      </c>
      <c r="N637" s="170">
        <v>300</v>
      </c>
      <c r="O637" s="177" t="s">
        <v>1523</v>
      </c>
      <c r="P637" s="162" t="s">
        <v>1619</v>
      </c>
      <c r="Q637" s="176">
        <v>45809</v>
      </c>
      <c r="R637" s="174"/>
      <c r="S637" s="179"/>
      <c r="T637" s="162" t="s">
        <v>28</v>
      </c>
      <c r="U637" s="161" t="s">
        <v>19</v>
      </c>
      <c r="V637" s="174">
        <v>1670</v>
      </c>
      <c r="W637" s="180"/>
      <c r="X637" s="185">
        <v>45069</v>
      </c>
      <c r="Y637" s="187">
        <v>45097.46665509259</v>
      </c>
    </row>
    <row r="638" spans="1:25">
      <c r="A638" s="167" t="s">
        <v>110</v>
      </c>
      <c r="B638" s="162" t="s">
        <v>1599</v>
      </c>
      <c r="C638" s="163" t="s">
        <v>2580</v>
      </c>
      <c r="D638" s="162" t="s">
        <v>2581</v>
      </c>
      <c r="E638" s="161" t="s">
        <v>1631</v>
      </c>
      <c r="F638" s="162" t="s">
        <v>1614</v>
      </c>
      <c r="G638" s="161"/>
      <c r="H638" s="215">
        <v>110</v>
      </c>
      <c r="I638" s="171"/>
      <c r="J638" s="173">
        <v>1.36</v>
      </c>
      <c r="K638" s="172"/>
      <c r="L638" s="173">
        <v>150.04</v>
      </c>
      <c r="M638" s="171">
        <v>150.04</v>
      </c>
      <c r="N638" s="170"/>
      <c r="O638" s="177" t="s">
        <v>1523</v>
      </c>
      <c r="P638" s="162" t="s">
        <v>1620</v>
      </c>
      <c r="Q638" s="176">
        <v>45809</v>
      </c>
      <c r="R638" s="174"/>
      <c r="S638" s="179"/>
      <c r="T638" s="162" t="s">
        <v>28</v>
      </c>
      <c r="U638" s="161" t="s">
        <v>1615</v>
      </c>
      <c r="V638" s="174">
        <v>1670</v>
      </c>
      <c r="W638" s="180"/>
      <c r="X638" s="185">
        <v>45069</v>
      </c>
      <c r="Y638" s="187">
        <v>45097.46665509259</v>
      </c>
    </row>
    <row r="639" spans="1:25">
      <c r="A639" s="167" t="s">
        <v>110</v>
      </c>
      <c r="B639" s="162" t="s">
        <v>1555</v>
      </c>
      <c r="C639" s="163" t="s">
        <v>1089</v>
      </c>
      <c r="D639" s="162" t="s">
        <v>2582</v>
      </c>
      <c r="E639" s="161" t="s">
        <v>1625</v>
      </c>
      <c r="F639" s="162" t="s">
        <v>1609</v>
      </c>
      <c r="G639" s="161" t="s">
        <v>2583</v>
      </c>
      <c r="H639" s="214">
        <v>9</v>
      </c>
      <c r="I639" s="171">
        <v>3.45</v>
      </c>
      <c r="J639" s="170">
        <v>3.45</v>
      </c>
      <c r="K639" s="172">
        <v>31.05</v>
      </c>
      <c r="L639" s="170">
        <v>31.05</v>
      </c>
      <c r="M639" s="171">
        <v>31.05</v>
      </c>
      <c r="N639" s="170"/>
      <c r="O639" s="177" t="s">
        <v>76</v>
      </c>
      <c r="P639" s="162" t="s">
        <v>1620</v>
      </c>
      <c r="Q639" s="176"/>
      <c r="R639" s="174">
        <v>2042</v>
      </c>
      <c r="S639" s="179"/>
      <c r="T639" s="162" t="s">
        <v>24</v>
      </c>
      <c r="U639" s="161" t="s">
        <v>16</v>
      </c>
      <c r="V639" s="174">
        <v>1382</v>
      </c>
      <c r="W639" s="180"/>
      <c r="X639" s="185">
        <v>45017</v>
      </c>
      <c r="Y639" s="187">
        <v>45016.516412037039</v>
      </c>
    </row>
    <row r="640" spans="1:25">
      <c r="A640" s="167" t="s">
        <v>77</v>
      </c>
      <c r="B640" s="162" t="s">
        <v>1599</v>
      </c>
      <c r="C640" s="163" t="s">
        <v>622</v>
      </c>
      <c r="D640" s="162" t="s">
        <v>623</v>
      </c>
      <c r="E640" s="161" t="s">
        <v>1657</v>
      </c>
      <c r="F640" s="162" t="s">
        <v>1658</v>
      </c>
      <c r="G640" s="161"/>
      <c r="H640" s="215">
        <v>2</v>
      </c>
      <c r="I640" s="171">
        <v>125</v>
      </c>
      <c r="J640" s="173">
        <v>125</v>
      </c>
      <c r="K640" s="172">
        <v>250</v>
      </c>
      <c r="L640" s="173">
        <v>250</v>
      </c>
      <c r="M640" s="171">
        <v>250</v>
      </c>
      <c r="N640" s="170">
        <v>2000</v>
      </c>
      <c r="O640" s="177" t="s">
        <v>26</v>
      </c>
      <c r="P640" s="162" t="s">
        <v>1619</v>
      </c>
      <c r="Q640" s="176">
        <v>45689</v>
      </c>
      <c r="R640" s="174">
        <v>2105</v>
      </c>
      <c r="S640" s="179"/>
      <c r="T640" s="162" t="s">
        <v>26</v>
      </c>
      <c r="U640" s="161" t="s">
        <v>17</v>
      </c>
      <c r="V640" s="174">
        <v>1352</v>
      </c>
      <c r="W640" s="180"/>
      <c r="X640" s="185">
        <v>45069</v>
      </c>
      <c r="Y640" s="187">
        <v>45097.400277777779</v>
      </c>
    </row>
    <row r="641" spans="1:25">
      <c r="A641" s="167" t="s">
        <v>77</v>
      </c>
      <c r="B641" s="162" t="s">
        <v>1555</v>
      </c>
      <c r="C641" s="163" t="s">
        <v>2584</v>
      </c>
      <c r="D641" s="162" t="s">
        <v>81</v>
      </c>
      <c r="E641" s="161" t="s">
        <v>1613</v>
      </c>
      <c r="F641" s="162" t="s">
        <v>1614</v>
      </c>
      <c r="G641" s="161" t="s">
        <v>2585</v>
      </c>
      <c r="H641" s="214">
        <v>20</v>
      </c>
      <c r="I641" s="171">
        <v>2.5</v>
      </c>
      <c r="J641" s="170">
        <v>2.5</v>
      </c>
      <c r="K641" s="172">
        <v>50</v>
      </c>
      <c r="L641" s="170">
        <v>50</v>
      </c>
      <c r="M641" s="171">
        <v>50</v>
      </c>
      <c r="N641" s="170">
        <v>0</v>
      </c>
      <c r="O641" s="177" t="s">
        <v>76</v>
      </c>
      <c r="P641" s="162" t="s">
        <v>1620</v>
      </c>
      <c r="Q641" s="176">
        <v>43070</v>
      </c>
      <c r="R641" s="174">
        <v>2037</v>
      </c>
      <c r="S641" s="179"/>
      <c r="T641" s="162" t="s">
        <v>24</v>
      </c>
      <c r="U641" s="161" t="s">
        <v>1615</v>
      </c>
      <c r="V641" s="174">
        <v>1378</v>
      </c>
      <c r="W641" s="180"/>
      <c r="X641" s="185">
        <v>45017</v>
      </c>
      <c r="Y641" s="187">
        <v>45077.599097222221</v>
      </c>
    </row>
    <row r="642" spans="1:25">
      <c r="A642" s="167" t="s">
        <v>77</v>
      </c>
      <c r="B642" s="162" t="s">
        <v>1599</v>
      </c>
      <c r="C642" s="163" t="s">
        <v>2586</v>
      </c>
      <c r="D642" s="162" t="s">
        <v>81</v>
      </c>
      <c r="E642" s="161" t="s">
        <v>1613</v>
      </c>
      <c r="F642" s="164" t="s">
        <v>1614</v>
      </c>
      <c r="G642" s="161"/>
      <c r="H642" s="215">
        <v>1</v>
      </c>
      <c r="I642" s="171">
        <v>270</v>
      </c>
      <c r="J642" s="173">
        <v>270</v>
      </c>
      <c r="K642" s="172">
        <v>270</v>
      </c>
      <c r="L642" s="173">
        <v>270</v>
      </c>
      <c r="M642" s="171">
        <v>270</v>
      </c>
      <c r="N642" s="170">
        <v>0</v>
      </c>
      <c r="O642" s="177" t="s">
        <v>1523</v>
      </c>
      <c r="P642" s="162" t="s">
        <v>1620</v>
      </c>
      <c r="Q642" s="176"/>
      <c r="R642" s="175">
        <v>2045</v>
      </c>
      <c r="S642" s="179"/>
      <c r="T642" s="164" t="s">
        <v>28</v>
      </c>
      <c r="U642" s="161" t="s">
        <v>1615</v>
      </c>
      <c r="V642" s="175">
        <v>1406</v>
      </c>
      <c r="W642" s="181"/>
      <c r="X642" s="186">
        <v>45069</v>
      </c>
      <c r="Y642" s="187">
        <v>45016.649236111109</v>
      </c>
    </row>
    <row r="643" spans="1:25">
      <c r="A643" s="167" t="s">
        <v>77</v>
      </c>
      <c r="B643" s="162" t="s">
        <v>1599</v>
      </c>
      <c r="C643" s="163" t="s">
        <v>2587</v>
      </c>
      <c r="D643" s="162" t="s">
        <v>81</v>
      </c>
      <c r="E643" s="161" t="s">
        <v>1625</v>
      </c>
      <c r="F643" s="162" t="s">
        <v>1609</v>
      </c>
      <c r="G643" s="161"/>
      <c r="H643" s="214">
        <v>1</v>
      </c>
      <c r="I643" s="171">
        <v>258</v>
      </c>
      <c r="J643" s="170">
        <v>258</v>
      </c>
      <c r="K643" s="172">
        <v>258</v>
      </c>
      <c r="L643" s="170">
        <v>258</v>
      </c>
      <c r="M643" s="171">
        <v>258</v>
      </c>
      <c r="N643" s="170"/>
      <c r="O643" s="177" t="s">
        <v>1523</v>
      </c>
      <c r="P643" s="162" t="s">
        <v>1620</v>
      </c>
      <c r="Q643" s="176"/>
      <c r="R643" s="174">
        <v>2045</v>
      </c>
      <c r="S643" s="179"/>
      <c r="T643" s="162" t="s">
        <v>28</v>
      </c>
      <c r="U643" s="161" t="s">
        <v>16</v>
      </c>
      <c r="V643" s="174">
        <v>1513</v>
      </c>
      <c r="W643" s="180"/>
      <c r="X643" s="185">
        <v>45017</v>
      </c>
      <c r="Y643" s="187">
        <v>45021.436539351853</v>
      </c>
    </row>
    <row r="644" spans="1:25">
      <c r="A644" s="167" t="s">
        <v>77</v>
      </c>
      <c r="B644" s="162" t="s">
        <v>1599</v>
      </c>
      <c r="C644" s="163" t="s">
        <v>2588</v>
      </c>
      <c r="D644" s="162" t="s">
        <v>2589</v>
      </c>
      <c r="E644" s="161" t="s">
        <v>1625</v>
      </c>
      <c r="F644" s="162" t="s">
        <v>1609</v>
      </c>
      <c r="G644" s="161"/>
      <c r="H644" s="215">
        <v>1</v>
      </c>
      <c r="I644" s="171">
        <v>204</v>
      </c>
      <c r="J644" s="173">
        <v>204</v>
      </c>
      <c r="K644" s="172">
        <v>204</v>
      </c>
      <c r="L644" s="173">
        <v>204</v>
      </c>
      <c r="M644" s="171">
        <v>204</v>
      </c>
      <c r="N644" s="170"/>
      <c r="O644" s="177" t="s">
        <v>1523</v>
      </c>
      <c r="P644" s="162" t="s">
        <v>1604</v>
      </c>
      <c r="Q644" s="176"/>
      <c r="R644" s="174"/>
      <c r="S644" s="179"/>
      <c r="T644" s="162" t="s">
        <v>28</v>
      </c>
      <c r="U644" s="161" t="s">
        <v>16</v>
      </c>
      <c r="V644" s="174">
        <v>2298</v>
      </c>
      <c r="W644" s="180" t="s">
        <v>2590</v>
      </c>
      <c r="X644" s="185">
        <v>45017</v>
      </c>
      <c r="Y644" s="187">
        <v>44944.591307870367</v>
      </c>
    </row>
    <row r="645" spans="1:25">
      <c r="A645" s="167" t="s">
        <v>77</v>
      </c>
      <c r="B645" s="162" t="s">
        <v>1599</v>
      </c>
      <c r="C645" s="163" t="s">
        <v>2591</v>
      </c>
      <c r="D645" s="162" t="s">
        <v>2592</v>
      </c>
      <c r="E645" s="161" t="s">
        <v>1631</v>
      </c>
      <c r="F645" s="162" t="s">
        <v>1614</v>
      </c>
      <c r="G645" s="161"/>
      <c r="H645" s="214">
        <v>9</v>
      </c>
      <c r="I645" s="171">
        <v>4.4400000000000004</v>
      </c>
      <c r="J645" s="170">
        <v>4.4400000000000004</v>
      </c>
      <c r="K645" s="172">
        <v>40</v>
      </c>
      <c r="L645" s="170">
        <v>40</v>
      </c>
      <c r="M645" s="171">
        <v>40</v>
      </c>
      <c r="N645" s="170">
        <v>0</v>
      </c>
      <c r="O645" s="177" t="s">
        <v>1523</v>
      </c>
      <c r="P645" s="162" t="s">
        <v>1620</v>
      </c>
      <c r="Q645" s="176"/>
      <c r="R645" s="174"/>
      <c r="S645" s="179"/>
      <c r="T645" s="162" t="s">
        <v>28</v>
      </c>
      <c r="U645" s="161" t="s">
        <v>1615</v>
      </c>
      <c r="V645" s="174">
        <v>1528</v>
      </c>
      <c r="W645" s="180"/>
      <c r="X645" s="185">
        <v>45069</v>
      </c>
      <c r="Y645" s="187">
        <v>44679.645428240743</v>
      </c>
    </row>
    <row r="646" spans="1:25">
      <c r="A646" s="167" t="s">
        <v>91</v>
      </c>
      <c r="B646" s="162" t="s">
        <v>1599</v>
      </c>
      <c r="C646" s="163" t="s">
        <v>2593</v>
      </c>
      <c r="D646" s="162" t="s">
        <v>641</v>
      </c>
      <c r="E646" s="161" t="s">
        <v>1631</v>
      </c>
      <c r="F646" s="162" t="s">
        <v>1614</v>
      </c>
      <c r="G646" s="161"/>
      <c r="H646" s="215">
        <v>120</v>
      </c>
      <c r="I646" s="171"/>
      <c r="J646" s="173"/>
      <c r="K646" s="172"/>
      <c r="L646" s="173"/>
      <c r="M646" s="171"/>
      <c r="N646" s="170"/>
      <c r="O646" s="177" t="s">
        <v>1523</v>
      </c>
      <c r="P646" s="162" t="s">
        <v>1620</v>
      </c>
      <c r="Q646" s="176"/>
      <c r="R646" s="174"/>
      <c r="S646" s="179"/>
      <c r="T646" s="162" t="s">
        <v>28</v>
      </c>
      <c r="U646" s="161" t="s">
        <v>1615</v>
      </c>
      <c r="V646" s="174">
        <v>1395</v>
      </c>
      <c r="W646" s="180"/>
      <c r="X646" s="185">
        <v>45017</v>
      </c>
      <c r="Y646" s="187">
        <v>43312.059259259258</v>
      </c>
    </row>
    <row r="647" spans="1:25">
      <c r="A647" s="167" t="s">
        <v>91</v>
      </c>
      <c r="B647" s="162" t="s">
        <v>1599</v>
      </c>
      <c r="C647" s="163" t="s">
        <v>2594</v>
      </c>
      <c r="D647" s="162" t="s">
        <v>641</v>
      </c>
      <c r="E647" s="161" t="s">
        <v>1602</v>
      </c>
      <c r="F647" s="162" t="s">
        <v>1603</v>
      </c>
      <c r="G647" s="161"/>
      <c r="H647" s="214">
        <v>1</v>
      </c>
      <c r="I647" s="171"/>
      <c r="J647" s="170">
        <v>100</v>
      </c>
      <c r="K647" s="172"/>
      <c r="L647" s="170">
        <v>100</v>
      </c>
      <c r="M647" s="171">
        <v>100</v>
      </c>
      <c r="N647" s="170">
        <v>0</v>
      </c>
      <c r="O647" s="177" t="s">
        <v>1523</v>
      </c>
      <c r="P647" s="162" t="s">
        <v>1619</v>
      </c>
      <c r="Q647" s="176"/>
      <c r="R647" s="174"/>
      <c r="S647" s="179"/>
      <c r="T647" s="162" t="s">
        <v>28</v>
      </c>
      <c r="U647" s="161" t="s">
        <v>19</v>
      </c>
      <c r="V647" s="174">
        <v>2051</v>
      </c>
      <c r="W647" s="180"/>
      <c r="X647" s="185">
        <v>45017</v>
      </c>
      <c r="Y647" s="187">
        <v>44824.632187499999</v>
      </c>
    </row>
    <row r="648" spans="1:25">
      <c r="A648" s="167" t="s">
        <v>91</v>
      </c>
      <c r="B648" s="162" t="s">
        <v>1555</v>
      </c>
      <c r="C648" s="163" t="s">
        <v>2595</v>
      </c>
      <c r="D648" s="162" t="s">
        <v>2596</v>
      </c>
      <c r="E648" s="161" t="s">
        <v>1589</v>
      </c>
      <c r="F648" s="162" t="s">
        <v>1635</v>
      </c>
      <c r="G648" s="161"/>
      <c r="H648" s="215">
        <v>4</v>
      </c>
      <c r="I648" s="171">
        <v>2</v>
      </c>
      <c r="J648" s="173">
        <v>2</v>
      </c>
      <c r="K648" s="172">
        <v>8</v>
      </c>
      <c r="L648" s="173">
        <v>8</v>
      </c>
      <c r="M648" s="171">
        <v>8</v>
      </c>
      <c r="N648" s="170">
        <v>0</v>
      </c>
      <c r="O648" s="177" t="s">
        <v>76</v>
      </c>
      <c r="P648" s="162" t="s">
        <v>1591</v>
      </c>
      <c r="Q648" s="176"/>
      <c r="R648" s="174"/>
      <c r="S648" s="179"/>
      <c r="T648" s="162" t="s">
        <v>24</v>
      </c>
      <c r="U648" s="161" t="s">
        <v>20</v>
      </c>
      <c r="V648" s="174">
        <v>1519</v>
      </c>
      <c r="W648" s="180"/>
      <c r="X648" s="185">
        <v>44805</v>
      </c>
      <c r="Y648" s="187">
        <v>44981.404398148145</v>
      </c>
    </row>
    <row r="649" spans="1:25">
      <c r="A649" s="167" t="s">
        <v>77</v>
      </c>
      <c r="B649" s="162" t="s">
        <v>1599</v>
      </c>
      <c r="C649" s="163" t="s">
        <v>2597</v>
      </c>
      <c r="D649" s="162" t="s">
        <v>2159</v>
      </c>
      <c r="E649" s="161" t="s">
        <v>1613</v>
      </c>
      <c r="F649" s="162" t="s">
        <v>1614</v>
      </c>
      <c r="G649" s="161"/>
      <c r="H649" s="214">
        <v>1</v>
      </c>
      <c r="I649" s="171">
        <v>55</v>
      </c>
      <c r="J649" s="170">
        <v>55</v>
      </c>
      <c r="K649" s="172">
        <v>55</v>
      </c>
      <c r="L649" s="170">
        <v>55</v>
      </c>
      <c r="M649" s="171">
        <v>55</v>
      </c>
      <c r="N649" s="170"/>
      <c r="O649" s="177" t="s">
        <v>1523</v>
      </c>
      <c r="P649" s="162" t="s">
        <v>1620</v>
      </c>
      <c r="Q649" s="176"/>
      <c r="R649" s="174"/>
      <c r="S649" s="179"/>
      <c r="T649" s="162" t="s">
        <v>28</v>
      </c>
      <c r="U649" s="161" t="s">
        <v>1615</v>
      </c>
      <c r="V649" s="174">
        <v>1446</v>
      </c>
      <c r="W649" s="180"/>
      <c r="X649" s="185">
        <v>45017</v>
      </c>
      <c r="Y649" s="187">
        <v>45020.689953703702</v>
      </c>
    </row>
    <row r="650" spans="1:25">
      <c r="A650" s="167" t="s">
        <v>77</v>
      </c>
      <c r="B650" s="162" t="s">
        <v>1555</v>
      </c>
      <c r="C650" s="163" t="s">
        <v>2598</v>
      </c>
      <c r="D650" s="162" t="s">
        <v>1943</v>
      </c>
      <c r="E650" s="161" t="s">
        <v>1946</v>
      </c>
      <c r="F650" s="162" t="s">
        <v>1740</v>
      </c>
      <c r="G650" s="161" t="s">
        <v>2599</v>
      </c>
      <c r="H650" s="215">
        <v>1</v>
      </c>
      <c r="I650" s="171"/>
      <c r="J650" s="173">
        <v>744</v>
      </c>
      <c r="K650" s="172"/>
      <c r="L650" s="173">
        <v>744</v>
      </c>
      <c r="M650" s="171">
        <v>744</v>
      </c>
      <c r="N650" s="170"/>
      <c r="O650" s="177" t="s">
        <v>76</v>
      </c>
      <c r="P650" s="162" t="s">
        <v>1619</v>
      </c>
      <c r="Q650" s="176"/>
      <c r="R650" s="174">
        <v>2042</v>
      </c>
      <c r="S650" s="179"/>
      <c r="T650" s="162" t="s">
        <v>24</v>
      </c>
      <c r="U650" s="161" t="s">
        <v>11</v>
      </c>
      <c r="V650" s="174">
        <v>1104</v>
      </c>
      <c r="W650" s="180"/>
      <c r="X650" s="185">
        <v>45069</v>
      </c>
      <c r="Y650" s="187">
        <v>45019.487071759257</v>
      </c>
    </row>
    <row r="651" spans="1:25">
      <c r="A651" s="167" t="s">
        <v>110</v>
      </c>
      <c r="B651" s="162" t="s">
        <v>1599</v>
      </c>
      <c r="C651" s="163" t="s">
        <v>119</v>
      </c>
      <c r="D651" s="162" t="s">
        <v>120</v>
      </c>
      <c r="E651" s="161" t="s">
        <v>1602</v>
      </c>
      <c r="F651" s="162" t="s">
        <v>1603</v>
      </c>
      <c r="G651" s="161"/>
      <c r="H651" s="214">
        <v>1</v>
      </c>
      <c r="I651" s="171"/>
      <c r="J651" s="170">
        <v>180</v>
      </c>
      <c r="K651" s="172"/>
      <c r="L651" s="170">
        <v>180</v>
      </c>
      <c r="M651" s="171">
        <v>180</v>
      </c>
      <c r="N651" s="170">
        <v>360</v>
      </c>
      <c r="O651" s="177" t="s">
        <v>27</v>
      </c>
      <c r="P651" s="162" t="s">
        <v>1619</v>
      </c>
      <c r="Q651" s="176">
        <v>45748</v>
      </c>
      <c r="R651" s="174"/>
      <c r="S651" s="179"/>
      <c r="T651" s="162" t="s">
        <v>27</v>
      </c>
      <c r="U651" s="161" t="s">
        <v>19</v>
      </c>
      <c r="V651" s="174">
        <v>2173</v>
      </c>
      <c r="W651" s="180" t="s">
        <v>2600</v>
      </c>
      <c r="X651" s="185">
        <v>45069</v>
      </c>
      <c r="Y651" s="187">
        <v>45106.68545138889</v>
      </c>
    </row>
    <row r="652" spans="1:25">
      <c r="A652" s="167" t="s">
        <v>77</v>
      </c>
      <c r="B652" s="162" t="s">
        <v>1599</v>
      </c>
      <c r="C652" s="163" t="s">
        <v>2601</v>
      </c>
      <c r="D652" s="162" t="s">
        <v>2602</v>
      </c>
      <c r="E652" s="161" t="s">
        <v>1631</v>
      </c>
      <c r="F652" s="162" t="s">
        <v>1614</v>
      </c>
      <c r="G652" s="161"/>
      <c r="H652" s="215">
        <v>22</v>
      </c>
      <c r="I652" s="171">
        <v>4.4000000000000004</v>
      </c>
      <c r="J652" s="173">
        <v>4.4000000000000004</v>
      </c>
      <c r="K652" s="172">
        <v>96.8</v>
      </c>
      <c r="L652" s="173">
        <v>96.8</v>
      </c>
      <c r="M652" s="171">
        <v>96.8</v>
      </c>
      <c r="N652" s="170"/>
      <c r="O652" s="177" t="s">
        <v>1523</v>
      </c>
      <c r="P652" s="162" t="s">
        <v>1620</v>
      </c>
      <c r="Q652" s="176"/>
      <c r="R652" s="174"/>
      <c r="S652" s="179"/>
      <c r="T652" s="162" t="s">
        <v>28</v>
      </c>
      <c r="U652" s="161" t="s">
        <v>1615</v>
      </c>
      <c r="V652" s="174">
        <v>1908</v>
      </c>
      <c r="W652" s="180" t="s">
        <v>2603</v>
      </c>
      <c r="X652" s="185">
        <v>45069</v>
      </c>
      <c r="Y652" s="187">
        <v>45097.49255787037</v>
      </c>
    </row>
    <row r="653" spans="1:25">
      <c r="A653" s="167" t="s">
        <v>45</v>
      </c>
      <c r="B653" s="162" t="s">
        <v>1599</v>
      </c>
      <c r="C653" s="163" t="s">
        <v>2604</v>
      </c>
      <c r="D653" s="162" t="s">
        <v>2605</v>
      </c>
      <c r="E653" s="161" t="s">
        <v>1602</v>
      </c>
      <c r="F653" s="162" t="s">
        <v>1603</v>
      </c>
      <c r="G653" s="161"/>
      <c r="H653" s="214">
        <v>1</v>
      </c>
      <c r="I653" s="171">
        <v>1200</v>
      </c>
      <c r="J653" s="170">
        <v>1200</v>
      </c>
      <c r="K653" s="172">
        <v>1200</v>
      </c>
      <c r="L653" s="170">
        <v>1200</v>
      </c>
      <c r="M653" s="171">
        <v>1200</v>
      </c>
      <c r="N653" s="170">
        <v>0</v>
      </c>
      <c r="O653" s="177" t="s">
        <v>1523</v>
      </c>
      <c r="P653" s="162" t="s">
        <v>1604</v>
      </c>
      <c r="Q653" s="176"/>
      <c r="R653" s="174"/>
      <c r="S653" s="179"/>
      <c r="T653" s="162" t="s">
        <v>28</v>
      </c>
      <c r="U653" s="161" t="s">
        <v>19</v>
      </c>
      <c r="V653" s="174">
        <v>2415</v>
      </c>
      <c r="W653" s="180"/>
      <c r="X653" s="185">
        <v>45017</v>
      </c>
      <c r="Y653" s="187">
        <v>44986.544861111113</v>
      </c>
    </row>
    <row r="654" spans="1:25">
      <c r="A654" s="167" t="s">
        <v>45</v>
      </c>
      <c r="B654" s="162" t="s">
        <v>1599</v>
      </c>
      <c r="C654" s="163" t="s">
        <v>477</v>
      </c>
      <c r="D654" s="162" t="s">
        <v>567</v>
      </c>
      <c r="E654" s="161" t="s">
        <v>1673</v>
      </c>
      <c r="F654" s="162" t="s">
        <v>1592</v>
      </c>
      <c r="G654" s="161"/>
      <c r="H654" s="215">
        <v>1</v>
      </c>
      <c r="I654" s="171"/>
      <c r="J654" s="173">
        <v>375</v>
      </c>
      <c r="K654" s="172"/>
      <c r="L654" s="173">
        <v>375</v>
      </c>
      <c r="M654" s="171">
        <v>375</v>
      </c>
      <c r="N654" s="170"/>
      <c r="O654" s="177" t="s">
        <v>2606</v>
      </c>
      <c r="P654" s="162" t="s">
        <v>1619</v>
      </c>
      <c r="Q654" s="176">
        <v>45627</v>
      </c>
      <c r="R654" s="174">
        <v>2064</v>
      </c>
      <c r="S654" s="179"/>
      <c r="T654" s="162" t="s">
        <v>26</v>
      </c>
      <c r="U654" s="161" t="s">
        <v>13</v>
      </c>
      <c r="V654" s="174">
        <v>1871</v>
      </c>
      <c r="W654" s="180"/>
      <c r="X654" s="185">
        <v>45069</v>
      </c>
      <c r="Y654" s="187">
        <v>45086.643900462965</v>
      </c>
    </row>
    <row r="655" spans="1:25">
      <c r="A655" s="167" t="s">
        <v>45</v>
      </c>
      <c r="B655" s="162" t="s">
        <v>1599</v>
      </c>
      <c r="C655" s="163" t="s">
        <v>477</v>
      </c>
      <c r="D655" s="162" t="s">
        <v>567</v>
      </c>
      <c r="E655" s="161" t="s">
        <v>1673</v>
      </c>
      <c r="F655" s="162" t="s">
        <v>1592</v>
      </c>
      <c r="G655" s="161"/>
      <c r="H655" s="214">
        <v>1</v>
      </c>
      <c r="I655" s="171"/>
      <c r="J655" s="170">
        <v>375</v>
      </c>
      <c r="K655" s="172"/>
      <c r="L655" s="170">
        <v>375</v>
      </c>
      <c r="M655" s="171">
        <v>375</v>
      </c>
      <c r="N655" s="170"/>
      <c r="O655" s="177" t="s">
        <v>2606</v>
      </c>
      <c r="P655" s="162" t="s">
        <v>1619</v>
      </c>
      <c r="Q655" s="176">
        <v>45627</v>
      </c>
      <c r="R655" s="174">
        <v>2064</v>
      </c>
      <c r="S655" s="179"/>
      <c r="T655" s="162" t="s">
        <v>26</v>
      </c>
      <c r="U655" s="161" t="s">
        <v>13</v>
      </c>
      <c r="V655" s="174">
        <v>1871</v>
      </c>
      <c r="W655" s="180"/>
      <c r="X655" s="185">
        <v>45069</v>
      </c>
      <c r="Y655" s="187">
        <v>45086.643900462965</v>
      </c>
    </row>
    <row r="656" spans="1:25">
      <c r="A656" s="167" t="s">
        <v>91</v>
      </c>
      <c r="B656" s="162" t="s">
        <v>1555</v>
      </c>
      <c r="C656" s="163" t="s">
        <v>737</v>
      </c>
      <c r="D656" s="162" t="s">
        <v>717</v>
      </c>
      <c r="E656" s="161" t="s">
        <v>1673</v>
      </c>
      <c r="F656" s="162" t="s">
        <v>1592</v>
      </c>
      <c r="G656" s="161" t="s">
        <v>2607</v>
      </c>
      <c r="H656" s="215">
        <v>1</v>
      </c>
      <c r="I656" s="171"/>
      <c r="J656" s="173">
        <v>40</v>
      </c>
      <c r="K656" s="172"/>
      <c r="L656" s="173">
        <v>40</v>
      </c>
      <c r="M656" s="171">
        <v>40</v>
      </c>
      <c r="N656" s="170"/>
      <c r="O656" s="177" t="s">
        <v>76</v>
      </c>
      <c r="P656" s="162" t="s">
        <v>1619</v>
      </c>
      <c r="Q656" s="176"/>
      <c r="R656" s="174">
        <v>2035</v>
      </c>
      <c r="S656" s="179"/>
      <c r="T656" s="162" t="s">
        <v>24</v>
      </c>
      <c r="U656" s="161" t="s">
        <v>13</v>
      </c>
      <c r="V656" s="174">
        <v>1107</v>
      </c>
      <c r="W656" s="180"/>
      <c r="X656" s="185">
        <v>45017</v>
      </c>
      <c r="Y656" s="187">
        <v>45019.488761574074</v>
      </c>
    </row>
    <row r="657" spans="1:25">
      <c r="A657" s="167" t="s">
        <v>91</v>
      </c>
      <c r="B657" s="162" t="s">
        <v>1555</v>
      </c>
      <c r="C657" s="163" t="s">
        <v>737</v>
      </c>
      <c r="D657" s="162" t="s">
        <v>717</v>
      </c>
      <c r="E657" s="161" t="s">
        <v>1673</v>
      </c>
      <c r="F657" s="162" t="s">
        <v>1592</v>
      </c>
      <c r="G657" s="161" t="s">
        <v>2608</v>
      </c>
      <c r="H657" s="214">
        <v>1</v>
      </c>
      <c r="I657" s="171"/>
      <c r="J657" s="170">
        <v>40</v>
      </c>
      <c r="K657" s="172"/>
      <c r="L657" s="170">
        <v>40</v>
      </c>
      <c r="M657" s="171">
        <v>40</v>
      </c>
      <c r="N657" s="170"/>
      <c r="O657" s="177" t="s">
        <v>76</v>
      </c>
      <c r="P657" s="162" t="s">
        <v>1619</v>
      </c>
      <c r="Q657" s="176"/>
      <c r="R657" s="174">
        <v>2035</v>
      </c>
      <c r="S657" s="179"/>
      <c r="T657" s="162" t="s">
        <v>24</v>
      </c>
      <c r="U657" s="161" t="s">
        <v>13</v>
      </c>
      <c r="V657" s="174">
        <v>1107</v>
      </c>
      <c r="W657" s="180"/>
      <c r="X657" s="185">
        <v>45017</v>
      </c>
      <c r="Y657" s="187">
        <v>45019.488761574074</v>
      </c>
    </row>
    <row r="658" spans="1:25">
      <c r="A658" s="220" t="s">
        <v>77</v>
      </c>
      <c r="B658" s="221" t="s">
        <v>1599</v>
      </c>
      <c r="C658" s="222" t="s">
        <v>3894</v>
      </c>
      <c r="D658" s="221" t="s">
        <v>244</v>
      </c>
      <c r="E658" s="223" t="s">
        <v>1613</v>
      </c>
      <c r="F658" s="224" t="s">
        <v>1615</v>
      </c>
      <c r="G658" s="161"/>
      <c r="H658" s="215">
        <v>1</v>
      </c>
      <c r="I658" s="171"/>
      <c r="J658" s="173">
        <v>128</v>
      </c>
      <c r="K658" s="172"/>
      <c r="L658" s="173">
        <v>128</v>
      </c>
      <c r="M658" s="171">
        <v>128</v>
      </c>
      <c r="N658" s="170"/>
      <c r="O658" s="230" t="s">
        <v>1523</v>
      </c>
      <c r="P658" s="221" t="s">
        <v>1604</v>
      </c>
      <c r="Q658" s="231"/>
      <c r="R658" s="232"/>
      <c r="S658" s="233"/>
      <c r="T658" s="224" t="s">
        <v>28</v>
      </c>
      <c r="U658" s="223" t="s">
        <v>1615</v>
      </c>
      <c r="V658" s="232">
        <v>2556</v>
      </c>
      <c r="W658" s="234" t="s">
        <v>3945</v>
      </c>
      <c r="X658" s="235"/>
      <c r="Y658" s="236">
        <v>45111.568206018521</v>
      </c>
    </row>
    <row r="659" spans="1:25">
      <c r="A659" s="167" t="s">
        <v>91</v>
      </c>
      <c r="B659" s="162" t="s">
        <v>1555</v>
      </c>
      <c r="C659" s="163" t="s">
        <v>2609</v>
      </c>
      <c r="D659" s="162" t="s">
        <v>2610</v>
      </c>
      <c r="E659" s="161" t="s">
        <v>1625</v>
      </c>
      <c r="F659" s="162" t="s">
        <v>1609</v>
      </c>
      <c r="G659" s="161" t="s">
        <v>2611</v>
      </c>
      <c r="H659" s="214">
        <v>46</v>
      </c>
      <c r="I659" s="171">
        <v>1.75</v>
      </c>
      <c r="J659" s="170">
        <v>1.75</v>
      </c>
      <c r="K659" s="172">
        <v>80.5</v>
      </c>
      <c r="L659" s="170">
        <v>80.5</v>
      </c>
      <c r="M659" s="171">
        <v>80.5</v>
      </c>
      <c r="N659" s="170"/>
      <c r="O659" s="177" t="s">
        <v>76</v>
      </c>
      <c r="P659" s="162" t="s">
        <v>1591</v>
      </c>
      <c r="Q659" s="176"/>
      <c r="R659" s="174">
        <v>2035</v>
      </c>
      <c r="S659" s="179"/>
      <c r="T659" s="162" t="s">
        <v>24</v>
      </c>
      <c r="U659" s="161" t="s">
        <v>16</v>
      </c>
      <c r="V659" s="174">
        <v>1108</v>
      </c>
      <c r="W659" s="180"/>
      <c r="X659" s="185">
        <v>45017</v>
      </c>
      <c r="Y659" s="187">
        <v>45034.749386574076</v>
      </c>
    </row>
    <row r="660" spans="1:25">
      <c r="A660" s="167" t="s">
        <v>91</v>
      </c>
      <c r="B660" s="162" t="s">
        <v>1555</v>
      </c>
      <c r="C660" s="163" t="s">
        <v>2612</v>
      </c>
      <c r="D660" s="162" t="s">
        <v>2610</v>
      </c>
      <c r="E660" s="161" t="s">
        <v>1625</v>
      </c>
      <c r="F660" s="162" t="s">
        <v>1609</v>
      </c>
      <c r="G660" s="161" t="s">
        <v>2613</v>
      </c>
      <c r="H660" s="215">
        <v>53</v>
      </c>
      <c r="I660" s="171">
        <v>3</v>
      </c>
      <c r="J660" s="173">
        <v>3</v>
      </c>
      <c r="K660" s="172">
        <v>159</v>
      </c>
      <c r="L660" s="173">
        <v>159</v>
      </c>
      <c r="M660" s="171">
        <v>159</v>
      </c>
      <c r="N660" s="170"/>
      <c r="O660" s="177" t="s">
        <v>76</v>
      </c>
      <c r="P660" s="162" t="s">
        <v>1620</v>
      </c>
      <c r="Q660" s="176"/>
      <c r="R660" s="174">
        <v>2038</v>
      </c>
      <c r="S660" s="179"/>
      <c r="T660" s="162" t="s">
        <v>24</v>
      </c>
      <c r="U660" s="161" t="s">
        <v>16</v>
      </c>
      <c r="V660" s="174">
        <v>1109</v>
      </c>
      <c r="W660" s="180"/>
      <c r="X660" s="185">
        <v>45017</v>
      </c>
      <c r="Y660" s="187">
        <v>45015.457037037035</v>
      </c>
    </row>
    <row r="661" spans="1:25">
      <c r="A661" s="167" t="s">
        <v>91</v>
      </c>
      <c r="B661" s="162" t="s">
        <v>1555</v>
      </c>
      <c r="C661" s="163" t="s">
        <v>2614</v>
      </c>
      <c r="D661" s="162" t="s">
        <v>2610</v>
      </c>
      <c r="E661" s="161" t="s">
        <v>1625</v>
      </c>
      <c r="F661" s="162" t="s">
        <v>1609</v>
      </c>
      <c r="G661" s="161" t="s">
        <v>2615</v>
      </c>
      <c r="H661" s="214">
        <v>13</v>
      </c>
      <c r="I661" s="171">
        <v>3</v>
      </c>
      <c r="J661" s="170">
        <v>3</v>
      </c>
      <c r="K661" s="172">
        <v>39</v>
      </c>
      <c r="L661" s="170">
        <v>39</v>
      </c>
      <c r="M661" s="171">
        <v>39</v>
      </c>
      <c r="N661" s="170"/>
      <c r="O661" s="177" t="s">
        <v>76</v>
      </c>
      <c r="P661" s="162" t="s">
        <v>1620</v>
      </c>
      <c r="Q661" s="176"/>
      <c r="R661" s="174">
        <v>2040</v>
      </c>
      <c r="S661" s="179"/>
      <c r="T661" s="162" t="s">
        <v>24</v>
      </c>
      <c r="U661" s="161" t="s">
        <v>16</v>
      </c>
      <c r="V661" s="174">
        <v>1110</v>
      </c>
      <c r="W661" s="180"/>
      <c r="X661" s="185">
        <v>45017</v>
      </c>
      <c r="Y661" s="187">
        <v>45015.600532407407</v>
      </c>
    </row>
    <row r="662" spans="1:25">
      <c r="A662" s="167" t="s">
        <v>91</v>
      </c>
      <c r="B662" s="162" t="s">
        <v>1555</v>
      </c>
      <c r="C662" s="163" t="s">
        <v>936</v>
      </c>
      <c r="D662" s="162" t="s">
        <v>2616</v>
      </c>
      <c r="E662" s="161" t="s">
        <v>1602</v>
      </c>
      <c r="F662" s="162" t="s">
        <v>1603</v>
      </c>
      <c r="G662" s="161" t="s">
        <v>741</v>
      </c>
      <c r="H662" s="215">
        <v>1</v>
      </c>
      <c r="I662" s="171"/>
      <c r="J662" s="173">
        <v>25</v>
      </c>
      <c r="K662" s="172"/>
      <c r="L662" s="173">
        <v>25</v>
      </c>
      <c r="M662" s="171">
        <v>25</v>
      </c>
      <c r="N662" s="170">
        <v>52</v>
      </c>
      <c r="O662" s="177" t="s">
        <v>76</v>
      </c>
      <c r="P662" s="162" t="s">
        <v>1619</v>
      </c>
      <c r="Q662" s="176"/>
      <c r="R662" s="174">
        <v>2034</v>
      </c>
      <c r="S662" s="179"/>
      <c r="T662" s="162" t="s">
        <v>24</v>
      </c>
      <c r="U662" s="161" t="s">
        <v>19</v>
      </c>
      <c r="V662" s="174">
        <v>1568</v>
      </c>
      <c r="W662" s="180"/>
      <c r="X662" s="185">
        <v>45017</v>
      </c>
      <c r="Y662" s="187">
        <v>45021.563842592594</v>
      </c>
    </row>
    <row r="663" spans="1:25">
      <c r="A663" s="167" t="s">
        <v>105</v>
      </c>
      <c r="B663" s="162" t="s">
        <v>1555</v>
      </c>
      <c r="C663" s="163" t="s">
        <v>2617</v>
      </c>
      <c r="D663" s="162" t="s">
        <v>1735</v>
      </c>
      <c r="E663" s="161" t="s">
        <v>1700</v>
      </c>
      <c r="F663" s="162" t="s">
        <v>1658</v>
      </c>
      <c r="G663" s="161" t="s">
        <v>2618</v>
      </c>
      <c r="H663" s="214">
        <v>1</v>
      </c>
      <c r="I663" s="171">
        <v>32.4</v>
      </c>
      <c r="J663" s="170">
        <v>32.4</v>
      </c>
      <c r="K663" s="172">
        <v>32.4</v>
      </c>
      <c r="L663" s="170">
        <v>32.4</v>
      </c>
      <c r="M663" s="171">
        <v>32.4</v>
      </c>
      <c r="N663" s="170"/>
      <c r="O663" s="177" t="s">
        <v>76</v>
      </c>
      <c r="P663" s="162" t="s">
        <v>1619</v>
      </c>
      <c r="Q663" s="176"/>
      <c r="R663" s="174">
        <v>2100</v>
      </c>
      <c r="S663" s="179"/>
      <c r="T663" s="162" t="s">
        <v>24</v>
      </c>
      <c r="U663" s="161" t="s">
        <v>17</v>
      </c>
      <c r="V663" s="174">
        <v>1111</v>
      </c>
      <c r="W663" s="180"/>
      <c r="X663" s="185">
        <v>45017</v>
      </c>
      <c r="Y663" s="187">
        <v>45086.831342592595</v>
      </c>
    </row>
    <row r="664" spans="1:25">
      <c r="A664" s="167" t="s">
        <v>45</v>
      </c>
      <c r="B664" s="162" t="s">
        <v>1599</v>
      </c>
      <c r="C664" s="163" t="s">
        <v>2619</v>
      </c>
      <c r="D664" s="162" t="s">
        <v>636</v>
      </c>
      <c r="E664" s="161" t="s">
        <v>1700</v>
      </c>
      <c r="F664" s="162" t="s">
        <v>1658</v>
      </c>
      <c r="G664" s="161"/>
      <c r="H664" s="215">
        <v>1</v>
      </c>
      <c r="I664" s="171"/>
      <c r="J664" s="173">
        <v>335</v>
      </c>
      <c r="K664" s="172"/>
      <c r="L664" s="173">
        <v>335</v>
      </c>
      <c r="M664" s="171">
        <v>335</v>
      </c>
      <c r="N664" s="170"/>
      <c r="O664" s="177" t="s">
        <v>1523</v>
      </c>
      <c r="P664" s="162" t="s">
        <v>1619</v>
      </c>
      <c r="Q664" s="176"/>
      <c r="R664" s="174"/>
      <c r="S664" s="179"/>
      <c r="T664" s="162" t="s">
        <v>28</v>
      </c>
      <c r="U664" s="161" t="s">
        <v>17</v>
      </c>
      <c r="V664" s="174">
        <v>2033</v>
      </c>
      <c r="W664" s="180" t="s">
        <v>2620</v>
      </c>
      <c r="X664" s="185">
        <v>45069</v>
      </c>
      <c r="Y664" s="187">
        <v>45097.593912037039</v>
      </c>
    </row>
    <row r="665" spans="1:25">
      <c r="A665" s="167" t="s">
        <v>105</v>
      </c>
      <c r="B665" s="162" t="s">
        <v>1555</v>
      </c>
      <c r="C665" s="163" t="s">
        <v>2621</v>
      </c>
      <c r="D665" s="162" t="s">
        <v>1735</v>
      </c>
      <c r="E665" s="161" t="s">
        <v>1700</v>
      </c>
      <c r="F665" s="162" t="s">
        <v>1658</v>
      </c>
      <c r="G665" s="161"/>
      <c r="H665" s="214">
        <v>7</v>
      </c>
      <c r="I665" s="171">
        <v>1.2</v>
      </c>
      <c r="J665" s="170">
        <v>1.2</v>
      </c>
      <c r="K665" s="172">
        <v>8.4</v>
      </c>
      <c r="L665" s="170">
        <v>8.4</v>
      </c>
      <c r="M665" s="171">
        <v>8.4</v>
      </c>
      <c r="N665" s="170"/>
      <c r="O665" s="177" t="s">
        <v>76</v>
      </c>
      <c r="P665" s="162" t="s">
        <v>1591</v>
      </c>
      <c r="Q665" s="176"/>
      <c r="R665" s="174">
        <v>2100</v>
      </c>
      <c r="S665" s="179"/>
      <c r="T665" s="162" t="s">
        <v>24</v>
      </c>
      <c r="U665" s="161" t="s">
        <v>17</v>
      </c>
      <c r="V665" s="174">
        <v>1112</v>
      </c>
      <c r="W665" s="180"/>
      <c r="X665" s="185">
        <v>44621</v>
      </c>
      <c r="Y665" s="187">
        <v>45086.837245370371</v>
      </c>
    </row>
    <row r="666" spans="1:25">
      <c r="A666" s="167" t="s">
        <v>77</v>
      </c>
      <c r="B666" s="162" t="s">
        <v>1555</v>
      </c>
      <c r="C666" s="163" t="s">
        <v>1053</v>
      </c>
      <c r="D666" s="162" t="s">
        <v>2622</v>
      </c>
      <c r="E666" s="161" t="s">
        <v>1700</v>
      </c>
      <c r="F666" s="162" t="s">
        <v>1658</v>
      </c>
      <c r="G666" s="161"/>
      <c r="H666" s="215">
        <v>1</v>
      </c>
      <c r="I666" s="171">
        <v>4.3</v>
      </c>
      <c r="J666" s="173">
        <v>4.3</v>
      </c>
      <c r="K666" s="172">
        <v>4.3</v>
      </c>
      <c r="L666" s="173">
        <v>4.3</v>
      </c>
      <c r="M666" s="171">
        <v>4.3</v>
      </c>
      <c r="N666" s="170"/>
      <c r="O666" s="177" t="s">
        <v>76</v>
      </c>
      <c r="P666" s="162" t="s">
        <v>1591</v>
      </c>
      <c r="Q666" s="176"/>
      <c r="R666" s="174"/>
      <c r="S666" s="179"/>
      <c r="T666" s="162" t="s">
        <v>24</v>
      </c>
      <c r="U666" s="161" t="s">
        <v>17</v>
      </c>
      <c r="V666" s="174">
        <v>1669</v>
      </c>
      <c r="W666" s="180"/>
      <c r="X666" s="185">
        <v>44805</v>
      </c>
      <c r="Y666" s="187">
        <v>43298.07980324074</v>
      </c>
    </row>
    <row r="667" spans="1:25">
      <c r="A667" s="167" t="s">
        <v>77</v>
      </c>
      <c r="B667" s="162" t="s">
        <v>1555</v>
      </c>
      <c r="C667" s="163" t="s">
        <v>2623</v>
      </c>
      <c r="D667" s="162" t="s">
        <v>2624</v>
      </c>
      <c r="E667" s="161" t="s">
        <v>1613</v>
      </c>
      <c r="F667" s="162" t="s">
        <v>1614</v>
      </c>
      <c r="G667" s="161"/>
      <c r="H667" s="214">
        <v>12</v>
      </c>
      <c r="I667" s="171">
        <v>0.9</v>
      </c>
      <c r="J667" s="170">
        <v>0.9</v>
      </c>
      <c r="K667" s="172">
        <v>10.8</v>
      </c>
      <c r="L667" s="170">
        <v>10.8</v>
      </c>
      <c r="M667" s="171">
        <v>10.8</v>
      </c>
      <c r="N667" s="170"/>
      <c r="O667" s="177" t="s">
        <v>76</v>
      </c>
      <c r="P667" s="162" t="s">
        <v>1591</v>
      </c>
      <c r="Q667" s="176"/>
      <c r="R667" s="174">
        <v>2041</v>
      </c>
      <c r="S667" s="179"/>
      <c r="T667" s="162" t="s">
        <v>24</v>
      </c>
      <c r="U667" s="161" t="s">
        <v>1615</v>
      </c>
      <c r="V667" s="174">
        <v>1668</v>
      </c>
      <c r="W667" s="180"/>
      <c r="X667" s="185">
        <v>44805</v>
      </c>
      <c r="Y667" s="187">
        <v>44981.393506944441</v>
      </c>
    </row>
    <row r="668" spans="1:25">
      <c r="A668" s="167" t="s">
        <v>77</v>
      </c>
      <c r="B668" s="162" t="s">
        <v>1599</v>
      </c>
      <c r="C668" s="163" t="s">
        <v>2625</v>
      </c>
      <c r="D668" s="162" t="s">
        <v>2626</v>
      </c>
      <c r="E668" s="161" t="s">
        <v>1625</v>
      </c>
      <c r="F668" s="162" t="s">
        <v>1609</v>
      </c>
      <c r="G668" s="161"/>
      <c r="H668" s="215">
        <v>17</v>
      </c>
      <c r="I668" s="171">
        <v>0</v>
      </c>
      <c r="J668" s="173">
        <v>4.3</v>
      </c>
      <c r="K668" s="172">
        <v>0</v>
      </c>
      <c r="L668" s="173">
        <v>73.099999999999994</v>
      </c>
      <c r="M668" s="171">
        <v>73.099999999999994</v>
      </c>
      <c r="N668" s="170"/>
      <c r="O668" s="177" t="s">
        <v>1523</v>
      </c>
      <c r="P668" s="162" t="s">
        <v>1620</v>
      </c>
      <c r="Q668" s="176">
        <v>46357</v>
      </c>
      <c r="R668" s="174"/>
      <c r="S668" s="179"/>
      <c r="T668" s="162" t="s">
        <v>28</v>
      </c>
      <c r="U668" s="161" t="s">
        <v>16</v>
      </c>
      <c r="V668" s="174">
        <v>1626</v>
      </c>
      <c r="W668" s="180"/>
      <c r="X668" s="185">
        <v>45069</v>
      </c>
      <c r="Y668" s="187">
        <v>45021.603078703702</v>
      </c>
    </row>
    <row r="669" spans="1:25">
      <c r="A669" s="167" t="s">
        <v>77</v>
      </c>
      <c r="B669" s="162" t="s">
        <v>1599</v>
      </c>
      <c r="C669" s="163" t="s">
        <v>2627</v>
      </c>
      <c r="D669" s="162" t="s">
        <v>2628</v>
      </c>
      <c r="E669" s="161" t="s">
        <v>1613</v>
      </c>
      <c r="F669" s="162" t="s">
        <v>1614</v>
      </c>
      <c r="G669" s="161"/>
      <c r="H669" s="214">
        <v>2</v>
      </c>
      <c r="I669" s="171"/>
      <c r="J669" s="170">
        <v>2.5</v>
      </c>
      <c r="K669" s="172"/>
      <c r="L669" s="170">
        <v>5</v>
      </c>
      <c r="M669" s="171">
        <v>5</v>
      </c>
      <c r="N669" s="170"/>
      <c r="O669" s="177" t="s">
        <v>1523</v>
      </c>
      <c r="P669" s="162" t="s">
        <v>1591</v>
      </c>
      <c r="Q669" s="176"/>
      <c r="R669" s="174"/>
      <c r="S669" s="179"/>
      <c r="T669" s="162" t="s">
        <v>28</v>
      </c>
      <c r="U669" s="161" t="s">
        <v>1615</v>
      </c>
      <c r="V669" s="174">
        <v>1559</v>
      </c>
      <c r="W669" s="180"/>
      <c r="X669" s="185">
        <v>44805</v>
      </c>
      <c r="Y669" s="187">
        <v>44678.654467592591</v>
      </c>
    </row>
    <row r="670" spans="1:25">
      <c r="A670" s="167" t="s">
        <v>110</v>
      </c>
      <c r="B670" s="162" t="s">
        <v>1599</v>
      </c>
      <c r="C670" s="163" t="s">
        <v>2629</v>
      </c>
      <c r="D670" s="162" t="s">
        <v>1992</v>
      </c>
      <c r="E670" s="161" t="s">
        <v>1631</v>
      </c>
      <c r="F670" s="162" t="s">
        <v>1614</v>
      </c>
      <c r="G670" s="161"/>
      <c r="H670" s="215">
        <v>1</v>
      </c>
      <c r="I670" s="171"/>
      <c r="J670" s="173">
        <v>400</v>
      </c>
      <c r="K670" s="172"/>
      <c r="L670" s="173">
        <v>400</v>
      </c>
      <c r="M670" s="171">
        <v>400</v>
      </c>
      <c r="N670" s="170"/>
      <c r="O670" s="177" t="s">
        <v>1523</v>
      </c>
      <c r="P670" s="162" t="s">
        <v>1604</v>
      </c>
      <c r="Q670" s="176"/>
      <c r="R670" s="174"/>
      <c r="S670" s="179"/>
      <c r="T670" s="162" t="s">
        <v>28</v>
      </c>
      <c r="U670" s="161" t="s">
        <v>1615</v>
      </c>
      <c r="V670" s="174">
        <v>2255</v>
      </c>
      <c r="W670" s="180" t="s">
        <v>2630</v>
      </c>
      <c r="X670" s="185">
        <v>45017</v>
      </c>
      <c r="Y670" s="187">
        <v>44903.377326388887</v>
      </c>
    </row>
    <row r="671" spans="1:25">
      <c r="A671" s="167" t="s">
        <v>110</v>
      </c>
      <c r="B671" s="162" t="s">
        <v>1599</v>
      </c>
      <c r="C671" s="163" t="s">
        <v>2631</v>
      </c>
      <c r="D671" s="162" t="s">
        <v>523</v>
      </c>
      <c r="E671" s="161" t="s">
        <v>1602</v>
      </c>
      <c r="F671" s="162" t="s">
        <v>1603</v>
      </c>
      <c r="G671" s="161"/>
      <c r="H671" s="214">
        <v>1</v>
      </c>
      <c r="I671" s="171"/>
      <c r="J671" s="170">
        <v>100</v>
      </c>
      <c r="K671" s="172"/>
      <c r="L671" s="170">
        <v>100</v>
      </c>
      <c r="M671" s="171">
        <v>100</v>
      </c>
      <c r="N671" s="170">
        <v>200</v>
      </c>
      <c r="O671" s="177" t="s">
        <v>1523</v>
      </c>
      <c r="P671" s="162" t="s">
        <v>1619</v>
      </c>
      <c r="Q671" s="176"/>
      <c r="R671" s="174"/>
      <c r="S671" s="179"/>
      <c r="T671" s="162" t="s">
        <v>28</v>
      </c>
      <c r="U671" s="161" t="s">
        <v>19</v>
      </c>
      <c r="V671" s="174">
        <v>1932</v>
      </c>
      <c r="W671" s="180" t="s">
        <v>2632</v>
      </c>
      <c r="X671" s="185">
        <v>45069</v>
      </c>
      <c r="Y671" s="187">
        <v>45097.502569444441</v>
      </c>
    </row>
    <row r="672" spans="1:25">
      <c r="A672" s="167" t="s">
        <v>110</v>
      </c>
      <c r="B672" s="162" t="s">
        <v>1555</v>
      </c>
      <c r="C672" s="163" t="s">
        <v>2633</v>
      </c>
      <c r="D672" s="162" t="s">
        <v>805</v>
      </c>
      <c r="E672" s="161" t="s">
        <v>1673</v>
      </c>
      <c r="F672" s="162" t="s">
        <v>1592</v>
      </c>
      <c r="G672" s="161" t="s">
        <v>2634</v>
      </c>
      <c r="H672" s="215">
        <v>1</v>
      </c>
      <c r="I672" s="171"/>
      <c r="J672" s="173">
        <v>156</v>
      </c>
      <c r="K672" s="172"/>
      <c r="L672" s="173">
        <v>156</v>
      </c>
      <c r="M672" s="171">
        <v>156</v>
      </c>
      <c r="N672" s="170"/>
      <c r="O672" s="177" t="s">
        <v>76</v>
      </c>
      <c r="P672" s="162" t="s">
        <v>1619</v>
      </c>
      <c r="Q672" s="176"/>
      <c r="R672" s="174">
        <v>2070</v>
      </c>
      <c r="S672" s="179"/>
      <c r="T672" s="162" t="s">
        <v>24</v>
      </c>
      <c r="U672" s="161" t="s">
        <v>13</v>
      </c>
      <c r="V672" s="174">
        <v>1115</v>
      </c>
      <c r="W672" s="180"/>
      <c r="X672" s="185">
        <v>45017</v>
      </c>
      <c r="Y672" s="187">
        <v>45019.491076388891</v>
      </c>
    </row>
    <row r="673" spans="1:25">
      <c r="A673" s="167" t="s">
        <v>110</v>
      </c>
      <c r="B673" s="162" t="s">
        <v>1555</v>
      </c>
      <c r="C673" s="163" t="s">
        <v>2633</v>
      </c>
      <c r="D673" s="162" t="s">
        <v>805</v>
      </c>
      <c r="E673" s="161" t="s">
        <v>1673</v>
      </c>
      <c r="F673" s="162" t="s">
        <v>1592</v>
      </c>
      <c r="G673" s="161" t="s">
        <v>2635</v>
      </c>
      <c r="H673" s="214">
        <v>1</v>
      </c>
      <c r="I673" s="171"/>
      <c r="J673" s="170">
        <v>156</v>
      </c>
      <c r="K673" s="172"/>
      <c r="L673" s="170">
        <v>156</v>
      </c>
      <c r="M673" s="171">
        <v>156</v>
      </c>
      <c r="N673" s="170"/>
      <c r="O673" s="177" t="s">
        <v>76</v>
      </c>
      <c r="P673" s="162" t="s">
        <v>1619</v>
      </c>
      <c r="Q673" s="176"/>
      <c r="R673" s="174">
        <v>2070</v>
      </c>
      <c r="S673" s="179"/>
      <c r="T673" s="162" t="s">
        <v>24</v>
      </c>
      <c r="U673" s="161" t="s">
        <v>13</v>
      </c>
      <c r="V673" s="174">
        <v>1115</v>
      </c>
      <c r="W673" s="180"/>
      <c r="X673" s="185">
        <v>45017</v>
      </c>
      <c r="Y673" s="187">
        <v>45019.491076388891</v>
      </c>
    </row>
    <row r="674" spans="1:25">
      <c r="A674" s="167" t="s">
        <v>91</v>
      </c>
      <c r="B674" s="162" t="s">
        <v>1599</v>
      </c>
      <c r="C674" s="163" t="s">
        <v>2636</v>
      </c>
      <c r="D674" s="162" t="s">
        <v>2637</v>
      </c>
      <c r="E674" s="161" t="s">
        <v>1739</v>
      </c>
      <c r="F674" s="162" t="s">
        <v>1603</v>
      </c>
      <c r="G674" s="161"/>
      <c r="H674" s="215">
        <v>1</v>
      </c>
      <c r="I674" s="171">
        <v>45</v>
      </c>
      <c r="J674" s="173">
        <v>45</v>
      </c>
      <c r="K674" s="172">
        <v>45</v>
      </c>
      <c r="L674" s="173">
        <v>45</v>
      </c>
      <c r="M674" s="171">
        <v>45</v>
      </c>
      <c r="N674" s="170"/>
      <c r="O674" s="177" t="s">
        <v>1523</v>
      </c>
      <c r="P674" s="162" t="s">
        <v>1591</v>
      </c>
      <c r="Q674" s="176"/>
      <c r="R674" s="174"/>
      <c r="S674" s="179"/>
      <c r="T674" s="162" t="s">
        <v>28</v>
      </c>
      <c r="U674" s="161" t="s">
        <v>14</v>
      </c>
      <c r="V674" s="174">
        <v>1534</v>
      </c>
      <c r="W674" s="180"/>
      <c r="X674" s="185">
        <v>45017</v>
      </c>
      <c r="Y674" s="187">
        <v>43244.267638888887</v>
      </c>
    </row>
    <row r="675" spans="1:25">
      <c r="A675" s="167" t="s">
        <v>105</v>
      </c>
      <c r="B675" s="162" t="s">
        <v>1555</v>
      </c>
      <c r="C675" s="163" t="s">
        <v>2638</v>
      </c>
      <c r="D675" s="162" t="s">
        <v>1735</v>
      </c>
      <c r="E675" s="161" t="s">
        <v>1700</v>
      </c>
      <c r="F675" s="162" t="s">
        <v>1658</v>
      </c>
      <c r="G675" s="161" t="s">
        <v>2639</v>
      </c>
      <c r="H675" s="214">
        <v>1</v>
      </c>
      <c r="I675" s="171">
        <v>51</v>
      </c>
      <c r="J675" s="170">
        <v>51</v>
      </c>
      <c r="K675" s="172">
        <v>51</v>
      </c>
      <c r="L675" s="170">
        <v>51</v>
      </c>
      <c r="M675" s="171">
        <v>51</v>
      </c>
      <c r="N675" s="170"/>
      <c r="O675" s="177" t="s">
        <v>76</v>
      </c>
      <c r="P675" s="162" t="s">
        <v>1619</v>
      </c>
      <c r="Q675" s="176"/>
      <c r="R675" s="174">
        <v>2100</v>
      </c>
      <c r="S675" s="179"/>
      <c r="T675" s="162" t="s">
        <v>24</v>
      </c>
      <c r="U675" s="161" t="s">
        <v>17</v>
      </c>
      <c r="V675" s="174">
        <v>1116</v>
      </c>
      <c r="W675" s="180"/>
      <c r="X675" s="185">
        <v>45017</v>
      </c>
      <c r="Y675" s="187">
        <v>45086.831701388888</v>
      </c>
    </row>
    <row r="676" spans="1:25">
      <c r="A676" s="167" t="s">
        <v>105</v>
      </c>
      <c r="B676" s="162" t="s">
        <v>1555</v>
      </c>
      <c r="C676" s="163" t="s">
        <v>2638</v>
      </c>
      <c r="D676" s="162" t="s">
        <v>1735</v>
      </c>
      <c r="E676" s="161" t="s">
        <v>1700</v>
      </c>
      <c r="F676" s="162" t="s">
        <v>1658</v>
      </c>
      <c r="G676" s="161" t="s">
        <v>2639</v>
      </c>
      <c r="H676" s="215">
        <v>1</v>
      </c>
      <c r="I676" s="171">
        <v>30.6</v>
      </c>
      <c r="J676" s="173">
        <v>30.6</v>
      </c>
      <c r="K676" s="172">
        <v>30.6</v>
      </c>
      <c r="L676" s="173">
        <v>30.6</v>
      </c>
      <c r="M676" s="171">
        <v>30.6</v>
      </c>
      <c r="N676" s="170"/>
      <c r="O676" s="177" t="s">
        <v>76</v>
      </c>
      <c r="P676" s="162" t="s">
        <v>1619</v>
      </c>
      <c r="Q676" s="176"/>
      <c r="R676" s="174">
        <v>2100</v>
      </c>
      <c r="S676" s="179"/>
      <c r="T676" s="162" t="s">
        <v>24</v>
      </c>
      <c r="U676" s="161" t="s">
        <v>17</v>
      </c>
      <c r="V676" s="174">
        <v>1116</v>
      </c>
      <c r="W676" s="180"/>
      <c r="X676" s="185">
        <v>45017</v>
      </c>
      <c r="Y676" s="187">
        <v>45086.831701388888</v>
      </c>
    </row>
    <row r="677" spans="1:25">
      <c r="A677" s="167" t="s">
        <v>110</v>
      </c>
      <c r="B677" s="162" t="s">
        <v>1555</v>
      </c>
      <c r="C677" s="163" t="s">
        <v>2640</v>
      </c>
      <c r="D677" s="162" t="s">
        <v>2641</v>
      </c>
      <c r="E677" s="161" t="s">
        <v>1625</v>
      </c>
      <c r="F677" s="162" t="s">
        <v>1609</v>
      </c>
      <c r="G677" s="161"/>
      <c r="H677" s="214">
        <v>2</v>
      </c>
      <c r="I677" s="171"/>
      <c r="J677" s="170">
        <v>2.0499999999999998</v>
      </c>
      <c r="K677" s="172"/>
      <c r="L677" s="170">
        <v>4.0999999999999996</v>
      </c>
      <c r="M677" s="171">
        <v>4.0999999999999996</v>
      </c>
      <c r="N677" s="170"/>
      <c r="O677" s="177" t="s">
        <v>76</v>
      </c>
      <c r="P677" s="162" t="s">
        <v>1591</v>
      </c>
      <c r="Q677" s="176"/>
      <c r="R677" s="174"/>
      <c r="S677" s="179"/>
      <c r="T677" s="162" t="s">
        <v>24</v>
      </c>
      <c r="U677" s="161" t="s">
        <v>16</v>
      </c>
      <c r="V677" s="174">
        <v>1117</v>
      </c>
      <c r="W677" s="180"/>
      <c r="X677" s="185">
        <v>44805</v>
      </c>
      <c r="Y677" s="187">
        <v>43150.159525462965</v>
      </c>
    </row>
    <row r="678" spans="1:25">
      <c r="A678" s="167" t="s">
        <v>45</v>
      </c>
      <c r="B678" s="162" t="s">
        <v>1555</v>
      </c>
      <c r="C678" s="163" t="s">
        <v>52</v>
      </c>
      <c r="D678" s="162" t="s">
        <v>53</v>
      </c>
      <c r="E678" s="161" t="s">
        <v>1739</v>
      </c>
      <c r="F678" s="162" t="s">
        <v>1740</v>
      </c>
      <c r="G678" s="161" t="s">
        <v>54</v>
      </c>
      <c r="H678" s="215">
        <v>1</v>
      </c>
      <c r="I678" s="171">
        <v>0</v>
      </c>
      <c r="J678" s="173">
        <v>500</v>
      </c>
      <c r="K678" s="172">
        <v>0</v>
      </c>
      <c r="L678" s="173">
        <v>500</v>
      </c>
      <c r="M678" s="171">
        <v>500</v>
      </c>
      <c r="N678" s="170"/>
      <c r="O678" s="177" t="s">
        <v>584</v>
      </c>
      <c r="P678" s="162" t="s">
        <v>1619</v>
      </c>
      <c r="Q678" s="176"/>
      <c r="R678" s="174">
        <v>2023</v>
      </c>
      <c r="S678" s="179">
        <v>45045</v>
      </c>
      <c r="T678" s="162" t="s">
        <v>29</v>
      </c>
      <c r="U678" s="161" t="s">
        <v>11</v>
      </c>
      <c r="V678" s="174">
        <v>1118</v>
      </c>
      <c r="W678" s="180"/>
      <c r="X678" s="185">
        <v>45017</v>
      </c>
      <c r="Y678" s="187">
        <v>45015.607916666668</v>
      </c>
    </row>
    <row r="679" spans="1:25">
      <c r="A679" s="167" t="s">
        <v>45</v>
      </c>
      <c r="B679" s="162" t="s">
        <v>1555</v>
      </c>
      <c r="C679" s="163" t="s">
        <v>52</v>
      </c>
      <c r="D679" s="162" t="s">
        <v>53</v>
      </c>
      <c r="E679" s="161" t="s">
        <v>1739</v>
      </c>
      <c r="F679" s="162" t="s">
        <v>1740</v>
      </c>
      <c r="G679" s="161" t="s">
        <v>56</v>
      </c>
      <c r="H679" s="214">
        <v>1</v>
      </c>
      <c r="I679" s="171">
        <v>0</v>
      </c>
      <c r="J679" s="170">
        <v>500</v>
      </c>
      <c r="K679" s="172">
        <v>0</v>
      </c>
      <c r="L679" s="170">
        <v>500</v>
      </c>
      <c r="M679" s="171">
        <v>500</v>
      </c>
      <c r="N679" s="170"/>
      <c r="O679" s="177" t="s">
        <v>584</v>
      </c>
      <c r="P679" s="162" t="s">
        <v>1619</v>
      </c>
      <c r="Q679" s="176"/>
      <c r="R679" s="174">
        <v>2023</v>
      </c>
      <c r="S679" s="179">
        <v>45041</v>
      </c>
      <c r="T679" s="162" t="s">
        <v>29</v>
      </c>
      <c r="U679" s="161" t="s">
        <v>11</v>
      </c>
      <c r="V679" s="174">
        <v>1118</v>
      </c>
      <c r="W679" s="180"/>
      <c r="X679" s="185">
        <v>45017</v>
      </c>
      <c r="Y679" s="187">
        <v>45015.607916666668</v>
      </c>
    </row>
    <row r="680" spans="1:25">
      <c r="A680" s="167" t="s">
        <v>45</v>
      </c>
      <c r="B680" s="162" t="s">
        <v>1555</v>
      </c>
      <c r="C680" s="163" t="s">
        <v>52</v>
      </c>
      <c r="D680" s="162" t="s">
        <v>53</v>
      </c>
      <c r="E680" s="161" t="s">
        <v>1739</v>
      </c>
      <c r="F680" s="162" t="s">
        <v>1740</v>
      </c>
      <c r="G680" s="161" t="s">
        <v>57</v>
      </c>
      <c r="H680" s="215">
        <v>1</v>
      </c>
      <c r="I680" s="171">
        <v>0</v>
      </c>
      <c r="J680" s="173">
        <v>500</v>
      </c>
      <c r="K680" s="172">
        <v>0</v>
      </c>
      <c r="L680" s="173">
        <v>500</v>
      </c>
      <c r="M680" s="171">
        <v>500</v>
      </c>
      <c r="N680" s="170"/>
      <c r="O680" s="177" t="s">
        <v>584</v>
      </c>
      <c r="P680" s="162" t="s">
        <v>1619</v>
      </c>
      <c r="Q680" s="176"/>
      <c r="R680" s="174">
        <v>2023</v>
      </c>
      <c r="S680" s="179">
        <v>45035</v>
      </c>
      <c r="T680" s="162" t="s">
        <v>29</v>
      </c>
      <c r="U680" s="161" t="s">
        <v>11</v>
      </c>
      <c r="V680" s="174">
        <v>1118</v>
      </c>
      <c r="W680" s="180"/>
      <c r="X680" s="185">
        <v>45017</v>
      </c>
      <c r="Y680" s="187">
        <v>45015.607916666668</v>
      </c>
    </row>
    <row r="681" spans="1:25">
      <c r="A681" s="167" t="s">
        <v>45</v>
      </c>
      <c r="B681" s="162" t="s">
        <v>1599</v>
      </c>
      <c r="C681" s="163" t="s">
        <v>2642</v>
      </c>
      <c r="D681" s="162" t="s">
        <v>316</v>
      </c>
      <c r="E681" s="161" t="s">
        <v>1602</v>
      </c>
      <c r="F681" s="162" t="s">
        <v>1603</v>
      </c>
      <c r="G681" s="161"/>
      <c r="H681" s="214">
        <v>1</v>
      </c>
      <c r="I681" s="171"/>
      <c r="J681" s="170">
        <v>500</v>
      </c>
      <c r="K681" s="172"/>
      <c r="L681" s="170">
        <v>500</v>
      </c>
      <c r="M681" s="171">
        <v>500</v>
      </c>
      <c r="N681" s="170">
        <v>2000</v>
      </c>
      <c r="O681" s="177" t="s">
        <v>1523</v>
      </c>
      <c r="P681" s="162" t="s">
        <v>1619</v>
      </c>
      <c r="Q681" s="176"/>
      <c r="R681" s="174"/>
      <c r="S681" s="179"/>
      <c r="T681" s="162" t="s">
        <v>28</v>
      </c>
      <c r="U681" s="161" t="s">
        <v>19</v>
      </c>
      <c r="V681" s="174">
        <v>2171</v>
      </c>
      <c r="W681" s="180"/>
      <c r="X681" s="185">
        <v>45069</v>
      </c>
      <c r="Y681" s="187">
        <v>45097.606412037036</v>
      </c>
    </row>
    <row r="682" spans="1:25">
      <c r="A682" s="167" t="s">
        <v>77</v>
      </c>
      <c r="B682" s="162" t="s">
        <v>1555</v>
      </c>
      <c r="C682" s="163" t="s">
        <v>269</v>
      </c>
      <c r="D682" s="162" t="s">
        <v>270</v>
      </c>
      <c r="E682" s="161" t="s">
        <v>1631</v>
      </c>
      <c r="F682" s="162" t="s">
        <v>1614</v>
      </c>
      <c r="G682" s="161" t="s">
        <v>271</v>
      </c>
      <c r="H682" s="215">
        <v>74</v>
      </c>
      <c r="I682" s="171">
        <v>1.45</v>
      </c>
      <c r="J682" s="173">
        <v>1.6</v>
      </c>
      <c r="K682" s="172">
        <v>107.23</v>
      </c>
      <c r="L682" s="173">
        <v>118.4</v>
      </c>
      <c r="M682" s="171">
        <v>118.4</v>
      </c>
      <c r="N682" s="170"/>
      <c r="O682" s="177" t="s">
        <v>76</v>
      </c>
      <c r="P682" s="162" t="s">
        <v>1620</v>
      </c>
      <c r="Q682" s="176">
        <v>44562</v>
      </c>
      <c r="R682" s="174">
        <v>2048</v>
      </c>
      <c r="S682" s="179"/>
      <c r="T682" s="162" t="s">
        <v>24</v>
      </c>
      <c r="U682" s="161" t="s">
        <v>1615</v>
      </c>
      <c r="V682" s="174">
        <v>1384</v>
      </c>
      <c r="W682" s="180"/>
      <c r="X682" s="185">
        <v>45017</v>
      </c>
      <c r="Y682" s="187">
        <v>45016.641435185185</v>
      </c>
    </row>
    <row r="683" spans="1:25">
      <c r="A683" s="167" t="s">
        <v>45</v>
      </c>
      <c r="B683" s="162" t="s">
        <v>1599</v>
      </c>
      <c r="C683" s="163" t="s">
        <v>2643</v>
      </c>
      <c r="D683" s="162" t="s">
        <v>2644</v>
      </c>
      <c r="E683" s="161" t="s">
        <v>1602</v>
      </c>
      <c r="F683" s="162" t="s">
        <v>1603</v>
      </c>
      <c r="G683" s="161"/>
      <c r="H683" s="214">
        <v>1</v>
      </c>
      <c r="I683" s="171"/>
      <c r="J683" s="170">
        <v>50</v>
      </c>
      <c r="K683" s="172"/>
      <c r="L683" s="170">
        <v>50</v>
      </c>
      <c r="M683" s="171">
        <v>50</v>
      </c>
      <c r="N683" s="170">
        <v>533</v>
      </c>
      <c r="O683" s="177" t="s">
        <v>1523</v>
      </c>
      <c r="P683" s="162" t="s">
        <v>1604</v>
      </c>
      <c r="Q683" s="176"/>
      <c r="R683" s="174"/>
      <c r="S683" s="179"/>
      <c r="T683" s="162" t="s">
        <v>28</v>
      </c>
      <c r="U683" s="161" t="s">
        <v>19</v>
      </c>
      <c r="V683" s="174">
        <v>2223</v>
      </c>
      <c r="W683" s="180" t="s">
        <v>2645</v>
      </c>
      <c r="X683" s="185">
        <v>45108</v>
      </c>
      <c r="Y683" s="187">
        <v>45117</v>
      </c>
    </row>
    <row r="684" spans="1:25">
      <c r="A684" s="167" t="s">
        <v>45</v>
      </c>
      <c r="B684" s="162" t="s">
        <v>1555</v>
      </c>
      <c r="C684" s="163" t="s">
        <v>608</v>
      </c>
      <c r="D684" s="162" t="s">
        <v>609</v>
      </c>
      <c r="E684" s="161" t="s">
        <v>1631</v>
      </c>
      <c r="F684" s="162" t="s">
        <v>1614</v>
      </c>
      <c r="G684" s="161" t="s">
        <v>2646</v>
      </c>
      <c r="H684" s="215">
        <v>100</v>
      </c>
      <c r="I684" s="171">
        <v>2.2999999999999998</v>
      </c>
      <c r="J684" s="173">
        <v>2.2999999999999998</v>
      </c>
      <c r="K684" s="172">
        <v>230</v>
      </c>
      <c r="L684" s="173">
        <v>230</v>
      </c>
      <c r="M684" s="171">
        <v>230</v>
      </c>
      <c r="N684" s="170"/>
      <c r="O684" s="177" t="s">
        <v>76</v>
      </c>
      <c r="P684" s="162" t="s">
        <v>1620</v>
      </c>
      <c r="Q684" s="176">
        <v>44896</v>
      </c>
      <c r="R684" s="174">
        <v>2050</v>
      </c>
      <c r="S684" s="179"/>
      <c r="T684" s="162" t="s">
        <v>24</v>
      </c>
      <c r="U684" s="161" t="s">
        <v>1615</v>
      </c>
      <c r="V684" s="174">
        <v>1453</v>
      </c>
      <c r="W684" s="180"/>
      <c r="X684" s="185">
        <v>45017</v>
      </c>
      <c r="Y684" s="187">
        <v>45020.705949074072</v>
      </c>
    </row>
    <row r="685" spans="1:25">
      <c r="A685" s="167" t="s">
        <v>45</v>
      </c>
      <c r="B685" s="162" t="s">
        <v>1555</v>
      </c>
      <c r="C685" s="163" t="s">
        <v>726</v>
      </c>
      <c r="D685" s="162" t="s">
        <v>609</v>
      </c>
      <c r="E685" s="161" t="s">
        <v>1631</v>
      </c>
      <c r="F685" s="162" t="s">
        <v>1614</v>
      </c>
      <c r="G685" s="161" t="s">
        <v>727</v>
      </c>
      <c r="H685" s="214">
        <v>14</v>
      </c>
      <c r="I685" s="171">
        <v>2.0699999999999998</v>
      </c>
      <c r="J685" s="170">
        <v>2.0699999999999998</v>
      </c>
      <c r="K685" s="172">
        <v>28.98</v>
      </c>
      <c r="L685" s="170">
        <v>28.98</v>
      </c>
      <c r="M685" s="171">
        <v>28.98</v>
      </c>
      <c r="N685" s="170">
        <v>0</v>
      </c>
      <c r="O685" s="177" t="s">
        <v>76</v>
      </c>
      <c r="P685" s="162" t="s">
        <v>1620</v>
      </c>
      <c r="Q685" s="176">
        <v>45017</v>
      </c>
      <c r="R685" s="174">
        <v>2050</v>
      </c>
      <c r="S685" s="179"/>
      <c r="T685" s="162" t="s">
        <v>24</v>
      </c>
      <c r="U685" s="161" t="s">
        <v>1615</v>
      </c>
      <c r="V685" s="174">
        <v>1675</v>
      </c>
      <c r="W685" s="180"/>
      <c r="X685" s="185">
        <v>45017</v>
      </c>
      <c r="Y685" s="187">
        <v>45021.625659722224</v>
      </c>
    </row>
    <row r="686" spans="1:25">
      <c r="A686" s="167" t="s">
        <v>91</v>
      </c>
      <c r="B686" s="162" t="s">
        <v>1599</v>
      </c>
      <c r="C686" s="163" t="s">
        <v>703</v>
      </c>
      <c r="D686" s="162" t="s">
        <v>290</v>
      </c>
      <c r="E686" s="161" t="s">
        <v>1602</v>
      </c>
      <c r="F686" s="162" t="s">
        <v>1603</v>
      </c>
      <c r="G686" s="161" t="s">
        <v>668</v>
      </c>
      <c r="H686" s="215">
        <v>1</v>
      </c>
      <c r="I686" s="171">
        <v>0</v>
      </c>
      <c r="J686" s="173">
        <v>10</v>
      </c>
      <c r="K686" s="172">
        <v>0</v>
      </c>
      <c r="L686" s="173">
        <v>10</v>
      </c>
      <c r="M686" s="171">
        <v>10</v>
      </c>
      <c r="N686" s="170">
        <v>10</v>
      </c>
      <c r="O686" s="177" t="s">
        <v>27</v>
      </c>
      <c r="P686" s="162" t="s">
        <v>1619</v>
      </c>
      <c r="Q686" s="176">
        <v>45444</v>
      </c>
      <c r="R686" s="174">
        <v>2045</v>
      </c>
      <c r="S686" s="179"/>
      <c r="T686" s="162" t="s">
        <v>27</v>
      </c>
      <c r="U686" s="161" t="s">
        <v>19</v>
      </c>
      <c r="V686" s="174">
        <v>1603</v>
      </c>
      <c r="W686" s="180"/>
      <c r="X686" s="185">
        <v>45069</v>
      </c>
      <c r="Y686" s="187">
        <v>45097.428622685184</v>
      </c>
    </row>
    <row r="687" spans="1:25">
      <c r="A687" s="167" t="s">
        <v>91</v>
      </c>
      <c r="B687" s="162" t="s">
        <v>1555</v>
      </c>
      <c r="C687" s="163" t="s">
        <v>667</v>
      </c>
      <c r="D687" s="162" t="s">
        <v>290</v>
      </c>
      <c r="E687" s="161" t="s">
        <v>1625</v>
      </c>
      <c r="F687" s="162" t="s">
        <v>1609</v>
      </c>
      <c r="G687" s="161" t="s">
        <v>668</v>
      </c>
      <c r="H687" s="214">
        <v>35</v>
      </c>
      <c r="I687" s="171">
        <v>3.6</v>
      </c>
      <c r="J687" s="170">
        <v>3.6</v>
      </c>
      <c r="K687" s="172">
        <v>126</v>
      </c>
      <c r="L687" s="170">
        <v>126</v>
      </c>
      <c r="M687" s="171">
        <v>126</v>
      </c>
      <c r="N687" s="170">
        <v>0</v>
      </c>
      <c r="O687" s="177" t="s">
        <v>76</v>
      </c>
      <c r="P687" s="162" t="s">
        <v>1620</v>
      </c>
      <c r="Q687" s="176">
        <v>44044</v>
      </c>
      <c r="R687" s="174">
        <v>2045</v>
      </c>
      <c r="S687" s="179"/>
      <c r="T687" s="162" t="s">
        <v>24</v>
      </c>
      <c r="U687" s="161" t="s">
        <v>16</v>
      </c>
      <c r="V687" s="174">
        <v>1119</v>
      </c>
      <c r="W687" s="180" t="s">
        <v>2647</v>
      </c>
      <c r="X687" s="185">
        <v>45017</v>
      </c>
      <c r="Y687" s="187">
        <v>45015.615717592591</v>
      </c>
    </row>
    <row r="688" spans="1:25">
      <c r="A688" s="167" t="s">
        <v>91</v>
      </c>
      <c r="B688" s="162" t="s">
        <v>1555</v>
      </c>
      <c r="C688" s="163" t="s">
        <v>289</v>
      </c>
      <c r="D688" s="162" t="s">
        <v>290</v>
      </c>
      <c r="E688" s="161" t="s">
        <v>1625</v>
      </c>
      <c r="F688" s="162" t="s">
        <v>1609</v>
      </c>
      <c r="G688" s="161" t="s">
        <v>291</v>
      </c>
      <c r="H688" s="215">
        <v>24</v>
      </c>
      <c r="I688" s="171">
        <v>3.6</v>
      </c>
      <c r="J688" s="173">
        <v>3.6</v>
      </c>
      <c r="K688" s="172">
        <v>86.4</v>
      </c>
      <c r="L688" s="173">
        <v>86.4</v>
      </c>
      <c r="M688" s="171">
        <v>86.4</v>
      </c>
      <c r="N688" s="170"/>
      <c r="O688" s="177" t="s">
        <v>76</v>
      </c>
      <c r="P688" s="162" t="s">
        <v>1620</v>
      </c>
      <c r="Q688" s="176">
        <v>44593</v>
      </c>
      <c r="R688" s="174">
        <v>2045</v>
      </c>
      <c r="S688" s="179"/>
      <c r="T688" s="162" t="s">
        <v>24</v>
      </c>
      <c r="U688" s="161" t="s">
        <v>16</v>
      </c>
      <c r="V688" s="174">
        <v>1574</v>
      </c>
      <c r="W688" s="180" t="s">
        <v>2647</v>
      </c>
      <c r="X688" s="185">
        <v>45017</v>
      </c>
      <c r="Y688" s="187">
        <v>45021.568715277775</v>
      </c>
    </row>
    <row r="689" spans="1:25">
      <c r="A689" s="167" t="s">
        <v>91</v>
      </c>
      <c r="B689" s="162" t="s">
        <v>1599</v>
      </c>
      <c r="C689" s="163" t="s">
        <v>2648</v>
      </c>
      <c r="D689" s="162" t="s">
        <v>2649</v>
      </c>
      <c r="E689" s="161" t="s">
        <v>1625</v>
      </c>
      <c r="F689" s="162" t="s">
        <v>1609</v>
      </c>
      <c r="G689" s="161"/>
      <c r="H689" s="214">
        <v>42</v>
      </c>
      <c r="I689" s="171">
        <v>0</v>
      </c>
      <c r="J689" s="170">
        <v>7.8</v>
      </c>
      <c r="K689" s="172">
        <v>0</v>
      </c>
      <c r="L689" s="170">
        <v>327.60000000000002</v>
      </c>
      <c r="M689" s="171">
        <v>327.60000000000002</v>
      </c>
      <c r="N689" s="170"/>
      <c r="O689" s="177" t="s">
        <v>1523</v>
      </c>
      <c r="P689" s="162" t="s">
        <v>1620</v>
      </c>
      <c r="Q689" s="176"/>
      <c r="R689" s="174">
        <v>2055</v>
      </c>
      <c r="S689" s="179"/>
      <c r="T689" s="162" t="s">
        <v>28</v>
      </c>
      <c r="U689" s="161" t="s">
        <v>16</v>
      </c>
      <c r="V689" s="174">
        <v>1885</v>
      </c>
      <c r="W689" s="180" t="s">
        <v>2650</v>
      </c>
      <c r="X689" s="185">
        <v>45069</v>
      </c>
      <c r="Y689" s="187">
        <v>45098.351354166669</v>
      </c>
    </row>
    <row r="690" spans="1:25">
      <c r="A690" s="167" t="s">
        <v>91</v>
      </c>
      <c r="B690" s="162" t="s">
        <v>1599</v>
      </c>
      <c r="C690" s="163" t="s">
        <v>2651</v>
      </c>
      <c r="D690" s="162" t="s">
        <v>2605</v>
      </c>
      <c r="E690" s="161" t="s">
        <v>1602</v>
      </c>
      <c r="F690" s="162" t="s">
        <v>1603</v>
      </c>
      <c r="G690" s="161"/>
      <c r="H690" s="215">
        <v>1</v>
      </c>
      <c r="I690" s="171">
        <v>150</v>
      </c>
      <c r="J690" s="173">
        <v>150</v>
      </c>
      <c r="K690" s="172">
        <v>150</v>
      </c>
      <c r="L690" s="173">
        <v>150</v>
      </c>
      <c r="M690" s="171">
        <v>150</v>
      </c>
      <c r="N690" s="170">
        <v>0</v>
      </c>
      <c r="O690" s="177" t="s">
        <v>1523</v>
      </c>
      <c r="P690" s="162" t="s">
        <v>1604</v>
      </c>
      <c r="Q690" s="176"/>
      <c r="R690" s="174"/>
      <c r="S690" s="179"/>
      <c r="T690" s="162" t="s">
        <v>28</v>
      </c>
      <c r="U690" s="161" t="s">
        <v>19</v>
      </c>
      <c r="V690" s="174">
        <v>2416</v>
      </c>
      <c r="W690" s="180"/>
      <c r="X690" s="185">
        <v>45017</v>
      </c>
      <c r="Y690" s="187">
        <v>44986.55133101852</v>
      </c>
    </row>
    <row r="691" spans="1:25">
      <c r="A691" s="167" t="s">
        <v>45</v>
      </c>
      <c r="B691" s="162" t="s">
        <v>1599</v>
      </c>
      <c r="C691" s="163" t="s">
        <v>2652</v>
      </c>
      <c r="D691" s="162" t="s">
        <v>2653</v>
      </c>
      <c r="E691" s="161" t="s">
        <v>1602</v>
      </c>
      <c r="F691" s="162" t="s">
        <v>1603</v>
      </c>
      <c r="G691" s="161"/>
      <c r="H691" s="214">
        <v>1</v>
      </c>
      <c r="I691" s="171">
        <v>100</v>
      </c>
      <c r="J691" s="170">
        <v>100</v>
      </c>
      <c r="K691" s="172">
        <v>100</v>
      </c>
      <c r="L691" s="170">
        <v>100</v>
      </c>
      <c r="M691" s="171">
        <v>100</v>
      </c>
      <c r="N691" s="170">
        <v>0</v>
      </c>
      <c r="O691" s="177" t="s">
        <v>1523</v>
      </c>
      <c r="P691" s="162" t="s">
        <v>1604</v>
      </c>
      <c r="Q691" s="176"/>
      <c r="R691" s="174"/>
      <c r="S691" s="179"/>
      <c r="T691" s="162" t="s">
        <v>28</v>
      </c>
      <c r="U691" s="161" t="s">
        <v>19</v>
      </c>
      <c r="V691" s="174">
        <v>2183</v>
      </c>
      <c r="W691" s="180" t="s">
        <v>2654</v>
      </c>
      <c r="X691" s="185">
        <v>45017</v>
      </c>
      <c r="Y691" s="187">
        <v>44986.404120370367</v>
      </c>
    </row>
    <row r="692" spans="1:25">
      <c r="A692" s="167" t="s">
        <v>110</v>
      </c>
      <c r="B692" s="162" t="s">
        <v>1599</v>
      </c>
      <c r="C692" s="163" t="s">
        <v>2655</v>
      </c>
      <c r="D692" s="162" t="s">
        <v>249</v>
      </c>
      <c r="E692" s="161" t="s">
        <v>1602</v>
      </c>
      <c r="F692" s="162" t="s">
        <v>1603</v>
      </c>
      <c r="G692" s="161"/>
      <c r="H692" s="215">
        <v>1</v>
      </c>
      <c r="I692" s="171"/>
      <c r="J692" s="173">
        <v>350</v>
      </c>
      <c r="K692" s="172"/>
      <c r="L692" s="173">
        <v>350</v>
      </c>
      <c r="M692" s="171">
        <v>350</v>
      </c>
      <c r="N692" s="170">
        <v>770</v>
      </c>
      <c r="O692" s="177" t="s">
        <v>1523</v>
      </c>
      <c r="P692" s="162" t="s">
        <v>1619</v>
      </c>
      <c r="Q692" s="176"/>
      <c r="R692" s="174"/>
      <c r="S692" s="179"/>
      <c r="T692" s="162" t="s">
        <v>28</v>
      </c>
      <c r="U692" s="161" t="s">
        <v>19</v>
      </c>
      <c r="V692" s="174">
        <v>2247</v>
      </c>
      <c r="W692" s="180" t="s">
        <v>2656</v>
      </c>
      <c r="X692" s="185">
        <v>45017</v>
      </c>
      <c r="Y692" s="187">
        <v>45027.664525462962</v>
      </c>
    </row>
    <row r="693" spans="1:25">
      <c r="A693" s="167" t="s">
        <v>110</v>
      </c>
      <c r="B693" s="162" t="s">
        <v>1599</v>
      </c>
      <c r="C693" s="163" t="s">
        <v>2657</v>
      </c>
      <c r="D693" s="162" t="s">
        <v>2658</v>
      </c>
      <c r="E693" s="161" t="s">
        <v>1613</v>
      </c>
      <c r="F693" s="162" t="s">
        <v>1614</v>
      </c>
      <c r="G693" s="161"/>
      <c r="H693" s="214">
        <v>1</v>
      </c>
      <c r="I693" s="171">
        <v>279</v>
      </c>
      <c r="J693" s="170">
        <v>279</v>
      </c>
      <c r="K693" s="172">
        <v>279</v>
      </c>
      <c r="L693" s="170">
        <v>279</v>
      </c>
      <c r="M693" s="171">
        <v>279</v>
      </c>
      <c r="N693" s="170"/>
      <c r="O693" s="177" t="s">
        <v>1523</v>
      </c>
      <c r="P693" s="162" t="s">
        <v>1604</v>
      </c>
      <c r="Q693" s="176"/>
      <c r="R693" s="174"/>
      <c r="S693" s="179"/>
      <c r="T693" s="162" t="s">
        <v>28</v>
      </c>
      <c r="U693" s="161" t="s">
        <v>1615</v>
      </c>
      <c r="V693" s="174">
        <v>2341</v>
      </c>
      <c r="W693" s="180" t="s">
        <v>2659</v>
      </c>
      <c r="X693" s="185">
        <v>45017</v>
      </c>
      <c r="Y693" s="187">
        <v>44944.593576388892</v>
      </c>
    </row>
    <row r="694" spans="1:25">
      <c r="A694" s="167" t="s">
        <v>45</v>
      </c>
      <c r="B694" s="162" t="s">
        <v>1599</v>
      </c>
      <c r="C694" s="163" t="s">
        <v>2660</v>
      </c>
      <c r="D694" s="162" t="s">
        <v>2661</v>
      </c>
      <c r="E694" s="161" t="s">
        <v>1625</v>
      </c>
      <c r="F694" s="162" t="s">
        <v>1609</v>
      </c>
      <c r="G694" s="161"/>
      <c r="H694" s="215">
        <v>223</v>
      </c>
      <c r="I694" s="171">
        <v>6</v>
      </c>
      <c r="J694" s="173">
        <v>6</v>
      </c>
      <c r="K694" s="172">
        <v>1338</v>
      </c>
      <c r="L694" s="173">
        <v>1338</v>
      </c>
      <c r="M694" s="171">
        <v>1338</v>
      </c>
      <c r="N694" s="170"/>
      <c r="O694" s="177" t="s">
        <v>1523</v>
      </c>
      <c r="P694" s="162" t="s">
        <v>1620</v>
      </c>
      <c r="Q694" s="176"/>
      <c r="R694" s="174"/>
      <c r="S694" s="179"/>
      <c r="T694" s="162" t="s">
        <v>28</v>
      </c>
      <c r="U694" s="161" t="s">
        <v>16</v>
      </c>
      <c r="V694" s="174">
        <v>1120</v>
      </c>
      <c r="W694" s="180"/>
      <c r="X694" s="185">
        <v>45069</v>
      </c>
      <c r="Y694" s="187">
        <v>45097.339745370373</v>
      </c>
    </row>
    <row r="695" spans="1:25">
      <c r="A695" s="167" t="s">
        <v>77</v>
      </c>
      <c r="B695" s="162" t="s">
        <v>1555</v>
      </c>
      <c r="C695" s="163" t="s">
        <v>2662</v>
      </c>
      <c r="D695" s="162" t="s">
        <v>2663</v>
      </c>
      <c r="E695" s="161" t="s">
        <v>1613</v>
      </c>
      <c r="F695" s="162" t="s">
        <v>1614</v>
      </c>
      <c r="G695" s="161"/>
      <c r="H695" s="214">
        <v>12</v>
      </c>
      <c r="I695" s="171">
        <v>0.03</v>
      </c>
      <c r="J695" s="170">
        <v>0.03</v>
      </c>
      <c r="K695" s="172">
        <v>0.34</v>
      </c>
      <c r="L695" s="170">
        <v>0.34</v>
      </c>
      <c r="M695" s="171">
        <v>0.34</v>
      </c>
      <c r="N695" s="170">
        <v>0</v>
      </c>
      <c r="O695" s="177" t="s">
        <v>76</v>
      </c>
      <c r="P695" s="162" t="s">
        <v>1591</v>
      </c>
      <c r="Q695" s="176"/>
      <c r="R695" s="174"/>
      <c r="S695" s="179"/>
      <c r="T695" s="162" t="s">
        <v>24</v>
      </c>
      <c r="U695" s="161" t="s">
        <v>1615</v>
      </c>
      <c r="V695" s="174">
        <v>1549</v>
      </c>
      <c r="W695" s="180"/>
      <c r="X695" s="185">
        <v>44805</v>
      </c>
      <c r="Y695" s="187">
        <v>44981.407210648147</v>
      </c>
    </row>
    <row r="696" spans="1:25">
      <c r="A696" s="167" t="s">
        <v>45</v>
      </c>
      <c r="B696" s="162" t="s">
        <v>1555</v>
      </c>
      <c r="C696" s="163" t="s">
        <v>2664</v>
      </c>
      <c r="D696" s="162" t="s">
        <v>1604</v>
      </c>
      <c r="E696" s="161" t="s">
        <v>1613</v>
      </c>
      <c r="F696" s="162" t="s">
        <v>1614</v>
      </c>
      <c r="G696" s="161"/>
      <c r="H696" s="215">
        <v>1</v>
      </c>
      <c r="I696" s="171"/>
      <c r="J696" s="173">
        <v>0.79</v>
      </c>
      <c r="K696" s="172"/>
      <c r="L696" s="173">
        <v>0.79</v>
      </c>
      <c r="M696" s="171">
        <v>0.79</v>
      </c>
      <c r="N696" s="170"/>
      <c r="O696" s="177" t="s">
        <v>76</v>
      </c>
      <c r="P696" s="162" t="s">
        <v>1591</v>
      </c>
      <c r="Q696" s="176"/>
      <c r="R696" s="174"/>
      <c r="S696" s="179"/>
      <c r="T696" s="162" t="s">
        <v>24</v>
      </c>
      <c r="U696" s="161" t="s">
        <v>1615</v>
      </c>
      <c r="V696" s="174">
        <v>2089</v>
      </c>
      <c r="W696" s="180"/>
      <c r="X696" s="185" t="s">
        <v>259</v>
      </c>
      <c r="Y696" s="187">
        <v>44830.61142361111</v>
      </c>
    </row>
    <row r="697" spans="1:25">
      <c r="A697" s="167" t="s">
        <v>77</v>
      </c>
      <c r="B697" s="162" t="s">
        <v>1599</v>
      </c>
      <c r="C697" s="163" t="s">
        <v>2665</v>
      </c>
      <c r="D697" s="162" t="s">
        <v>2666</v>
      </c>
      <c r="E697" s="161" t="s">
        <v>1602</v>
      </c>
      <c r="F697" s="162" t="s">
        <v>1603</v>
      </c>
      <c r="G697" s="161"/>
      <c r="H697" s="214">
        <v>1</v>
      </c>
      <c r="I697" s="171">
        <v>750</v>
      </c>
      <c r="J697" s="170">
        <v>750</v>
      </c>
      <c r="K697" s="172">
        <v>750</v>
      </c>
      <c r="L697" s="170">
        <v>750</v>
      </c>
      <c r="M697" s="171">
        <v>750</v>
      </c>
      <c r="N697" s="170">
        <v>0</v>
      </c>
      <c r="O697" s="177" t="s">
        <v>1523</v>
      </c>
      <c r="P697" s="162" t="s">
        <v>1604</v>
      </c>
      <c r="Q697" s="176"/>
      <c r="R697" s="174"/>
      <c r="S697" s="179"/>
      <c r="T697" s="162" t="s">
        <v>28</v>
      </c>
      <c r="U697" s="161" t="s">
        <v>19</v>
      </c>
      <c r="V697" s="174">
        <v>2299</v>
      </c>
      <c r="W697" s="180" t="s">
        <v>2667</v>
      </c>
      <c r="X697" s="185">
        <v>45017</v>
      </c>
      <c r="Y697" s="187">
        <v>44944.593923611108</v>
      </c>
    </row>
    <row r="698" spans="1:25">
      <c r="A698" s="167" t="s">
        <v>77</v>
      </c>
      <c r="B698" s="162" t="s">
        <v>1599</v>
      </c>
      <c r="C698" s="163" t="s">
        <v>2668</v>
      </c>
      <c r="D698" s="162" t="s">
        <v>2669</v>
      </c>
      <c r="E698" s="161" t="s">
        <v>1673</v>
      </c>
      <c r="F698" s="162" t="s">
        <v>1590</v>
      </c>
      <c r="G698" s="161"/>
      <c r="H698" s="215">
        <v>2</v>
      </c>
      <c r="I698" s="171">
        <v>43.5</v>
      </c>
      <c r="J698" s="173">
        <v>58.5</v>
      </c>
      <c r="K698" s="172">
        <v>87</v>
      </c>
      <c r="L698" s="173">
        <v>117</v>
      </c>
      <c r="M698" s="171" t="s">
        <v>2670</v>
      </c>
      <c r="N698" s="170"/>
      <c r="O698" s="177" t="s">
        <v>1523</v>
      </c>
      <c r="P698" s="162" t="s">
        <v>1619</v>
      </c>
      <c r="Q698" s="176"/>
      <c r="R698" s="174"/>
      <c r="S698" s="179"/>
      <c r="T698" s="162" t="s">
        <v>28</v>
      </c>
      <c r="U698" s="161" t="s">
        <v>13</v>
      </c>
      <c r="V698" s="174">
        <v>1614</v>
      </c>
      <c r="W698" s="180"/>
      <c r="X698" s="185">
        <v>45069</v>
      </c>
      <c r="Y698" s="187">
        <v>45097.437800925924</v>
      </c>
    </row>
    <row r="699" spans="1:25">
      <c r="A699" s="167" t="s">
        <v>77</v>
      </c>
      <c r="B699" s="162" t="s">
        <v>1599</v>
      </c>
      <c r="C699" s="163" t="s">
        <v>2668</v>
      </c>
      <c r="D699" s="162" t="s">
        <v>2669</v>
      </c>
      <c r="E699" s="161" t="s">
        <v>1602</v>
      </c>
      <c r="F699" s="162" t="s">
        <v>1614</v>
      </c>
      <c r="G699" s="161"/>
      <c r="H699" s="214">
        <v>1</v>
      </c>
      <c r="I699" s="171"/>
      <c r="J699" s="170">
        <v>400</v>
      </c>
      <c r="K699" s="172"/>
      <c r="L699" s="170">
        <v>400</v>
      </c>
      <c r="M699" s="171">
        <v>400</v>
      </c>
      <c r="N699" s="170">
        <v>800</v>
      </c>
      <c r="O699" s="177" t="s">
        <v>1523</v>
      </c>
      <c r="P699" s="162" t="s">
        <v>1619</v>
      </c>
      <c r="Q699" s="176"/>
      <c r="R699" s="174"/>
      <c r="S699" s="179"/>
      <c r="T699" s="162" t="s">
        <v>28</v>
      </c>
      <c r="U699" s="161" t="s">
        <v>19</v>
      </c>
      <c r="V699" s="174">
        <v>1614</v>
      </c>
      <c r="W699" s="180"/>
      <c r="X699" s="185">
        <v>45069</v>
      </c>
      <c r="Y699" s="187">
        <v>45097.437800925924</v>
      </c>
    </row>
    <row r="700" spans="1:25">
      <c r="A700" s="167" t="s">
        <v>77</v>
      </c>
      <c r="B700" s="162" t="s">
        <v>1599</v>
      </c>
      <c r="C700" s="163" t="s">
        <v>2668</v>
      </c>
      <c r="D700" s="162" t="s">
        <v>2669</v>
      </c>
      <c r="E700" s="161" t="s">
        <v>1602</v>
      </c>
      <c r="F700" s="162" t="s">
        <v>1614</v>
      </c>
      <c r="G700" s="161"/>
      <c r="H700" s="215">
        <v>1</v>
      </c>
      <c r="I700" s="171"/>
      <c r="J700" s="173">
        <v>400</v>
      </c>
      <c r="K700" s="172"/>
      <c r="L700" s="173">
        <v>400</v>
      </c>
      <c r="M700" s="171">
        <v>400</v>
      </c>
      <c r="N700" s="170">
        <v>800</v>
      </c>
      <c r="O700" s="177" t="s">
        <v>1523</v>
      </c>
      <c r="P700" s="162" t="s">
        <v>1619</v>
      </c>
      <c r="Q700" s="176"/>
      <c r="R700" s="174"/>
      <c r="S700" s="179"/>
      <c r="T700" s="162" t="s">
        <v>28</v>
      </c>
      <c r="U700" s="161" t="s">
        <v>19</v>
      </c>
      <c r="V700" s="174">
        <v>1614</v>
      </c>
      <c r="W700" s="180"/>
      <c r="X700" s="185">
        <v>45069</v>
      </c>
      <c r="Y700" s="187">
        <v>45097.437800925924</v>
      </c>
    </row>
    <row r="701" spans="1:25">
      <c r="A701" s="167" t="s">
        <v>110</v>
      </c>
      <c r="B701" s="162" t="s">
        <v>1555</v>
      </c>
      <c r="C701" s="163" t="s">
        <v>1133</v>
      </c>
      <c r="D701" s="162" t="s">
        <v>2671</v>
      </c>
      <c r="E701" s="161" t="s">
        <v>1673</v>
      </c>
      <c r="F701" s="162" t="s">
        <v>1592</v>
      </c>
      <c r="G701" s="161" t="s">
        <v>2672</v>
      </c>
      <c r="H701" s="214">
        <v>2</v>
      </c>
      <c r="I701" s="171">
        <v>7</v>
      </c>
      <c r="J701" s="170">
        <v>7</v>
      </c>
      <c r="K701" s="172">
        <v>14</v>
      </c>
      <c r="L701" s="170">
        <v>14</v>
      </c>
      <c r="M701" s="171">
        <v>14</v>
      </c>
      <c r="N701" s="170"/>
      <c r="O701" s="177" t="s">
        <v>76</v>
      </c>
      <c r="P701" s="162" t="s">
        <v>1591</v>
      </c>
      <c r="Q701" s="176"/>
      <c r="R701" s="174">
        <v>2024</v>
      </c>
      <c r="S701" s="179"/>
      <c r="T701" s="162" t="s">
        <v>24</v>
      </c>
      <c r="U701" s="161" t="s">
        <v>13</v>
      </c>
      <c r="V701" s="174">
        <v>1121</v>
      </c>
      <c r="W701" s="180"/>
      <c r="X701" s="185">
        <v>44805</v>
      </c>
      <c r="Y701" s="187">
        <v>45027.429699074077</v>
      </c>
    </row>
    <row r="702" spans="1:25">
      <c r="A702" s="167" t="s">
        <v>110</v>
      </c>
      <c r="B702" s="162" t="s">
        <v>1555</v>
      </c>
      <c r="C702" s="163" t="s">
        <v>1133</v>
      </c>
      <c r="D702" s="162" t="s">
        <v>2671</v>
      </c>
      <c r="E702" s="161" t="s">
        <v>1673</v>
      </c>
      <c r="F702" s="162" t="s">
        <v>1592</v>
      </c>
      <c r="G702" s="161" t="s">
        <v>2672</v>
      </c>
      <c r="H702" s="215">
        <v>2</v>
      </c>
      <c r="I702" s="171">
        <v>6.5</v>
      </c>
      <c r="J702" s="173">
        <v>6.5</v>
      </c>
      <c r="K702" s="172">
        <v>13</v>
      </c>
      <c r="L702" s="173">
        <v>13</v>
      </c>
      <c r="M702" s="171">
        <v>13</v>
      </c>
      <c r="N702" s="170"/>
      <c r="O702" s="177" t="s">
        <v>76</v>
      </c>
      <c r="P702" s="162" t="s">
        <v>1591</v>
      </c>
      <c r="Q702" s="176"/>
      <c r="R702" s="174">
        <v>2032</v>
      </c>
      <c r="S702" s="179"/>
      <c r="T702" s="162" t="s">
        <v>24</v>
      </c>
      <c r="U702" s="161" t="s">
        <v>13</v>
      </c>
      <c r="V702" s="174">
        <v>1121</v>
      </c>
      <c r="W702" s="180"/>
      <c r="X702" s="185">
        <v>44805</v>
      </c>
      <c r="Y702" s="187">
        <v>45027.429699074077</v>
      </c>
    </row>
    <row r="703" spans="1:25">
      <c r="A703" s="167" t="s">
        <v>110</v>
      </c>
      <c r="B703" s="162" t="s">
        <v>1555</v>
      </c>
      <c r="C703" s="163" t="s">
        <v>1133</v>
      </c>
      <c r="D703" s="162" t="s">
        <v>2671</v>
      </c>
      <c r="E703" s="161" t="s">
        <v>1673</v>
      </c>
      <c r="F703" s="162" t="s">
        <v>1592</v>
      </c>
      <c r="G703" s="161" t="s">
        <v>2672</v>
      </c>
      <c r="H703" s="214">
        <v>1</v>
      </c>
      <c r="I703" s="171">
        <v>2.6</v>
      </c>
      <c r="J703" s="170">
        <v>2.6</v>
      </c>
      <c r="K703" s="172">
        <v>2.6</v>
      </c>
      <c r="L703" s="170">
        <v>2.6</v>
      </c>
      <c r="M703" s="171">
        <v>2.6</v>
      </c>
      <c r="N703" s="170"/>
      <c r="O703" s="177" t="s">
        <v>76</v>
      </c>
      <c r="P703" s="162" t="s">
        <v>1591</v>
      </c>
      <c r="Q703" s="176"/>
      <c r="R703" s="174">
        <v>2024</v>
      </c>
      <c r="S703" s="179"/>
      <c r="T703" s="162" t="s">
        <v>24</v>
      </c>
      <c r="U703" s="161" t="s">
        <v>13</v>
      </c>
      <c r="V703" s="174">
        <v>1121</v>
      </c>
      <c r="W703" s="180"/>
      <c r="X703" s="185">
        <v>44805</v>
      </c>
      <c r="Y703" s="187">
        <v>45027.429699074077</v>
      </c>
    </row>
    <row r="704" spans="1:25">
      <c r="A704" s="167" t="s">
        <v>77</v>
      </c>
      <c r="B704" s="162" t="s">
        <v>1555</v>
      </c>
      <c r="C704" s="163" t="s">
        <v>1058</v>
      </c>
      <c r="D704" s="162" t="s">
        <v>2673</v>
      </c>
      <c r="E704" s="161" t="s">
        <v>1613</v>
      </c>
      <c r="F704" s="162" t="s">
        <v>1614</v>
      </c>
      <c r="G704" s="161" t="s">
        <v>2674</v>
      </c>
      <c r="H704" s="215">
        <v>7</v>
      </c>
      <c r="I704" s="171">
        <v>2</v>
      </c>
      <c r="J704" s="173">
        <v>2</v>
      </c>
      <c r="K704" s="172">
        <v>14</v>
      </c>
      <c r="L704" s="173">
        <v>14</v>
      </c>
      <c r="M704" s="171">
        <v>14</v>
      </c>
      <c r="N704" s="170"/>
      <c r="O704" s="177" t="s">
        <v>76</v>
      </c>
      <c r="P704" s="162" t="s">
        <v>1591</v>
      </c>
      <c r="Q704" s="176"/>
      <c r="R704" s="174">
        <v>2043</v>
      </c>
      <c r="S704" s="179"/>
      <c r="T704" s="162" t="s">
        <v>24</v>
      </c>
      <c r="U704" s="161" t="s">
        <v>1615</v>
      </c>
      <c r="V704" s="174">
        <v>1667</v>
      </c>
      <c r="W704" s="180"/>
      <c r="X704" s="185">
        <v>44805</v>
      </c>
      <c r="Y704" s="187">
        <v>45029.639178240737</v>
      </c>
    </row>
    <row r="705" spans="1:25">
      <c r="A705" s="167" t="s">
        <v>91</v>
      </c>
      <c r="B705" s="162" t="s">
        <v>1555</v>
      </c>
      <c r="C705" s="163" t="s">
        <v>2675</v>
      </c>
      <c r="D705" s="162" t="s">
        <v>2676</v>
      </c>
      <c r="E705" s="161" t="s">
        <v>1589</v>
      </c>
      <c r="F705" s="162" t="s">
        <v>1635</v>
      </c>
      <c r="G705" s="161" t="s">
        <v>2677</v>
      </c>
      <c r="H705" s="214">
        <v>18</v>
      </c>
      <c r="I705" s="171"/>
      <c r="J705" s="170">
        <v>1.1499999999999999</v>
      </c>
      <c r="K705" s="172"/>
      <c r="L705" s="170">
        <v>20.7</v>
      </c>
      <c r="M705" s="171">
        <v>20.7</v>
      </c>
      <c r="N705" s="170"/>
      <c r="O705" s="177" t="s">
        <v>76</v>
      </c>
      <c r="P705" s="162" t="s">
        <v>1619</v>
      </c>
      <c r="Q705" s="176"/>
      <c r="R705" s="174">
        <v>2070</v>
      </c>
      <c r="S705" s="179"/>
      <c r="T705" s="162" t="s">
        <v>24</v>
      </c>
      <c r="U705" s="161" t="s">
        <v>20</v>
      </c>
      <c r="V705" s="174">
        <v>1122</v>
      </c>
      <c r="W705" s="180"/>
      <c r="X705" s="185">
        <v>45017</v>
      </c>
      <c r="Y705" s="187">
        <v>45019.497129629628</v>
      </c>
    </row>
    <row r="706" spans="1:25">
      <c r="A706" s="167" t="s">
        <v>77</v>
      </c>
      <c r="B706" s="162" t="s">
        <v>1599</v>
      </c>
      <c r="C706" s="163" t="s">
        <v>2678</v>
      </c>
      <c r="D706" s="162" t="s">
        <v>1845</v>
      </c>
      <c r="E706" s="161" t="s">
        <v>1625</v>
      </c>
      <c r="F706" s="162" t="s">
        <v>1609</v>
      </c>
      <c r="G706" s="161"/>
      <c r="H706" s="215">
        <v>55</v>
      </c>
      <c r="I706" s="171"/>
      <c r="J706" s="173">
        <v>6.2</v>
      </c>
      <c r="K706" s="172"/>
      <c r="L706" s="173">
        <v>341</v>
      </c>
      <c r="M706" s="171">
        <v>341</v>
      </c>
      <c r="N706" s="170"/>
      <c r="O706" s="177" t="s">
        <v>1523</v>
      </c>
      <c r="P706" s="162" t="s">
        <v>1604</v>
      </c>
      <c r="Q706" s="176"/>
      <c r="R706" s="174"/>
      <c r="S706" s="179"/>
      <c r="T706" s="162" t="s">
        <v>28</v>
      </c>
      <c r="U706" s="161" t="s">
        <v>16</v>
      </c>
      <c r="V706" s="174">
        <v>2002</v>
      </c>
      <c r="W706" s="180" t="s">
        <v>3975</v>
      </c>
      <c r="X706" s="185">
        <v>45017</v>
      </c>
      <c r="Y706" s="187">
        <v>45099.432905092595</v>
      </c>
    </row>
    <row r="707" spans="1:25">
      <c r="A707" s="167" t="s">
        <v>110</v>
      </c>
      <c r="B707" s="162" t="s">
        <v>1599</v>
      </c>
      <c r="C707" s="163" t="s">
        <v>2679</v>
      </c>
      <c r="D707" s="162" t="s">
        <v>2680</v>
      </c>
      <c r="E707" s="161" t="s">
        <v>1602</v>
      </c>
      <c r="F707" s="162" t="s">
        <v>1603</v>
      </c>
      <c r="G707" s="161"/>
      <c r="H707" s="214">
        <v>1</v>
      </c>
      <c r="I707" s="171">
        <v>400</v>
      </c>
      <c r="J707" s="170">
        <v>400</v>
      </c>
      <c r="K707" s="172">
        <v>400</v>
      </c>
      <c r="L707" s="170">
        <v>400</v>
      </c>
      <c r="M707" s="171">
        <v>400</v>
      </c>
      <c r="N707" s="170">
        <v>0</v>
      </c>
      <c r="O707" s="177" t="s">
        <v>1523</v>
      </c>
      <c r="P707" s="162" t="s">
        <v>1604</v>
      </c>
      <c r="Q707" s="176"/>
      <c r="R707" s="174"/>
      <c r="S707" s="179"/>
      <c r="T707" s="162" t="s">
        <v>28</v>
      </c>
      <c r="U707" s="161" t="s">
        <v>19</v>
      </c>
      <c r="V707" s="174">
        <v>2342</v>
      </c>
      <c r="W707" s="180" t="s">
        <v>2681</v>
      </c>
      <c r="X707" s="185">
        <v>45017</v>
      </c>
      <c r="Y707" s="187">
        <v>44944.594363425924</v>
      </c>
    </row>
    <row r="708" spans="1:25">
      <c r="A708" s="167" t="s">
        <v>105</v>
      </c>
      <c r="B708" s="162" t="s">
        <v>1599</v>
      </c>
      <c r="C708" s="163" t="s">
        <v>2682</v>
      </c>
      <c r="D708" s="162" t="s">
        <v>2683</v>
      </c>
      <c r="E708" s="161" t="s">
        <v>1625</v>
      </c>
      <c r="F708" s="162" t="s">
        <v>1609</v>
      </c>
      <c r="G708" s="161"/>
      <c r="H708" s="215">
        <v>1</v>
      </c>
      <c r="I708" s="171">
        <v>42</v>
      </c>
      <c r="J708" s="173">
        <v>42</v>
      </c>
      <c r="K708" s="172">
        <v>42</v>
      </c>
      <c r="L708" s="173">
        <v>42</v>
      </c>
      <c r="M708" s="171">
        <v>42</v>
      </c>
      <c r="N708" s="170"/>
      <c r="O708" s="177" t="s">
        <v>1523</v>
      </c>
      <c r="P708" s="162" t="s">
        <v>1620</v>
      </c>
      <c r="Q708" s="176"/>
      <c r="R708" s="174"/>
      <c r="S708" s="179"/>
      <c r="T708" s="162" t="s">
        <v>28</v>
      </c>
      <c r="U708" s="161" t="s">
        <v>16</v>
      </c>
      <c r="V708" s="174">
        <v>2236</v>
      </c>
      <c r="W708" s="180" t="s">
        <v>2684</v>
      </c>
      <c r="X708" s="185">
        <v>45017</v>
      </c>
      <c r="Y708" s="187">
        <v>45034.593275462961</v>
      </c>
    </row>
    <row r="709" spans="1:25">
      <c r="A709" s="167" t="s">
        <v>105</v>
      </c>
      <c r="B709" s="162" t="s">
        <v>1555</v>
      </c>
      <c r="C709" s="163" t="s">
        <v>2685</v>
      </c>
      <c r="D709" s="162" t="s">
        <v>1735</v>
      </c>
      <c r="E709" s="161" t="s">
        <v>1700</v>
      </c>
      <c r="F709" s="162" t="s">
        <v>1658</v>
      </c>
      <c r="G709" s="161"/>
      <c r="H709" s="214">
        <v>1</v>
      </c>
      <c r="I709" s="171">
        <v>3.2</v>
      </c>
      <c r="J709" s="170">
        <v>3.2</v>
      </c>
      <c r="K709" s="172">
        <v>3.2</v>
      </c>
      <c r="L709" s="170">
        <v>3.2</v>
      </c>
      <c r="M709" s="171">
        <v>3.2</v>
      </c>
      <c r="N709" s="170"/>
      <c r="O709" s="177" t="s">
        <v>76</v>
      </c>
      <c r="P709" s="162" t="s">
        <v>1591</v>
      </c>
      <c r="Q709" s="176"/>
      <c r="R709" s="174">
        <v>2100</v>
      </c>
      <c r="S709" s="179"/>
      <c r="T709" s="162" t="s">
        <v>24</v>
      </c>
      <c r="U709" s="161" t="s">
        <v>17</v>
      </c>
      <c r="V709" s="174">
        <v>1123</v>
      </c>
      <c r="W709" s="180"/>
      <c r="X709" s="185">
        <v>44621</v>
      </c>
      <c r="Y709" s="187">
        <v>45086.837546296294</v>
      </c>
    </row>
    <row r="710" spans="1:25">
      <c r="A710" s="167" t="s">
        <v>77</v>
      </c>
      <c r="B710" s="162" t="s">
        <v>1599</v>
      </c>
      <c r="C710" s="163" t="s">
        <v>2686</v>
      </c>
      <c r="D710" s="162" t="s">
        <v>2687</v>
      </c>
      <c r="E710" s="161" t="s">
        <v>1602</v>
      </c>
      <c r="F710" s="162" t="s">
        <v>1603</v>
      </c>
      <c r="G710" s="161"/>
      <c r="H710" s="215">
        <v>1</v>
      </c>
      <c r="I710" s="171"/>
      <c r="J710" s="173">
        <v>200</v>
      </c>
      <c r="K710" s="172"/>
      <c r="L710" s="173">
        <v>200</v>
      </c>
      <c r="M710" s="171">
        <v>200</v>
      </c>
      <c r="N710" s="170">
        <v>400</v>
      </c>
      <c r="O710" s="177" t="s">
        <v>1523</v>
      </c>
      <c r="P710" s="162" t="s">
        <v>1619</v>
      </c>
      <c r="Q710" s="176"/>
      <c r="R710" s="174"/>
      <c r="S710" s="179"/>
      <c r="T710" s="162" t="s">
        <v>28</v>
      </c>
      <c r="U710" s="161" t="s">
        <v>19</v>
      </c>
      <c r="V710" s="174">
        <v>2412</v>
      </c>
      <c r="W710" s="180" t="s">
        <v>2688</v>
      </c>
      <c r="X710" s="185">
        <v>45017</v>
      </c>
      <c r="Y710" s="187">
        <v>45027.637604166666</v>
      </c>
    </row>
    <row r="711" spans="1:25">
      <c r="A711" s="167" t="s">
        <v>77</v>
      </c>
      <c r="B711" s="162" t="s">
        <v>1599</v>
      </c>
      <c r="C711" s="163" t="s">
        <v>2689</v>
      </c>
      <c r="D711" s="162" t="s">
        <v>2690</v>
      </c>
      <c r="E711" s="161" t="s">
        <v>1613</v>
      </c>
      <c r="F711" s="162" t="s">
        <v>1614</v>
      </c>
      <c r="G711" s="161"/>
      <c r="H711" s="214">
        <v>1</v>
      </c>
      <c r="I711" s="171">
        <v>300</v>
      </c>
      <c r="J711" s="170">
        <v>300</v>
      </c>
      <c r="K711" s="172">
        <v>300</v>
      </c>
      <c r="L711" s="170">
        <v>300</v>
      </c>
      <c r="M711" s="171">
        <v>300</v>
      </c>
      <c r="N711" s="170"/>
      <c r="O711" s="177" t="s">
        <v>1523</v>
      </c>
      <c r="P711" s="162" t="s">
        <v>1604</v>
      </c>
      <c r="Q711" s="176"/>
      <c r="R711" s="174"/>
      <c r="S711" s="179"/>
      <c r="T711" s="162" t="s">
        <v>28</v>
      </c>
      <c r="U711" s="161" t="s">
        <v>1615</v>
      </c>
      <c r="V711" s="174">
        <v>2300</v>
      </c>
      <c r="W711" s="180" t="s">
        <v>2691</v>
      </c>
      <c r="X711" s="185">
        <v>45017</v>
      </c>
      <c r="Y711" s="187">
        <v>44986.401076388887</v>
      </c>
    </row>
    <row r="712" spans="1:25">
      <c r="A712" s="167" t="s">
        <v>110</v>
      </c>
      <c r="B712" s="162" t="s">
        <v>1555</v>
      </c>
      <c r="C712" s="163" t="s">
        <v>121</v>
      </c>
      <c r="D712" s="162" t="s">
        <v>122</v>
      </c>
      <c r="E712" s="161" t="s">
        <v>1739</v>
      </c>
      <c r="F712" s="162" t="s">
        <v>2692</v>
      </c>
      <c r="G712" s="161" t="s">
        <v>2693</v>
      </c>
      <c r="H712" s="215">
        <v>1</v>
      </c>
      <c r="I712" s="171">
        <v>0</v>
      </c>
      <c r="J712" s="173">
        <v>560</v>
      </c>
      <c r="K712" s="172">
        <v>0</v>
      </c>
      <c r="L712" s="173">
        <v>560</v>
      </c>
      <c r="M712" s="171">
        <v>560</v>
      </c>
      <c r="N712" s="170"/>
      <c r="O712" s="177" t="s">
        <v>76</v>
      </c>
      <c r="P712" s="162" t="s">
        <v>1619</v>
      </c>
      <c r="Q712" s="176"/>
      <c r="R712" s="174">
        <v>2035</v>
      </c>
      <c r="S712" s="179"/>
      <c r="T712" s="162" t="s">
        <v>24</v>
      </c>
      <c r="U712" s="161" t="s">
        <v>11</v>
      </c>
      <c r="V712" s="174">
        <v>1124</v>
      </c>
      <c r="W712" s="180"/>
      <c r="X712" s="185">
        <v>45069</v>
      </c>
      <c r="Y712" s="187">
        <v>45103.781087962961</v>
      </c>
    </row>
    <row r="713" spans="1:25">
      <c r="A713" s="167" t="s">
        <v>110</v>
      </c>
      <c r="B713" s="162" t="s">
        <v>1555</v>
      </c>
      <c r="C713" s="163" t="s">
        <v>121</v>
      </c>
      <c r="D713" s="162" t="s">
        <v>122</v>
      </c>
      <c r="E713" s="161" t="s">
        <v>1739</v>
      </c>
      <c r="F713" s="162" t="s">
        <v>2692</v>
      </c>
      <c r="G713" s="161" t="s">
        <v>123</v>
      </c>
      <c r="H713" s="214">
        <v>1</v>
      </c>
      <c r="I713" s="171">
        <v>0</v>
      </c>
      <c r="J713" s="170">
        <v>530</v>
      </c>
      <c r="K713" s="172">
        <v>0</v>
      </c>
      <c r="L713" s="170">
        <v>530</v>
      </c>
      <c r="M713" s="171">
        <v>530</v>
      </c>
      <c r="N713" s="170"/>
      <c r="O713" s="177" t="s">
        <v>76</v>
      </c>
      <c r="P713" s="162" t="s">
        <v>1619</v>
      </c>
      <c r="Q713" s="176"/>
      <c r="R713" s="174">
        <v>2035</v>
      </c>
      <c r="S713" s="179"/>
      <c r="T713" s="162" t="s">
        <v>24</v>
      </c>
      <c r="U713" s="161" t="s">
        <v>11</v>
      </c>
      <c r="V713" s="174">
        <v>1124</v>
      </c>
      <c r="W713" s="180"/>
      <c r="X713" s="185">
        <v>45069</v>
      </c>
      <c r="Y713" s="187">
        <v>45103.781087962961</v>
      </c>
    </row>
    <row r="714" spans="1:25">
      <c r="A714" s="167" t="s">
        <v>110</v>
      </c>
      <c r="B714" s="162" t="s">
        <v>1555</v>
      </c>
      <c r="C714" s="163" t="s">
        <v>121</v>
      </c>
      <c r="D714" s="162" t="s">
        <v>122</v>
      </c>
      <c r="E714" s="161" t="s">
        <v>1739</v>
      </c>
      <c r="F714" s="162" t="s">
        <v>2692</v>
      </c>
      <c r="G714" s="161" t="s">
        <v>2694</v>
      </c>
      <c r="H714" s="215">
        <v>1</v>
      </c>
      <c r="I714" s="171">
        <v>0</v>
      </c>
      <c r="J714" s="173">
        <v>560</v>
      </c>
      <c r="K714" s="172">
        <v>0</v>
      </c>
      <c r="L714" s="173">
        <v>560</v>
      </c>
      <c r="M714" s="171">
        <v>560</v>
      </c>
      <c r="N714" s="170"/>
      <c r="O714" s="177" t="s">
        <v>76</v>
      </c>
      <c r="P714" s="162" t="s">
        <v>1619</v>
      </c>
      <c r="Q714" s="176"/>
      <c r="R714" s="174">
        <v>2035</v>
      </c>
      <c r="S714" s="179"/>
      <c r="T714" s="162" t="s">
        <v>24</v>
      </c>
      <c r="U714" s="161" t="s">
        <v>11</v>
      </c>
      <c r="V714" s="174">
        <v>1124</v>
      </c>
      <c r="W714" s="180"/>
      <c r="X714" s="185">
        <v>45069</v>
      </c>
      <c r="Y714" s="187">
        <v>45103.781087962961</v>
      </c>
    </row>
    <row r="715" spans="1:25">
      <c r="A715" s="167" t="s">
        <v>110</v>
      </c>
      <c r="B715" s="162" t="s">
        <v>1555</v>
      </c>
      <c r="C715" s="163" t="s">
        <v>121</v>
      </c>
      <c r="D715" s="162" t="s">
        <v>122</v>
      </c>
      <c r="E715" s="161" t="s">
        <v>1739</v>
      </c>
      <c r="F715" s="162" t="s">
        <v>2692</v>
      </c>
      <c r="G715" s="161" t="s">
        <v>2695</v>
      </c>
      <c r="H715" s="214">
        <v>1</v>
      </c>
      <c r="I715" s="171">
        <v>0</v>
      </c>
      <c r="J715" s="170">
        <v>560</v>
      </c>
      <c r="K715" s="172">
        <v>0</v>
      </c>
      <c r="L715" s="170">
        <v>560</v>
      </c>
      <c r="M715" s="171">
        <v>560</v>
      </c>
      <c r="N715" s="170"/>
      <c r="O715" s="177" t="s">
        <v>76</v>
      </c>
      <c r="P715" s="162" t="s">
        <v>1619</v>
      </c>
      <c r="Q715" s="176"/>
      <c r="R715" s="174">
        <v>2035</v>
      </c>
      <c r="S715" s="179"/>
      <c r="T715" s="162" t="s">
        <v>24</v>
      </c>
      <c r="U715" s="161" t="s">
        <v>11</v>
      </c>
      <c r="V715" s="174">
        <v>1124</v>
      </c>
      <c r="W715" s="180"/>
      <c r="X715" s="185">
        <v>45069</v>
      </c>
      <c r="Y715" s="187">
        <v>45103.781087962961</v>
      </c>
    </row>
    <row r="716" spans="1:25">
      <c r="A716" s="167" t="s">
        <v>110</v>
      </c>
      <c r="B716" s="162" t="s">
        <v>1555</v>
      </c>
      <c r="C716" s="163" t="s">
        <v>643</v>
      </c>
      <c r="D716" s="162" t="s">
        <v>748</v>
      </c>
      <c r="E716" s="161" t="s">
        <v>1739</v>
      </c>
      <c r="F716" s="162" t="s">
        <v>2692</v>
      </c>
      <c r="G716" s="161" t="s">
        <v>645</v>
      </c>
      <c r="H716" s="215">
        <v>1</v>
      </c>
      <c r="I716" s="171"/>
      <c r="J716" s="173">
        <v>580</v>
      </c>
      <c r="K716" s="172"/>
      <c r="L716" s="173">
        <v>580</v>
      </c>
      <c r="M716" s="171">
        <v>580</v>
      </c>
      <c r="N716" s="170"/>
      <c r="O716" s="177" t="s">
        <v>76</v>
      </c>
      <c r="P716" s="162" t="s">
        <v>1619</v>
      </c>
      <c r="Q716" s="176"/>
      <c r="R716" s="174">
        <v>2047</v>
      </c>
      <c r="S716" s="179"/>
      <c r="T716" s="162" t="s">
        <v>24</v>
      </c>
      <c r="U716" s="161" t="s">
        <v>11</v>
      </c>
      <c r="V716" s="174">
        <v>1125</v>
      </c>
      <c r="W716" s="180"/>
      <c r="X716" s="185">
        <v>45017</v>
      </c>
      <c r="Y716" s="187">
        <v>45015.618831018517</v>
      </c>
    </row>
    <row r="717" spans="1:25">
      <c r="A717" s="167" t="s">
        <v>110</v>
      </c>
      <c r="B717" s="162" t="s">
        <v>1555</v>
      </c>
      <c r="C717" s="163" t="s">
        <v>643</v>
      </c>
      <c r="D717" s="162" t="s">
        <v>748</v>
      </c>
      <c r="E717" s="161" t="s">
        <v>1739</v>
      </c>
      <c r="F717" s="162" t="s">
        <v>2692</v>
      </c>
      <c r="G717" s="161" t="s">
        <v>2696</v>
      </c>
      <c r="H717" s="214">
        <v>1</v>
      </c>
      <c r="I717" s="171"/>
      <c r="J717" s="170">
        <v>580</v>
      </c>
      <c r="K717" s="172"/>
      <c r="L717" s="170">
        <v>580</v>
      </c>
      <c r="M717" s="171">
        <v>580</v>
      </c>
      <c r="N717" s="170"/>
      <c r="O717" s="177" t="s">
        <v>76</v>
      </c>
      <c r="P717" s="162" t="s">
        <v>1619</v>
      </c>
      <c r="Q717" s="176"/>
      <c r="R717" s="174">
        <v>2047</v>
      </c>
      <c r="S717" s="179"/>
      <c r="T717" s="162" t="s">
        <v>24</v>
      </c>
      <c r="U717" s="161" t="s">
        <v>11</v>
      </c>
      <c r="V717" s="174">
        <v>1125</v>
      </c>
      <c r="W717" s="180"/>
      <c r="X717" s="185">
        <v>45017</v>
      </c>
      <c r="Y717" s="187">
        <v>45015.618831018517</v>
      </c>
    </row>
    <row r="718" spans="1:25">
      <c r="A718" s="167" t="s">
        <v>45</v>
      </c>
      <c r="B718" s="162" t="s">
        <v>1555</v>
      </c>
      <c r="C718" s="163" t="s">
        <v>2697</v>
      </c>
      <c r="D718" s="162" t="s">
        <v>601</v>
      </c>
      <c r="E718" s="161" t="s">
        <v>1596</v>
      </c>
      <c r="F718" s="162" t="s">
        <v>1627</v>
      </c>
      <c r="G718" s="161" t="s">
        <v>2698</v>
      </c>
      <c r="H718" s="215">
        <v>15</v>
      </c>
      <c r="I718" s="171"/>
      <c r="J718" s="173">
        <v>1.1499999999999999</v>
      </c>
      <c r="K718" s="172"/>
      <c r="L718" s="173">
        <v>17.25</v>
      </c>
      <c r="M718" s="171">
        <v>17.25</v>
      </c>
      <c r="N718" s="170"/>
      <c r="O718" s="177" t="s">
        <v>76</v>
      </c>
      <c r="P718" s="162" t="s">
        <v>1591</v>
      </c>
      <c r="Q718" s="176"/>
      <c r="R718" s="174">
        <v>2025</v>
      </c>
      <c r="S718" s="179"/>
      <c r="T718" s="162" t="s">
        <v>24</v>
      </c>
      <c r="U718" s="161" t="s">
        <v>18</v>
      </c>
      <c r="V718" s="174">
        <v>1127</v>
      </c>
      <c r="W718" s="180"/>
      <c r="X718" s="185">
        <v>44621</v>
      </c>
      <c r="Y718" s="187">
        <v>44981.395648148151</v>
      </c>
    </row>
    <row r="719" spans="1:25">
      <c r="A719" s="167" t="s">
        <v>45</v>
      </c>
      <c r="B719" s="162" t="s">
        <v>1555</v>
      </c>
      <c r="C719" s="163" t="s">
        <v>2699</v>
      </c>
      <c r="D719" s="162" t="s">
        <v>601</v>
      </c>
      <c r="E719" s="161" t="s">
        <v>1596</v>
      </c>
      <c r="F719" s="162" t="s">
        <v>1627</v>
      </c>
      <c r="G719" s="161"/>
      <c r="H719" s="214">
        <v>3</v>
      </c>
      <c r="I719" s="171"/>
      <c r="J719" s="170">
        <v>1.03</v>
      </c>
      <c r="K719" s="172"/>
      <c r="L719" s="170">
        <v>3.09</v>
      </c>
      <c r="M719" s="171">
        <v>3.09</v>
      </c>
      <c r="N719" s="170"/>
      <c r="O719" s="177" t="s">
        <v>76</v>
      </c>
      <c r="P719" s="162" t="s">
        <v>1591</v>
      </c>
      <c r="Q719" s="176"/>
      <c r="R719" s="174">
        <v>2035</v>
      </c>
      <c r="S719" s="179"/>
      <c r="T719" s="162" t="s">
        <v>24</v>
      </c>
      <c r="U719" s="161" t="s">
        <v>18</v>
      </c>
      <c r="V719" s="174">
        <v>1126</v>
      </c>
      <c r="W719" s="180"/>
      <c r="X719" s="185">
        <v>44621</v>
      </c>
      <c r="Y719" s="187">
        <v>44981.39503472222</v>
      </c>
    </row>
    <row r="720" spans="1:25">
      <c r="A720" s="167" t="s">
        <v>45</v>
      </c>
      <c r="B720" s="162" t="s">
        <v>1555</v>
      </c>
      <c r="C720" s="163" t="s">
        <v>2699</v>
      </c>
      <c r="D720" s="162" t="s">
        <v>601</v>
      </c>
      <c r="E720" s="161" t="s">
        <v>1596</v>
      </c>
      <c r="F720" s="162" t="s">
        <v>1627</v>
      </c>
      <c r="G720" s="161"/>
      <c r="H720" s="215">
        <v>2</v>
      </c>
      <c r="I720" s="171"/>
      <c r="J720" s="173">
        <v>1.1499999999999999</v>
      </c>
      <c r="K720" s="172"/>
      <c r="L720" s="173">
        <v>2.2999999999999998</v>
      </c>
      <c r="M720" s="171">
        <v>2.2999999999999998</v>
      </c>
      <c r="N720" s="170"/>
      <c r="O720" s="177" t="s">
        <v>76</v>
      </c>
      <c r="P720" s="162" t="s">
        <v>1591</v>
      </c>
      <c r="Q720" s="176"/>
      <c r="R720" s="174">
        <v>2035</v>
      </c>
      <c r="S720" s="179"/>
      <c r="T720" s="162" t="s">
        <v>24</v>
      </c>
      <c r="U720" s="161" t="s">
        <v>18</v>
      </c>
      <c r="V720" s="174">
        <v>1126</v>
      </c>
      <c r="W720" s="180"/>
      <c r="X720" s="185">
        <v>44621</v>
      </c>
      <c r="Y720" s="187">
        <v>44981.39503472222</v>
      </c>
    </row>
    <row r="721" spans="1:25">
      <c r="A721" s="167" t="s">
        <v>110</v>
      </c>
      <c r="B721" s="162" t="s">
        <v>1599</v>
      </c>
      <c r="C721" s="163" t="s">
        <v>2700</v>
      </c>
      <c r="D721" s="162" t="s">
        <v>2701</v>
      </c>
      <c r="E721" s="161" t="s">
        <v>1602</v>
      </c>
      <c r="F721" s="162" t="s">
        <v>1603</v>
      </c>
      <c r="G721" s="161"/>
      <c r="H721" s="214">
        <v>1</v>
      </c>
      <c r="I721" s="171"/>
      <c r="J721" s="170">
        <v>200</v>
      </c>
      <c r="K721" s="172"/>
      <c r="L721" s="170">
        <v>200</v>
      </c>
      <c r="M721" s="171">
        <v>200</v>
      </c>
      <c r="N721" s="170">
        <v>800</v>
      </c>
      <c r="O721" s="177" t="s">
        <v>1523</v>
      </c>
      <c r="P721" s="162" t="s">
        <v>1619</v>
      </c>
      <c r="Q721" s="176"/>
      <c r="R721" s="174">
        <v>2050</v>
      </c>
      <c r="S721" s="179"/>
      <c r="T721" s="162" t="s">
        <v>28</v>
      </c>
      <c r="U721" s="161" t="s">
        <v>19</v>
      </c>
      <c r="V721" s="174">
        <v>1867</v>
      </c>
      <c r="W721" s="180" t="s">
        <v>2702</v>
      </c>
      <c r="X721" s="185">
        <v>45069</v>
      </c>
      <c r="Y721" s="187">
        <v>45086.412222222221</v>
      </c>
    </row>
    <row r="722" spans="1:25">
      <c r="A722" s="167" t="s">
        <v>110</v>
      </c>
      <c r="B722" s="162" t="s">
        <v>1555</v>
      </c>
      <c r="C722" s="163" t="s">
        <v>1400</v>
      </c>
      <c r="D722" s="162" t="s">
        <v>2703</v>
      </c>
      <c r="E722" s="161" t="s">
        <v>1625</v>
      </c>
      <c r="F722" s="162" t="s">
        <v>1609</v>
      </c>
      <c r="G722" s="161" t="s">
        <v>2704</v>
      </c>
      <c r="H722" s="215">
        <v>140</v>
      </c>
      <c r="I722" s="171"/>
      <c r="J722" s="173">
        <v>3</v>
      </c>
      <c r="K722" s="172"/>
      <c r="L722" s="173">
        <v>420</v>
      </c>
      <c r="M722" s="171">
        <v>420</v>
      </c>
      <c r="N722" s="170"/>
      <c r="O722" s="177" t="s">
        <v>76</v>
      </c>
      <c r="P722" s="162" t="s">
        <v>1620</v>
      </c>
      <c r="Q722" s="176"/>
      <c r="R722" s="174">
        <v>2038</v>
      </c>
      <c r="S722" s="179"/>
      <c r="T722" s="162" t="s">
        <v>24</v>
      </c>
      <c r="U722" s="161" t="s">
        <v>16</v>
      </c>
      <c r="V722" s="174">
        <v>1128</v>
      </c>
      <c r="W722" s="180"/>
      <c r="X722" s="185">
        <v>45017</v>
      </c>
      <c r="Y722" s="187">
        <v>45015.621886574074</v>
      </c>
    </row>
    <row r="723" spans="1:25">
      <c r="A723" s="167" t="s">
        <v>77</v>
      </c>
      <c r="B723" s="162" t="s">
        <v>1599</v>
      </c>
      <c r="C723" s="163" t="s">
        <v>505</v>
      </c>
      <c r="D723" s="162" t="s">
        <v>506</v>
      </c>
      <c r="E723" s="161" t="s">
        <v>1625</v>
      </c>
      <c r="F723" s="162" t="s">
        <v>1609</v>
      </c>
      <c r="G723" s="161"/>
      <c r="H723" s="214">
        <v>162</v>
      </c>
      <c r="I723" s="171">
        <v>3</v>
      </c>
      <c r="J723" s="170">
        <v>5.7</v>
      </c>
      <c r="K723" s="172">
        <v>486</v>
      </c>
      <c r="L723" s="170">
        <v>923.4</v>
      </c>
      <c r="M723" s="171" t="s">
        <v>2705</v>
      </c>
      <c r="N723" s="170"/>
      <c r="O723" s="191" t="s">
        <v>27</v>
      </c>
      <c r="P723" s="162" t="s">
        <v>1620</v>
      </c>
      <c r="Q723" s="176">
        <v>45627</v>
      </c>
      <c r="R723" s="174">
        <v>2050</v>
      </c>
      <c r="S723" s="179"/>
      <c r="T723" s="162" t="s">
        <v>27</v>
      </c>
      <c r="U723" s="161" t="s">
        <v>16</v>
      </c>
      <c r="V723" s="174">
        <v>1332</v>
      </c>
      <c r="W723" s="180" t="s">
        <v>2706</v>
      </c>
      <c r="X723" s="185">
        <v>45069</v>
      </c>
      <c r="Y723" s="187">
        <v>45027.635694444441</v>
      </c>
    </row>
    <row r="724" spans="1:25">
      <c r="A724" s="167" t="s">
        <v>105</v>
      </c>
      <c r="B724" s="162" t="s">
        <v>1555</v>
      </c>
      <c r="C724" s="163" t="s">
        <v>2707</v>
      </c>
      <c r="D724" s="162" t="s">
        <v>1735</v>
      </c>
      <c r="E724" s="161" t="s">
        <v>1700</v>
      </c>
      <c r="F724" s="162" t="s">
        <v>1658</v>
      </c>
      <c r="G724" s="161" t="s">
        <v>2708</v>
      </c>
      <c r="H724" s="215">
        <v>1</v>
      </c>
      <c r="I724" s="171">
        <v>79.900000000000006</v>
      </c>
      <c r="J724" s="173">
        <v>79.900000000000006</v>
      </c>
      <c r="K724" s="172">
        <v>79.900000000000006</v>
      </c>
      <c r="L724" s="173">
        <v>79.900000000000006</v>
      </c>
      <c r="M724" s="171">
        <v>79.900000000000006</v>
      </c>
      <c r="N724" s="170"/>
      <c r="O724" s="177" t="s">
        <v>76</v>
      </c>
      <c r="P724" s="162" t="s">
        <v>1619</v>
      </c>
      <c r="Q724" s="176"/>
      <c r="R724" s="174">
        <v>2100</v>
      </c>
      <c r="S724" s="179"/>
      <c r="T724" s="162" t="s">
        <v>24</v>
      </c>
      <c r="U724" s="161" t="s">
        <v>17</v>
      </c>
      <c r="V724" s="174">
        <v>1130</v>
      </c>
      <c r="W724" s="180"/>
      <c r="X724" s="185">
        <v>45017</v>
      </c>
      <c r="Y724" s="187">
        <v>45086.833356481482</v>
      </c>
    </row>
    <row r="725" spans="1:25">
      <c r="A725" s="167" t="s">
        <v>77</v>
      </c>
      <c r="B725" s="162" t="s">
        <v>1555</v>
      </c>
      <c r="C725" s="163" t="s">
        <v>2709</v>
      </c>
      <c r="D725" s="162" t="s">
        <v>2710</v>
      </c>
      <c r="E725" s="161" t="s">
        <v>1739</v>
      </c>
      <c r="F725" s="162" t="s">
        <v>1986</v>
      </c>
      <c r="G725" s="161"/>
      <c r="H725" s="214">
        <v>1</v>
      </c>
      <c r="I725" s="171"/>
      <c r="J725" s="170">
        <v>5</v>
      </c>
      <c r="K725" s="172"/>
      <c r="L725" s="170">
        <v>5</v>
      </c>
      <c r="M725" s="171">
        <v>5</v>
      </c>
      <c r="N725" s="170"/>
      <c r="O725" s="177" t="s">
        <v>76</v>
      </c>
      <c r="P725" s="162" t="s">
        <v>1591</v>
      </c>
      <c r="Q725" s="176"/>
      <c r="R725" s="174">
        <v>2035</v>
      </c>
      <c r="S725" s="179"/>
      <c r="T725" s="162" t="s">
        <v>24</v>
      </c>
      <c r="U725" s="161" t="s">
        <v>18</v>
      </c>
      <c r="V725" s="174">
        <v>1131</v>
      </c>
      <c r="W725" s="180"/>
      <c r="X725" s="185">
        <v>44621</v>
      </c>
      <c r="Y725" s="187">
        <v>45021.751446759263</v>
      </c>
    </row>
    <row r="726" spans="1:25">
      <c r="A726" s="167" t="s">
        <v>77</v>
      </c>
      <c r="B726" s="162" t="s">
        <v>1555</v>
      </c>
      <c r="C726" s="163" t="s">
        <v>2709</v>
      </c>
      <c r="D726" s="162" t="s">
        <v>2710</v>
      </c>
      <c r="E726" s="161" t="s">
        <v>1739</v>
      </c>
      <c r="F726" s="162" t="s">
        <v>1986</v>
      </c>
      <c r="G726" s="161"/>
      <c r="H726" s="214">
        <v>1</v>
      </c>
      <c r="I726" s="171"/>
      <c r="J726" s="170">
        <v>3</v>
      </c>
      <c r="K726" s="172"/>
      <c r="L726" s="170">
        <v>3</v>
      </c>
      <c r="M726" s="171">
        <v>3</v>
      </c>
      <c r="N726" s="170"/>
      <c r="O726" s="177" t="s">
        <v>76</v>
      </c>
      <c r="P726" s="162" t="s">
        <v>1591</v>
      </c>
      <c r="Q726" s="176"/>
      <c r="R726" s="174">
        <v>2035</v>
      </c>
      <c r="S726" s="179"/>
      <c r="T726" s="162" t="s">
        <v>24</v>
      </c>
      <c r="U726" s="161" t="s">
        <v>18</v>
      </c>
      <c r="V726" s="174">
        <v>1131</v>
      </c>
      <c r="W726" s="180"/>
      <c r="X726" s="185">
        <v>44621</v>
      </c>
      <c r="Y726" s="187">
        <v>45021.751446759263</v>
      </c>
    </row>
    <row r="727" spans="1:25">
      <c r="A727" s="220" t="s">
        <v>77</v>
      </c>
      <c r="B727" s="221" t="s">
        <v>1599</v>
      </c>
      <c r="C727" s="222" t="s">
        <v>3896</v>
      </c>
      <c r="D727" s="221" t="s">
        <v>721</v>
      </c>
      <c r="E727" s="223" t="s">
        <v>1602</v>
      </c>
      <c r="F727" s="224" t="s">
        <v>20</v>
      </c>
      <c r="G727" s="223"/>
      <c r="H727" s="225">
        <v>1</v>
      </c>
      <c r="I727" s="226"/>
      <c r="J727" s="227">
        <v>150</v>
      </c>
      <c r="K727" s="228"/>
      <c r="L727" s="227">
        <v>150</v>
      </c>
      <c r="M727" s="226">
        <v>150</v>
      </c>
      <c r="N727" s="229">
        <v>0</v>
      </c>
      <c r="O727" s="230" t="s">
        <v>1523</v>
      </c>
      <c r="P727" s="221" t="s">
        <v>1604</v>
      </c>
      <c r="Q727" s="231"/>
      <c r="R727" s="232"/>
      <c r="S727" s="233"/>
      <c r="T727" s="224" t="s">
        <v>28</v>
      </c>
      <c r="U727" s="223" t="s">
        <v>19</v>
      </c>
      <c r="V727" s="232">
        <v>2559</v>
      </c>
      <c r="W727" s="234" t="s">
        <v>3947</v>
      </c>
      <c r="X727" s="235"/>
      <c r="Y727" s="236">
        <v>45111.583611111113</v>
      </c>
    </row>
    <row r="728" spans="1:25">
      <c r="A728" s="167" t="s">
        <v>45</v>
      </c>
      <c r="B728" s="162" t="s">
        <v>1599</v>
      </c>
      <c r="C728" s="163" t="s">
        <v>2711</v>
      </c>
      <c r="D728" s="162" t="s">
        <v>2152</v>
      </c>
      <c r="E728" s="161" t="s">
        <v>1625</v>
      </c>
      <c r="F728" s="162" t="s">
        <v>1609</v>
      </c>
      <c r="G728" s="161"/>
      <c r="H728" s="214">
        <v>106</v>
      </c>
      <c r="I728" s="171">
        <v>5</v>
      </c>
      <c r="J728" s="170">
        <v>8</v>
      </c>
      <c r="K728" s="172">
        <v>530</v>
      </c>
      <c r="L728" s="170">
        <v>848</v>
      </c>
      <c r="M728" s="171" t="s">
        <v>2156</v>
      </c>
      <c r="N728" s="170"/>
      <c r="O728" s="177" t="s">
        <v>1523</v>
      </c>
      <c r="P728" s="162" t="s">
        <v>1604</v>
      </c>
      <c r="Q728" s="176">
        <v>47119</v>
      </c>
      <c r="R728" s="174"/>
      <c r="S728" s="179"/>
      <c r="T728" s="162" t="s">
        <v>28</v>
      </c>
      <c r="U728" s="161" t="s">
        <v>16</v>
      </c>
      <c r="V728" s="174">
        <v>2046</v>
      </c>
      <c r="W728" s="180"/>
      <c r="X728" s="185">
        <v>45069</v>
      </c>
      <c r="Y728" s="187">
        <v>45043.56</v>
      </c>
    </row>
    <row r="729" spans="1:25">
      <c r="A729" s="167" t="s">
        <v>45</v>
      </c>
      <c r="B729" s="162" t="s">
        <v>1599</v>
      </c>
      <c r="C729" s="163" t="s">
        <v>2712</v>
      </c>
      <c r="D729" s="162" t="s">
        <v>2152</v>
      </c>
      <c r="E729" s="161" t="s">
        <v>1602</v>
      </c>
      <c r="F729" s="162" t="s">
        <v>1603</v>
      </c>
      <c r="G729" s="161"/>
      <c r="H729" s="214">
        <v>1</v>
      </c>
      <c r="I729" s="171">
        <v>350</v>
      </c>
      <c r="J729" s="170">
        <v>350</v>
      </c>
      <c r="K729" s="172">
        <v>350</v>
      </c>
      <c r="L729" s="170">
        <v>350</v>
      </c>
      <c r="M729" s="171">
        <v>350</v>
      </c>
      <c r="N729" s="170">
        <v>0</v>
      </c>
      <c r="O729" s="177" t="s">
        <v>1523</v>
      </c>
      <c r="P729" s="162" t="s">
        <v>1604</v>
      </c>
      <c r="Q729" s="176"/>
      <c r="R729" s="174"/>
      <c r="S729" s="179"/>
      <c r="T729" s="162" t="s">
        <v>28</v>
      </c>
      <c r="U729" s="161" t="s">
        <v>19</v>
      </c>
      <c r="V729" s="174">
        <v>2376</v>
      </c>
      <c r="W729" s="180" t="s">
        <v>2713</v>
      </c>
      <c r="X729" s="185">
        <v>45017</v>
      </c>
      <c r="Y729" s="187">
        <v>45013.271226851852</v>
      </c>
    </row>
    <row r="730" spans="1:25">
      <c r="A730" s="167" t="s">
        <v>45</v>
      </c>
      <c r="B730" s="162" t="s">
        <v>1555</v>
      </c>
      <c r="C730" s="163" t="s">
        <v>2714</v>
      </c>
      <c r="D730" s="162" t="s">
        <v>2715</v>
      </c>
      <c r="E730" s="161" t="s">
        <v>1631</v>
      </c>
      <c r="F730" s="162" t="s">
        <v>1614</v>
      </c>
      <c r="G730" s="161" t="s">
        <v>2716</v>
      </c>
      <c r="H730" s="214">
        <v>20</v>
      </c>
      <c r="I730" s="171">
        <v>2.5</v>
      </c>
      <c r="J730" s="170">
        <v>2.5</v>
      </c>
      <c r="K730" s="172">
        <v>50</v>
      </c>
      <c r="L730" s="170">
        <v>50</v>
      </c>
      <c r="M730" s="171">
        <v>50</v>
      </c>
      <c r="N730" s="170"/>
      <c r="O730" s="177" t="s">
        <v>76</v>
      </c>
      <c r="P730" s="162" t="s">
        <v>1620</v>
      </c>
      <c r="Q730" s="176">
        <v>43435</v>
      </c>
      <c r="R730" s="174">
        <v>2048</v>
      </c>
      <c r="S730" s="179"/>
      <c r="T730" s="162" t="s">
        <v>24</v>
      </c>
      <c r="U730" s="161" t="s">
        <v>1615</v>
      </c>
      <c r="V730" s="174">
        <v>1280</v>
      </c>
      <c r="W730" s="180"/>
      <c r="X730" s="185">
        <v>45017</v>
      </c>
      <c r="Y730" s="187">
        <v>45084.526689814818</v>
      </c>
    </row>
    <row r="731" spans="1:25" ht="21">
      <c r="A731" s="167" t="s">
        <v>91</v>
      </c>
      <c r="B731" s="162" t="s">
        <v>1555</v>
      </c>
      <c r="C731" s="163" t="s">
        <v>355</v>
      </c>
      <c r="D731" s="162" t="s">
        <v>347</v>
      </c>
      <c r="E731" s="161" t="s">
        <v>1631</v>
      </c>
      <c r="F731" s="162" t="s">
        <v>1614</v>
      </c>
      <c r="G731" s="161" t="s">
        <v>356</v>
      </c>
      <c r="H731" s="214">
        <v>6</v>
      </c>
      <c r="I731" s="171"/>
      <c r="J731" s="170">
        <v>2.8</v>
      </c>
      <c r="K731" s="172"/>
      <c r="L731" s="170">
        <v>16.8</v>
      </c>
      <c r="M731" s="171">
        <v>16.8</v>
      </c>
      <c r="N731" s="170"/>
      <c r="O731" s="177" t="s">
        <v>76</v>
      </c>
      <c r="P731" s="162" t="s">
        <v>1620</v>
      </c>
      <c r="Q731" s="176">
        <v>44682</v>
      </c>
      <c r="R731" s="174">
        <v>2041</v>
      </c>
      <c r="S731" s="179"/>
      <c r="T731" s="162" t="s">
        <v>24</v>
      </c>
      <c r="U731" s="161" t="s">
        <v>1615</v>
      </c>
      <c r="V731" s="174">
        <v>1847</v>
      </c>
      <c r="W731" s="180" t="s">
        <v>2717</v>
      </c>
      <c r="X731" s="185">
        <v>45017</v>
      </c>
      <c r="Y731" s="187">
        <v>45022.475578703707</v>
      </c>
    </row>
    <row r="732" spans="1:25" ht="21">
      <c r="A732" s="167" t="s">
        <v>91</v>
      </c>
      <c r="B732" s="162" t="s">
        <v>1555</v>
      </c>
      <c r="C732" s="163" t="s">
        <v>357</v>
      </c>
      <c r="D732" s="162" t="s">
        <v>347</v>
      </c>
      <c r="E732" s="161" t="s">
        <v>1631</v>
      </c>
      <c r="F732" s="162" t="s">
        <v>1614</v>
      </c>
      <c r="G732" s="161" t="s">
        <v>358</v>
      </c>
      <c r="H732" s="214">
        <v>6</v>
      </c>
      <c r="I732" s="171"/>
      <c r="J732" s="170">
        <v>2.06</v>
      </c>
      <c r="K732" s="172"/>
      <c r="L732" s="170">
        <v>12.36</v>
      </c>
      <c r="M732" s="171">
        <v>12.36</v>
      </c>
      <c r="N732" s="170"/>
      <c r="O732" s="177" t="s">
        <v>76</v>
      </c>
      <c r="P732" s="162" t="s">
        <v>1620</v>
      </c>
      <c r="Q732" s="176">
        <v>44927</v>
      </c>
      <c r="R732" s="174">
        <v>2041</v>
      </c>
      <c r="S732" s="179"/>
      <c r="T732" s="162" t="s">
        <v>24</v>
      </c>
      <c r="U732" s="161" t="s">
        <v>1615</v>
      </c>
      <c r="V732" s="174">
        <v>2010</v>
      </c>
      <c r="W732" s="180" t="s">
        <v>2718</v>
      </c>
      <c r="X732" s="185">
        <v>45017</v>
      </c>
      <c r="Y732" s="187">
        <v>45028.427581018521</v>
      </c>
    </row>
    <row r="733" spans="1:25">
      <c r="A733" s="167" t="s">
        <v>91</v>
      </c>
      <c r="B733" s="162" t="s">
        <v>1599</v>
      </c>
      <c r="C733" s="163" t="s">
        <v>2719</v>
      </c>
      <c r="D733" s="162" t="s">
        <v>1992</v>
      </c>
      <c r="E733" s="161" t="s">
        <v>1602</v>
      </c>
      <c r="F733" s="162" t="s">
        <v>1603</v>
      </c>
      <c r="G733" s="161"/>
      <c r="H733" s="214">
        <v>1</v>
      </c>
      <c r="I733" s="171"/>
      <c r="J733" s="170">
        <v>100</v>
      </c>
      <c r="K733" s="172"/>
      <c r="L733" s="170">
        <v>100</v>
      </c>
      <c r="M733" s="171">
        <v>100</v>
      </c>
      <c r="N733" s="170">
        <v>0</v>
      </c>
      <c r="O733" s="177" t="s">
        <v>1523</v>
      </c>
      <c r="P733" s="162" t="s">
        <v>1604</v>
      </c>
      <c r="Q733" s="176"/>
      <c r="R733" s="174"/>
      <c r="S733" s="179"/>
      <c r="T733" s="162" t="s">
        <v>28</v>
      </c>
      <c r="U733" s="161" t="s">
        <v>19</v>
      </c>
      <c r="V733" s="174">
        <v>2256</v>
      </c>
      <c r="W733" s="180" t="s">
        <v>2720</v>
      </c>
      <c r="X733" s="185">
        <v>45017</v>
      </c>
      <c r="Y733" s="187">
        <v>44903.377997685187</v>
      </c>
    </row>
    <row r="734" spans="1:25">
      <c r="A734" s="167" t="s">
        <v>91</v>
      </c>
      <c r="B734" s="162" t="s">
        <v>1555</v>
      </c>
      <c r="C734" s="163" t="s">
        <v>292</v>
      </c>
      <c r="D734" s="162" t="s">
        <v>293</v>
      </c>
      <c r="E734" s="161" t="s">
        <v>1631</v>
      </c>
      <c r="F734" s="162" t="s">
        <v>1614</v>
      </c>
      <c r="G734" s="161"/>
      <c r="H734" s="214">
        <v>1</v>
      </c>
      <c r="I734" s="171">
        <v>0</v>
      </c>
      <c r="J734" s="170">
        <v>4.95</v>
      </c>
      <c r="K734" s="172">
        <v>0</v>
      </c>
      <c r="L734" s="170">
        <v>4.95</v>
      </c>
      <c r="M734" s="171">
        <v>4.95</v>
      </c>
      <c r="N734" s="170"/>
      <c r="O734" s="177" t="s">
        <v>76</v>
      </c>
      <c r="P734" s="162" t="s">
        <v>1591</v>
      </c>
      <c r="Q734" s="176">
        <v>43800</v>
      </c>
      <c r="R734" s="174">
        <v>2054</v>
      </c>
      <c r="S734" s="179"/>
      <c r="T734" s="162" t="s">
        <v>24</v>
      </c>
      <c r="U734" s="161" t="s">
        <v>1615</v>
      </c>
      <c r="V734" s="174">
        <v>1722</v>
      </c>
      <c r="W734" s="180"/>
      <c r="X734" s="185">
        <v>44896</v>
      </c>
      <c r="Y734" s="187">
        <v>44981.401701388888</v>
      </c>
    </row>
    <row r="735" spans="1:25">
      <c r="A735" s="167" t="s">
        <v>91</v>
      </c>
      <c r="B735" s="162" t="s">
        <v>1599</v>
      </c>
      <c r="C735" s="163" t="s">
        <v>94</v>
      </c>
      <c r="D735" s="162" t="s">
        <v>2721</v>
      </c>
      <c r="E735" s="161" t="s">
        <v>1631</v>
      </c>
      <c r="F735" s="162" t="s">
        <v>1614</v>
      </c>
      <c r="G735" s="161" t="s">
        <v>96</v>
      </c>
      <c r="H735" s="214">
        <v>11</v>
      </c>
      <c r="I735" s="171"/>
      <c r="J735" s="170">
        <v>2.73</v>
      </c>
      <c r="K735" s="172"/>
      <c r="L735" s="170">
        <v>29.99</v>
      </c>
      <c r="M735" s="171">
        <v>29.99</v>
      </c>
      <c r="N735" s="170"/>
      <c r="O735" s="177" t="s">
        <v>317</v>
      </c>
      <c r="P735" s="162" t="s">
        <v>1620</v>
      </c>
      <c r="Q735" s="176">
        <v>45200</v>
      </c>
      <c r="R735" s="174">
        <v>2058</v>
      </c>
      <c r="S735" s="179"/>
      <c r="T735" s="162" t="s">
        <v>26</v>
      </c>
      <c r="U735" s="161" t="s">
        <v>1615</v>
      </c>
      <c r="V735" s="174">
        <v>2410</v>
      </c>
      <c r="W735" s="180"/>
      <c r="X735" s="185">
        <v>45069</v>
      </c>
      <c r="Y735" s="187">
        <v>45097.640972222223</v>
      </c>
    </row>
    <row r="736" spans="1:25">
      <c r="A736" s="167" t="s">
        <v>110</v>
      </c>
      <c r="B736" s="162" t="s">
        <v>1599</v>
      </c>
      <c r="C736" s="163" t="s">
        <v>2722</v>
      </c>
      <c r="D736" s="162" t="s">
        <v>2723</v>
      </c>
      <c r="E736" s="161" t="s">
        <v>1613</v>
      </c>
      <c r="F736" s="162" t="s">
        <v>1614</v>
      </c>
      <c r="G736" s="161"/>
      <c r="H736" s="214">
        <v>1</v>
      </c>
      <c r="I736" s="171">
        <v>350</v>
      </c>
      <c r="J736" s="170">
        <v>350</v>
      </c>
      <c r="K736" s="172">
        <v>350</v>
      </c>
      <c r="L736" s="170">
        <v>350</v>
      </c>
      <c r="M736" s="171">
        <v>350</v>
      </c>
      <c r="N736" s="170"/>
      <c r="O736" s="177" t="s">
        <v>1523</v>
      </c>
      <c r="P736" s="162" t="s">
        <v>1604</v>
      </c>
      <c r="Q736" s="176"/>
      <c r="R736" s="174"/>
      <c r="S736" s="179"/>
      <c r="T736" s="162" t="s">
        <v>28</v>
      </c>
      <c r="U736" s="161" t="s">
        <v>1615</v>
      </c>
      <c r="V736" s="174">
        <v>2360</v>
      </c>
      <c r="W736" s="180" t="s">
        <v>2724</v>
      </c>
      <c r="X736" s="185">
        <v>45017</v>
      </c>
      <c r="Y736" s="187">
        <v>44944.830821759257</v>
      </c>
    </row>
    <row r="737" spans="1:25">
      <c r="A737" s="167" t="s">
        <v>110</v>
      </c>
      <c r="B737" s="162" t="s">
        <v>1599</v>
      </c>
      <c r="C737" s="163" t="s">
        <v>2725</v>
      </c>
      <c r="D737" s="162" t="s">
        <v>2723</v>
      </c>
      <c r="E737" s="161" t="s">
        <v>1602</v>
      </c>
      <c r="F737" s="162" t="s">
        <v>1603</v>
      </c>
      <c r="G737" s="161"/>
      <c r="H737" s="214">
        <v>1</v>
      </c>
      <c r="I737" s="171"/>
      <c r="J737" s="170"/>
      <c r="K737" s="172"/>
      <c r="L737" s="170"/>
      <c r="M737" s="171"/>
      <c r="N737" s="170">
        <v>0</v>
      </c>
      <c r="O737" s="177" t="s">
        <v>1523</v>
      </c>
      <c r="P737" s="162" t="s">
        <v>1604</v>
      </c>
      <c r="Q737" s="176"/>
      <c r="R737" s="174"/>
      <c r="S737" s="179"/>
      <c r="T737" s="162" t="s">
        <v>28</v>
      </c>
      <c r="U737" s="161" t="s">
        <v>19</v>
      </c>
      <c r="V737" s="174">
        <v>2359</v>
      </c>
      <c r="W737" s="180" t="s">
        <v>2724</v>
      </c>
      <c r="X737" s="185">
        <v>45017</v>
      </c>
      <c r="Y737" s="187">
        <v>44944.831122685187</v>
      </c>
    </row>
    <row r="738" spans="1:25">
      <c r="A738" s="167" t="s">
        <v>45</v>
      </c>
      <c r="B738" s="162" t="s">
        <v>1599</v>
      </c>
      <c r="C738" s="163" t="s">
        <v>685</v>
      </c>
      <c r="D738" s="162" t="s">
        <v>2726</v>
      </c>
      <c r="E738" s="161" t="s">
        <v>1602</v>
      </c>
      <c r="F738" s="162" t="s">
        <v>1603</v>
      </c>
      <c r="G738" s="161"/>
      <c r="H738" s="214">
        <v>4</v>
      </c>
      <c r="I738" s="171"/>
      <c r="J738" s="170">
        <v>50</v>
      </c>
      <c r="K738" s="172"/>
      <c r="L738" s="170">
        <v>200</v>
      </c>
      <c r="M738" s="171">
        <v>200</v>
      </c>
      <c r="N738" s="170">
        <v>400</v>
      </c>
      <c r="O738" s="177" t="s">
        <v>1523</v>
      </c>
      <c r="P738" s="162" t="s">
        <v>1619</v>
      </c>
      <c r="Q738" s="176"/>
      <c r="R738" s="174"/>
      <c r="S738" s="179"/>
      <c r="T738" s="162" t="s">
        <v>28</v>
      </c>
      <c r="U738" s="161" t="s">
        <v>19</v>
      </c>
      <c r="V738" s="174">
        <v>2035</v>
      </c>
      <c r="W738" s="180"/>
      <c r="X738" s="185">
        <v>45017</v>
      </c>
      <c r="Y738" s="187">
        <v>44817.443020833336</v>
      </c>
    </row>
    <row r="739" spans="1:25">
      <c r="A739" s="167" t="s">
        <v>110</v>
      </c>
      <c r="B739" s="162" t="s">
        <v>1555</v>
      </c>
      <c r="C739" s="163" t="s">
        <v>2727</v>
      </c>
      <c r="D739" s="162" t="s">
        <v>2728</v>
      </c>
      <c r="E739" s="161" t="s">
        <v>1625</v>
      </c>
      <c r="F739" s="162" t="s">
        <v>1609</v>
      </c>
      <c r="G739" s="161"/>
      <c r="H739" s="214">
        <v>2</v>
      </c>
      <c r="I739" s="171">
        <v>3.6</v>
      </c>
      <c r="J739" s="170">
        <v>3.6</v>
      </c>
      <c r="K739" s="172">
        <v>7.2</v>
      </c>
      <c r="L739" s="170">
        <v>7.2</v>
      </c>
      <c r="M739" s="171">
        <v>7.2</v>
      </c>
      <c r="N739" s="170"/>
      <c r="O739" s="177" t="s">
        <v>76</v>
      </c>
      <c r="P739" s="162" t="s">
        <v>1591</v>
      </c>
      <c r="Q739" s="176"/>
      <c r="R739" s="174"/>
      <c r="S739" s="179"/>
      <c r="T739" s="162" t="s">
        <v>24</v>
      </c>
      <c r="U739" s="161" t="s">
        <v>16</v>
      </c>
      <c r="V739" s="174">
        <v>1468</v>
      </c>
      <c r="W739" s="180"/>
      <c r="X739" s="185">
        <v>44621</v>
      </c>
      <c r="Y739" s="187">
        <v>45029.577291666668</v>
      </c>
    </row>
    <row r="740" spans="1:25">
      <c r="A740" s="167" t="s">
        <v>45</v>
      </c>
      <c r="B740" s="162" t="s">
        <v>1599</v>
      </c>
      <c r="C740" s="163" t="s">
        <v>2729</v>
      </c>
      <c r="D740" s="162" t="s">
        <v>2730</v>
      </c>
      <c r="E740" s="161" t="s">
        <v>2731</v>
      </c>
      <c r="F740" s="162" t="s">
        <v>1592</v>
      </c>
      <c r="G740" s="161"/>
      <c r="H740" s="214">
        <v>1</v>
      </c>
      <c r="I740" s="171">
        <v>250</v>
      </c>
      <c r="J740" s="170">
        <v>450</v>
      </c>
      <c r="K740" s="172">
        <v>250</v>
      </c>
      <c r="L740" s="170">
        <v>450</v>
      </c>
      <c r="M740" s="171" t="s">
        <v>2733</v>
      </c>
      <c r="N740" s="170"/>
      <c r="O740" s="177" t="s">
        <v>1523</v>
      </c>
      <c r="P740" s="162" t="s">
        <v>1619</v>
      </c>
      <c r="Q740" s="176"/>
      <c r="R740" s="174"/>
      <c r="S740" s="179"/>
      <c r="T740" s="162" t="s">
        <v>28</v>
      </c>
      <c r="U740" s="161" t="s">
        <v>14</v>
      </c>
      <c r="V740" s="174">
        <v>1132</v>
      </c>
      <c r="W740" s="180"/>
      <c r="X740" s="185">
        <v>45069</v>
      </c>
      <c r="Y740" s="187">
        <v>45097.343032407407</v>
      </c>
    </row>
    <row r="741" spans="1:25">
      <c r="A741" s="167" t="s">
        <v>45</v>
      </c>
      <c r="B741" s="162" t="s">
        <v>1599</v>
      </c>
      <c r="C741" s="163" t="s">
        <v>2729</v>
      </c>
      <c r="D741" s="162" t="s">
        <v>2730</v>
      </c>
      <c r="E741" s="161" t="s">
        <v>2731</v>
      </c>
      <c r="F741" s="162" t="s">
        <v>1592</v>
      </c>
      <c r="G741" s="161"/>
      <c r="H741" s="214">
        <v>1</v>
      </c>
      <c r="I741" s="171">
        <v>250</v>
      </c>
      <c r="J741" s="170">
        <v>350</v>
      </c>
      <c r="K741" s="172">
        <v>250</v>
      </c>
      <c r="L741" s="170">
        <v>350</v>
      </c>
      <c r="M741" s="171" t="s">
        <v>2732</v>
      </c>
      <c r="N741" s="170"/>
      <c r="O741" s="177" t="s">
        <v>1523</v>
      </c>
      <c r="P741" s="162" t="s">
        <v>1619</v>
      </c>
      <c r="Q741" s="176"/>
      <c r="R741" s="174"/>
      <c r="S741" s="179"/>
      <c r="T741" s="162" t="s">
        <v>28</v>
      </c>
      <c r="U741" s="161" t="s">
        <v>14</v>
      </c>
      <c r="V741" s="174">
        <v>1132</v>
      </c>
      <c r="W741" s="180"/>
      <c r="X741" s="185">
        <v>45069</v>
      </c>
      <c r="Y741" s="187">
        <v>45097.343032407407</v>
      </c>
    </row>
    <row r="742" spans="1:25">
      <c r="A742" s="167" t="s">
        <v>77</v>
      </c>
      <c r="B742" s="164" t="s">
        <v>1555</v>
      </c>
      <c r="C742" s="163" t="s">
        <v>2734</v>
      </c>
      <c r="D742" s="162" t="s">
        <v>763</v>
      </c>
      <c r="E742" s="161" t="s">
        <v>1946</v>
      </c>
      <c r="F742" s="164" t="s">
        <v>1603</v>
      </c>
      <c r="G742" s="161"/>
      <c r="H742" s="215">
        <v>2</v>
      </c>
      <c r="I742" s="171"/>
      <c r="J742" s="173">
        <v>2</v>
      </c>
      <c r="K742" s="172"/>
      <c r="L742" s="173">
        <v>4</v>
      </c>
      <c r="M742" s="171">
        <v>4</v>
      </c>
      <c r="N742" s="170"/>
      <c r="O742" s="177" t="s">
        <v>76</v>
      </c>
      <c r="P742" s="162" t="s">
        <v>1591</v>
      </c>
      <c r="Q742" s="176"/>
      <c r="R742" s="175"/>
      <c r="S742" s="179"/>
      <c r="T742" s="164" t="s">
        <v>24</v>
      </c>
      <c r="U742" s="161" t="s">
        <v>20</v>
      </c>
      <c r="V742" s="175">
        <v>1308</v>
      </c>
      <c r="W742" s="181"/>
      <c r="X742" s="186">
        <v>44805</v>
      </c>
      <c r="Y742" s="187">
        <v>45022.410138888888</v>
      </c>
    </row>
    <row r="743" spans="1:25">
      <c r="A743" s="167" t="s">
        <v>77</v>
      </c>
      <c r="B743" s="162" t="s">
        <v>1555</v>
      </c>
      <c r="C743" s="163" t="s">
        <v>2734</v>
      </c>
      <c r="D743" s="162" t="s">
        <v>763</v>
      </c>
      <c r="E743" s="161" t="s">
        <v>1946</v>
      </c>
      <c r="F743" s="162" t="s">
        <v>1603</v>
      </c>
      <c r="G743" s="161"/>
      <c r="H743" s="214">
        <v>1</v>
      </c>
      <c r="I743" s="171"/>
      <c r="J743" s="170">
        <v>3.5</v>
      </c>
      <c r="K743" s="172"/>
      <c r="L743" s="170">
        <v>3.5</v>
      </c>
      <c r="M743" s="171">
        <v>3.5</v>
      </c>
      <c r="N743" s="170"/>
      <c r="O743" s="177" t="s">
        <v>76</v>
      </c>
      <c r="P743" s="162" t="s">
        <v>1591</v>
      </c>
      <c r="Q743" s="176"/>
      <c r="R743" s="174"/>
      <c r="S743" s="179"/>
      <c r="T743" s="162" t="s">
        <v>24</v>
      </c>
      <c r="U743" s="161" t="s">
        <v>20</v>
      </c>
      <c r="V743" s="174">
        <v>1308</v>
      </c>
      <c r="W743" s="180"/>
      <c r="X743" s="185">
        <v>44805</v>
      </c>
      <c r="Y743" s="187">
        <v>45022.410138888888</v>
      </c>
    </row>
    <row r="744" spans="1:25">
      <c r="A744" s="167" t="s">
        <v>77</v>
      </c>
      <c r="B744" s="162" t="s">
        <v>1555</v>
      </c>
      <c r="C744" s="163" t="s">
        <v>540</v>
      </c>
      <c r="D744" s="162" t="s">
        <v>541</v>
      </c>
      <c r="E744" s="161" t="s">
        <v>1631</v>
      </c>
      <c r="F744" s="162" t="s">
        <v>1614</v>
      </c>
      <c r="G744" s="161" t="s">
        <v>542</v>
      </c>
      <c r="H744" s="214">
        <v>1</v>
      </c>
      <c r="I744" s="171">
        <v>34.5</v>
      </c>
      <c r="J744" s="170">
        <v>34.5</v>
      </c>
      <c r="K744" s="172">
        <v>34.5</v>
      </c>
      <c r="L744" s="170">
        <v>34.5</v>
      </c>
      <c r="M744" s="171">
        <v>34.5</v>
      </c>
      <c r="N744" s="170"/>
      <c r="O744" s="177" t="s">
        <v>76</v>
      </c>
      <c r="P744" s="162" t="s">
        <v>1620</v>
      </c>
      <c r="Q744" s="176">
        <v>44256</v>
      </c>
      <c r="R744" s="174">
        <v>2048</v>
      </c>
      <c r="S744" s="179"/>
      <c r="T744" s="162" t="s">
        <v>24</v>
      </c>
      <c r="U744" s="161" t="s">
        <v>1615</v>
      </c>
      <c r="V744" s="174">
        <v>1689</v>
      </c>
      <c r="W744" s="180"/>
      <c r="X744" s="185">
        <v>45017</v>
      </c>
      <c r="Y744" s="187">
        <v>45021.638703703706</v>
      </c>
    </row>
    <row r="745" spans="1:25">
      <c r="A745" s="167" t="s">
        <v>45</v>
      </c>
      <c r="B745" s="162" t="s">
        <v>1599</v>
      </c>
      <c r="C745" s="163" t="s">
        <v>2735</v>
      </c>
      <c r="D745" s="162" t="s">
        <v>2736</v>
      </c>
      <c r="E745" s="161" t="s">
        <v>1631</v>
      </c>
      <c r="F745" s="162" t="s">
        <v>1614</v>
      </c>
      <c r="G745" s="161"/>
      <c r="H745" s="214">
        <v>1</v>
      </c>
      <c r="I745" s="171">
        <v>0</v>
      </c>
      <c r="J745" s="170">
        <v>125</v>
      </c>
      <c r="K745" s="172">
        <v>0</v>
      </c>
      <c r="L745" s="170">
        <v>125</v>
      </c>
      <c r="M745" s="171">
        <v>125</v>
      </c>
      <c r="N745" s="170"/>
      <c r="O745" s="177" t="s">
        <v>1523</v>
      </c>
      <c r="P745" s="162" t="s">
        <v>1620</v>
      </c>
      <c r="Q745" s="176"/>
      <c r="R745" s="174"/>
      <c r="S745" s="179"/>
      <c r="T745" s="162" t="s">
        <v>28</v>
      </c>
      <c r="U745" s="161" t="s">
        <v>1615</v>
      </c>
      <c r="V745" s="174">
        <v>1595</v>
      </c>
      <c r="W745" s="180"/>
      <c r="X745" s="185">
        <v>45069</v>
      </c>
      <c r="Y745" s="187">
        <v>45048.45449074074</v>
      </c>
    </row>
    <row r="746" spans="1:25">
      <c r="A746" s="167" t="s">
        <v>45</v>
      </c>
      <c r="B746" s="162" t="s">
        <v>1599</v>
      </c>
      <c r="C746" s="163" t="s">
        <v>2737</v>
      </c>
      <c r="D746" s="162" t="s">
        <v>2738</v>
      </c>
      <c r="E746" s="161" t="s">
        <v>1631</v>
      </c>
      <c r="F746" s="162" t="s">
        <v>1614</v>
      </c>
      <c r="G746" s="161"/>
      <c r="H746" s="214">
        <v>33</v>
      </c>
      <c r="I746" s="171">
        <v>4</v>
      </c>
      <c r="J746" s="170">
        <v>5</v>
      </c>
      <c r="K746" s="172">
        <v>132</v>
      </c>
      <c r="L746" s="170">
        <v>165</v>
      </c>
      <c r="M746" s="171" t="s">
        <v>2739</v>
      </c>
      <c r="N746" s="170"/>
      <c r="O746" s="177" t="s">
        <v>1523</v>
      </c>
      <c r="P746" s="162" t="s">
        <v>1604</v>
      </c>
      <c r="Q746" s="176">
        <v>46539</v>
      </c>
      <c r="R746" s="174"/>
      <c r="S746" s="179"/>
      <c r="T746" s="162" t="s">
        <v>28</v>
      </c>
      <c r="U746" s="161" t="s">
        <v>1615</v>
      </c>
      <c r="V746" s="174">
        <v>2041</v>
      </c>
      <c r="W746" s="180"/>
      <c r="X746" s="185">
        <v>45069</v>
      </c>
      <c r="Y746" s="187">
        <v>44981.420763888891</v>
      </c>
    </row>
    <row r="747" spans="1:25">
      <c r="A747" s="167" t="s">
        <v>77</v>
      </c>
      <c r="B747" s="162" t="s">
        <v>1599</v>
      </c>
      <c r="C747" s="163" t="s">
        <v>2740</v>
      </c>
      <c r="D747" s="162" t="s">
        <v>2741</v>
      </c>
      <c r="E747" s="161" t="s">
        <v>1613</v>
      </c>
      <c r="F747" s="162" t="s">
        <v>1614</v>
      </c>
      <c r="G747" s="161"/>
      <c r="H747" s="214">
        <v>6</v>
      </c>
      <c r="I747" s="171">
        <v>0.03</v>
      </c>
      <c r="J747" s="170">
        <v>0.03</v>
      </c>
      <c r="K747" s="172">
        <v>0.2</v>
      </c>
      <c r="L747" s="170">
        <v>0.2</v>
      </c>
      <c r="M747" s="171">
        <v>0.2</v>
      </c>
      <c r="N747" s="170"/>
      <c r="O747" s="177" t="s">
        <v>317</v>
      </c>
      <c r="P747" s="162" t="s">
        <v>1591</v>
      </c>
      <c r="Q747" s="176">
        <v>43344</v>
      </c>
      <c r="R747" s="174"/>
      <c r="S747" s="179"/>
      <c r="T747" s="162" t="s">
        <v>26</v>
      </c>
      <c r="U747" s="161" t="s">
        <v>1615</v>
      </c>
      <c r="V747" s="174">
        <v>1551</v>
      </c>
      <c r="W747" s="180"/>
      <c r="X747" s="185">
        <v>45069</v>
      </c>
      <c r="Y747" s="187">
        <v>45099.372731481482</v>
      </c>
    </row>
    <row r="748" spans="1:25">
      <c r="A748" s="220" t="s">
        <v>45</v>
      </c>
      <c r="B748" s="221" t="s">
        <v>1599</v>
      </c>
      <c r="C748" s="222" t="s">
        <v>3852</v>
      </c>
      <c r="D748" s="221" t="s">
        <v>181</v>
      </c>
      <c r="E748" s="223" t="s">
        <v>1602</v>
      </c>
      <c r="F748" s="224" t="s">
        <v>20</v>
      </c>
      <c r="G748" s="223"/>
      <c r="H748" s="225">
        <v>1</v>
      </c>
      <c r="I748" s="226"/>
      <c r="J748" s="227">
        <v>60</v>
      </c>
      <c r="K748" s="228"/>
      <c r="L748" s="227">
        <v>60</v>
      </c>
      <c r="M748" s="226">
        <v>60</v>
      </c>
      <c r="N748" s="229">
        <v>0</v>
      </c>
      <c r="O748" s="230" t="s">
        <v>1523</v>
      </c>
      <c r="P748" s="221" t="s">
        <v>1604</v>
      </c>
      <c r="Q748" s="231"/>
      <c r="R748" s="232"/>
      <c r="S748" s="233"/>
      <c r="T748" s="224" t="s">
        <v>28</v>
      </c>
      <c r="U748" s="223" t="s">
        <v>19</v>
      </c>
      <c r="V748" s="232">
        <v>2531</v>
      </c>
      <c r="W748" s="234" t="s">
        <v>3925</v>
      </c>
      <c r="X748" s="235"/>
      <c r="Y748" s="236">
        <v>45111.345659722225</v>
      </c>
    </row>
    <row r="749" spans="1:25">
      <c r="A749" s="220" t="s">
        <v>45</v>
      </c>
      <c r="B749" s="221" t="s">
        <v>1599</v>
      </c>
      <c r="C749" s="222" t="s">
        <v>3851</v>
      </c>
      <c r="D749" s="221" t="s">
        <v>181</v>
      </c>
      <c r="E749" s="223" t="s">
        <v>1613</v>
      </c>
      <c r="F749" s="224" t="s">
        <v>1615</v>
      </c>
      <c r="G749" s="223"/>
      <c r="H749" s="225">
        <v>35</v>
      </c>
      <c r="I749" s="226"/>
      <c r="J749" s="227">
        <v>3.43</v>
      </c>
      <c r="K749" s="228"/>
      <c r="L749" s="227">
        <v>120.05</v>
      </c>
      <c r="M749" s="226">
        <v>120.05</v>
      </c>
      <c r="N749" s="229"/>
      <c r="O749" s="230" t="s">
        <v>1523</v>
      </c>
      <c r="P749" s="221" t="s">
        <v>1604</v>
      </c>
      <c r="Q749" s="231"/>
      <c r="R749" s="232"/>
      <c r="S749" s="233"/>
      <c r="T749" s="224" t="s">
        <v>28</v>
      </c>
      <c r="U749" s="223" t="s">
        <v>1615</v>
      </c>
      <c r="V749" s="232">
        <v>2530</v>
      </c>
      <c r="W749" s="234" t="s">
        <v>3925</v>
      </c>
      <c r="X749" s="235"/>
      <c r="Y749" s="236">
        <v>45111.343344907407</v>
      </c>
    </row>
    <row r="750" spans="1:25">
      <c r="A750" s="167" t="s">
        <v>45</v>
      </c>
      <c r="B750" s="162" t="s">
        <v>1599</v>
      </c>
      <c r="C750" s="163" t="s">
        <v>2742</v>
      </c>
      <c r="D750" s="162" t="s">
        <v>2743</v>
      </c>
      <c r="E750" s="161" t="s">
        <v>1631</v>
      </c>
      <c r="F750" s="164" t="s">
        <v>1614</v>
      </c>
      <c r="G750" s="161"/>
      <c r="H750" s="215">
        <v>1</v>
      </c>
      <c r="I750" s="171">
        <v>104</v>
      </c>
      <c r="J750" s="173">
        <v>104</v>
      </c>
      <c r="K750" s="172">
        <v>104</v>
      </c>
      <c r="L750" s="173">
        <v>104</v>
      </c>
      <c r="M750" s="171">
        <v>104</v>
      </c>
      <c r="N750" s="170"/>
      <c r="O750" s="177" t="s">
        <v>1523</v>
      </c>
      <c r="P750" s="162" t="s">
        <v>1620</v>
      </c>
      <c r="Q750" s="176"/>
      <c r="R750" s="175"/>
      <c r="S750" s="179"/>
      <c r="T750" s="164" t="s">
        <v>28</v>
      </c>
      <c r="U750" s="161" t="s">
        <v>1615</v>
      </c>
      <c r="V750" s="175">
        <v>2368</v>
      </c>
      <c r="W750" s="181" t="s">
        <v>2744</v>
      </c>
      <c r="X750" s="185">
        <v>45069</v>
      </c>
      <c r="Y750" s="187">
        <v>45097.627210648148</v>
      </c>
    </row>
    <row r="751" spans="1:25">
      <c r="A751" s="167" t="s">
        <v>45</v>
      </c>
      <c r="B751" s="162" t="s">
        <v>1599</v>
      </c>
      <c r="C751" s="163" t="s">
        <v>2745</v>
      </c>
      <c r="D751" s="162" t="s">
        <v>2746</v>
      </c>
      <c r="E751" s="161" t="s">
        <v>1631</v>
      </c>
      <c r="F751" s="162" t="s">
        <v>1614</v>
      </c>
      <c r="G751" s="161"/>
      <c r="H751" s="214">
        <v>1</v>
      </c>
      <c r="I751" s="171"/>
      <c r="J751" s="170">
        <v>25</v>
      </c>
      <c r="K751" s="172"/>
      <c r="L751" s="170">
        <v>25</v>
      </c>
      <c r="M751" s="171">
        <v>25</v>
      </c>
      <c r="N751" s="170"/>
      <c r="O751" s="177" t="s">
        <v>1523</v>
      </c>
      <c r="P751" s="162" t="s">
        <v>1604</v>
      </c>
      <c r="Q751" s="176"/>
      <c r="R751" s="174"/>
      <c r="S751" s="179"/>
      <c r="T751" s="162" t="s">
        <v>28</v>
      </c>
      <c r="U751" s="161" t="s">
        <v>1615</v>
      </c>
      <c r="V751" s="174">
        <v>1707</v>
      </c>
      <c r="W751" s="180"/>
      <c r="X751" s="185">
        <v>45017</v>
      </c>
      <c r="Y751" s="187">
        <v>43559.537824074076</v>
      </c>
    </row>
    <row r="752" spans="1:25">
      <c r="A752" s="167" t="s">
        <v>45</v>
      </c>
      <c r="B752" s="162" t="s">
        <v>1599</v>
      </c>
      <c r="C752" s="163" t="s">
        <v>2747</v>
      </c>
      <c r="D752" s="162" t="s">
        <v>173</v>
      </c>
      <c r="E752" s="161" t="s">
        <v>1613</v>
      </c>
      <c r="F752" s="162" t="s">
        <v>1614</v>
      </c>
      <c r="G752" s="161"/>
      <c r="H752" s="214">
        <v>40</v>
      </c>
      <c r="I752" s="171">
        <v>3.25</v>
      </c>
      <c r="J752" s="170">
        <v>3.25</v>
      </c>
      <c r="K752" s="172">
        <v>130</v>
      </c>
      <c r="L752" s="170">
        <v>130</v>
      </c>
      <c r="M752" s="171">
        <v>130</v>
      </c>
      <c r="N752" s="170"/>
      <c r="O752" s="177" t="s">
        <v>1523</v>
      </c>
      <c r="P752" s="162" t="s">
        <v>1604</v>
      </c>
      <c r="Q752" s="176"/>
      <c r="R752" s="174"/>
      <c r="S752" s="179"/>
      <c r="T752" s="162" t="s">
        <v>28</v>
      </c>
      <c r="U752" s="161" t="s">
        <v>1615</v>
      </c>
      <c r="V752" s="174">
        <v>2475</v>
      </c>
      <c r="W752" s="180" t="s">
        <v>2748</v>
      </c>
      <c r="X752" s="185">
        <v>45017</v>
      </c>
      <c r="Y752" s="187">
        <v>45035.543738425928</v>
      </c>
    </row>
    <row r="753" spans="1:25">
      <c r="A753" s="167" t="s">
        <v>77</v>
      </c>
      <c r="B753" s="162" t="s">
        <v>1555</v>
      </c>
      <c r="C753" s="163" t="s">
        <v>2749</v>
      </c>
      <c r="D753" s="162" t="s">
        <v>2750</v>
      </c>
      <c r="E753" s="161" t="s">
        <v>1613</v>
      </c>
      <c r="F753" s="162" t="s">
        <v>1614</v>
      </c>
      <c r="G753" s="161"/>
      <c r="H753" s="214">
        <v>8</v>
      </c>
      <c r="I753" s="171">
        <v>0.03</v>
      </c>
      <c r="J753" s="170">
        <v>0.03</v>
      </c>
      <c r="K753" s="172">
        <v>0.26</v>
      </c>
      <c r="L753" s="170">
        <v>0.26</v>
      </c>
      <c r="M753" s="171">
        <v>0.26</v>
      </c>
      <c r="N753" s="170">
        <v>0</v>
      </c>
      <c r="O753" s="177" t="s">
        <v>76</v>
      </c>
      <c r="P753" s="162" t="s">
        <v>1591</v>
      </c>
      <c r="Q753" s="176"/>
      <c r="R753" s="174"/>
      <c r="S753" s="179"/>
      <c r="T753" s="162" t="s">
        <v>24</v>
      </c>
      <c r="U753" s="161" t="s">
        <v>1615</v>
      </c>
      <c r="V753" s="174">
        <v>1510</v>
      </c>
      <c r="W753" s="180"/>
      <c r="X753" s="185">
        <v>44805</v>
      </c>
      <c r="Y753" s="187">
        <v>44981.402349537035</v>
      </c>
    </row>
    <row r="754" spans="1:25">
      <c r="A754" s="167" t="s">
        <v>105</v>
      </c>
      <c r="B754" s="162" t="s">
        <v>1555</v>
      </c>
      <c r="C754" s="163" t="s">
        <v>2751</v>
      </c>
      <c r="D754" s="162" t="s">
        <v>295</v>
      </c>
      <c r="E754" s="161" t="s">
        <v>1596</v>
      </c>
      <c r="F754" s="162" t="s">
        <v>1627</v>
      </c>
      <c r="G754" s="161"/>
      <c r="H754" s="214">
        <v>1</v>
      </c>
      <c r="I754" s="171"/>
      <c r="J754" s="170">
        <v>1.06</v>
      </c>
      <c r="K754" s="172"/>
      <c r="L754" s="170">
        <v>1.06</v>
      </c>
      <c r="M754" s="171">
        <v>1.06</v>
      </c>
      <c r="N754" s="170"/>
      <c r="O754" s="177" t="s">
        <v>76</v>
      </c>
      <c r="P754" s="162" t="s">
        <v>1591</v>
      </c>
      <c r="Q754" s="176"/>
      <c r="R754" s="174">
        <v>2042</v>
      </c>
      <c r="S754" s="179"/>
      <c r="T754" s="162" t="s">
        <v>24</v>
      </c>
      <c r="U754" s="161" t="s">
        <v>18</v>
      </c>
      <c r="V754" s="174">
        <v>2161</v>
      </c>
      <c r="W754" s="180"/>
      <c r="X754" s="185" t="s">
        <v>259</v>
      </c>
      <c r="Y754" s="187">
        <v>44981.422083333331</v>
      </c>
    </row>
    <row r="755" spans="1:25">
      <c r="A755" s="167" t="s">
        <v>110</v>
      </c>
      <c r="B755" s="162" t="s">
        <v>1599</v>
      </c>
      <c r="C755" s="163" t="s">
        <v>2752</v>
      </c>
      <c r="D755" s="162" t="s">
        <v>2753</v>
      </c>
      <c r="E755" s="161" t="s">
        <v>1613</v>
      </c>
      <c r="F755" s="162" t="s">
        <v>1614</v>
      </c>
      <c r="G755" s="161"/>
      <c r="H755" s="214">
        <v>1</v>
      </c>
      <c r="I755" s="171">
        <v>180</v>
      </c>
      <c r="J755" s="170">
        <v>180</v>
      </c>
      <c r="K755" s="172">
        <v>180</v>
      </c>
      <c r="L755" s="170">
        <v>180</v>
      </c>
      <c r="M755" s="171">
        <v>180</v>
      </c>
      <c r="N755" s="170"/>
      <c r="O755" s="177" t="s">
        <v>1523</v>
      </c>
      <c r="P755" s="162" t="s">
        <v>1604</v>
      </c>
      <c r="Q755" s="176"/>
      <c r="R755" s="174"/>
      <c r="S755" s="179"/>
      <c r="T755" s="162" t="s">
        <v>28</v>
      </c>
      <c r="U755" s="161" t="s">
        <v>1615</v>
      </c>
      <c r="V755" s="174">
        <v>2361</v>
      </c>
      <c r="W755" s="180" t="s">
        <v>2754</v>
      </c>
      <c r="X755" s="185">
        <v>45017</v>
      </c>
      <c r="Y755" s="187">
        <v>44944.831562500003</v>
      </c>
    </row>
    <row r="756" spans="1:25">
      <c r="A756" s="167" t="s">
        <v>105</v>
      </c>
      <c r="B756" s="162" t="s">
        <v>1555</v>
      </c>
      <c r="C756" s="163" t="s">
        <v>2755</v>
      </c>
      <c r="D756" s="162" t="s">
        <v>1735</v>
      </c>
      <c r="E756" s="161" t="s">
        <v>1700</v>
      </c>
      <c r="F756" s="162" t="s">
        <v>1658</v>
      </c>
      <c r="G756" s="161" t="s">
        <v>2756</v>
      </c>
      <c r="H756" s="214">
        <v>1</v>
      </c>
      <c r="I756" s="171">
        <v>40</v>
      </c>
      <c r="J756" s="170">
        <v>40</v>
      </c>
      <c r="K756" s="172">
        <v>40</v>
      </c>
      <c r="L756" s="170">
        <v>40</v>
      </c>
      <c r="M756" s="171">
        <v>40</v>
      </c>
      <c r="N756" s="170"/>
      <c r="O756" s="177" t="s">
        <v>76</v>
      </c>
      <c r="P756" s="162" t="s">
        <v>1619</v>
      </c>
      <c r="Q756" s="176"/>
      <c r="R756" s="174">
        <v>2100</v>
      </c>
      <c r="S756" s="179"/>
      <c r="T756" s="162" t="s">
        <v>24</v>
      </c>
      <c r="U756" s="161" t="s">
        <v>17</v>
      </c>
      <c r="V756" s="174">
        <v>1133</v>
      </c>
      <c r="W756" s="180"/>
      <c r="X756" s="185">
        <v>45017</v>
      </c>
      <c r="Y756" s="187">
        <v>45086.83388888889</v>
      </c>
    </row>
    <row r="757" spans="1:25">
      <c r="A757" s="167" t="s">
        <v>110</v>
      </c>
      <c r="B757" s="162" t="s">
        <v>1599</v>
      </c>
      <c r="C757" s="163" t="s">
        <v>2757</v>
      </c>
      <c r="D757" s="162" t="s">
        <v>2758</v>
      </c>
      <c r="E757" s="161" t="s">
        <v>1602</v>
      </c>
      <c r="F757" s="162" t="s">
        <v>1603</v>
      </c>
      <c r="G757" s="161"/>
      <c r="H757" s="214">
        <v>1</v>
      </c>
      <c r="I757" s="171">
        <v>1200</v>
      </c>
      <c r="J757" s="170">
        <v>1200</v>
      </c>
      <c r="K757" s="172">
        <v>1200</v>
      </c>
      <c r="L757" s="170">
        <v>1200</v>
      </c>
      <c r="M757" s="171">
        <v>1200</v>
      </c>
      <c r="N757" s="170">
        <v>1600</v>
      </c>
      <c r="O757" s="177" t="s">
        <v>1523</v>
      </c>
      <c r="P757" s="162" t="s">
        <v>1619</v>
      </c>
      <c r="Q757" s="176">
        <v>45627</v>
      </c>
      <c r="R757" s="174">
        <v>2065</v>
      </c>
      <c r="S757" s="179"/>
      <c r="T757" s="162" t="s">
        <v>28</v>
      </c>
      <c r="U757" s="161" t="s">
        <v>19</v>
      </c>
      <c r="V757" s="174">
        <v>1859</v>
      </c>
      <c r="W757" s="180" t="s">
        <v>2759</v>
      </c>
      <c r="X757" s="185">
        <v>45069</v>
      </c>
      <c r="Y757" s="187">
        <v>45022.51803240741</v>
      </c>
    </row>
    <row r="758" spans="1:25">
      <c r="A758" s="167" t="s">
        <v>110</v>
      </c>
      <c r="B758" s="162" t="s">
        <v>1599</v>
      </c>
      <c r="C758" s="163" t="s">
        <v>2760</v>
      </c>
      <c r="D758" s="162" t="s">
        <v>2761</v>
      </c>
      <c r="E758" s="161" t="s">
        <v>1613</v>
      </c>
      <c r="F758" s="162" t="s">
        <v>1614</v>
      </c>
      <c r="G758" s="161"/>
      <c r="H758" s="214">
        <v>1</v>
      </c>
      <c r="I758" s="171">
        <v>350</v>
      </c>
      <c r="J758" s="170">
        <v>350</v>
      </c>
      <c r="K758" s="172">
        <v>350</v>
      </c>
      <c r="L758" s="170">
        <v>350</v>
      </c>
      <c r="M758" s="171">
        <v>350</v>
      </c>
      <c r="N758" s="170"/>
      <c r="O758" s="177" t="s">
        <v>1523</v>
      </c>
      <c r="P758" s="162" t="s">
        <v>1604</v>
      </c>
      <c r="Q758" s="176"/>
      <c r="R758" s="174"/>
      <c r="S758" s="179"/>
      <c r="T758" s="162" t="s">
        <v>28</v>
      </c>
      <c r="U758" s="161" t="s">
        <v>1615</v>
      </c>
      <c r="V758" s="174">
        <v>2363</v>
      </c>
      <c r="W758" s="180" t="s">
        <v>2762</v>
      </c>
      <c r="X758" s="185">
        <v>45017</v>
      </c>
      <c r="Y758" s="187">
        <v>44944.83216435185</v>
      </c>
    </row>
    <row r="759" spans="1:25">
      <c r="A759" s="167" t="s">
        <v>110</v>
      </c>
      <c r="B759" s="162" t="s">
        <v>1599</v>
      </c>
      <c r="C759" s="163" t="s">
        <v>2763</v>
      </c>
      <c r="D759" s="162" t="s">
        <v>2764</v>
      </c>
      <c r="E759" s="161" t="s">
        <v>1625</v>
      </c>
      <c r="F759" s="162" t="s">
        <v>1609</v>
      </c>
      <c r="G759" s="161"/>
      <c r="H759" s="214">
        <v>70</v>
      </c>
      <c r="I759" s="171">
        <v>5.7</v>
      </c>
      <c r="J759" s="170">
        <v>5.7</v>
      </c>
      <c r="K759" s="172">
        <v>399</v>
      </c>
      <c r="L759" s="170">
        <v>399</v>
      </c>
      <c r="M759" s="171">
        <v>399</v>
      </c>
      <c r="N759" s="170"/>
      <c r="O759" s="177" t="s">
        <v>1523</v>
      </c>
      <c r="P759" s="162" t="s">
        <v>1620</v>
      </c>
      <c r="Q759" s="176"/>
      <c r="R759" s="174"/>
      <c r="S759" s="179"/>
      <c r="T759" s="162" t="s">
        <v>28</v>
      </c>
      <c r="U759" s="161" t="s">
        <v>16</v>
      </c>
      <c r="V759" s="174">
        <v>2365</v>
      </c>
      <c r="W759" s="180" t="s">
        <v>2765</v>
      </c>
      <c r="X759" s="185">
        <v>45017</v>
      </c>
      <c r="Y759" s="187">
        <v>45028.447870370372</v>
      </c>
    </row>
    <row r="760" spans="1:25">
      <c r="A760" s="167" t="s">
        <v>45</v>
      </c>
      <c r="B760" s="162" t="s">
        <v>1599</v>
      </c>
      <c r="C760" s="163" t="s">
        <v>2766</v>
      </c>
      <c r="D760" s="162" t="s">
        <v>2767</v>
      </c>
      <c r="E760" s="161" t="s">
        <v>1613</v>
      </c>
      <c r="F760" s="162" t="s">
        <v>1614</v>
      </c>
      <c r="G760" s="161"/>
      <c r="H760" s="214">
        <v>100</v>
      </c>
      <c r="I760" s="171">
        <v>3.38</v>
      </c>
      <c r="J760" s="170">
        <v>3.38</v>
      </c>
      <c r="K760" s="172">
        <v>338</v>
      </c>
      <c r="L760" s="170">
        <v>338</v>
      </c>
      <c r="M760" s="171">
        <v>338</v>
      </c>
      <c r="N760" s="170"/>
      <c r="O760" s="177" t="s">
        <v>1523</v>
      </c>
      <c r="P760" s="162" t="s">
        <v>1604</v>
      </c>
      <c r="Q760" s="176"/>
      <c r="R760" s="174"/>
      <c r="S760" s="179"/>
      <c r="T760" s="162" t="s">
        <v>28</v>
      </c>
      <c r="U760" s="161" t="s">
        <v>1615</v>
      </c>
      <c r="V760" s="174">
        <v>2211</v>
      </c>
      <c r="W760" s="180" t="s">
        <v>2768</v>
      </c>
      <c r="X760" s="185">
        <v>45017</v>
      </c>
      <c r="Y760" s="187">
        <v>44944.83394675926</v>
      </c>
    </row>
    <row r="761" spans="1:25">
      <c r="A761" s="167" t="s">
        <v>45</v>
      </c>
      <c r="B761" s="162" t="s">
        <v>1599</v>
      </c>
      <c r="C761" s="163" t="s">
        <v>2766</v>
      </c>
      <c r="D761" s="162" t="s">
        <v>2767</v>
      </c>
      <c r="E761" s="161" t="s">
        <v>1602</v>
      </c>
      <c r="F761" s="162" t="s">
        <v>1603</v>
      </c>
      <c r="G761" s="161"/>
      <c r="H761" s="214">
        <v>96</v>
      </c>
      <c r="I761" s="171">
        <v>3.22</v>
      </c>
      <c r="J761" s="170">
        <v>3.22</v>
      </c>
      <c r="K761" s="172">
        <v>309.12</v>
      </c>
      <c r="L761" s="170">
        <v>309.12</v>
      </c>
      <c r="M761" s="171">
        <v>309.12</v>
      </c>
      <c r="N761" s="170">
        <v>0</v>
      </c>
      <c r="O761" s="177" t="s">
        <v>1523</v>
      </c>
      <c r="P761" s="162" t="s">
        <v>1604</v>
      </c>
      <c r="Q761" s="176"/>
      <c r="R761" s="174"/>
      <c r="S761" s="179"/>
      <c r="T761" s="162" t="s">
        <v>28</v>
      </c>
      <c r="U761" s="161" t="s">
        <v>19</v>
      </c>
      <c r="V761" s="174">
        <v>2211</v>
      </c>
      <c r="W761" s="180" t="s">
        <v>2768</v>
      </c>
      <c r="X761" s="185">
        <v>45017</v>
      </c>
      <c r="Y761" s="187">
        <v>44944.83394675926</v>
      </c>
    </row>
    <row r="762" spans="1:25">
      <c r="A762" s="167" t="s">
        <v>45</v>
      </c>
      <c r="B762" s="162" t="s">
        <v>1599</v>
      </c>
      <c r="C762" s="163" t="s">
        <v>2769</v>
      </c>
      <c r="D762" s="162" t="s">
        <v>2770</v>
      </c>
      <c r="E762" s="161" t="s">
        <v>1613</v>
      </c>
      <c r="F762" s="162" t="s">
        <v>1614</v>
      </c>
      <c r="G762" s="161"/>
      <c r="H762" s="214">
        <v>1</v>
      </c>
      <c r="I762" s="171">
        <v>550</v>
      </c>
      <c r="J762" s="170">
        <v>550</v>
      </c>
      <c r="K762" s="172">
        <v>550</v>
      </c>
      <c r="L762" s="170">
        <v>550</v>
      </c>
      <c r="M762" s="171">
        <v>550</v>
      </c>
      <c r="N762" s="170"/>
      <c r="O762" s="177" t="s">
        <v>1523</v>
      </c>
      <c r="P762" s="162" t="s">
        <v>1604</v>
      </c>
      <c r="Q762" s="176"/>
      <c r="R762" s="174"/>
      <c r="S762" s="179"/>
      <c r="T762" s="162" t="s">
        <v>28</v>
      </c>
      <c r="U762" s="161" t="s">
        <v>1615</v>
      </c>
      <c r="V762" s="174">
        <v>2194</v>
      </c>
      <c r="W762" s="180" t="s">
        <v>2771</v>
      </c>
      <c r="X762" s="185">
        <v>45017</v>
      </c>
      <c r="Y762" s="187">
        <v>44944.834293981483</v>
      </c>
    </row>
    <row r="763" spans="1:25">
      <c r="A763" s="167" t="s">
        <v>45</v>
      </c>
      <c r="B763" s="162" t="s">
        <v>1599</v>
      </c>
      <c r="C763" s="163" t="s">
        <v>2772</v>
      </c>
      <c r="D763" s="162" t="s">
        <v>2770</v>
      </c>
      <c r="E763" s="161" t="s">
        <v>1602</v>
      </c>
      <c r="F763" s="162" t="s">
        <v>1603</v>
      </c>
      <c r="G763" s="161"/>
      <c r="H763" s="214">
        <v>1</v>
      </c>
      <c r="I763" s="171"/>
      <c r="J763" s="170">
        <v>400</v>
      </c>
      <c r="K763" s="172"/>
      <c r="L763" s="170">
        <v>400</v>
      </c>
      <c r="M763" s="171">
        <v>400</v>
      </c>
      <c r="N763" s="170">
        <v>0</v>
      </c>
      <c r="O763" s="177" t="s">
        <v>1523</v>
      </c>
      <c r="P763" s="162" t="s">
        <v>1604</v>
      </c>
      <c r="Q763" s="176"/>
      <c r="R763" s="174"/>
      <c r="S763" s="179"/>
      <c r="T763" s="162" t="s">
        <v>28</v>
      </c>
      <c r="U763" s="161" t="s">
        <v>19</v>
      </c>
      <c r="V763" s="174">
        <v>2268</v>
      </c>
      <c r="W763" s="180" t="s">
        <v>2771</v>
      </c>
      <c r="X763" s="185">
        <v>45017</v>
      </c>
      <c r="Y763" s="187">
        <v>44944.834537037037</v>
      </c>
    </row>
    <row r="764" spans="1:25">
      <c r="A764" s="167" t="s">
        <v>45</v>
      </c>
      <c r="B764" s="162" t="s">
        <v>1599</v>
      </c>
      <c r="C764" s="163" t="s">
        <v>610</v>
      </c>
      <c r="D764" s="162" t="s">
        <v>611</v>
      </c>
      <c r="E764" s="161" t="s">
        <v>1631</v>
      </c>
      <c r="F764" s="162" t="s">
        <v>1614</v>
      </c>
      <c r="G764" s="161" t="s">
        <v>2773</v>
      </c>
      <c r="H764" s="214">
        <v>54</v>
      </c>
      <c r="I764" s="171">
        <v>0</v>
      </c>
      <c r="J764" s="170">
        <v>2.5</v>
      </c>
      <c r="K764" s="172">
        <v>0</v>
      </c>
      <c r="L764" s="170">
        <v>135</v>
      </c>
      <c r="M764" s="171">
        <v>135</v>
      </c>
      <c r="N764" s="170"/>
      <c r="O764" s="177" t="s">
        <v>26</v>
      </c>
      <c r="P764" s="162" t="s">
        <v>1620</v>
      </c>
      <c r="Q764" s="176">
        <v>45017</v>
      </c>
      <c r="R764" s="174">
        <v>2052</v>
      </c>
      <c r="S764" s="179"/>
      <c r="T764" s="162" t="s">
        <v>26</v>
      </c>
      <c r="U764" s="161" t="s">
        <v>1615</v>
      </c>
      <c r="V764" s="174">
        <v>1628</v>
      </c>
      <c r="W764" s="180"/>
      <c r="X764" s="185">
        <v>45069</v>
      </c>
      <c r="Y764" s="187">
        <v>45097.447500000002</v>
      </c>
    </row>
    <row r="765" spans="1:25">
      <c r="A765" s="167" t="s">
        <v>77</v>
      </c>
      <c r="B765" s="162" t="s">
        <v>1599</v>
      </c>
      <c r="C765" s="163" t="s">
        <v>2774</v>
      </c>
      <c r="D765" s="162" t="s">
        <v>2775</v>
      </c>
      <c r="E765" s="161" t="s">
        <v>1631</v>
      </c>
      <c r="F765" s="162" t="s">
        <v>1614</v>
      </c>
      <c r="G765" s="161"/>
      <c r="H765" s="214">
        <v>1</v>
      </c>
      <c r="I765" s="171"/>
      <c r="J765" s="170">
        <v>88</v>
      </c>
      <c r="K765" s="172"/>
      <c r="L765" s="170">
        <v>88</v>
      </c>
      <c r="M765" s="171">
        <v>88</v>
      </c>
      <c r="N765" s="170"/>
      <c r="O765" s="177" t="s">
        <v>1523</v>
      </c>
      <c r="P765" s="162" t="s">
        <v>1620</v>
      </c>
      <c r="Q765" s="176"/>
      <c r="R765" s="174"/>
      <c r="S765" s="179"/>
      <c r="T765" s="162" t="s">
        <v>28</v>
      </c>
      <c r="U765" s="161" t="s">
        <v>1615</v>
      </c>
      <c r="V765" s="174">
        <v>2239</v>
      </c>
      <c r="W765" s="180"/>
      <c r="X765" s="185">
        <v>45017</v>
      </c>
      <c r="Y765" s="187">
        <v>44881.630520833336</v>
      </c>
    </row>
    <row r="766" spans="1:25">
      <c r="A766" s="167" t="s">
        <v>91</v>
      </c>
      <c r="B766" s="162" t="s">
        <v>1599</v>
      </c>
      <c r="C766" s="163" t="s">
        <v>2776</v>
      </c>
      <c r="D766" s="162" t="s">
        <v>2777</v>
      </c>
      <c r="E766" s="161" t="s">
        <v>1657</v>
      </c>
      <c r="F766" s="162" t="s">
        <v>1658</v>
      </c>
      <c r="G766" s="161"/>
      <c r="H766" s="214">
        <v>1</v>
      </c>
      <c r="I766" s="171"/>
      <c r="J766" s="170">
        <v>90</v>
      </c>
      <c r="K766" s="172"/>
      <c r="L766" s="170">
        <v>90</v>
      </c>
      <c r="M766" s="171">
        <v>90</v>
      </c>
      <c r="N766" s="170">
        <v>390</v>
      </c>
      <c r="O766" s="177" t="s">
        <v>1523</v>
      </c>
      <c r="P766" s="162" t="s">
        <v>1619</v>
      </c>
      <c r="Q766" s="176"/>
      <c r="R766" s="174"/>
      <c r="S766" s="179"/>
      <c r="T766" s="162" t="s">
        <v>28</v>
      </c>
      <c r="U766" s="161" t="s">
        <v>17</v>
      </c>
      <c r="V766" s="174">
        <v>2061</v>
      </c>
      <c r="W766" s="180"/>
      <c r="X766" s="185">
        <v>45017</v>
      </c>
      <c r="Y766" s="187">
        <v>44824.687685185185</v>
      </c>
    </row>
    <row r="767" spans="1:25">
      <c r="A767" s="167" t="s">
        <v>77</v>
      </c>
      <c r="B767" s="162" t="s">
        <v>1599</v>
      </c>
      <c r="C767" s="163" t="s">
        <v>2778</v>
      </c>
      <c r="D767" s="162" t="s">
        <v>2779</v>
      </c>
      <c r="E767" s="161" t="s">
        <v>1631</v>
      </c>
      <c r="F767" s="162" t="s">
        <v>1614</v>
      </c>
      <c r="G767" s="161"/>
      <c r="H767" s="214">
        <v>94</v>
      </c>
      <c r="I767" s="171"/>
      <c r="J767" s="170">
        <v>3.4</v>
      </c>
      <c r="K767" s="172"/>
      <c r="L767" s="170">
        <v>319.98</v>
      </c>
      <c r="M767" s="171">
        <v>319.98</v>
      </c>
      <c r="N767" s="170"/>
      <c r="O767" s="177" t="s">
        <v>1523</v>
      </c>
      <c r="P767" s="162" t="s">
        <v>1620</v>
      </c>
      <c r="Q767" s="176">
        <v>46174</v>
      </c>
      <c r="R767" s="174"/>
      <c r="S767" s="179"/>
      <c r="T767" s="162" t="s">
        <v>28</v>
      </c>
      <c r="U767" s="161" t="s">
        <v>1615</v>
      </c>
      <c r="V767" s="174">
        <v>2430</v>
      </c>
      <c r="W767" s="180" t="s">
        <v>3976</v>
      </c>
      <c r="X767" s="185">
        <v>45069</v>
      </c>
      <c r="Y767" s="187">
        <v>45097.651134259257</v>
      </c>
    </row>
    <row r="768" spans="1:25">
      <c r="A768" s="167" t="s">
        <v>77</v>
      </c>
      <c r="B768" s="162" t="s">
        <v>1599</v>
      </c>
      <c r="C768" s="163" t="s">
        <v>2778</v>
      </c>
      <c r="D768" s="162" t="s">
        <v>2779</v>
      </c>
      <c r="E768" s="161" t="s">
        <v>1602</v>
      </c>
      <c r="F768" s="162" t="s">
        <v>1614</v>
      </c>
      <c r="G768" s="161"/>
      <c r="H768" s="214">
        <v>94</v>
      </c>
      <c r="I768" s="171"/>
      <c r="J768" s="170">
        <v>2.98</v>
      </c>
      <c r="K768" s="172"/>
      <c r="L768" s="170">
        <v>279.93</v>
      </c>
      <c r="M768" s="171">
        <v>279.93</v>
      </c>
      <c r="N768" s="170">
        <v>560</v>
      </c>
      <c r="O768" s="177" t="s">
        <v>1523</v>
      </c>
      <c r="P768" s="162" t="s">
        <v>1619</v>
      </c>
      <c r="Q768" s="176">
        <v>46174</v>
      </c>
      <c r="R768" s="174"/>
      <c r="S768" s="179"/>
      <c r="T768" s="162" t="s">
        <v>28</v>
      </c>
      <c r="U768" s="161" t="s">
        <v>19</v>
      </c>
      <c r="V768" s="174">
        <v>2430</v>
      </c>
      <c r="W768" s="180" t="s">
        <v>3976</v>
      </c>
      <c r="X768" s="185">
        <v>45069</v>
      </c>
      <c r="Y768" s="187">
        <v>45097.651134259257</v>
      </c>
    </row>
    <row r="769" spans="1:25">
      <c r="A769" s="167" t="s">
        <v>77</v>
      </c>
      <c r="B769" s="162" t="s">
        <v>1555</v>
      </c>
      <c r="C769" s="163" t="s">
        <v>2780</v>
      </c>
      <c r="D769" s="162" t="s">
        <v>625</v>
      </c>
      <c r="E769" s="161" t="s">
        <v>1631</v>
      </c>
      <c r="F769" s="162" t="s">
        <v>1614</v>
      </c>
      <c r="G769" s="161" t="s">
        <v>2781</v>
      </c>
      <c r="H769" s="214">
        <v>1</v>
      </c>
      <c r="I769" s="171">
        <v>26</v>
      </c>
      <c r="J769" s="170">
        <v>26</v>
      </c>
      <c r="K769" s="172">
        <v>26</v>
      </c>
      <c r="L769" s="170">
        <v>26</v>
      </c>
      <c r="M769" s="171">
        <v>26</v>
      </c>
      <c r="N769" s="170"/>
      <c r="O769" s="177" t="s">
        <v>76</v>
      </c>
      <c r="P769" s="162" t="s">
        <v>1620</v>
      </c>
      <c r="Q769" s="176">
        <v>44378</v>
      </c>
      <c r="R769" s="174">
        <v>2050</v>
      </c>
      <c r="S769" s="179"/>
      <c r="T769" s="162" t="s">
        <v>24</v>
      </c>
      <c r="U769" s="161" t="s">
        <v>1615</v>
      </c>
      <c r="V769" s="174">
        <v>1537</v>
      </c>
      <c r="W769" s="180"/>
      <c r="X769" s="185">
        <v>45017</v>
      </c>
      <c r="Y769" s="187">
        <v>45021.492743055554</v>
      </c>
    </row>
    <row r="770" spans="1:25">
      <c r="A770" s="167" t="s">
        <v>110</v>
      </c>
      <c r="B770" s="162" t="s">
        <v>1555</v>
      </c>
      <c r="C770" s="163" t="s">
        <v>2782</v>
      </c>
      <c r="D770" s="162" t="s">
        <v>1604</v>
      </c>
      <c r="E770" s="161" t="s">
        <v>1613</v>
      </c>
      <c r="F770" s="162" t="s">
        <v>1614</v>
      </c>
      <c r="G770" s="161"/>
      <c r="H770" s="214">
        <v>1</v>
      </c>
      <c r="I770" s="171"/>
      <c r="J770" s="170">
        <v>0.51</v>
      </c>
      <c r="K770" s="172"/>
      <c r="L770" s="170">
        <v>0.51</v>
      </c>
      <c r="M770" s="171">
        <v>0.51</v>
      </c>
      <c r="N770" s="170"/>
      <c r="O770" s="177" t="s">
        <v>76</v>
      </c>
      <c r="P770" s="162" t="s">
        <v>1591</v>
      </c>
      <c r="Q770" s="176"/>
      <c r="R770" s="174"/>
      <c r="S770" s="179"/>
      <c r="T770" s="162" t="s">
        <v>24</v>
      </c>
      <c r="U770" s="161" t="s">
        <v>1615</v>
      </c>
      <c r="V770" s="174">
        <v>2090</v>
      </c>
      <c r="W770" s="180"/>
      <c r="X770" s="185" t="s">
        <v>259</v>
      </c>
      <c r="Y770" s="187">
        <v>44830.618680555555</v>
      </c>
    </row>
    <row r="771" spans="1:25">
      <c r="A771" s="167" t="s">
        <v>105</v>
      </c>
      <c r="B771" s="162" t="s">
        <v>1555</v>
      </c>
      <c r="C771" s="163" t="s">
        <v>2783</v>
      </c>
      <c r="D771" s="162" t="s">
        <v>1604</v>
      </c>
      <c r="E771" s="161" t="s">
        <v>1700</v>
      </c>
      <c r="F771" s="162" t="s">
        <v>1658</v>
      </c>
      <c r="G771" s="161"/>
      <c r="H771" s="214">
        <v>1</v>
      </c>
      <c r="I771" s="171"/>
      <c r="J771" s="170">
        <v>6</v>
      </c>
      <c r="K771" s="172"/>
      <c r="L771" s="170">
        <v>6</v>
      </c>
      <c r="M771" s="171">
        <v>6</v>
      </c>
      <c r="N771" s="170"/>
      <c r="O771" s="177" t="s">
        <v>76</v>
      </c>
      <c r="P771" s="162" t="s">
        <v>1591</v>
      </c>
      <c r="Q771" s="176"/>
      <c r="R771" s="174"/>
      <c r="S771" s="179"/>
      <c r="T771" s="162" t="s">
        <v>24</v>
      </c>
      <c r="U771" s="161" t="s">
        <v>17</v>
      </c>
      <c r="V771" s="174">
        <v>2091</v>
      </c>
      <c r="W771" s="180"/>
      <c r="X771" s="185" t="s">
        <v>259</v>
      </c>
      <c r="Y771" s="187">
        <v>44830.623159722221</v>
      </c>
    </row>
    <row r="772" spans="1:25">
      <c r="A772" s="167" t="s">
        <v>110</v>
      </c>
      <c r="B772" s="162" t="s">
        <v>1599</v>
      </c>
      <c r="C772" s="163" t="s">
        <v>1372</v>
      </c>
      <c r="D772" s="162" t="s">
        <v>1869</v>
      </c>
      <c r="E772" s="161" t="s">
        <v>1631</v>
      </c>
      <c r="F772" s="162" t="s">
        <v>1614</v>
      </c>
      <c r="G772" s="161"/>
      <c r="H772" s="214">
        <v>1</v>
      </c>
      <c r="I772" s="171">
        <v>9.6</v>
      </c>
      <c r="J772" s="170">
        <v>9.6</v>
      </c>
      <c r="K772" s="172">
        <v>9.6</v>
      </c>
      <c r="L772" s="170">
        <v>9.6</v>
      </c>
      <c r="M772" s="171">
        <v>9.6</v>
      </c>
      <c r="N772" s="170"/>
      <c r="O772" s="177" t="s">
        <v>1523</v>
      </c>
      <c r="P772" s="162" t="s">
        <v>1620</v>
      </c>
      <c r="Q772" s="176"/>
      <c r="R772" s="174"/>
      <c r="S772" s="179"/>
      <c r="T772" s="162" t="s">
        <v>28</v>
      </c>
      <c r="U772" s="161" t="s">
        <v>1615</v>
      </c>
      <c r="V772" s="174">
        <v>1430</v>
      </c>
      <c r="W772" s="180"/>
      <c r="X772" s="185">
        <v>45017</v>
      </c>
      <c r="Y772" s="187">
        <v>43209.349409722221</v>
      </c>
    </row>
    <row r="773" spans="1:25">
      <c r="A773" s="167" t="s">
        <v>77</v>
      </c>
      <c r="B773" s="162" t="s">
        <v>1599</v>
      </c>
      <c r="C773" s="163" t="s">
        <v>196</v>
      </c>
      <c r="D773" s="162" t="s">
        <v>197</v>
      </c>
      <c r="E773" s="161" t="s">
        <v>1602</v>
      </c>
      <c r="F773" s="162" t="s">
        <v>1603</v>
      </c>
      <c r="G773" s="161"/>
      <c r="H773" s="214">
        <v>1</v>
      </c>
      <c r="I773" s="171"/>
      <c r="J773" s="170">
        <v>500</v>
      </c>
      <c r="K773" s="172"/>
      <c r="L773" s="170">
        <v>500</v>
      </c>
      <c r="M773" s="171">
        <v>500</v>
      </c>
      <c r="N773" s="170">
        <v>1000</v>
      </c>
      <c r="O773" s="177" t="s">
        <v>1523</v>
      </c>
      <c r="P773" s="162" t="s">
        <v>1619</v>
      </c>
      <c r="Q773" s="176"/>
      <c r="R773" s="174"/>
      <c r="S773" s="179"/>
      <c r="T773" s="162" t="s">
        <v>28</v>
      </c>
      <c r="U773" s="161" t="s">
        <v>19</v>
      </c>
      <c r="V773" s="174">
        <v>2439</v>
      </c>
      <c r="W773" s="180" t="s">
        <v>2785</v>
      </c>
      <c r="X773" s="185">
        <v>45069</v>
      </c>
      <c r="Y773" s="187">
        <v>45033.313055555554</v>
      </c>
    </row>
    <row r="774" spans="1:25">
      <c r="A774" s="167" t="s">
        <v>77</v>
      </c>
      <c r="B774" s="162" t="s">
        <v>1599</v>
      </c>
      <c r="C774" s="163" t="s">
        <v>2784</v>
      </c>
      <c r="D774" s="162" t="s">
        <v>155</v>
      </c>
      <c r="E774" s="161" t="s">
        <v>1613</v>
      </c>
      <c r="F774" s="162" t="s">
        <v>1614</v>
      </c>
      <c r="G774" s="161"/>
      <c r="H774" s="214">
        <v>1</v>
      </c>
      <c r="I774" s="171">
        <v>500</v>
      </c>
      <c r="J774" s="170">
        <v>500</v>
      </c>
      <c r="K774" s="172">
        <v>500</v>
      </c>
      <c r="L774" s="170">
        <v>500</v>
      </c>
      <c r="M774" s="171">
        <v>500</v>
      </c>
      <c r="N774" s="170"/>
      <c r="O774" s="177" t="s">
        <v>1523</v>
      </c>
      <c r="P774" s="162" t="s">
        <v>1620</v>
      </c>
      <c r="Q774" s="176"/>
      <c r="R774" s="174"/>
      <c r="S774" s="179"/>
      <c r="T774" s="162" t="s">
        <v>28</v>
      </c>
      <c r="U774" s="161" t="s">
        <v>1615</v>
      </c>
      <c r="V774" s="174">
        <v>1576</v>
      </c>
      <c r="W774" s="180" t="s">
        <v>2785</v>
      </c>
      <c r="X774" s="185">
        <v>45017</v>
      </c>
      <c r="Y774" s="187">
        <v>45090.681898148148</v>
      </c>
    </row>
    <row r="775" spans="1:25">
      <c r="A775" s="167" t="s">
        <v>77</v>
      </c>
      <c r="B775" s="162" t="s">
        <v>1599</v>
      </c>
      <c r="C775" s="163" t="s">
        <v>2786</v>
      </c>
      <c r="D775" s="162" t="s">
        <v>2787</v>
      </c>
      <c r="E775" s="161" t="s">
        <v>1602</v>
      </c>
      <c r="F775" s="162" t="s">
        <v>1603</v>
      </c>
      <c r="G775" s="161"/>
      <c r="H775" s="214">
        <v>1</v>
      </c>
      <c r="I775" s="171">
        <v>200</v>
      </c>
      <c r="J775" s="170">
        <v>200</v>
      </c>
      <c r="K775" s="172">
        <v>200</v>
      </c>
      <c r="L775" s="170">
        <v>200</v>
      </c>
      <c r="M775" s="171">
        <v>200</v>
      </c>
      <c r="N775" s="170">
        <v>400</v>
      </c>
      <c r="O775" s="177" t="s">
        <v>1523</v>
      </c>
      <c r="P775" s="162" t="s">
        <v>1619</v>
      </c>
      <c r="Q775" s="176"/>
      <c r="R775" s="174"/>
      <c r="S775" s="179"/>
      <c r="T775" s="162" t="s">
        <v>28</v>
      </c>
      <c r="U775" s="161" t="s">
        <v>19</v>
      </c>
      <c r="V775" s="174">
        <v>2385</v>
      </c>
      <c r="W775" s="180" t="s">
        <v>2788</v>
      </c>
      <c r="X775" s="185">
        <v>45017</v>
      </c>
      <c r="Y775" s="187">
        <v>45027.644155092596</v>
      </c>
    </row>
    <row r="776" spans="1:25">
      <c r="A776" s="167" t="s">
        <v>77</v>
      </c>
      <c r="B776" s="162" t="s">
        <v>1555</v>
      </c>
      <c r="C776" s="163" t="s">
        <v>2789</v>
      </c>
      <c r="D776" s="162" t="s">
        <v>2787</v>
      </c>
      <c r="E776" s="161" t="s">
        <v>1946</v>
      </c>
      <c r="F776" s="162" t="s">
        <v>1740</v>
      </c>
      <c r="G776" s="161" t="s">
        <v>2790</v>
      </c>
      <c r="H776" s="214">
        <v>1</v>
      </c>
      <c r="I776" s="171"/>
      <c r="J776" s="170">
        <v>426</v>
      </c>
      <c r="K776" s="172"/>
      <c r="L776" s="170">
        <v>426</v>
      </c>
      <c r="M776" s="171">
        <v>426</v>
      </c>
      <c r="N776" s="170"/>
      <c r="O776" s="177" t="s">
        <v>76</v>
      </c>
      <c r="P776" s="162" t="s">
        <v>1619</v>
      </c>
      <c r="Q776" s="176"/>
      <c r="R776" s="174">
        <v>2051</v>
      </c>
      <c r="S776" s="179"/>
      <c r="T776" s="162" t="s">
        <v>24</v>
      </c>
      <c r="U776" s="161" t="s">
        <v>11</v>
      </c>
      <c r="V776" s="174">
        <v>1134</v>
      </c>
      <c r="W776" s="180"/>
      <c r="X776" s="185">
        <v>45017</v>
      </c>
      <c r="Y776" s="187">
        <v>45015.632326388892</v>
      </c>
    </row>
    <row r="777" spans="1:25">
      <c r="A777" s="167" t="s">
        <v>77</v>
      </c>
      <c r="B777" s="162" t="s">
        <v>1555</v>
      </c>
      <c r="C777" s="163" t="s">
        <v>2789</v>
      </c>
      <c r="D777" s="162" t="s">
        <v>2787</v>
      </c>
      <c r="E777" s="161" t="s">
        <v>1946</v>
      </c>
      <c r="F777" s="162" t="s">
        <v>1740</v>
      </c>
      <c r="G777" s="161" t="s">
        <v>2791</v>
      </c>
      <c r="H777" s="214">
        <v>1</v>
      </c>
      <c r="I777" s="171"/>
      <c r="J777" s="170">
        <v>426</v>
      </c>
      <c r="K777" s="172"/>
      <c r="L777" s="170">
        <v>426</v>
      </c>
      <c r="M777" s="171">
        <v>426</v>
      </c>
      <c r="N777" s="170"/>
      <c r="O777" s="177" t="s">
        <v>76</v>
      </c>
      <c r="P777" s="162" t="s">
        <v>1619</v>
      </c>
      <c r="Q777" s="176"/>
      <c r="R777" s="174">
        <v>2051</v>
      </c>
      <c r="S777" s="179"/>
      <c r="T777" s="162" t="s">
        <v>24</v>
      </c>
      <c r="U777" s="161" t="s">
        <v>11</v>
      </c>
      <c r="V777" s="174">
        <v>1134</v>
      </c>
      <c r="W777" s="180"/>
      <c r="X777" s="185">
        <v>45017</v>
      </c>
      <c r="Y777" s="187">
        <v>45015.632326388892</v>
      </c>
    </row>
    <row r="778" spans="1:25">
      <c r="A778" s="167" t="s">
        <v>77</v>
      </c>
      <c r="B778" s="162" t="s">
        <v>1599</v>
      </c>
      <c r="C778" s="163" t="s">
        <v>2792</v>
      </c>
      <c r="D778" s="162" t="s">
        <v>2787</v>
      </c>
      <c r="E778" s="161" t="s">
        <v>1625</v>
      </c>
      <c r="F778" s="162" t="s">
        <v>1609</v>
      </c>
      <c r="G778" s="161"/>
      <c r="H778" s="214">
        <v>1</v>
      </c>
      <c r="I778" s="171">
        <v>400</v>
      </c>
      <c r="J778" s="170">
        <v>400</v>
      </c>
      <c r="K778" s="172">
        <v>400</v>
      </c>
      <c r="L778" s="170">
        <v>400</v>
      </c>
      <c r="M778" s="171">
        <v>400</v>
      </c>
      <c r="N778" s="170"/>
      <c r="O778" s="177" t="s">
        <v>1523</v>
      </c>
      <c r="P778" s="162" t="s">
        <v>1620</v>
      </c>
      <c r="Q778" s="176"/>
      <c r="R778" s="174"/>
      <c r="S778" s="179"/>
      <c r="T778" s="162" t="s">
        <v>28</v>
      </c>
      <c r="U778" s="161" t="s">
        <v>16</v>
      </c>
      <c r="V778" s="174">
        <v>2384</v>
      </c>
      <c r="W778" s="180" t="s">
        <v>2788</v>
      </c>
      <c r="X778" s="185">
        <v>45017</v>
      </c>
      <c r="Y778" s="187">
        <v>45027.645277777781</v>
      </c>
    </row>
    <row r="779" spans="1:25">
      <c r="A779" s="167" t="s">
        <v>91</v>
      </c>
      <c r="B779" s="162" t="s">
        <v>1555</v>
      </c>
      <c r="C779" s="163" t="s">
        <v>2793</v>
      </c>
      <c r="D779" s="162" t="s">
        <v>2167</v>
      </c>
      <c r="E779" s="161" t="s">
        <v>1673</v>
      </c>
      <c r="F779" s="162" t="s">
        <v>1592</v>
      </c>
      <c r="G779" s="161" t="s">
        <v>2794</v>
      </c>
      <c r="H779" s="214">
        <v>1</v>
      </c>
      <c r="I779" s="171"/>
      <c r="J779" s="170">
        <v>90</v>
      </c>
      <c r="K779" s="172"/>
      <c r="L779" s="170">
        <v>90</v>
      </c>
      <c r="M779" s="171">
        <v>90</v>
      </c>
      <c r="N779" s="170"/>
      <c r="O779" s="177" t="s">
        <v>76</v>
      </c>
      <c r="P779" s="162" t="s">
        <v>1619</v>
      </c>
      <c r="Q779" s="176"/>
      <c r="R779" s="174">
        <v>2030</v>
      </c>
      <c r="S779" s="179"/>
      <c r="T779" s="162" t="s">
        <v>24</v>
      </c>
      <c r="U779" s="161" t="s">
        <v>13</v>
      </c>
      <c r="V779" s="174">
        <v>1135</v>
      </c>
      <c r="W779" s="180"/>
      <c r="X779" s="185">
        <v>45017</v>
      </c>
      <c r="Y779" s="187">
        <v>45019.501435185186</v>
      </c>
    </row>
    <row r="780" spans="1:25">
      <c r="A780" s="167" t="s">
        <v>77</v>
      </c>
      <c r="B780" s="162" t="s">
        <v>1599</v>
      </c>
      <c r="C780" s="163" t="s">
        <v>2795</v>
      </c>
      <c r="D780" s="162" t="s">
        <v>2159</v>
      </c>
      <c r="E780" s="161" t="s">
        <v>1613</v>
      </c>
      <c r="F780" s="162" t="s">
        <v>1614</v>
      </c>
      <c r="G780" s="161"/>
      <c r="H780" s="214">
        <v>1</v>
      </c>
      <c r="I780" s="171">
        <v>60</v>
      </c>
      <c r="J780" s="170">
        <v>60</v>
      </c>
      <c r="K780" s="172">
        <v>60</v>
      </c>
      <c r="L780" s="170">
        <v>60</v>
      </c>
      <c r="M780" s="171">
        <v>60</v>
      </c>
      <c r="N780" s="170"/>
      <c r="O780" s="177" t="s">
        <v>1523</v>
      </c>
      <c r="P780" s="162" t="s">
        <v>1620</v>
      </c>
      <c r="Q780" s="176"/>
      <c r="R780" s="174"/>
      <c r="S780" s="179"/>
      <c r="T780" s="162" t="s">
        <v>28</v>
      </c>
      <c r="U780" s="161" t="s">
        <v>1615</v>
      </c>
      <c r="V780" s="174">
        <v>1445</v>
      </c>
      <c r="W780" s="180"/>
      <c r="X780" s="185">
        <v>45017</v>
      </c>
      <c r="Y780" s="187">
        <v>45020.688750000001</v>
      </c>
    </row>
    <row r="781" spans="1:25">
      <c r="A781" s="167" t="s">
        <v>77</v>
      </c>
      <c r="B781" s="162" t="s">
        <v>1599</v>
      </c>
      <c r="C781" s="163" t="s">
        <v>2796</v>
      </c>
      <c r="D781" s="162" t="s">
        <v>2797</v>
      </c>
      <c r="E781" s="161" t="s">
        <v>1625</v>
      </c>
      <c r="F781" s="162" t="s">
        <v>1609</v>
      </c>
      <c r="G781" s="161"/>
      <c r="H781" s="214">
        <v>1</v>
      </c>
      <c r="I781" s="171"/>
      <c r="J781" s="170">
        <v>415</v>
      </c>
      <c r="K781" s="172"/>
      <c r="L781" s="170">
        <v>415</v>
      </c>
      <c r="M781" s="171">
        <v>415</v>
      </c>
      <c r="N781" s="170"/>
      <c r="O781" s="177" t="s">
        <v>1523</v>
      </c>
      <c r="P781" s="162" t="s">
        <v>1604</v>
      </c>
      <c r="Q781" s="176"/>
      <c r="R781" s="174"/>
      <c r="S781" s="179"/>
      <c r="T781" s="162" t="s">
        <v>28</v>
      </c>
      <c r="U781" s="161" t="s">
        <v>16</v>
      </c>
      <c r="V781" s="174">
        <v>2253</v>
      </c>
      <c r="W781" s="180" t="s">
        <v>2798</v>
      </c>
      <c r="X781" s="185">
        <v>45017</v>
      </c>
      <c r="Y781" s="187">
        <v>44903.397152777776</v>
      </c>
    </row>
    <row r="782" spans="1:25">
      <c r="A782" s="167" t="s">
        <v>45</v>
      </c>
      <c r="B782" s="162" t="s">
        <v>1599</v>
      </c>
      <c r="C782" s="163" t="s">
        <v>2799</v>
      </c>
      <c r="D782" s="162" t="s">
        <v>2800</v>
      </c>
      <c r="E782" s="161" t="s">
        <v>1631</v>
      </c>
      <c r="F782" s="162" t="s">
        <v>1614</v>
      </c>
      <c r="G782" s="161"/>
      <c r="H782" s="214">
        <v>6</v>
      </c>
      <c r="I782" s="171">
        <v>6</v>
      </c>
      <c r="J782" s="170">
        <v>6</v>
      </c>
      <c r="K782" s="172">
        <v>36.01</v>
      </c>
      <c r="L782" s="170">
        <v>36.01</v>
      </c>
      <c r="M782" s="171">
        <v>36.01</v>
      </c>
      <c r="N782" s="170"/>
      <c r="O782" s="177" t="s">
        <v>1523</v>
      </c>
      <c r="P782" s="162" t="s">
        <v>1620</v>
      </c>
      <c r="Q782" s="176"/>
      <c r="R782" s="174"/>
      <c r="S782" s="179"/>
      <c r="T782" s="162" t="s">
        <v>28</v>
      </c>
      <c r="U782" s="161" t="s">
        <v>1615</v>
      </c>
      <c r="V782" s="174">
        <v>1527</v>
      </c>
      <c r="W782" s="180"/>
      <c r="X782" s="185">
        <v>45069</v>
      </c>
      <c r="Y782" s="187">
        <v>43246.969548611109</v>
      </c>
    </row>
    <row r="783" spans="1:25">
      <c r="A783" s="167" t="s">
        <v>45</v>
      </c>
      <c r="B783" s="162" t="s">
        <v>1599</v>
      </c>
      <c r="C783" s="163" t="s">
        <v>2799</v>
      </c>
      <c r="D783" s="162" t="s">
        <v>2800</v>
      </c>
      <c r="E783" s="161" t="s">
        <v>1631</v>
      </c>
      <c r="F783" s="162" t="s">
        <v>1614</v>
      </c>
      <c r="G783" s="161"/>
      <c r="H783" s="214">
        <v>2</v>
      </c>
      <c r="I783" s="171">
        <v>18.010000000000002</v>
      </c>
      <c r="J783" s="170">
        <v>18.010000000000002</v>
      </c>
      <c r="K783" s="172">
        <v>36.01</v>
      </c>
      <c r="L783" s="170">
        <v>36.01</v>
      </c>
      <c r="M783" s="171">
        <v>36.01</v>
      </c>
      <c r="N783" s="170"/>
      <c r="O783" s="177" t="s">
        <v>1523</v>
      </c>
      <c r="P783" s="162" t="s">
        <v>1620</v>
      </c>
      <c r="Q783" s="176"/>
      <c r="R783" s="174"/>
      <c r="S783" s="179"/>
      <c r="T783" s="162" t="s">
        <v>28</v>
      </c>
      <c r="U783" s="161" t="s">
        <v>1615</v>
      </c>
      <c r="V783" s="174">
        <v>1527</v>
      </c>
      <c r="W783" s="180"/>
      <c r="X783" s="185">
        <v>45069</v>
      </c>
      <c r="Y783" s="187">
        <v>43246.969548611109</v>
      </c>
    </row>
    <row r="784" spans="1:25">
      <c r="A784" s="220" t="s">
        <v>91</v>
      </c>
      <c r="B784" s="221" t="s">
        <v>1599</v>
      </c>
      <c r="C784" s="222" t="s">
        <v>3888</v>
      </c>
      <c r="D784" s="221" t="s">
        <v>3889</v>
      </c>
      <c r="E784" s="223" t="s">
        <v>1602</v>
      </c>
      <c r="F784" s="224" t="s">
        <v>20</v>
      </c>
      <c r="G784" s="223"/>
      <c r="H784" s="225">
        <v>1</v>
      </c>
      <c r="I784" s="226"/>
      <c r="J784" s="227">
        <v>100</v>
      </c>
      <c r="K784" s="228"/>
      <c r="L784" s="227">
        <v>100</v>
      </c>
      <c r="M784" s="226">
        <v>100</v>
      </c>
      <c r="N784" s="229">
        <v>0</v>
      </c>
      <c r="O784" s="230" t="s">
        <v>1523</v>
      </c>
      <c r="P784" s="221" t="s">
        <v>1604</v>
      </c>
      <c r="Q784" s="231"/>
      <c r="R784" s="232"/>
      <c r="S784" s="233"/>
      <c r="T784" s="224" t="s">
        <v>28</v>
      </c>
      <c r="U784" s="223" t="s">
        <v>19</v>
      </c>
      <c r="V784" s="232">
        <v>2552</v>
      </c>
      <c r="W784" s="234" t="s">
        <v>3943</v>
      </c>
      <c r="X784" s="235"/>
      <c r="Y784" s="236">
        <v>45111.547037037039</v>
      </c>
    </row>
    <row r="785" spans="1:25">
      <c r="A785" s="167" t="s">
        <v>110</v>
      </c>
      <c r="B785" s="162" t="s">
        <v>1599</v>
      </c>
      <c r="C785" s="163" t="s">
        <v>2801</v>
      </c>
      <c r="D785" s="162" t="s">
        <v>2802</v>
      </c>
      <c r="E785" s="161" t="s">
        <v>1631</v>
      </c>
      <c r="F785" s="162" t="s">
        <v>1614</v>
      </c>
      <c r="G785" s="161"/>
      <c r="H785" s="214">
        <v>1</v>
      </c>
      <c r="I785" s="171"/>
      <c r="J785" s="170">
        <v>46</v>
      </c>
      <c r="K785" s="172"/>
      <c r="L785" s="170">
        <v>46</v>
      </c>
      <c r="M785" s="171">
        <v>46</v>
      </c>
      <c r="N785" s="170"/>
      <c r="O785" s="177" t="s">
        <v>1523</v>
      </c>
      <c r="P785" s="162" t="s">
        <v>1620</v>
      </c>
      <c r="Q785" s="176"/>
      <c r="R785" s="174"/>
      <c r="S785" s="179"/>
      <c r="T785" s="162" t="s">
        <v>28</v>
      </c>
      <c r="U785" s="161" t="s">
        <v>1615</v>
      </c>
      <c r="V785" s="174">
        <v>1999</v>
      </c>
      <c r="W785" s="180"/>
      <c r="X785" s="185">
        <v>45017</v>
      </c>
      <c r="Y785" s="187">
        <v>44642.402650462966</v>
      </c>
    </row>
    <row r="786" spans="1:25">
      <c r="A786" s="167" t="s">
        <v>45</v>
      </c>
      <c r="B786" s="162" t="s">
        <v>1555</v>
      </c>
      <c r="C786" s="163" t="s">
        <v>612</v>
      </c>
      <c r="D786" s="162" t="s">
        <v>2803</v>
      </c>
      <c r="E786" s="161" t="s">
        <v>1631</v>
      </c>
      <c r="F786" s="162" t="s">
        <v>1614</v>
      </c>
      <c r="G786" s="161" t="s">
        <v>614</v>
      </c>
      <c r="H786" s="214">
        <v>22</v>
      </c>
      <c r="I786" s="171">
        <v>1.47</v>
      </c>
      <c r="J786" s="170">
        <v>1.64</v>
      </c>
      <c r="K786" s="172">
        <v>32.340000000000003</v>
      </c>
      <c r="L786" s="170">
        <v>36.08</v>
      </c>
      <c r="M786" s="171">
        <v>36.08</v>
      </c>
      <c r="N786" s="170"/>
      <c r="O786" s="177" t="s">
        <v>76</v>
      </c>
      <c r="P786" s="162" t="s">
        <v>1620</v>
      </c>
      <c r="Q786" s="176">
        <v>44228</v>
      </c>
      <c r="R786" s="174">
        <v>2045</v>
      </c>
      <c r="S786" s="179"/>
      <c r="T786" s="162" t="s">
        <v>24</v>
      </c>
      <c r="U786" s="161" t="s">
        <v>1615</v>
      </c>
      <c r="V786" s="174">
        <v>1641</v>
      </c>
      <c r="W786" s="180"/>
      <c r="X786" s="185">
        <v>45017</v>
      </c>
      <c r="Y786" s="187">
        <v>45021.619166666664</v>
      </c>
    </row>
    <row r="787" spans="1:25">
      <c r="A787" s="167" t="s">
        <v>45</v>
      </c>
      <c r="B787" s="162" t="s">
        <v>1599</v>
      </c>
      <c r="C787" s="163" t="s">
        <v>2804</v>
      </c>
      <c r="D787" s="162" t="s">
        <v>2805</v>
      </c>
      <c r="E787" s="161" t="s">
        <v>1602</v>
      </c>
      <c r="F787" s="162" t="s">
        <v>1603</v>
      </c>
      <c r="G787" s="161"/>
      <c r="H787" s="214">
        <v>1</v>
      </c>
      <c r="I787" s="171">
        <v>99</v>
      </c>
      <c r="J787" s="170">
        <v>99</v>
      </c>
      <c r="K787" s="172">
        <v>99</v>
      </c>
      <c r="L787" s="170">
        <v>99</v>
      </c>
      <c r="M787" s="171">
        <v>99</v>
      </c>
      <c r="N787" s="170">
        <v>0</v>
      </c>
      <c r="O787" s="177" t="s">
        <v>1523</v>
      </c>
      <c r="P787" s="162" t="s">
        <v>1604</v>
      </c>
      <c r="Q787" s="176"/>
      <c r="R787" s="174"/>
      <c r="S787" s="179"/>
      <c r="T787" s="162" t="s">
        <v>28</v>
      </c>
      <c r="U787" s="161" t="s">
        <v>19</v>
      </c>
      <c r="V787" s="174">
        <v>2207</v>
      </c>
      <c r="W787" s="180" t="s">
        <v>2806</v>
      </c>
      <c r="X787" s="185">
        <v>45017</v>
      </c>
      <c r="Y787" s="187">
        <v>44986.409351851849</v>
      </c>
    </row>
    <row r="788" spans="1:25">
      <c r="A788" s="167" t="s">
        <v>45</v>
      </c>
      <c r="B788" s="162" t="s">
        <v>1599</v>
      </c>
      <c r="C788" s="163" t="s">
        <v>2807</v>
      </c>
      <c r="D788" s="162" t="s">
        <v>2808</v>
      </c>
      <c r="E788" s="161" t="s">
        <v>1613</v>
      </c>
      <c r="F788" s="162" t="s">
        <v>1614</v>
      </c>
      <c r="G788" s="161"/>
      <c r="H788" s="214">
        <v>1</v>
      </c>
      <c r="I788" s="171">
        <v>70</v>
      </c>
      <c r="J788" s="170">
        <v>70</v>
      </c>
      <c r="K788" s="172">
        <v>70</v>
      </c>
      <c r="L788" s="170">
        <v>70</v>
      </c>
      <c r="M788" s="171">
        <v>70</v>
      </c>
      <c r="N788" s="170"/>
      <c r="O788" s="177" t="s">
        <v>1523</v>
      </c>
      <c r="P788" s="162" t="s">
        <v>1604</v>
      </c>
      <c r="Q788" s="176"/>
      <c r="R788" s="174"/>
      <c r="S788" s="179"/>
      <c r="T788" s="162" t="s">
        <v>28</v>
      </c>
      <c r="U788" s="161" t="s">
        <v>1615</v>
      </c>
      <c r="V788" s="174">
        <v>2182</v>
      </c>
      <c r="W788" s="180" t="s">
        <v>2809</v>
      </c>
      <c r="X788" s="185">
        <v>45017</v>
      </c>
      <c r="Y788" s="187">
        <v>44986.40828703704</v>
      </c>
    </row>
    <row r="789" spans="1:25">
      <c r="A789" s="167" t="s">
        <v>110</v>
      </c>
      <c r="B789" s="162" t="s">
        <v>1599</v>
      </c>
      <c r="C789" s="163" t="s">
        <v>2810</v>
      </c>
      <c r="D789" s="162" t="s">
        <v>2811</v>
      </c>
      <c r="E789" s="161" t="s">
        <v>1602</v>
      </c>
      <c r="F789" s="162" t="s">
        <v>1603</v>
      </c>
      <c r="G789" s="161"/>
      <c r="H789" s="214">
        <v>1</v>
      </c>
      <c r="I789" s="171">
        <v>100</v>
      </c>
      <c r="J789" s="170">
        <v>100</v>
      </c>
      <c r="K789" s="172">
        <v>100</v>
      </c>
      <c r="L789" s="170">
        <v>100</v>
      </c>
      <c r="M789" s="171">
        <v>100</v>
      </c>
      <c r="N789" s="170">
        <v>200</v>
      </c>
      <c r="O789" s="177" t="s">
        <v>1523</v>
      </c>
      <c r="P789" s="162" t="s">
        <v>1619</v>
      </c>
      <c r="Q789" s="176"/>
      <c r="R789" s="174"/>
      <c r="S789" s="179"/>
      <c r="T789" s="162" t="s">
        <v>28</v>
      </c>
      <c r="U789" s="161" t="s">
        <v>19</v>
      </c>
      <c r="V789" s="174">
        <v>1956</v>
      </c>
      <c r="W789" s="180" t="s">
        <v>2812</v>
      </c>
      <c r="X789" s="185">
        <v>45069</v>
      </c>
      <c r="Y789" s="187">
        <v>44938.604432870372</v>
      </c>
    </row>
    <row r="790" spans="1:25">
      <c r="A790" s="167" t="s">
        <v>91</v>
      </c>
      <c r="B790" s="162" t="s">
        <v>1599</v>
      </c>
      <c r="C790" s="163" t="s">
        <v>2813</v>
      </c>
      <c r="D790" s="162" t="s">
        <v>2814</v>
      </c>
      <c r="E790" s="161" t="s">
        <v>1613</v>
      </c>
      <c r="F790" s="162" t="s">
        <v>1614</v>
      </c>
      <c r="G790" s="161"/>
      <c r="H790" s="214">
        <v>1</v>
      </c>
      <c r="I790" s="171">
        <v>100</v>
      </c>
      <c r="J790" s="170">
        <v>100</v>
      </c>
      <c r="K790" s="172">
        <v>100</v>
      </c>
      <c r="L790" s="170">
        <v>100</v>
      </c>
      <c r="M790" s="171">
        <v>100</v>
      </c>
      <c r="N790" s="170"/>
      <c r="O790" s="177" t="s">
        <v>1523</v>
      </c>
      <c r="P790" s="162" t="s">
        <v>1604</v>
      </c>
      <c r="Q790" s="176"/>
      <c r="R790" s="174"/>
      <c r="S790" s="179"/>
      <c r="T790" s="162" t="s">
        <v>28</v>
      </c>
      <c r="U790" s="161" t="s">
        <v>1615</v>
      </c>
      <c r="V790" s="174">
        <v>2366</v>
      </c>
      <c r="W790" s="180" t="s">
        <v>2815</v>
      </c>
      <c r="X790" s="185">
        <v>45017</v>
      </c>
      <c r="Y790" s="187">
        <v>44944.837280092594</v>
      </c>
    </row>
    <row r="791" spans="1:25">
      <c r="A791" s="167" t="s">
        <v>110</v>
      </c>
      <c r="B791" s="162" t="s">
        <v>1599</v>
      </c>
      <c r="C791" s="163" t="s">
        <v>2816</v>
      </c>
      <c r="D791" s="162" t="s">
        <v>2077</v>
      </c>
      <c r="E791" s="161" t="s">
        <v>1613</v>
      </c>
      <c r="F791" s="162" t="s">
        <v>1614</v>
      </c>
      <c r="G791" s="161"/>
      <c r="H791" s="214">
        <v>1</v>
      </c>
      <c r="I791" s="171">
        <v>230</v>
      </c>
      <c r="J791" s="170">
        <v>230</v>
      </c>
      <c r="K791" s="172">
        <v>230</v>
      </c>
      <c r="L791" s="170">
        <v>230</v>
      </c>
      <c r="M791" s="171">
        <v>230</v>
      </c>
      <c r="N791" s="170"/>
      <c r="O791" s="177" t="s">
        <v>1523</v>
      </c>
      <c r="P791" s="162" t="s">
        <v>1604</v>
      </c>
      <c r="Q791" s="176"/>
      <c r="R791" s="174"/>
      <c r="S791" s="179"/>
      <c r="T791" s="162" t="s">
        <v>28</v>
      </c>
      <c r="U791" s="161" t="s">
        <v>1615</v>
      </c>
      <c r="V791" s="174">
        <v>2364</v>
      </c>
      <c r="W791" s="180" t="s">
        <v>2817</v>
      </c>
      <c r="X791" s="185">
        <v>45017</v>
      </c>
      <c r="Y791" s="187">
        <v>44945.270520833335</v>
      </c>
    </row>
    <row r="792" spans="1:25">
      <c r="A792" s="167" t="s">
        <v>77</v>
      </c>
      <c r="B792" s="162" t="s">
        <v>1599</v>
      </c>
      <c r="C792" s="163" t="s">
        <v>2818</v>
      </c>
      <c r="D792" s="162" t="s">
        <v>2819</v>
      </c>
      <c r="E792" s="161" t="s">
        <v>1602</v>
      </c>
      <c r="F792" s="162" t="s">
        <v>1603</v>
      </c>
      <c r="G792" s="161"/>
      <c r="H792" s="214">
        <v>1</v>
      </c>
      <c r="I792" s="171"/>
      <c r="J792" s="170">
        <v>400</v>
      </c>
      <c r="K792" s="172"/>
      <c r="L792" s="170">
        <v>400</v>
      </c>
      <c r="M792" s="171">
        <v>400</v>
      </c>
      <c r="N792" s="170">
        <v>0</v>
      </c>
      <c r="O792" s="177" t="s">
        <v>1523</v>
      </c>
      <c r="P792" s="162" t="s">
        <v>1619</v>
      </c>
      <c r="Q792" s="176"/>
      <c r="R792" s="174"/>
      <c r="S792" s="179"/>
      <c r="T792" s="162" t="s">
        <v>28</v>
      </c>
      <c r="U792" s="161" t="s">
        <v>19</v>
      </c>
      <c r="V792" s="174">
        <v>2465</v>
      </c>
      <c r="W792" s="180" t="s">
        <v>3977</v>
      </c>
      <c r="X792" s="185">
        <v>45017</v>
      </c>
      <c r="Y792" s="187">
        <v>45022.520046296297</v>
      </c>
    </row>
    <row r="793" spans="1:25">
      <c r="A793" s="167" t="s">
        <v>77</v>
      </c>
      <c r="B793" s="162" t="s">
        <v>1599</v>
      </c>
      <c r="C793" s="163" t="s">
        <v>2818</v>
      </c>
      <c r="D793" s="162" t="s">
        <v>2819</v>
      </c>
      <c r="E793" s="161" t="s">
        <v>1625</v>
      </c>
      <c r="F793" s="162" t="s">
        <v>1609</v>
      </c>
      <c r="G793" s="161"/>
      <c r="H793" s="214">
        <v>1</v>
      </c>
      <c r="I793" s="171"/>
      <c r="J793" s="170">
        <v>400</v>
      </c>
      <c r="K793" s="172"/>
      <c r="L793" s="170">
        <v>400</v>
      </c>
      <c r="M793" s="171">
        <v>400</v>
      </c>
      <c r="N793" s="170"/>
      <c r="O793" s="177" t="s">
        <v>1523</v>
      </c>
      <c r="P793" s="162" t="s">
        <v>1620</v>
      </c>
      <c r="Q793" s="176"/>
      <c r="R793" s="174"/>
      <c r="S793" s="179"/>
      <c r="T793" s="162" t="s">
        <v>28</v>
      </c>
      <c r="U793" s="161" t="s">
        <v>16</v>
      </c>
      <c r="V793" s="174">
        <v>2465</v>
      </c>
      <c r="W793" s="180" t="s">
        <v>3977</v>
      </c>
      <c r="X793" s="185">
        <v>45017</v>
      </c>
      <c r="Y793" s="187">
        <v>45022.520046296297</v>
      </c>
    </row>
    <row r="794" spans="1:25">
      <c r="A794" s="167" t="s">
        <v>110</v>
      </c>
      <c r="B794" s="162" t="s">
        <v>1555</v>
      </c>
      <c r="C794" s="163" t="s">
        <v>407</v>
      </c>
      <c r="D794" s="162" t="s">
        <v>408</v>
      </c>
      <c r="E794" s="161" t="s">
        <v>1625</v>
      </c>
      <c r="F794" s="162" t="s">
        <v>1609</v>
      </c>
      <c r="G794" s="161" t="s">
        <v>409</v>
      </c>
      <c r="H794" s="214">
        <v>104</v>
      </c>
      <c r="I794" s="171">
        <v>3</v>
      </c>
      <c r="J794" s="170">
        <v>3</v>
      </c>
      <c r="K794" s="172">
        <v>312</v>
      </c>
      <c r="L794" s="170">
        <v>312</v>
      </c>
      <c r="M794" s="171">
        <v>312</v>
      </c>
      <c r="N794" s="170"/>
      <c r="O794" s="177" t="s">
        <v>76</v>
      </c>
      <c r="P794" s="162" t="s">
        <v>1620</v>
      </c>
      <c r="Q794" s="176">
        <v>44743</v>
      </c>
      <c r="R794" s="174">
        <v>2044</v>
      </c>
      <c r="S794" s="179"/>
      <c r="T794" s="162" t="s">
        <v>24</v>
      </c>
      <c r="U794" s="161" t="s">
        <v>16</v>
      </c>
      <c r="V794" s="174">
        <v>1425</v>
      </c>
      <c r="W794" s="180"/>
      <c r="X794" s="185">
        <v>45069</v>
      </c>
      <c r="Y794" s="187">
        <v>44981.408888888887</v>
      </c>
    </row>
    <row r="795" spans="1:25">
      <c r="A795" s="167" t="s">
        <v>45</v>
      </c>
      <c r="B795" s="162" t="s">
        <v>1599</v>
      </c>
      <c r="C795" s="163" t="s">
        <v>2820</v>
      </c>
      <c r="D795" s="162" t="s">
        <v>2821</v>
      </c>
      <c r="E795" s="161" t="s">
        <v>1613</v>
      </c>
      <c r="F795" s="162" t="s">
        <v>1614</v>
      </c>
      <c r="G795" s="161"/>
      <c r="H795" s="214">
        <v>1</v>
      </c>
      <c r="I795" s="171">
        <v>5</v>
      </c>
      <c r="J795" s="170">
        <v>5</v>
      </c>
      <c r="K795" s="172">
        <v>5</v>
      </c>
      <c r="L795" s="170">
        <v>5</v>
      </c>
      <c r="M795" s="171">
        <v>5</v>
      </c>
      <c r="N795" s="170"/>
      <c r="O795" s="177" t="s">
        <v>1523</v>
      </c>
      <c r="P795" s="162" t="s">
        <v>1591</v>
      </c>
      <c r="Q795" s="176"/>
      <c r="R795" s="174"/>
      <c r="S795" s="179"/>
      <c r="T795" s="162" t="s">
        <v>28</v>
      </c>
      <c r="U795" s="161" t="s">
        <v>1615</v>
      </c>
      <c r="V795" s="174">
        <v>1650</v>
      </c>
      <c r="W795" s="180"/>
      <c r="X795" s="185" t="s">
        <v>259</v>
      </c>
      <c r="Y795" s="187">
        <v>43283.973043981481</v>
      </c>
    </row>
    <row r="796" spans="1:25">
      <c r="A796" s="167" t="s">
        <v>45</v>
      </c>
      <c r="B796" s="162" t="s">
        <v>1599</v>
      </c>
      <c r="C796" s="163" t="s">
        <v>2822</v>
      </c>
      <c r="D796" s="162" t="s">
        <v>2823</v>
      </c>
      <c r="E796" s="161" t="s">
        <v>1613</v>
      </c>
      <c r="F796" s="162" t="s">
        <v>1614</v>
      </c>
      <c r="G796" s="161"/>
      <c r="H796" s="214">
        <v>60</v>
      </c>
      <c r="I796" s="171">
        <v>2</v>
      </c>
      <c r="J796" s="170">
        <v>2</v>
      </c>
      <c r="K796" s="172">
        <v>120</v>
      </c>
      <c r="L796" s="170">
        <v>120</v>
      </c>
      <c r="M796" s="171">
        <v>120</v>
      </c>
      <c r="N796" s="170"/>
      <c r="O796" s="177" t="s">
        <v>1523</v>
      </c>
      <c r="P796" s="162" t="s">
        <v>1604</v>
      </c>
      <c r="Q796" s="176"/>
      <c r="R796" s="174"/>
      <c r="S796" s="179"/>
      <c r="T796" s="162" t="s">
        <v>28</v>
      </c>
      <c r="U796" s="161" t="s">
        <v>1615</v>
      </c>
      <c r="V796" s="174">
        <v>2216</v>
      </c>
      <c r="W796" s="180" t="s">
        <v>2824</v>
      </c>
      <c r="X796" s="185">
        <v>45017</v>
      </c>
      <c r="Y796" s="187">
        <v>44945.271319444444</v>
      </c>
    </row>
    <row r="797" spans="1:25">
      <c r="A797" s="167" t="s">
        <v>45</v>
      </c>
      <c r="B797" s="162" t="s">
        <v>1599</v>
      </c>
      <c r="C797" s="163" t="s">
        <v>2822</v>
      </c>
      <c r="D797" s="162" t="s">
        <v>2823</v>
      </c>
      <c r="E797" s="161" t="s">
        <v>1602</v>
      </c>
      <c r="F797" s="162" t="s">
        <v>1603</v>
      </c>
      <c r="G797" s="161"/>
      <c r="H797" s="214">
        <v>1</v>
      </c>
      <c r="I797" s="171">
        <v>200</v>
      </c>
      <c r="J797" s="170">
        <v>200</v>
      </c>
      <c r="K797" s="172">
        <v>200</v>
      </c>
      <c r="L797" s="170">
        <v>200</v>
      </c>
      <c r="M797" s="171">
        <v>200</v>
      </c>
      <c r="N797" s="170">
        <v>0</v>
      </c>
      <c r="O797" s="177" t="s">
        <v>1523</v>
      </c>
      <c r="P797" s="162" t="s">
        <v>1604</v>
      </c>
      <c r="Q797" s="176"/>
      <c r="R797" s="174"/>
      <c r="S797" s="179"/>
      <c r="T797" s="162" t="s">
        <v>28</v>
      </c>
      <c r="U797" s="161" t="s">
        <v>19</v>
      </c>
      <c r="V797" s="174">
        <v>2216</v>
      </c>
      <c r="W797" s="180" t="s">
        <v>2824</v>
      </c>
      <c r="X797" s="185">
        <v>45017</v>
      </c>
      <c r="Y797" s="187">
        <v>44945.271319444444</v>
      </c>
    </row>
    <row r="798" spans="1:25">
      <c r="A798" s="167" t="s">
        <v>77</v>
      </c>
      <c r="B798" s="162" t="s">
        <v>1555</v>
      </c>
      <c r="C798" s="163" t="s">
        <v>2825</v>
      </c>
      <c r="D798" s="162" t="s">
        <v>2473</v>
      </c>
      <c r="E798" s="161" t="s">
        <v>1589</v>
      </c>
      <c r="F798" s="162" t="s">
        <v>1639</v>
      </c>
      <c r="G798" s="161"/>
      <c r="H798" s="214">
        <v>8</v>
      </c>
      <c r="I798" s="171"/>
      <c r="J798" s="170">
        <v>1.57</v>
      </c>
      <c r="K798" s="172"/>
      <c r="L798" s="170">
        <v>12.56</v>
      </c>
      <c r="M798" s="171">
        <v>12.56</v>
      </c>
      <c r="N798" s="170"/>
      <c r="O798" s="177" t="s">
        <v>76</v>
      </c>
      <c r="P798" s="162" t="s">
        <v>1591</v>
      </c>
      <c r="Q798" s="176"/>
      <c r="R798" s="174"/>
      <c r="S798" s="179"/>
      <c r="T798" s="162" t="s">
        <v>24</v>
      </c>
      <c r="U798" s="161" t="s">
        <v>14</v>
      </c>
      <c r="V798" s="174">
        <v>1250</v>
      </c>
      <c r="W798" s="180"/>
      <c r="X798" s="185">
        <v>44621</v>
      </c>
      <c r="Y798" s="187">
        <v>45029.453969907408</v>
      </c>
    </row>
    <row r="799" spans="1:25">
      <c r="A799" s="167" t="s">
        <v>77</v>
      </c>
      <c r="B799" s="162" t="s">
        <v>1555</v>
      </c>
      <c r="C799" s="163" t="s">
        <v>2826</v>
      </c>
      <c r="D799" s="162" t="s">
        <v>2389</v>
      </c>
      <c r="E799" s="161" t="s">
        <v>1596</v>
      </c>
      <c r="F799" s="162" t="s">
        <v>1639</v>
      </c>
      <c r="G799" s="161" t="s">
        <v>2827</v>
      </c>
      <c r="H799" s="214">
        <v>21</v>
      </c>
      <c r="I799" s="171"/>
      <c r="J799" s="170">
        <v>3.04</v>
      </c>
      <c r="K799" s="172"/>
      <c r="L799" s="170">
        <v>63.84</v>
      </c>
      <c r="M799" s="171">
        <v>63.84</v>
      </c>
      <c r="N799" s="170"/>
      <c r="O799" s="177" t="s">
        <v>76</v>
      </c>
      <c r="P799" s="162" t="s">
        <v>1591</v>
      </c>
      <c r="Q799" s="176"/>
      <c r="R799" s="174">
        <v>2038</v>
      </c>
      <c r="S799" s="179"/>
      <c r="T799" s="162" t="s">
        <v>24</v>
      </c>
      <c r="U799" s="161" t="s">
        <v>14</v>
      </c>
      <c r="V799" s="174">
        <v>1136</v>
      </c>
      <c r="W799" s="180"/>
      <c r="X799" s="185">
        <v>45017</v>
      </c>
      <c r="Y799" s="187">
        <v>45077.494166666664</v>
      </c>
    </row>
    <row r="800" spans="1:25">
      <c r="A800" s="167" t="s">
        <v>77</v>
      </c>
      <c r="B800" s="162" t="s">
        <v>1555</v>
      </c>
      <c r="C800" s="163" t="s">
        <v>2828</v>
      </c>
      <c r="D800" s="162" t="s">
        <v>1604</v>
      </c>
      <c r="E800" s="161" t="s">
        <v>1613</v>
      </c>
      <c r="F800" s="162" t="s">
        <v>1614</v>
      </c>
      <c r="G800" s="161"/>
      <c r="H800" s="214">
        <v>1</v>
      </c>
      <c r="I800" s="171"/>
      <c r="J800" s="170">
        <v>0.21</v>
      </c>
      <c r="K800" s="172"/>
      <c r="L800" s="170">
        <v>0.21</v>
      </c>
      <c r="M800" s="171">
        <v>0.21</v>
      </c>
      <c r="N800" s="170"/>
      <c r="O800" s="177" t="s">
        <v>76</v>
      </c>
      <c r="P800" s="162" t="s">
        <v>1591</v>
      </c>
      <c r="Q800" s="176"/>
      <c r="R800" s="174"/>
      <c r="S800" s="179"/>
      <c r="T800" s="162" t="s">
        <v>24</v>
      </c>
      <c r="U800" s="161" t="s">
        <v>1615</v>
      </c>
      <c r="V800" s="174">
        <v>2092</v>
      </c>
      <c r="W800" s="180"/>
      <c r="X800" s="185" t="s">
        <v>259</v>
      </c>
      <c r="Y800" s="187">
        <v>44830.672395833331</v>
      </c>
    </row>
    <row r="801" spans="1:25">
      <c r="A801" s="167" t="s">
        <v>45</v>
      </c>
      <c r="B801" s="162" t="s">
        <v>1555</v>
      </c>
      <c r="C801" s="163" t="s">
        <v>1162</v>
      </c>
      <c r="D801" s="162" t="s">
        <v>2829</v>
      </c>
      <c r="E801" s="161" t="s">
        <v>1631</v>
      </c>
      <c r="F801" s="162" t="s">
        <v>1614</v>
      </c>
      <c r="G801" s="161" t="s">
        <v>2830</v>
      </c>
      <c r="H801" s="214">
        <v>56</v>
      </c>
      <c r="I801" s="171"/>
      <c r="J801" s="170">
        <v>1</v>
      </c>
      <c r="K801" s="172"/>
      <c r="L801" s="170">
        <v>56</v>
      </c>
      <c r="M801" s="171">
        <v>56</v>
      </c>
      <c r="N801" s="170"/>
      <c r="O801" s="177" t="s">
        <v>76</v>
      </c>
      <c r="P801" s="162" t="s">
        <v>1620</v>
      </c>
      <c r="Q801" s="176"/>
      <c r="R801" s="174">
        <v>2046</v>
      </c>
      <c r="S801" s="179"/>
      <c r="T801" s="162" t="s">
        <v>24</v>
      </c>
      <c r="U801" s="161" t="s">
        <v>1615</v>
      </c>
      <c r="V801" s="174">
        <v>1318</v>
      </c>
      <c r="W801" s="180"/>
      <c r="X801" s="185">
        <v>45017</v>
      </c>
      <c r="Y801" s="187">
        <v>45016.478819444441</v>
      </c>
    </row>
    <row r="802" spans="1:25">
      <c r="A802" s="167" t="s">
        <v>91</v>
      </c>
      <c r="B802" s="162" t="s">
        <v>1599</v>
      </c>
      <c r="C802" s="163" t="s">
        <v>2831</v>
      </c>
      <c r="D802" s="162" t="s">
        <v>62</v>
      </c>
      <c r="E802" s="161" t="s">
        <v>1602</v>
      </c>
      <c r="F802" s="162" t="s">
        <v>1603</v>
      </c>
      <c r="G802" s="161"/>
      <c r="H802" s="214">
        <v>1</v>
      </c>
      <c r="I802" s="171">
        <v>30</v>
      </c>
      <c r="J802" s="170">
        <v>30</v>
      </c>
      <c r="K802" s="172">
        <v>30</v>
      </c>
      <c r="L802" s="170">
        <v>30</v>
      </c>
      <c r="M802" s="171">
        <v>30</v>
      </c>
      <c r="N802" s="170">
        <v>0</v>
      </c>
      <c r="O802" s="177" t="s">
        <v>1523</v>
      </c>
      <c r="P802" s="162" t="s">
        <v>1604</v>
      </c>
      <c r="Q802" s="176"/>
      <c r="R802" s="174"/>
      <c r="S802" s="179"/>
      <c r="T802" s="162" t="s">
        <v>28</v>
      </c>
      <c r="U802" s="161" t="s">
        <v>19</v>
      </c>
      <c r="V802" s="174">
        <v>2417</v>
      </c>
      <c r="W802" s="180"/>
      <c r="X802" s="185">
        <v>45017</v>
      </c>
      <c r="Y802" s="187">
        <v>44986.556666666664</v>
      </c>
    </row>
    <row r="803" spans="1:25">
      <c r="A803" s="220" t="s">
        <v>91</v>
      </c>
      <c r="B803" s="221" t="s">
        <v>1599</v>
      </c>
      <c r="C803" s="222" t="s">
        <v>3880</v>
      </c>
      <c r="D803" s="221" t="s">
        <v>3881</v>
      </c>
      <c r="E803" s="223" t="s">
        <v>1613</v>
      </c>
      <c r="F803" s="224" t="s">
        <v>1615</v>
      </c>
      <c r="G803" s="223"/>
      <c r="H803" s="225">
        <v>1</v>
      </c>
      <c r="I803" s="226"/>
      <c r="J803" s="227">
        <v>1</v>
      </c>
      <c r="K803" s="228"/>
      <c r="L803" s="227">
        <v>1</v>
      </c>
      <c r="M803" s="226">
        <v>1</v>
      </c>
      <c r="N803" s="229"/>
      <c r="O803" s="230" t="s">
        <v>1523</v>
      </c>
      <c r="P803" s="221" t="s">
        <v>1604</v>
      </c>
      <c r="Q803" s="231"/>
      <c r="R803" s="232"/>
      <c r="S803" s="233"/>
      <c r="T803" s="224" t="s">
        <v>28</v>
      </c>
      <c r="U803" s="223" t="s">
        <v>1615</v>
      </c>
      <c r="V803" s="232">
        <v>2548</v>
      </c>
      <c r="W803" s="234" t="s">
        <v>3939</v>
      </c>
      <c r="X803" s="235"/>
      <c r="Y803" s="236">
        <v>45111.508703703701</v>
      </c>
    </row>
    <row r="804" spans="1:25" ht="21">
      <c r="A804" s="167" t="s">
        <v>91</v>
      </c>
      <c r="B804" s="162" t="s">
        <v>1555</v>
      </c>
      <c r="C804" s="163" t="s">
        <v>359</v>
      </c>
      <c r="D804" s="162" t="s">
        <v>347</v>
      </c>
      <c r="E804" s="161" t="s">
        <v>1631</v>
      </c>
      <c r="F804" s="162" t="s">
        <v>1614</v>
      </c>
      <c r="G804" s="161" t="s">
        <v>360</v>
      </c>
      <c r="H804" s="214">
        <v>2</v>
      </c>
      <c r="I804" s="171"/>
      <c r="J804" s="170">
        <v>3.06</v>
      </c>
      <c r="K804" s="172"/>
      <c r="L804" s="170">
        <v>6.12</v>
      </c>
      <c r="M804" s="171">
        <v>6.12</v>
      </c>
      <c r="N804" s="170"/>
      <c r="O804" s="177" t="s">
        <v>76</v>
      </c>
      <c r="P804" s="162" t="s">
        <v>1620</v>
      </c>
      <c r="Q804" s="176">
        <v>44774</v>
      </c>
      <c r="R804" s="174">
        <v>2031</v>
      </c>
      <c r="S804" s="179"/>
      <c r="T804" s="162" t="s">
        <v>24</v>
      </c>
      <c r="U804" s="161" t="s">
        <v>1615</v>
      </c>
      <c r="V804" s="174">
        <v>1849</v>
      </c>
      <c r="W804" s="180"/>
      <c r="X804" s="185">
        <v>45017</v>
      </c>
      <c r="Y804" s="187">
        <v>45022.476875</v>
      </c>
    </row>
    <row r="805" spans="1:25">
      <c r="A805" s="167" t="s">
        <v>91</v>
      </c>
      <c r="B805" s="162" t="s">
        <v>1555</v>
      </c>
      <c r="C805" s="163" t="s">
        <v>361</v>
      </c>
      <c r="D805" s="162" t="s">
        <v>347</v>
      </c>
      <c r="E805" s="161" t="s">
        <v>1631</v>
      </c>
      <c r="F805" s="162" t="s">
        <v>1614</v>
      </c>
      <c r="G805" s="161" t="s">
        <v>362</v>
      </c>
      <c r="H805" s="214">
        <v>2</v>
      </c>
      <c r="I805" s="171"/>
      <c r="J805" s="170">
        <v>2.94</v>
      </c>
      <c r="K805" s="172"/>
      <c r="L805" s="170">
        <v>5.88</v>
      </c>
      <c r="M805" s="171">
        <v>5.88</v>
      </c>
      <c r="N805" s="170"/>
      <c r="O805" s="177" t="s">
        <v>76</v>
      </c>
      <c r="P805" s="162" t="s">
        <v>1620</v>
      </c>
      <c r="Q805" s="176">
        <v>44713</v>
      </c>
      <c r="R805" s="174">
        <v>2041</v>
      </c>
      <c r="S805" s="179"/>
      <c r="T805" s="162" t="s">
        <v>24</v>
      </c>
      <c r="U805" s="161" t="s">
        <v>1615</v>
      </c>
      <c r="V805" s="174">
        <v>1850</v>
      </c>
      <c r="W805" s="180"/>
      <c r="X805" s="185">
        <v>45017</v>
      </c>
      <c r="Y805" s="187">
        <v>45022.478379629632</v>
      </c>
    </row>
    <row r="806" spans="1:25">
      <c r="A806" s="167" t="s">
        <v>91</v>
      </c>
      <c r="B806" s="162" t="s">
        <v>1555</v>
      </c>
      <c r="C806" s="163" t="s">
        <v>363</v>
      </c>
      <c r="D806" s="162" t="s">
        <v>347</v>
      </c>
      <c r="E806" s="161" t="s">
        <v>1631</v>
      </c>
      <c r="F806" s="162" t="s">
        <v>1614</v>
      </c>
      <c r="G806" s="161" t="s">
        <v>364</v>
      </c>
      <c r="H806" s="214">
        <v>3</v>
      </c>
      <c r="I806" s="171"/>
      <c r="J806" s="170">
        <v>2.46</v>
      </c>
      <c r="K806" s="172"/>
      <c r="L806" s="170">
        <v>7.38</v>
      </c>
      <c r="M806" s="171">
        <v>7.38</v>
      </c>
      <c r="N806" s="170"/>
      <c r="O806" s="177" t="s">
        <v>76</v>
      </c>
      <c r="P806" s="162" t="s">
        <v>1620</v>
      </c>
      <c r="Q806" s="176">
        <v>44713</v>
      </c>
      <c r="R806" s="174">
        <v>2045</v>
      </c>
      <c r="S806" s="179"/>
      <c r="T806" s="162" t="s">
        <v>24</v>
      </c>
      <c r="U806" s="161" t="s">
        <v>1615</v>
      </c>
      <c r="V806" s="174">
        <v>1851</v>
      </c>
      <c r="W806" s="180"/>
      <c r="X806" s="185">
        <v>45017</v>
      </c>
      <c r="Y806" s="187">
        <v>45022.479803240742</v>
      </c>
    </row>
    <row r="807" spans="1:25">
      <c r="A807" s="167" t="s">
        <v>91</v>
      </c>
      <c r="B807" s="162" t="s">
        <v>1555</v>
      </c>
      <c r="C807" s="163" t="s">
        <v>365</v>
      </c>
      <c r="D807" s="162" t="s">
        <v>347</v>
      </c>
      <c r="E807" s="161" t="s">
        <v>1631</v>
      </c>
      <c r="F807" s="162" t="s">
        <v>1614</v>
      </c>
      <c r="G807" s="161" t="s">
        <v>366</v>
      </c>
      <c r="H807" s="214">
        <v>2</v>
      </c>
      <c r="I807" s="171"/>
      <c r="J807" s="170">
        <v>2.94</v>
      </c>
      <c r="K807" s="172"/>
      <c r="L807" s="170">
        <v>5.88</v>
      </c>
      <c r="M807" s="171">
        <v>5.88</v>
      </c>
      <c r="N807" s="170"/>
      <c r="O807" s="177" t="s">
        <v>76</v>
      </c>
      <c r="P807" s="162" t="s">
        <v>1620</v>
      </c>
      <c r="Q807" s="176">
        <v>44774</v>
      </c>
      <c r="R807" s="174">
        <v>2041</v>
      </c>
      <c r="S807" s="179"/>
      <c r="T807" s="162" t="s">
        <v>24</v>
      </c>
      <c r="U807" s="161" t="s">
        <v>1615</v>
      </c>
      <c r="V807" s="174">
        <v>1852</v>
      </c>
      <c r="W807" s="180"/>
      <c r="X807" s="185">
        <v>45017</v>
      </c>
      <c r="Y807" s="187">
        <v>45022.481736111113</v>
      </c>
    </row>
    <row r="808" spans="1:25">
      <c r="A808" s="167" t="s">
        <v>110</v>
      </c>
      <c r="B808" s="162" t="s">
        <v>1599</v>
      </c>
      <c r="C808" s="163" t="s">
        <v>2832</v>
      </c>
      <c r="D808" s="162" t="s">
        <v>2833</v>
      </c>
      <c r="E808" s="161" t="s">
        <v>1602</v>
      </c>
      <c r="F808" s="162" t="s">
        <v>1603</v>
      </c>
      <c r="G808" s="161"/>
      <c r="H808" s="214">
        <v>1</v>
      </c>
      <c r="I808" s="171"/>
      <c r="J808" s="170">
        <v>240</v>
      </c>
      <c r="K808" s="172"/>
      <c r="L808" s="170">
        <v>240</v>
      </c>
      <c r="M808" s="171">
        <v>240</v>
      </c>
      <c r="N808" s="170">
        <v>0</v>
      </c>
      <c r="O808" s="177" t="s">
        <v>1523</v>
      </c>
      <c r="P808" s="162" t="s">
        <v>1604</v>
      </c>
      <c r="Q808" s="176"/>
      <c r="R808" s="174"/>
      <c r="S808" s="179"/>
      <c r="T808" s="162" t="s">
        <v>28</v>
      </c>
      <c r="U808" s="161" t="s">
        <v>19</v>
      </c>
      <c r="V808" s="174">
        <v>1945</v>
      </c>
      <c r="W808" s="180" t="s">
        <v>2834</v>
      </c>
      <c r="X808" s="185">
        <v>45017</v>
      </c>
      <c r="Y808" s="187">
        <v>44938.602129629631</v>
      </c>
    </row>
    <row r="809" spans="1:25">
      <c r="A809" s="167" t="s">
        <v>110</v>
      </c>
      <c r="B809" s="162" t="s">
        <v>1555</v>
      </c>
      <c r="C809" s="163" t="s">
        <v>2835</v>
      </c>
      <c r="D809" s="162" t="s">
        <v>403</v>
      </c>
      <c r="E809" s="161" t="s">
        <v>1596</v>
      </c>
      <c r="F809" s="162" t="s">
        <v>1603</v>
      </c>
      <c r="G809" s="161" t="s">
        <v>2836</v>
      </c>
      <c r="H809" s="214">
        <v>1</v>
      </c>
      <c r="I809" s="171">
        <v>0.77</v>
      </c>
      <c r="J809" s="170">
        <v>0.79</v>
      </c>
      <c r="K809" s="172">
        <v>0.77</v>
      </c>
      <c r="L809" s="170">
        <v>0.79</v>
      </c>
      <c r="M809" s="171">
        <v>0.79</v>
      </c>
      <c r="N809" s="170"/>
      <c r="O809" s="177" t="s">
        <v>76</v>
      </c>
      <c r="P809" s="162" t="s">
        <v>1591</v>
      </c>
      <c r="Q809" s="176"/>
      <c r="R809" s="174">
        <v>2042</v>
      </c>
      <c r="S809" s="179"/>
      <c r="T809" s="162" t="s">
        <v>24</v>
      </c>
      <c r="U809" s="161" t="s">
        <v>20</v>
      </c>
      <c r="V809" s="174">
        <v>1137</v>
      </c>
      <c r="W809" s="180"/>
      <c r="X809" s="185">
        <v>44805</v>
      </c>
      <c r="Y809" s="187">
        <v>44981.401446759257</v>
      </c>
    </row>
    <row r="810" spans="1:25">
      <c r="A810" s="167" t="s">
        <v>110</v>
      </c>
      <c r="B810" s="162" t="s">
        <v>1555</v>
      </c>
      <c r="C810" s="163" t="s">
        <v>716</v>
      </c>
      <c r="D810" s="162" t="s">
        <v>717</v>
      </c>
      <c r="E810" s="161" t="s">
        <v>1673</v>
      </c>
      <c r="F810" s="162" t="s">
        <v>1592</v>
      </c>
      <c r="G810" s="161" t="s">
        <v>2837</v>
      </c>
      <c r="H810" s="214">
        <v>1</v>
      </c>
      <c r="I810" s="171"/>
      <c r="J810" s="170">
        <v>292</v>
      </c>
      <c r="K810" s="172"/>
      <c r="L810" s="170">
        <v>292</v>
      </c>
      <c r="M810" s="171">
        <v>292</v>
      </c>
      <c r="N810" s="170"/>
      <c r="O810" s="177" t="s">
        <v>76</v>
      </c>
      <c r="P810" s="162" t="s">
        <v>1619</v>
      </c>
      <c r="Q810" s="176"/>
      <c r="R810" s="174">
        <v>2047</v>
      </c>
      <c r="S810" s="179"/>
      <c r="T810" s="162" t="s">
        <v>24</v>
      </c>
      <c r="U810" s="161" t="s">
        <v>13</v>
      </c>
      <c r="V810" s="174">
        <v>1139</v>
      </c>
      <c r="W810" s="180"/>
      <c r="X810" s="185">
        <v>45069</v>
      </c>
      <c r="Y810" s="187">
        <v>45099.368645833332</v>
      </c>
    </row>
    <row r="811" spans="1:25">
      <c r="A811" s="167" t="s">
        <v>110</v>
      </c>
      <c r="B811" s="162" t="s">
        <v>1555</v>
      </c>
      <c r="C811" s="163" t="s">
        <v>716</v>
      </c>
      <c r="D811" s="162" t="s">
        <v>717</v>
      </c>
      <c r="E811" s="161" t="s">
        <v>1673</v>
      </c>
      <c r="F811" s="162" t="s">
        <v>1592</v>
      </c>
      <c r="G811" s="161" t="s">
        <v>752</v>
      </c>
      <c r="H811" s="214">
        <v>1</v>
      </c>
      <c r="I811" s="171"/>
      <c r="J811" s="170">
        <v>292</v>
      </c>
      <c r="K811" s="172"/>
      <c r="L811" s="170">
        <v>292</v>
      </c>
      <c r="M811" s="171">
        <v>292</v>
      </c>
      <c r="N811" s="170"/>
      <c r="O811" s="177" t="s">
        <v>76</v>
      </c>
      <c r="P811" s="162" t="s">
        <v>1619</v>
      </c>
      <c r="Q811" s="176"/>
      <c r="R811" s="174">
        <v>2047</v>
      </c>
      <c r="S811" s="179"/>
      <c r="T811" s="162" t="s">
        <v>24</v>
      </c>
      <c r="U811" s="161" t="s">
        <v>13</v>
      </c>
      <c r="V811" s="174">
        <v>1139</v>
      </c>
      <c r="W811" s="180"/>
      <c r="X811" s="185">
        <v>45069</v>
      </c>
      <c r="Y811" s="187">
        <v>45099.368645833332</v>
      </c>
    </row>
    <row r="812" spans="1:25">
      <c r="A812" s="167" t="s">
        <v>110</v>
      </c>
      <c r="B812" s="162" t="s">
        <v>1599</v>
      </c>
      <c r="C812" s="163" t="s">
        <v>716</v>
      </c>
      <c r="D812" s="162" t="s">
        <v>717</v>
      </c>
      <c r="E812" s="161" t="s">
        <v>1673</v>
      </c>
      <c r="F812" s="162" t="s">
        <v>1590</v>
      </c>
      <c r="G812" s="161"/>
      <c r="H812" s="214">
        <v>4</v>
      </c>
      <c r="I812" s="171">
        <v>50</v>
      </c>
      <c r="J812" s="170">
        <v>50</v>
      </c>
      <c r="K812" s="172">
        <v>200</v>
      </c>
      <c r="L812" s="170">
        <v>200</v>
      </c>
      <c r="M812" s="171">
        <v>200</v>
      </c>
      <c r="N812" s="170"/>
      <c r="O812" s="177" t="s">
        <v>1523</v>
      </c>
      <c r="P812" s="162" t="s">
        <v>1619</v>
      </c>
      <c r="Q812" s="176"/>
      <c r="R812" s="174"/>
      <c r="S812" s="179"/>
      <c r="T812" s="162" t="s">
        <v>28</v>
      </c>
      <c r="U812" s="161" t="s">
        <v>13</v>
      </c>
      <c r="V812" s="174">
        <v>1139</v>
      </c>
      <c r="W812" s="180"/>
      <c r="X812" s="185">
        <v>45069</v>
      </c>
      <c r="Y812" s="187">
        <v>45099.368645833332</v>
      </c>
    </row>
    <row r="813" spans="1:25">
      <c r="A813" s="167" t="s">
        <v>110</v>
      </c>
      <c r="B813" s="162" t="s">
        <v>1599</v>
      </c>
      <c r="C813" s="163" t="s">
        <v>2838</v>
      </c>
      <c r="D813" s="162" t="s">
        <v>2122</v>
      </c>
      <c r="E813" s="161" t="s">
        <v>1602</v>
      </c>
      <c r="F813" s="162" t="s">
        <v>1603</v>
      </c>
      <c r="G813" s="161"/>
      <c r="H813" s="214">
        <v>1</v>
      </c>
      <c r="I813" s="171"/>
      <c r="J813" s="170">
        <v>300</v>
      </c>
      <c r="K813" s="172"/>
      <c r="L813" s="170">
        <v>300</v>
      </c>
      <c r="M813" s="171">
        <v>300</v>
      </c>
      <c r="N813" s="170">
        <v>900</v>
      </c>
      <c r="O813" s="177" t="s">
        <v>1523</v>
      </c>
      <c r="P813" s="162" t="s">
        <v>1619</v>
      </c>
      <c r="Q813" s="176"/>
      <c r="R813" s="174"/>
      <c r="S813" s="179"/>
      <c r="T813" s="162" t="s">
        <v>28</v>
      </c>
      <c r="U813" s="161" t="s">
        <v>19</v>
      </c>
      <c r="V813" s="174">
        <v>1882</v>
      </c>
      <c r="W813" s="180" t="s">
        <v>2839</v>
      </c>
      <c r="X813" s="185">
        <v>45069</v>
      </c>
      <c r="Y813" s="187">
        <v>45098.356087962966</v>
      </c>
    </row>
    <row r="814" spans="1:25">
      <c r="A814" s="167" t="s">
        <v>110</v>
      </c>
      <c r="B814" s="162" t="s">
        <v>1599</v>
      </c>
      <c r="C814" s="163" t="s">
        <v>254</v>
      </c>
      <c r="D814" s="162" t="s">
        <v>255</v>
      </c>
      <c r="E814" s="161" t="s">
        <v>1602</v>
      </c>
      <c r="F814" s="162" t="s">
        <v>1614</v>
      </c>
      <c r="G814" s="161"/>
      <c r="H814" s="214">
        <v>76</v>
      </c>
      <c r="I814" s="171"/>
      <c r="J814" s="170">
        <v>4.3899999999999997</v>
      </c>
      <c r="K814" s="172"/>
      <c r="L814" s="170">
        <v>333.64</v>
      </c>
      <c r="M814" s="171">
        <v>333.64</v>
      </c>
      <c r="N814" s="170">
        <v>600</v>
      </c>
      <c r="O814" s="177" t="s">
        <v>1523</v>
      </c>
      <c r="P814" s="162" t="s">
        <v>1619</v>
      </c>
      <c r="Q814" s="176"/>
      <c r="R814" s="174"/>
      <c r="S814" s="179"/>
      <c r="T814" s="162" t="s">
        <v>28</v>
      </c>
      <c r="U814" s="161" t="s">
        <v>19</v>
      </c>
      <c r="V814" s="174">
        <v>2022</v>
      </c>
      <c r="W814" s="180" t="s">
        <v>2840</v>
      </c>
      <c r="X814" s="185">
        <v>45069</v>
      </c>
      <c r="Y814" s="187">
        <v>45013.374108796299</v>
      </c>
    </row>
    <row r="815" spans="1:25">
      <c r="A815" s="167" t="s">
        <v>110</v>
      </c>
      <c r="B815" s="162" t="s">
        <v>1555</v>
      </c>
      <c r="C815" s="163" t="s">
        <v>393</v>
      </c>
      <c r="D815" s="162" t="s">
        <v>394</v>
      </c>
      <c r="E815" s="161" t="s">
        <v>1625</v>
      </c>
      <c r="F815" s="162" t="s">
        <v>1609</v>
      </c>
      <c r="G815" s="161" t="s">
        <v>2841</v>
      </c>
      <c r="H815" s="214">
        <v>35</v>
      </c>
      <c r="I815" s="171">
        <v>4.5</v>
      </c>
      <c r="J815" s="170">
        <v>4.5</v>
      </c>
      <c r="K815" s="172">
        <v>157.5</v>
      </c>
      <c r="L815" s="170">
        <v>157.5</v>
      </c>
      <c r="M815" s="171">
        <v>157.5</v>
      </c>
      <c r="N815" s="170"/>
      <c r="O815" s="177" t="s">
        <v>401</v>
      </c>
      <c r="P815" s="162" t="s">
        <v>1620</v>
      </c>
      <c r="Q815" s="176">
        <v>45047</v>
      </c>
      <c r="R815" s="174">
        <v>2047</v>
      </c>
      <c r="S815" s="179"/>
      <c r="T815" s="162" t="s">
        <v>24</v>
      </c>
      <c r="U815" s="161" t="s">
        <v>16</v>
      </c>
      <c r="V815" s="174">
        <v>1138</v>
      </c>
      <c r="W815" s="180"/>
      <c r="X815" s="185">
        <v>45069</v>
      </c>
      <c r="Y815" s="187">
        <v>45019.736597222225</v>
      </c>
    </row>
    <row r="816" spans="1:25">
      <c r="A816" s="167" t="s">
        <v>110</v>
      </c>
      <c r="B816" s="162" t="s">
        <v>1555</v>
      </c>
      <c r="C816" s="163" t="s">
        <v>1403</v>
      </c>
      <c r="D816" s="162" t="s">
        <v>2842</v>
      </c>
      <c r="E816" s="161" t="s">
        <v>1625</v>
      </c>
      <c r="F816" s="162" t="s">
        <v>1609</v>
      </c>
      <c r="G816" s="161" t="s">
        <v>2843</v>
      </c>
      <c r="H816" s="214">
        <v>13</v>
      </c>
      <c r="I816" s="171">
        <v>1.5</v>
      </c>
      <c r="J816" s="170">
        <v>1.5</v>
      </c>
      <c r="K816" s="172">
        <v>19.5</v>
      </c>
      <c r="L816" s="170">
        <v>19.5</v>
      </c>
      <c r="M816" s="171">
        <v>19.5</v>
      </c>
      <c r="N816" s="170">
        <v>0</v>
      </c>
      <c r="O816" s="177" t="s">
        <v>76</v>
      </c>
      <c r="P816" s="162" t="s">
        <v>1591</v>
      </c>
      <c r="Q816" s="176"/>
      <c r="R816" s="174"/>
      <c r="S816" s="179"/>
      <c r="T816" s="162" t="s">
        <v>24</v>
      </c>
      <c r="U816" s="161" t="s">
        <v>16</v>
      </c>
      <c r="V816" s="174">
        <v>1331</v>
      </c>
      <c r="W816" s="180"/>
      <c r="X816" s="185">
        <v>44805</v>
      </c>
      <c r="Y816" s="187">
        <v>44981.411296296297</v>
      </c>
    </row>
    <row r="817" spans="1:25">
      <c r="A817" s="167" t="s">
        <v>110</v>
      </c>
      <c r="B817" s="162" t="s">
        <v>1599</v>
      </c>
      <c r="C817" s="163" t="s">
        <v>2844</v>
      </c>
      <c r="D817" s="162" t="s">
        <v>2098</v>
      </c>
      <c r="E817" s="161" t="s">
        <v>1602</v>
      </c>
      <c r="F817" s="162" t="s">
        <v>1603</v>
      </c>
      <c r="G817" s="161"/>
      <c r="H817" s="214">
        <v>1</v>
      </c>
      <c r="I817" s="171"/>
      <c r="J817" s="170">
        <v>230</v>
      </c>
      <c r="K817" s="172"/>
      <c r="L817" s="170">
        <v>230</v>
      </c>
      <c r="M817" s="171">
        <v>230</v>
      </c>
      <c r="N817" s="170">
        <v>0</v>
      </c>
      <c r="O817" s="177" t="s">
        <v>1523</v>
      </c>
      <c r="P817" s="162" t="s">
        <v>1604</v>
      </c>
      <c r="Q817" s="176"/>
      <c r="R817" s="174"/>
      <c r="S817" s="179"/>
      <c r="T817" s="162" t="s">
        <v>28</v>
      </c>
      <c r="U817" s="161" t="s">
        <v>19</v>
      </c>
      <c r="V817" s="174">
        <v>2258</v>
      </c>
      <c r="W817" s="180" t="s">
        <v>2845</v>
      </c>
      <c r="X817" s="185">
        <v>45017</v>
      </c>
      <c r="Y817" s="187">
        <v>44903.39340277778</v>
      </c>
    </row>
    <row r="818" spans="1:25">
      <c r="A818" s="167" t="s">
        <v>110</v>
      </c>
      <c r="B818" s="162" t="s">
        <v>1599</v>
      </c>
      <c r="C818" s="163" t="s">
        <v>2846</v>
      </c>
      <c r="D818" s="162" t="s">
        <v>2847</v>
      </c>
      <c r="E818" s="161" t="s">
        <v>1631</v>
      </c>
      <c r="F818" s="162" t="s">
        <v>1614</v>
      </c>
      <c r="G818" s="161"/>
      <c r="H818" s="214">
        <v>11</v>
      </c>
      <c r="I818" s="171">
        <v>6</v>
      </c>
      <c r="J818" s="170">
        <v>7.5</v>
      </c>
      <c r="K818" s="172">
        <v>66</v>
      </c>
      <c r="L818" s="170">
        <v>82.5</v>
      </c>
      <c r="M818" s="171" t="s">
        <v>2848</v>
      </c>
      <c r="N818" s="170"/>
      <c r="O818" s="177" t="s">
        <v>1523</v>
      </c>
      <c r="P818" s="162" t="s">
        <v>1620</v>
      </c>
      <c r="Q818" s="176"/>
      <c r="R818" s="174"/>
      <c r="S818" s="179"/>
      <c r="T818" s="162" t="s">
        <v>28</v>
      </c>
      <c r="U818" s="161" t="s">
        <v>1615</v>
      </c>
      <c r="V818" s="174">
        <v>2009</v>
      </c>
      <c r="W818" s="180"/>
      <c r="X818" s="185">
        <v>45069</v>
      </c>
      <c r="Y818" s="187">
        <v>44981.414305555554</v>
      </c>
    </row>
    <row r="819" spans="1:25">
      <c r="A819" s="167" t="s">
        <v>77</v>
      </c>
      <c r="B819" s="162" t="s">
        <v>1555</v>
      </c>
      <c r="C819" s="163" t="s">
        <v>843</v>
      </c>
      <c r="D819" s="162" t="s">
        <v>442</v>
      </c>
      <c r="E819" s="161" t="s">
        <v>1625</v>
      </c>
      <c r="F819" s="162" t="s">
        <v>1609</v>
      </c>
      <c r="G819" s="161" t="s">
        <v>2849</v>
      </c>
      <c r="H819" s="214">
        <v>53</v>
      </c>
      <c r="I819" s="171">
        <v>3.41</v>
      </c>
      <c r="J819" s="170">
        <v>3.41</v>
      </c>
      <c r="K819" s="172">
        <v>180.52</v>
      </c>
      <c r="L819" s="170">
        <v>180.52</v>
      </c>
      <c r="M819" s="171">
        <v>180.52</v>
      </c>
      <c r="N819" s="170"/>
      <c r="O819" s="177" t="s">
        <v>76</v>
      </c>
      <c r="P819" s="162" t="s">
        <v>1620</v>
      </c>
      <c r="Q819" s="176">
        <v>43374</v>
      </c>
      <c r="R819" s="174">
        <v>2043</v>
      </c>
      <c r="S819" s="179"/>
      <c r="T819" s="162" t="s">
        <v>24</v>
      </c>
      <c r="U819" s="161" t="s">
        <v>16</v>
      </c>
      <c r="V819" s="174">
        <v>1258</v>
      </c>
      <c r="W819" s="180"/>
      <c r="X819" s="185">
        <v>45017</v>
      </c>
      <c r="Y819" s="187">
        <v>45016.461377314816</v>
      </c>
    </row>
    <row r="820" spans="1:25">
      <c r="A820" s="167" t="s">
        <v>110</v>
      </c>
      <c r="B820" s="162" t="s">
        <v>1599</v>
      </c>
      <c r="C820" s="163" t="s">
        <v>2850</v>
      </c>
      <c r="D820" s="162" t="s">
        <v>2851</v>
      </c>
      <c r="E820" s="161" t="s">
        <v>1625</v>
      </c>
      <c r="F820" s="162" t="s">
        <v>1609</v>
      </c>
      <c r="G820" s="161"/>
      <c r="H820" s="214">
        <v>85</v>
      </c>
      <c r="I820" s="171">
        <v>4</v>
      </c>
      <c r="J820" s="170">
        <v>5.4</v>
      </c>
      <c r="K820" s="172">
        <v>340</v>
      </c>
      <c r="L820" s="170">
        <v>459</v>
      </c>
      <c r="M820" s="171" t="s">
        <v>2852</v>
      </c>
      <c r="N820" s="170"/>
      <c r="O820" s="177" t="s">
        <v>1523</v>
      </c>
      <c r="P820" s="162" t="s">
        <v>1620</v>
      </c>
      <c r="Q820" s="176"/>
      <c r="R820" s="174"/>
      <c r="S820" s="179"/>
      <c r="T820" s="162" t="s">
        <v>28</v>
      </c>
      <c r="U820" s="161" t="s">
        <v>16</v>
      </c>
      <c r="V820" s="174">
        <v>1500</v>
      </c>
      <c r="W820" s="180" t="s">
        <v>3978</v>
      </c>
      <c r="X820" s="185">
        <v>45069</v>
      </c>
      <c r="Y820" s="187">
        <v>45021.425023148149</v>
      </c>
    </row>
    <row r="821" spans="1:25">
      <c r="A821" s="167" t="s">
        <v>77</v>
      </c>
      <c r="B821" s="162" t="s">
        <v>1599</v>
      </c>
      <c r="C821" s="163" t="s">
        <v>2853</v>
      </c>
      <c r="D821" s="162" t="s">
        <v>142</v>
      </c>
      <c r="E821" s="161" t="s">
        <v>1625</v>
      </c>
      <c r="F821" s="162" t="s">
        <v>1609</v>
      </c>
      <c r="G821" s="161"/>
      <c r="H821" s="214">
        <v>1</v>
      </c>
      <c r="I821" s="171">
        <v>0</v>
      </c>
      <c r="J821" s="170">
        <v>330</v>
      </c>
      <c r="K821" s="172">
        <v>0</v>
      </c>
      <c r="L821" s="170">
        <v>330</v>
      </c>
      <c r="M821" s="171">
        <v>330</v>
      </c>
      <c r="N821" s="170"/>
      <c r="O821" s="177" t="s">
        <v>1523</v>
      </c>
      <c r="P821" s="162" t="s">
        <v>1620</v>
      </c>
      <c r="Q821" s="176">
        <v>45809</v>
      </c>
      <c r="R821" s="174">
        <v>2050</v>
      </c>
      <c r="S821" s="179"/>
      <c r="T821" s="162" t="s">
        <v>28</v>
      </c>
      <c r="U821" s="161" t="s">
        <v>16</v>
      </c>
      <c r="V821" s="174">
        <v>2405</v>
      </c>
      <c r="W821" s="180" t="s">
        <v>3979</v>
      </c>
      <c r="X821" s="185">
        <v>45069</v>
      </c>
      <c r="Y821" s="187">
        <v>45097.634479166663</v>
      </c>
    </row>
    <row r="822" spans="1:25">
      <c r="A822" s="220" t="s">
        <v>77</v>
      </c>
      <c r="B822" s="221" t="s">
        <v>1599</v>
      </c>
      <c r="C822" s="222" t="s">
        <v>3893</v>
      </c>
      <c r="D822" s="221" t="s">
        <v>244</v>
      </c>
      <c r="E822" s="223" t="s">
        <v>1613</v>
      </c>
      <c r="F822" s="224" t="s">
        <v>1615</v>
      </c>
      <c r="G822" s="223"/>
      <c r="H822" s="225">
        <v>1</v>
      </c>
      <c r="I822" s="226"/>
      <c r="J822" s="227">
        <v>630</v>
      </c>
      <c r="K822" s="228"/>
      <c r="L822" s="227">
        <v>630</v>
      </c>
      <c r="M822" s="226">
        <v>630</v>
      </c>
      <c r="N822" s="229"/>
      <c r="O822" s="230" t="s">
        <v>1523</v>
      </c>
      <c r="P822" s="221" t="s">
        <v>1604</v>
      </c>
      <c r="Q822" s="231"/>
      <c r="R822" s="232"/>
      <c r="S822" s="233"/>
      <c r="T822" s="224" t="s">
        <v>28</v>
      </c>
      <c r="U822" s="223" t="s">
        <v>1615</v>
      </c>
      <c r="V822" s="232">
        <v>2555</v>
      </c>
      <c r="W822" s="234" t="s">
        <v>3994</v>
      </c>
      <c r="X822" s="235"/>
      <c r="Y822" s="236">
        <v>45111.564618055556</v>
      </c>
    </row>
    <row r="823" spans="1:25">
      <c r="A823" s="167" t="s">
        <v>45</v>
      </c>
      <c r="B823" s="162" t="s">
        <v>1555</v>
      </c>
      <c r="C823" s="163" t="s">
        <v>2854</v>
      </c>
      <c r="D823" s="162" t="s">
        <v>2855</v>
      </c>
      <c r="E823" s="161" t="s">
        <v>1631</v>
      </c>
      <c r="F823" s="164" t="s">
        <v>1614</v>
      </c>
      <c r="G823" s="161"/>
      <c r="H823" s="215">
        <v>1</v>
      </c>
      <c r="I823" s="171">
        <v>2.2999999999999998</v>
      </c>
      <c r="J823" s="173">
        <v>2.2999999999999998</v>
      </c>
      <c r="K823" s="172">
        <v>2.2999999999999998</v>
      </c>
      <c r="L823" s="173">
        <v>2.2999999999999998</v>
      </c>
      <c r="M823" s="171">
        <v>2.2999999999999998</v>
      </c>
      <c r="N823" s="170"/>
      <c r="O823" s="177" t="s">
        <v>76</v>
      </c>
      <c r="P823" s="162" t="s">
        <v>1591</v>
      </c>
      <c r="Q823" s="176"/>
      <c r="R823" s="175">
        <v>2041</v>
      </c>
      <c r="S823" s="179"/>
      <c r="T823" s="164" t="s">
        <v>24</v>
      </c>
      <c r="U823" s="161" t="s">
        <v>1615</v>
      </c>
      <c r="V823" s="175">
        <v>1448</v>
      </c>
      <c r="W823" s="181"/>
      <c r="X823" s="185">
        <v>44805</v>
      </c>
      <c r="Y823" s="187">
        <v>45029.579571759263</v>
      </c>
    </row>
    <row r="824" spans="1:25">
      <c r="A824" s="167" t="s">
        <v>77</v>
      </c>
      <c r="B824" s="162" t="s">
        <v>1555</v>
      </c>
      <c r="C824" s="163" t="s">
        <v>2856</v>
      </c>
      <c r="D824" s="162" t="s">
        <v>1604</v>
      </c>
      <c r="E824" s="161" t="s">
        <v>1613</v>
      </c>
      <c r="F824" s="162" t="s">
        <v>1614</v>
      </c>
      <c r="G824" s="161"/>
      <c r="H824" s="214">
        <v>1</v>
      </c>
      <c r="I824" s="171"/>
      <c r="J824" s="170">
        <v>0.3</v>
      </c>
      <c r="K824" s="172"/>
      <c r="L824" s="170">
        <v>0.3</v>
      </c>
      <c r="M824" s="171">
        <v>0.3</v>
      </c>
      <c r="N824" s="170"/>
      <c r="O824" s="177" t="s">
        <v>76</v>
      </c>
      <c r="P824" s="162" t="s">
        <v>1591</v>
      </c>
      <c r="Q824" s="176"/>
      <c r="R824" s="174"/>
      <c r="S824" s="179"/>
      <c r="T824" s="162" t="s">
        <v>24</v>
      </c>
      <c r="U824" s="161" t="s">
        <v>1615</v>
      </c>
      <c r="V824" s="174">
        <v>2093</v>
      </c>
      <c r="W824" s="180"/>
      <c r="X824" s="185" t="s">
        <v>259</v>
      </c>
      <c r="Y824" s="187">
        <v>44830.677569444444</v>
      </c>
    </row>
    <row r="825" spans="1:25">
      <c r="A825" s="167" t="s">
        <v>77</v>
      </c>
      <c r="B825" s="162" t="s">
        <v>1599</v>
      </c>
      <c r="C825" s="163" t="s">
        <v>2857</v>
      </c>
      <c r="D825" s="162" t="s">
        <v>2438</v>
      </c>
      <c r="E825" s="161" t="s">
        <v>1625</v>
      </c>
      <c r="F825" s="162" t="s">
        <v>1609</v>
      </c>
      <c r="G825" s="161"/>
      <c r="H825" s="214">
        <v>1</v>
      </c>
      <c r="I825" s="171">
        <v>365</v>
      </c>
      <c r="J825" s="170">
        <v>365</v>
      </c>
      <c r="K825" s="172">
        <v>365</v>
      </c>
      <c r="L825" s="170">
        <v>365</v>
      </c>
      <c r="M825" s="171">
        <v>365</v>
      </c>
      <c r="N825" s="170"/>
      <c r="O825" s="177" t="s">
        <v>1523</v>
      </c>
      <c r="P825" s="162" t="s">
        <v>1604</v>
      </c>
      <c r="Q825" s="176"/>
      <c r="R825" s="174"/>
      <c r="S825" s="179"/>
      <c r="T825" s="162" t="s">
        <v>28</v>
      </c>
      <c r="U825" s="161" t="s">
        <v>16</v>
      </c>
      <c r="V825" s="174">
        <v>2491</v>
      </c>
      <c r="W825" s="180" t="s">
        <v>2858</v>
      </c>
      <c r="X825" s="185">
        <v>45017</v>
      </c>
      <c r="Y825" s="187">
        <v>45035.786053240743</v>
      </c>
    </row>
    <row r="826" spans="1:25">
      <c r="A826" s="167" t="s">
        <v>110</v>
      </c>
      <c r="B826" s="162" t="s">
        <v>1555</v>
      </c>
      <c r="C826" s="163" t="s">
        <v>2859</v>
      </c>
      <c r="D826" s="162" t="s">
        <v>1604</v>
      </c>
      <c r="E826" s="161" t="s">
        <v>1700</v>
      </c>
      <c r="F826" s="164" t="s">
        <v>1658</v>
      </c>
      <c r="G826" s="161"/>
      <c r="H826" s="215">
        <v>1</v>
      </c>
      <c r="I826" s="171"/>
      <c r="J826" s="173">
        <v>0.36</v>
      </c>
      <c r="K826" s="172"/>
      <c r="L826" s="173">
        <v>0.36</v>
      </c>
      <c r="M826" s="171">
        <v>0.36</v>
      </c>
      <c r="N826" s="170"/>
      <c r="O826" s="177" t="s">
        <v>76</v>
      </c>
      <c r="P826" s="162" t="s">
        <v>1591</v>
      </c>
      <c r="Q826" s="176"/>
      <c r="R826" s="175"/>
      <c r="S826" s="179"/>
      <c r="T826" s="164" t="s">
        <v>24</v>
      </c>
      <c r="U826" s="161" t="s">
        <v>17</v>
      </c>
      <c r="V826" s="175">
        <v>2094</v>
      </c>
      <c r="W826" s="181"/>
      <c r="X826" s="186" t="s">
        <v>259</v>
      </c>
      <c r="Y826" s="187">
        <v>44830.680393518516</v>
      </c>
    </row>
    <row r="827" spans="1:25">
      <c r="A827" s="167" t="s">
        <v>77</v>
      </c>
      <c r="B827" s="162" t="s">
        <v>1555</v>
      </c>
      <c r="C827" s="163" t="s">
        <v>272</v>
      </c>
      <c r="D827" s="162" t="s">
        <v>273</v>
      </c>
      <c r="E827" s="161" t="s">
        <v>1631</v>
      </c>
      <c r="F827" s="164" t="s">
        <v>1614</v>
      </c>
      <c r="G827" s="161" t="s">
        <v>274</v>
      </c>
      <c r="H827" s="215">
        <v>36</v>
      </c>
      <c r="I827" s="171"/>
      <c r="J827" s="173">
        <v>2.75</v>
      </c>
      <c r="K827" s="172"/>
      <c r="L827" s="173">
        <v>99</v>
      </c>
      <c r="M827" s="171">
        <v>99</v>
      </c>
      <c r="N827" s="170"/>
      <c r="O827" s="177" t="s">
        <v>76</v>
      </c>
      <c r="P827" s="162" t="s">
        <v>1620</v>
      </c>
      <c r="Q827" s="176">
        <v>45017</v>
      </c>
      <c r="R827" s="175">
        <v>2057</v>
      </c>
      <c r="S827" s="179"/>
      <c r="T827" s="164" t="s">
        <v>24</v>
      </c>
      <c r="U827" s="161" t="s">
        <v>1615</v>
      </c>
      <c r="V827" s="175">
        <v>1880</v>
      </c>
      <c r="W827" s="181"/>
      <c r="X827" s="186">
        <v>45017</v>
      </c>
      <c r="Y827" s="187">
        <v>45027.644756944443</v>
      </c>
    </row>
    <row r="828" spans="1:25">
      <c r="A828" s="167" t="s">
        <v>77</v>
      </c>
      <c r="B828" s="162" t="s">
        <v>1599</v>
      </c>
      <c r="C828" s="163" t="s">
        <v>2860</v>
      </c>
      <c r="D828" s="162" t="s">
        <v>1760</v>
      </c>
      <c r="E828" s="161" t="s">
        <v>1602</v>
      </c>
      <c r="F828" s="164" t="s">
        <v>1603</v>
      </c>
      <c r="G828" s="161"/>
      <c r="H828" s="215">
        <v>1</v>
      </c>
      <c r="I828" s="171">
        <v>20</v>
      </c>
      <c r="J828" s="173">
        <v>20</v>
      </c>
      <c r="K828" s="172">
        <v>20</v>
      </c>
      <c r="L828" s="173">
        <v>20</v>
      </c>
      <c r="M828" s="171">
        <v>20</v>
      </c>
      <c r="N828" s="170">
        <v>0</v>
      </c>
      <c r="O828" s="177" t="s">
        <v>1523</v>
      </c>
      <c r="P828" s="162" t="s">
        <v>1619</v>
      </c>
      <c r="Q828" s="176"/>
      <c r="R828" s="175"/>
      <c r="S828" s="179"/>
      <c r="T828" s="164" t="s">
        <v>28</v>
      </c>
      <c r="U828" s="161" t="s">
        <v>19</v>
      </c>
      <c r="V828" s="175">
        <v>2507</v>
      </c>
      <c r="W828" s="181"/>
      <c r="X828" s="186" t="s">
        <v>259</v>
      </c>
      <c r="Y828" s="187">
        <v>45042.619212962964</v>
      </c>
    </row>
    <row r="829" spans="1:25">
      <c r="A829" s="167" t="s">
        <v>77</v>
      </c>
      <c r="B829" s="162" t="s">
        <v>1599</v>
      </c>
      <c r="C829" s="163" t="s">
        <v>2861</v>
      </c>
      <c r="D829" s="162" t="s">
        <v>1760</v>
      </c>
      <c r="E829" s="161" t="s">
        <v>1613</v>
      </c>
      <c r="F829" s="162" t="s">
        <v>1614</v>
      </c>
      <c r="G829" s="161"/>
      <c r="H829" s="214">
        <v>1</v>
      </c>
      <c r="I829" s="171">
        <v>20</v>
      </c>
      <c r="J829" s="170">
        <v>20</v>
      </c>
      <c r="K829" s="172">
        <v>20</v>
      </c>
      <c r="L829" s="170">
        <v>20</v>
      </c>
      <c r="M829" s="171">
        <v>20</v>
      </c>
      <c r="N829" s="170"/>
      <c r="O829" s="177" t="s">
        <v>1523</v>
      </c>
      <c r="P829" s="162" t="s">
        <v>1620</v>
      </c>
      <c r="Q829" s="176"/>
      <c r="R829" s="174"/>
      <c r="S829" s="179"/>
      <c r="T829" s="162" t="s">
        <v>28</v>
      </c>
      <c r="U829" s="161" t="s">
        <v>1615</v>
      </c>
      <c r="V829" s="174">
        <v>2506</v>
      </c>
      <c r="W829" s="180"/>
      <c r="X829" s="185" t="s">
        <v>259</v>
      </c>
      <c r="Y829" s="187">
        <v>45042.615497685183</v>
      </c>
    </row>
    <row r="830" spans="1:25">
      <c r="A830" s="167" t="s">
        <v>77</v>
      </c>
      <c r="B830" s="162" t="s">
        <v>1599</v>
      </c>
      <c r="C830" s="163" t="s">
        <v>2862</v>
      </c>
      <c r="D830" s="162" t="s">
        <v>1760</v>
      </c>
      <c r="E830" s="161" t="s">
        <v>1625</v>
      </c>
      <c r="F830" s="162" t="s">
        <v>1609</v>
      </c>
      <c r="G830" s="161"/>
      <c r="H830" s="214">
        <v>1</v>
      </c>
      <c r="I830" s="171">
        <v>40</v>
      </c>
      <c r="J830" s="170">
        <v>40</v>
      </c>
      <c r="K830" s="172">
        <v>40</v>
      </c>
      <c r="L830" s="170">
        <v>40</v>
      </c>
      <c r="M830" s="171">
        <v>40</v>
      </c>
      <c r="N830" s="170"/>
      <c r="O830" s="177" t="s">
        <v>1523</v>
      </c>
      <c r="P830" s="162" t="s">
        <v>1620</v>
      </c>
      <c r="Q830" s="176"/>
      <c r="R830" s="174"/>
      <c r="S830" s="179"/>
      <c r="T830" s="162" t="s">
        <v>28</v>
      </c>
      <c r="U830" s="161" t="s">
        <v>16</v>
      </c>
      <c r="V830" s="174">
        <v>2505</v>
      </c>
      <c r="W830" s="180"/>
      <c r="X830" s="185" t="s">
        <v>259</v>
      </c>
      <c r="Y830" s="187">
        <v>45042.612060185187</v>
      </c>
    </row>
    <row r="831" spans="1:25">
      <c r="A831" s="167" t="s">
        <v>77</v>
      </c>
      <c r="B831" s="162" t="s">
        <v>1599</v>
      </c>
      <c r="C831" s="163" t="s">
        <v>2863</v>
      </c>
      <c r="D831" s="162" t="s">
        <v>2864</v>
      </c>
      <c r="E831" s="161" t="s">
        <v>1739</v>
      </c>
      <c r="F831" s="162" t="s">
        <v>1603</v>
      </c>
      <c r="G831" s="161"/>
      <c r="H831" s="214">
        <v>1</v>
      </c>
      <c r="I831" s="171">
        <v>7.6</v>
      </c>
      <c r="J831" s="170">
        <v>7.6</v>
      </c>
      <c r="K831" s="172">
        <v>7.6</v>
      </c>
      <c r="L831" s="170">
        <v>7.6</v>
      </c>
      <c r="M831" s="171">
        <v>7.6</v>
      </c>
      <c r="N831" s="170"/>
      <c r="O831" s="177" t="s">
        <v>1523</v>
      </c>
      <c r="P831" s="162" t="s">
        <v>1619</v>
      </c>
      <c r="Q831" s="176"/>
      <c r="R831" s="174"/>
      <c r="S831" s="179"/>
      <c r="T831" s="162" t="s">
        <v>28</v>
      </c>
      <c r="U831" s="161" t="s">
        <v>14</v>
      </c>
      <c r="V831" s="174">
        <v>1310</v>
      </c>
      <c r="W831" s="180"/>
      <c r="X831" s="185">
        <v>45017</v>
      </c>
      <c r="Y831" s="187">
        <v>43204.304224537038</v>
      </c>
    </row>
    <row r="832" spans="1:25">
      <c r="A832" s="167" t="s">
        <v>77</v>
      </c>
      <c r="B832" s="162" t="s">
        <v>1599</v>
      </c>
      <c r="C832" s="163" t="s">
        <v>2865</v>
      </c>
      <c r="D832" s="162" t="s">
        <v>2866</v>
      </c>
      <c r="E832" s="161" t="s">
        <v>1602</v>
      </c>
      <c r="F832" s="162" t="s">
        <v>1603</v>
      </c>
      <c r="G832" s="161"/>
      <c r="H832" s="214">
        <v>1</v>
      </c>
      <c r="I832" s="171">
        <v>300</v>
      </c>
      <c r="J832" s="170">
        <v>300</v>
      </c>
      <c r="K832" s="172">
        <v>300</v>
      </c>
      <c r="L832" s="170">
        <v>300</v>
      </c>
      <c r="M832" s="171">
        <v>300</v>
      </c>
      <c r="N832" s="170">
        <v>600</v>
      </c>
      <c r="O832" s="177" t="s">
        <v>1523</v>
      </c>
      <c r="P832" s="162" t="s">
        <v>1604</v>
      </c>
      <c r="Q832" s="176"/>
      <c r="R832" s="174"/>
      <c r="S832" s="179"/>
      <c r="T832" s="162" t="s">
        <v>28</v>
      </c>
      <c r="U832" s="161" t="s">
        <v>19</v>
      </c>
      <c r="V832" s="174">
        <v>2322</v>
      </c>
      <c r="W832" s="180"/>
      <c r="X832" s="185">
        <v>45017</v>
      </c>
      <c r="Y832" s="187">
        <v>44915.257604166669</v>
      </c>
    </row>
    <row r="833" spans="1:25">
      <c r="A833" s="167" t="s">
        <v>77</v>
      </c>
      <c r="B833" s="162" t="s">
        <v>1599</v>
      </c>
      <c r="C833" s="163" t="s">
        <v>2867</v>
      </c>
      <c r="D833" s="162" t="s">
        <v>2868</v>
      </c>
      <c r="E833" s="161" t="s">
        <v>1625</v>
      </c>
      <c r="F833" s="162" t="s">
        <v>1609</v>
      </c>
      <c r="G833" s="161"/>
      <c r="H833" s="214">
        <v>1</v>
      </c>
      <c r="I833" s="171">
        <v>342</v>
      </c>
      <c r="J833" s="170">
        <v>342</v>
      </c>
      <c r="K833" s="172">
        <v>342</v>
      </c>
      <c r="L833" s="170">
        <v>342</v>
      </c>
      <c r="M833" s="171">
        <v>342</v>
      </c>
      <c r="N833" s="170"/>
      <c r="O833" s="177" t="s">
        <v>1523</v>
      </c>
      <c r="P833" s="162" t="s">
        <v>1604</v>
      </c>
      <c r="Q833" s="176"/>
      <c r="R833" s="174"/>
      <c r="S833" s="179"/>
      <c r="T833" s="162" t="s">
        <v>28</v>
      </c>
      <c r="U833" s="161" t="s">
        <v>16</v>
      </c>
      <c r="V833" s="174">
        <v>2272</v>
      </c>
      <c r="W833" s="180" t="s">
        <v>2869</v>
      </c>
      <c r="X833" s="185">
        <v>45017</v>
      </c>
      <c r="Y833" s="187">
        <v>44945.271828703706</v>
      </c>
    </row>
    <row r="834" spans="1:25">
      <c r="A834" s="167" t="s">
        <v>110</v>
      </c>
      <c r="B834" s="162" t="s">
        <v>1555</v>
      </c>
      <c r="C834" s="163" t="s">
        <v>754</v>
      </c>
      <c r="D834" s="162" t="s">
        <v>755</v>
      </c>
      <c r="E834" s="161" t="s">
        <v>1625</v>
      </c>
      <c r="F834" s="162" t="s">
        <v>1609</v>
      </c>
      <c r="G834" s="161" t="s">
        <v>756</v>
      </c>
      <c r="H834" s="214">
        <v>44</v>
      </c>
      <c r="I834" s="171"/>
      <c r="J834" s="170">
        <v>3.15</v>
      </c>
      <c r="K834" s="172"/>
      <c r="L834" s="170">
        <v>138.6</v>
      </c>
      <c r="M834" s="171">
        <v>138.6</v>
      </c>
      <c r="N834" s="170"/>
      <c r="O834" s="177" t="s">
        <v>401</v>
      </c>
      <c r="P834" s="162" t="s">
        <v>1620</v>
      </c>
      <c r="Q834" s="176">
        <v>43282</v>
      </c>
      <c r="R834" s="174">
        <v>2043</v>
      </c>
      <c r="S834" s="179"/>
      <c r="T834" s="162" t="s">
        <v>24</v>
      </c>
      <c r="U834" s="161" t="s">
        <v>16</v>
      </c>
      <c r="V834" s="174">
        <v>1141</v>
      </c>
      <c r="W834" s="180"/>
      <c r="X834" s="185">
        <v>45017</v>
      </c>
      <c r="Y834" s="187">
        <v>45015.634340277778</v>
      </c>
    </row>
    <row r="835" spans="1:25">
      <c r="A835" s="167" t="s">
        <v>110</v>
      </c>
      <c r="B835" s="162" t="s">
        <v>1555</v>
      </c>
      <c r="C835" s="163" t="s">
        <v>1309</v>
      </c>
      <c r="D835" s="162" t="s">
        <v>2870</v>
      </c>
      <c r="E835" s="161" t="s">
        <v>1625</v>
      </c>
      <c r="F835" s="162" t="s">
        <v>1609</v>
      </c>
      <c r="G835" s="161" t="s">
        <v>2871</v>
      </c>
      <c r="H835" s="214">
        <v>64</v>
      </c>
      <c r="I835" s="171"/>
      <c r="J835" s="170">
        <v>2.0499999999999998</v>
      </c>
      <c r="K835" s="172"/>
      <c r="L835" s="170">
        <v>131.19999999999999</v>
      </c>
      <c r="M835" s="171">
        <v>131.19999999999999</v>
      </c>
      <c r="N835" s="170"/>
      <c r="O835" s="177" t="s">
        <v>76</v>
      </c>
      <c r="P835" s="162" t="s">
        <v>1620</v>
      </c>
      <c r="Q835" s="176"/>
      <c r="R835" s="174">
        <v>2043</v>
      </c>
      <c r="S835" s="179"/>
      <c r="T835" s="162" t="s">
        <v>24</v>
      </c>
      <c r="U835" s="161" t="s">
        <v>16</v>
      </c>
      <c r="V835" s="174">
        <v>1142</v>
      </c>
      <c r="W835" s="180"/>
      <c r="X835" s="185">
        <v>45017</v>
      </c>
      <c r="Y835" s="187">
        <v>45015.639386574076</v>
      </c>
    </row>
    <row r="836" spans="1:25">
      <c r="A836" s="167" t="s">
        <v>91</v>
      </c>
      <c r="B836" s="162" t="s">
        <v>1555</v>
      </c>
      <c r="C836" s="163" t="s">
        <v>2872</v>
      </c>
      <c r="D836" s="162" t="s">
        <v>2873</v>
      </c>
      <c r="E836" s="161" t="s">
        <v>1625</v>
      </c>
      <c r="F836" s="162" t="s">
        <v>1609</v>
      </c>
      <c r="G836" s="161" t="s">
        <v>2874</v>
      </c>
      <c r="H836" s="214">
        <v>35</v>
      </c>
      <c r="I836" s="171"/>
      <c r="J836" s="170">
        <v>2.0699999999999998</v>
      </c>
      <c r="K836" s="172"/>
      <c r="L836" s="170">
        <v>72.28</v>
      </c>
      <c r="M836" s="171">
        <v>72.28</v>
      </c>
      <c r="N836" s="170"/>
      <c r="O836" s="177" t="s">
        <v>76</v>
      </c>
      <c r="P836" s="162" t="s">
        <v>1591</v>
      </c>
      <c r="Q836" s="176"/>
      <c r="R836" s="174">
        <v>2035</v>
      </c>
      <c r="S836" s="179"/>
      <c r="T836" s="162" t="s">
        <v>24</v>
      </c>
      <c r="U836" s="161" t="s">
        <v>16</v>
      </c>
      <c r="V836" s="174">
        <v>1143</v>
      </c>
      <c r="W836" s="180"/>
      <c r="X836" s="185">
        <v>45017</v>
      </c>
      <c r="Y836" s="187">
        <v>45034.754756944443</v>
      </c>
    </row>
    <row r="837" spans="1:25">
      <c r="A837" s="167" t="s">
        <v>45</v>
      </c>
      <c r="B837" s="162" t="s">
        <v>1555</v>
      </c>
      <c r="C837" s="163" t="s">
        <v>635</v>
      </c>
      <c r="D837" s="162" t="s">
        <v>636</v>
      </c>
      <c r="E837" s="161" t="s">
        <v>1739</v>
      </c>
      <c r="F837" s="164" t="s">
        <v>1740</v>
      </c>
      <c r="G837" s="161" t="s">
        <v>637</v>
      </c>
      <c r="H837" s="215">
        <v>1</v>
      </c>
      <c r="I837" s="171"/>
      <c r="J837" s="173">
        <v>730</v>
      </c>
      <c r="K837" s="172"/>
      <c r="L837" s="173">
        <v>730</v>
      </c>
      <c r="M837" s="171">
        <v>730</v>
      </c>
      <c r="N837" s="170"/>
      <c r="O837" s="177" t="s">
        <v>76</v>
      </c>
      <c r="P837" s="162" t="s">
        <v>1619</v>
      </c>
      <c r="Q837" s="176"/>
      <c r="R837" s="175">
        <v>2040</v>
      </c>
      <c r="S837" s="179"/>
      <c r="T837" s="164" t="s">
        <v>24</v>
      </c>
      <c r="U837" s="161" t="s">
        <v>11</v>
      </c>
      <c r="V837" s="175">
        <v>1144</v>
      </c>
      <c r="W837" s="181"/>
      <c r="X837" s="185">
        <v>45069</v>
      </c>
      <c r="Y837" s="187">
        <v>45103.78802083333</v>
      </c>
    </row>
    <row r="838" spans="1:25">
      <c r="A838" s="167" t="s">
        <v>45</v>
      </c>
      <c r="B838" s="162" t="s">
        <v>1555</v>
      </c>
      <c r="C838" s="163" t="s">
        <v>635</v>
      </c>
      <c r="D838" s="162" t="s">
        <v>636</v>
      </c>
      <c r="E838" s="161" t="s">
        <v>1739</v>
      </c>
      <c r="F838" s="162" t="s">
        <v>1740</v>
      </c>
      <c r="G838" s="161" t="s">
        <v>2875</v>
      </c>
      <c r="H838" s="214">
        <v>1</v>
      </c>
      <c r="I838" s="171"/>
      <c r="J838" s="170">
        <v>660</v>
      </c>
      <c r="K838" s="172"/>
      <c r="L838" s="170">
        <v>660</v>
      </c>
      <c r="M838" s="171">
        <v>660</v>
      </c>
      <c r="N838" s="170"/>
      <c r="O838" s="177" t="s">
        <v>76</v>
      </c>
      <c r="P838" s="162" t="s">
        <v>1619</v>
      </c>
      <c r="Q838" s="176"/>
      <c r="R838" s="174">
        <v>2040</v>
      </c>
      <c r="S838" s="179"/>
      <c r="T838" s="162" t="s">
        <v>24</v>
      </c>
      <c r="U838" s="161" t="s">
        <v>11</v>
      </c>
      <c r="V838" s="174">
        <v>1144</v>
      </c>
      <c r="W838" s="180"/>
      <c r="X838" s="185">
        <v>45069</v>
      </c>
      <c r="Y838" s="187">
        <v>45103.78802083333</v>
      </c>
    </row>
    <row r="839" spans="1:25">
      <c r="A839" s="167" t="s">
        <v>45</v>
      </c>
      <c r="B839" s="162" t="s">
        <v>1599</v>
      </c>
      <c r="C839" s="163" t="s">
        <v>635</v>
      </c>
      <c r="D839" s="162" t="s">
        <v>636</v>
      </c>
      <c r="E839" s="161" t="s">
        <v>1739</v>
      </c>
      <c r="F839" s="162" t="s">
        <v>1740</v>
      </c>
      <c r="G839" s="161"/>
      <c r="H839" s="214">
        <v>1</v>
      </c>
      <c r="I839" s="171"/>
      <c r="J839" s="170">
        <v>30</v>
      </c>
      <c r="K839" s="172"/>
      <c r="L839" s="170">
        <v>30</v>
      </c>
      <c r="M839" s="171">
        <v>30</v>
      </c>
      <c r="N839" s="170"/>
      <c r="O839" s="177" t="s">
        <v>3841</v>
      </c>
      <c r="P839" s="162" t="s">
        <v>1619</v>
      </c>
      <c r="Q839" s="176">
        <v>46388</v>
      </c>
      <c r="R839" s="174">
        <v>2040</v>
      </c>
      <c r="S839" s="179"/>
      <c r="T839" s="162" t="s">
        <v>25</v>
      </c>
      <c r="U839" s="161" t="s">
        <v>11</v>
      </c>
      <c r="V839" s="174">
        <v>1144</v>
      </c>
      <c r="W839" s="180"/>
      <c r="X839" s="185">
        <v>45069</v>
      </c>
      <c r="Y839" s="187">
        <v>45103.78802083333</v>
      </c>
    </row>
    <row r="840" spans="1:25">
      <c r="A840" s="167" t="s">
        <v>45</v>
      </c>
      <c r="B840" s="162" t="s">
        <v>1599</v>
      </c>
      <c r="C840" s="163" t="s">
        <v>2876</v>
      </c>
      <c r="D840" s="162" t="s">
        <v>2877</v>
      </c>
      <c r="E840" s="161" t="s">
        <v>1602</v>
      </c>
      <c r="F840" s="162" t="s">
        <v>1603</v>
      </c>
      <c r="G840" s="161"/>
      <c r="H840" s="214">
        <v>102</v>
      </c>
      <c r="I840" s="171">
        <v>4.9000000000000004</v>
      </c>
      <c r="J840" s="170">
        <v>4.9000000000000004</v>
      </c>
      <c r="K840" s="172">
        <v>499.8</v>
      </c>
      <c r="L840" s="170">
        <v>499.8</v>
      </c>
      <c r="M840" s="171">
        <v>499.8</v>
      </c>
      <c r="N840" s="170">
        <v>2000</v>
      </c>
      <c r="O840" s="177" t="s">
        <v>1523</v>
      </c>
      <c r="P840" s="162" t="s">
        <v>1619</v>
      </c>
      <c r="Q840" s="176"/>
      <c r="R840" s="174"/>
      <c r="S840" s="179"/>
      <c r="T840" s="162" t="s">
        <v>28</v>
      </c>
      <c r="U840" s="161" t="s">
        <v>19</v>
      </c>
      <c r="V840" s="174">
        <v>2411</v>
      </c>
      <c r="W840" s="180" t="s">
        <v>3980</v>
      </c>
      <c r="X840" s="185">
        <v>45069</v>
      </c>
      <c r="Y840" s="187">
        <v>45099.374803240738</v>
      </c>
    </row>
    <row r="841" spans="1:25">
      <c r="A841" s="167" t="s">
        <v>77</v>
      </c>
      <c r="B841" s="162" t="s">
        <v>1599</v>
      </c>
      <c r="C841" s="163" t="s">
        <v>2878</v>
      </c>
      <c r="D841" s="162" t="s">
        <v>2879</v>
      </c>
      <c r="E841" s="161" t="s">
        <v>1700</v>
      </c>
      <c r="F841" s="162" t="s">
        <v>1658</v>
      </c>
      <c r="G841" s="161"/>
      <c r="H841" s="214">
        <v>1</v>
      </c>
      <c r="I841" s="171">
        <v>1000</v>
      </c>
      <c r="J841" s="170">
        <v>1000</v>
      </c>
      <c r="K841" s="172">
        <v>1000</v>
      </c>
      <c r="L841" s="170">
        <v>1000</v>
      </c>
      <c r="M841" s="171">
        <v>1000</v>
      </c>
      <c r="N841" s="170"/>
      <c r="O841" s="177" t="s">
        <v>1523</v>
      </c>
      <c r="P841" s="162" t="s">
        <v>1604</v>
      </c>
      <c r="Q841" s="176"/>
      <c r="R841" s="174"/>
      <c r="S841" s="179"/>
      <c r="T841" s="162" t="s">
        <v>28</v>
      </c>
      <c r="U841" s="161" t="s">
        <v>17</v>
      </c>
      <c r="V841" s="174">
        <v>2274</v>
      </c>
      <c r="W841" s="180" t="s">
        <v>2880</v>
      </c>
      <c r="X841" s="185">
        <v>45017</v>
      </c>
      <c r="Y841" s="187">
        <v>44945.272314814814</v>
      </c>
    </row>
    <row r="842" spans="1:25">
      <c r="A842" s="167" t="s">
        <v>77</v>
      </c>
      <c r="B842" s="162" t="s">
        <v>1555</v>
      </c>
      <c r="C842" s="163" t="s">
        <v>2881</v>
      </c>
      <c r="D842" s="162" t="s">
        <v>2882</v>
      </c>
      <c r="E842" s="161" t="s">
        <v>1673</v>
      </c>
      <c r="F842" s="162" t="s">
        <v>1635</v>
      </c>
      <c r="G842" s="161" t="s">
        <v>2883</v>
      </c>
      <c r="H842" s="214">
        <v>1</v>
      </c>
      <c r="I842" s="171"/>
      <c r="J842" s="170">
        <v>146</v>
      </c>
      <c r="K842" s="172"/>
      <c r="L842" s="170">
        <v>146</v>
      </c>
      <c r="M842" s="171">
        <v>146</v>
      </c>
      <c r="N842" s="170"/>
      <c r="O842" s="177" t="s">
        <v>76</v>
      </c>
      <c r="P842" s="162" t="s">
        <v>1619</v>
      </c>
      <c r="Q842" s="176"/>
      <c r="R842" s="174">
        <v>2033</v>
      </c>
      <c r="S842" s="179"/>
      <c r="T842" s="162" t="s">
        <v>24</v>
      </c>
      <c r="U842" s="161" t="s">
        <v>13</v>
      </c>
      <c r="V842" s="174">
        <v>1145</v>
      </c>
      <c r="W842" s="180"/>
      <c r="X842" s="185">
        <v>45017</v>
      </c>
      <c r="Y842" s="187">
        <v>45019.533414351848</v>
      </c>
    </row>
    <row r="843" spans="1:25">
      <c r="A843" s="167" t="s">
        <v>77</v>
      </c>
      <c r="B843" s="162" t="s">
        <v>1555</v>
      </c>
      <c r="C843" s="163" t="s">
        <v>2881</v>
      </c>
      <c r="D843" s="162" t="s">
        <v>2882</v>
      </c>
      <c r="E843" s="161" t="s">
        <v>1673</v>
      </c>
      <c r="F843" s="162" t="s">
        <v>1635</v>
      </c>
      <c r="G843" s="161" t="s">
        <v>2884</v>
      </c>
      <c r="H843" s="214">
        <v>1</v>
      </c>
      <c r="I843" s="171"/>
      <c r="J843" s="170">
        <v>146</v>
      </c>
      <c r="K843" s="172"/>
      <c r="L843" s="170">
        <v>146</v>
      </c>
      <c r="M843" s="171">
        <v>146</v>
      </c>
      <c r="N843" s="170"/>
      <c r="O843" s="177" t="s">
        <v>76</v>
      </c>
      <c r="P843" s="162" t="s">
        <v>1619</v>
      </c>
      <c r="Q843" s="176"/>
      <c r="R843" s="174">
        <v>2033</v>
      </c>
      <c r="S843" s="179"/>
      <c r="T843" s="162" t="s">
        <v>24</v>
      </c>
      <c r="U843" s="161" t="s">
        <v>13</v>
      </c>
      <c r="V843" s="174">
        <v>1145</v>
      </c>
      <c r="W843" s="180"/>
      <c r="X843" s="185">
        <v>45017</v>
      </c>
      <c r="Y843" s="187">
        <v>45019.533414351848</v>
      </c>
    </row>
    <row r="844" spans="1:25">
      <c r="A844" s="167" t="s">
        <v>77</v>
      </c>
      <c r="B844" s="162" t="s">
        <v>1555</v>
      </c>
      <c r="C844" s="163" t="s">
        <v>2881</v>
      </c>
      <c r="D844" s="162" t="s">
        <v>2882</v>
      </c>
      <c r="E844" s="161" t="s">
        <v>1673</v>
      </c>
      <c r="F844" s="162" t="s">
        <v>1635</v>
      </c>
      <c r="G844" s="161" t="s">
        <v>2885</v>
      </c>
      <c r="H844" s="214">
        <v>1</v>
      </c>
      <c r="I844" s="171"/>
      <c r="J844" s="170">
        <v>131.5</v>
      </c>
      <c r="K844" s="172"/>
      <c r="L844" s="170">
        <v>131.5</v>
      </c>
      <c r="M844" s="171">
        <v>131.5</v>
      </c>
      <c r="N844" s="170"/>
      <c r="O844" s="177" t="s">
        <v>76</v>
      </c>
      <c r="P844" s="162" t="s">
        <v>1619</v>
      </c>
      <c r="Q844" s="176"/>
      <c r="R844" s="174">
        <v>2044</v>
      </c>
      <c r="S844" s="179"/>
      <c r="T844" s="162" t="s">
        <v>24</v>
      </c>
      <c r="U844" s="161" t="s">
        <v>13</v>
      </c>
      <c r="V844" s="174">
        <v>1145</v>
      </c>
      <c r="W844" s="180"/>
      <c r="X844" s="185">
        <v>45017</v>
      </c>
      <c r="Y844" s="187">
        <v>45019.533414351848</v>
      </c>
    </row>
    <row r="845" spans="1:25">
      <c r="A845" s="167" t="s">
        <v>77</v>
      </c>
      <c r="B845" s="162" t="s">
        <v>1555</v>
      </c>
      <c r="C845" s="163" t="s">
        <v>2886</v>
      </c>
      <c r="D845" s="162" t="s">
        <v>763</v>
      </c>
      <c r="E845" s="161" t="s">
        <v>1946</v>
      </c>
      <c r="F845" s="162" t="s">
        <v>1986</v>
      </c>
      <c r="G845" s="161"/>
      <c r="H845" s="214">
        <v>1</v>
      </c>
      <c r="I845" s="171">
        <v>9</v>
      </c>
      <c r="J845" s="170">
        <v>9</v>
      </c>
      <c r="K845" s="172">
        <v>9</v>
      </c>
      <c r="L845" s="170">
        <v>9</v>
      </c>
      <c r="M845" s="171">
        <v>9</v>
      </c>
      <c r="N845" s="170">
        <v>0</v>
      </c>
      <c r="O845" s="177" t="s">
        <v>76</v>
      </c>
      <c r="P845" s="162" t="s">
        <v>1591</v>
      </c>
      <c r="Q845" s="176"/>
      <c r="R845" s="174"/>
      <c r="S845" s="179"/>
      <c r="T845" s="162" t="s">
        <v>24</v>
      </c>
      <c r="U845" s="161" t="s">
        <v>18</v>
      </c>
      <c r="V845" s="174">
        <v>1306</v>
      </c>
      <c r="W845" s="180"/>
      <c r="X845" s="185">
        <v>44805</v>
      </c>
      <c r="Y845" s="187">
        <v>45029.640856481485</v>
      </c>
    </row>
    <row r="846" spans="1:25">
      <c r="A846" s="167" t="s">
        <v>45</v>
      </c>
      <c r="B846" s="162" t="s">
        <v>1599</v>
      </c>
      <c r="C846" s="163" t="s">
        <v>2887</v>
      </c>
      <c r="D846" s="162" t="s">
        <v>2888</v>
      </c>
      <c r="E846" s="161" t="s">
        <v>1631</v>
      </c>
      <c r="F846" s="162" t="s">
        <v>1614</v>
      </c>
      <c r="G846" s="161"/>
      <c r="H846" s="214">
        <v>19</v>
      </c>
      <c r="I846" s="171"/>
      <c r="J846" s="170">
        <v>1.31</v>
      </c>
      <c r="K846" s="172"/>
      <c r="L846" s="170">
        <v>24.89</v>
      </c>
      <c r="M846" s="171">
        <v>24.89</v>
      </c>
      <c r="N846" s="170"/>
      <c r="O846" s="177" t="s">
        <v>1523</v>
      </c>
      <c r="P846" s="162" t="s">
        <v>1620</v>
      </c>
      <c r="Q846" s="176"/>
      <c r="R846" s="174"/>
      <c r="S846" s="179"/>
      <c r="T846" s="162" t="s">
        <v>28</v>
      </c>
      <c r="U846" s="161" t="s">
        <v>1615</v>
      </c>
      <c r="V846" s="174">
        <v>1998</v>
      </c>
      <c r="W846" s="180"/>
      <c r="X846" s="185">
        <v>45069</v>
      </c>
      <c r="Y846" s="190">
        <v>45028.428518518522</v>
      </c>
    </row>
    <row r="847" spans="1:25">
      <c r="A847" s="167" t="s">
        <v>77</v>
      </c>
      <c r="B847" s="162" t="s">
        <v>1599</v>
      </c>
      <c r="C847" s="163" t="s">
        <v>545</v>
      </c>
      <c r="D847" s="162" t="s">
        <v>546</v>
      </c>
      <c r="E847" s="161" t="s">
        <v>1631</v>
      </c>
      <c r="F847" s="162" t="s">
        <v>1614</v>
      </c>
      <c r="G847" s="161"/>
      <c r="H847" s="214">
        <v>56</v>
      </c>
      <c r="I847" s="171">
        <v>0</v>
      </c>
      <c r="J847" s="170">
        <v>2.75</v>
      </c>
      <c r="K847" s="172">
        <v>0</v>
      </c>
      <c r="L847" s="170">
        <v>154</v>
      </c>
      <c r="M847" s="171">
        <v>154</v>
      </c>
      <c r="N847" s="170"/>
      <c r="O847" s="177" t="s">
        <v>27</v>
      </c>
      <c r="P847" s="162" t="s">
        <v>1620</v>
      </c>
      <c r="Q847" s="176">
        <v>45383</v>
      </c>
      <c r="R847" s="174">
        <v>2053</v>
      </c>
      <c r="S847" s="179"/>
      <c r="T847" s="162" t="s">
        <v>27</v>
      </c>
      <c r="U847" s="161" t="s">
        <v>1615</v>
      </c>
      <c r="V847" s="174">
        <v>1905</v>
      </c>
      <c r="W847" s="180"/>
      <c r="X847" s="185">
        <v>45069</v>
      </c>
      <c r="Y847" s="187">
        <v>45090.444178240738</v>
      </c>
    </row>
    <row r="848" spans="1:25">
      <c r="A848" s="167" t="s">
        <v>110</v>
      </c>
      <c r="B848" s="162" t="s">
        <v>1555</v>
      </c>
      <c r="C848" s="163" t="s">
        <v>1014</v>
      </c>
      <c r="D848" s="162" t="s">
        <v>684</v>
      </c>
      <c r="E848" s="161" t="s">
        <v>1625</v>
      </c>
      <c r="F848" s="162" t="s">
        <v>1609</v>
      </c>
      <c r="G848" s="161" t="s">
        <v>2889</v>
      </c>
      <c r="H848" s="214">
        <v>61</v>
      </c>
      <c r="I848" s="171">
        <v>3.7</v>
      </c>
      <c r="J848" s="170">
        <v>3.7</v>
      </c>
      <c r="K848" s="172">
        <v>225.7</v>
      </c>
      <c r="L848" s="170">
        <v>225.7</v>
      </c>
      <c r="M848" s="171">
        <v>225.7</v>
      </c>
      <c r="N848" s="170"/>
      <c r="O848" s="177" t="s">
        <v>76</v>
      </c>
      <c r="P848" s="162" t="s">
        <v>1620</v>
      </c>
      <c r="Q848" s="176">
        <v>44440</v>
      </c>
      <c r="R848" s="174">
        <v>2049</v>
      </c>
      <c r="S848" s="179"/>
      <c r="T848" s="162" t="s">
        <v>24</v>
      </c>
      <c r="U848" s="161" t="s">
        <v>16</v>
      </c>
      <c r="V848" s="174">
        <v>1262</v>
      </c>
      <c r="W848" s="180"/>
      <c r="X848" s="185">
        <v>45017</v>
      </c>
      <c r="Y848" s="187">
        <v>45016.466122685182</v>
      </c>
    </row>
    <row r="849" spans="1:25">
      <c r="A849" s="167" t="s">
        <v>110</v>
      </c>
      <c r="B849" s="162" t="s">
        <v>1555</v>
      </c>
      <c r="C849" s="163" t="s">
        <v>381</v>
      </c>
      <c r="D849" s="162" t="s">
        <v>382</v>
      </c>
      <c r="E849" s="161" t="s">
        <v>1625</v>
      </c>
      <c r="F849" s="162" t="s">
        <v>1609</v>
      </c>
      <c r="G849" s="161" t="s">
        <v>383</v>
      </c>
      <c r="H849" s="214">
        <v>38</v>
      </c>
      <c r="I849" s="171"/>
      <c r="J849" s="170">
        <v>5.5</v>
      </c>
      <c r="K849" s="172"/>
      <c r="L849" s="170">
        <v>209</v>
      </c>
      <c r="M849" s="171">
        <v>209</v>
      </c>
      <c r="N849" s="170"/>
      <c r="O849" s="177" t="s">
        <v>76</v>
      </c>
      <c r="P849" s="162" t="s">
        <v>1620</v>
      </c>
      <c r="Q849" s="176">
        <v>44835</v>
      </c>
      <c r="R849" s="174">
        <v>2052</v>
      </c>
      <c r="S849" s="179"/>
      <c r="T849" s="162" t="s">
        <v>24</v>
      </c>
      <c r="U849" s="161" t="s">
        <v>16</v>
      </c>
      <c r="V849" s="174">
        <v>1506</v>
      </c>
      <c r="W849" s="180"/>
      <c r="X849" s="185">
        <v>45017</v>
      </c>
      <c r="Y849" s="187">
        <v>45084.511099537034</v>
      </c>
    </row>
    <row r="850" spans="1:25">
      <c r="A850" s="167" t="s">
        <v>110</v>
      </c>
      <c r="B850" s="162" t="s">
        <v>1555</v>
      </c>
      <c r="C850" s="163" t="s">
        <v>2890</v>
      </c>
      <c r="D850" s="162" t="s">
        <v>805</v>
      </c>
      <c r="E850" s="161" t="s">
        <v>1700</v>
      </c>
      <c r="F850" s="162" t="s">
        <v>1658</v>
      </c>
      <c r="G850" s="161" t="s">
        <v>2891</v>
      </c>
      <c r="H850" s="214">
        <v>10</v>
      </c>
      <c r="I850" s="171"/>
      <c r="J850" s="170">
        <v>95</v>
      </c>
      <c r="K850" s="172"/>
      <c r="L850" s="170">
        <v>950</v>
      </c>
      <c r="M850" s="171">
        <v>950</v>
      </c>
      <c r="N850" s="170"/>
      <c r="O850" s="177" t="s">
        <v>76</v>
      </c>
      <c r="P850" s="162" t="s">
        <v>1619</v>
      </c>
      <c r="Q850" s="176"/>
      <c r="R850" s="174">
        <v>2070</v>
      </c>
      <c r="S850" s="179"/>
      <c r="T850" s="162" t="s">
        <v>24</v>
      </c>
      <c r="U850" s="161" t="s">
        <v>17</v>
      </c>
      <c r="V850" s="174">
        <v>1147</v>
      </c>
      <c r="W850" s="180"/>
      <c r="X850" s="185">
        <v>45017</v>
      </c>
      <c r="Y850" s="187">
        <v>45020.401701388888</v>
      </c>
    </row>
    <row r="851" spans="1:25">
      <c r="A851" s="167" t="s">
        <v>110</v>
      </c>
      <c r="B851" s="162" t="s">
        <v>1555</v>
      </c>
      <c r="C851" s="163" t="s">
        <v>2892</v>
      </c>
      <c r="D851" s="162" t="s">
        <v>805</v>
      </c>
      <c r="E851" s="161" t="s">
        <v>1700</v>
      </c>
      <c r="F851" s="164" t="s">
        <v>1658</v>
      </c>
      <c r="G851" s="161" t="s">
        <v>2891</v>
      </c>
      <c r="H851" s="215">
        <v>4</v>
      </c>
      <c r="I851" s="171"/>
      <c r="J851" s="173">
        <v>138</v>
      </c>
      <c r="K851" s="172"/>
      <c r="L851" s="173">
        <v>552</v>
      </c>
      <c r="M851" s="171">
        <v>552</v>
      </c>
      <c r="N851" s="170"/>
      <c r="O851" s="177" t="s">
        <v>76</v>
      </c>
      <c r="P851" s="162" t="s">
        <v>1619</v>
      </c>
      <c r="Q851" s="176"/>
      <c r="R851" s="175">
        <v>2070</v>
      </c>
      <c r="S851" s="179"/>
      <c r="T851" s="164" t="s">
        <v>24</v>
      </c>
      <c r="U851" s="161" t="s">
        <v>17</v>
      </c>
      <c r="V851" s="175">
        <v>1148</v>
      </c>
      <c r="W851" s="181"/>
      <c r="X851" s="185">
        <v>45017</v>
      </c>
      <c r="Y851" s="187">
        <v>45020.464062500003</v>
      </c>
    </row>
    <row r="852" spans="1:25">
      <c r="A852" s="167" t="s">
        <v>91</v>
      </c>
      <c r="B852" s="162" t="s">
        <v>1555</v>
      </c>
      <c r="C852" s="163" t="s">
        <v>367</v>
      </c>
      <c r="D852" s="162" t="s">
        <v>347</v>
      </c>
      <c r="E852" s="161" t="s">
        <v>1631</v>
      </c>
      <c r="F852" s="162" t="s">
        <v>1614</v>
      </c>
      <c r="G852" s="161" t="s">
        <v>368</v>
      </c>
      <c r="H852" s="214">
        <v>6</v>
      </c>
      <c r="I852" s="171"/>
      <c r="J852" s="170">
        <v>2.29</v>
      </c>
      <c r="K852" s="172"/>
      <c r="L852" s="170">
        <v>13.74</v>
      </c>
      <c r="M852" s="171">
        <v>13.74</v>
      </c>
      <c r="N852" s="170"/>
      <c r="O852" s="177" t="s">
        <v>76</v>
      </c>
      <c r="P852" s="162" t="s">
        <v>1620</v>
      </c>
      <c r="Q852" s="176">
        <v>44774</v>
      </c>
      <c r="R852" s="174">
        <v>2041</v>
      </c>
      <c r="S852" s="179"/>
      <c r="T852" s="162" t="s">
        <v>24</v>
      </c>
      <c r="U852" s="161" t="s">
        <v>1615</v>
      </c>
      <c r="V852" s="174">
        <v>1853</v>
      </c>
      <c r="W852" s="180"/>
      <c r="X852" s="185">
        <v>45017</v>
      </c>
      <c r="Y852" s="187">
        <v>45022.4841087963</v>
      </c>
    </row>
    <row r="853" spans="1:25">
      <c r="A853" s="167" t="s">
        <v>45</v>
      </c>
      <c r="B853" s="162" t="s">
        <v>1599</v>
      </c>
      <c r="C853" s="163" t="s">
        <v>2893</v>
      </c>
      <c r="D853" s="162" t="s">
        <v>142</v>
      </c>
      <c r="E853" s="161" t="s">
        <v>1625</v>
      </c>
      <c r="F853" s="162" t="s">
        <v>1609</v>
      </c>
      <c r="G853" s="161"/>
      <c r="H853" s="214">
        <v>40</v>
      </c>
      <c r="I853" s="171">
        <v>7.5</v>
      </c>
      <c r="J853" s="170">
        <v>7.5</v>
      </c>
      <c r="K853" s="172">
        <v>300</v>
      </c>
      <c r="L853" s="170">
        <v>300</v>
      </c>
      <c r="M853" s="171">
        <v>300</v>
      </c>
      <c r="N853" s="170"/>
      <c r="O853" s="177" t="s">
        <v>1523</v>
      </c>
      <c r="P853" s="162" t="s">
        <v>1604</v>
      </c>
      <c r="Q853" s="176"/>
      <c r="R853" s="174"/>
      <c r="S853" s="179"/>
      <c r="T853" s="162" t="s">
        <v>28</v>
      </c>
      <c r="U853" s="161" t="s">
        <v>16</v>
      </c>
      <c r="V853" s="174">
        <v>2477</v>
      </c>
      <c r="W853" s="180" t="s">
        <v>2894</v>
      </c>
      <c r="X853" s="185">
        <v>45017</v>
      </c>
      <c r="Y853" s="187">
        <v>45035.557708333334</v>
      </c>
    </row>
    <row r="854" spans="1:25">
      <c r="A854" s="167" t="s">
        <v>105</v>
      </c>
      <c r="B854" s="162" t="s">
        <v>1555</v>
      </c>
      <c r="C854" s="163" t="s">
        <v>1368</v>
      </c>
      <c r="D854" s="162" t="s">
        <v>2895</v>
      </c>
      <c r="E854" s="161" t="s">
        <v>1625</v>
      </c>
      <c r="F854" s="162" t="s">
        <v>1609</v>
      </c>
      <c r="G854" s="161" t="s">
        <v>2896</v>
      </c>
      <c r="H854" s="214">
        <v>56</v>
      </c>
      <c r="I854" s="171"/>
      <c r="J854" s="170">
        <v>3</v>
      </c>
      <c r="K854" s="172"/>
      <c r="L854" s="170">
        <v>168</v>
      </c>
      <c r="M854" s="171">
        <v>168</v>
      </c>
      <c r="N854" s="170"/>
      <c r="O854" s="177" t="s">
        <v>76</v>
      </c>
      <c r="P854" s="162" t="s">
        <v>1620</v>
      </c>
      <c r="Q854" s="176"/>
      <c r="R854" s="174">
        <v>2050</v>
      </c>
      <c r="S854" s="179"/>
      <c r="T854" s="162" t="s">
        <v>24</v>
      </c>
      <c r="U854" s="161" t="s">
        <v>16</v>
      </c>
      <c r="V854" s="174">
        <v>1149</v>
      </c>
      <c r="W854" s="180"/>
      <c r="X854" s="185">
        <v>45017</v>
      </c>
      <c r="Y854" s="187">
        <v>45015.641377314816</v>
      </c>
    </row>
    <row r="855" spans="1:25">
      <c r="A855" s="220" t="s">
        <v>45</v>
      </c>
      <c r="B855" s="221" t="s">
        <v>1599</v>
      </c>
      <c r="C855" s="222" t="s">
        <v>3855</v>
      </c>
      <c r="D855" s="221" t="s">
        <v>3856</v>
      </c>
      <c r="E855" s="223" t="s">
        <v>1602</v>
      </c>
      <c r="F855" s="224" t="s">
        <v>20</v>
      </c>
      <c r="G855" s="223"/>
      <c r="H855" s="225">
        <v>1</v>
      </c>
      <c r="I855" s="226"/>
      <c r="J855" s="227">
        <v>400</v>
      </c>
      <c r="K855" s="228"/>
      <c r="L855" s="227">
        <v>400</v>
      </c>
      <c r="M855" s="226">
        <v>400</v>
      </c>
      <c r="N855" s="229">
        <v>0</v>
      </c>
      <c r="O855" s="230" t="s">
        <v>1523</v>
      </c>
      <c r="P855" s="221" t="s">
        <v>1604</v>
      </c>
      <c r="Q855" s="231"/>
      <c r="R855" s="232"/>
      <c r="S855" s="233"/>
      <c r="T855" s="224" t="s">
        <v>28</v>
      </c>
      <c r="U855" s="223" t="s">
        <v>19</v>
      </c>
      <c r="V855" s="232">
        <v>2533</v>
      </c>
      <c r="W855" s="234" t="s">
        <v>3927</v>
      </c>
      <c r="X855" s="235"/>
      <c r="Y855" s="236">
        <v>45111.363969907405</v>
      </c>
    </row>
    <row r="856" spans="1:25">
      <c r="A856" s="167" t="s">
        <v>45</v>
      </c>
      <c r="B856" s="162" t="s">
        <v>1599</v>
      </c>
      <c r="C856" s="163" t="s">
        <v>2897</v>
      </c>
      <c r="D856" s="162" t="s">
        <v>721</v>
      </c>
      <c r="E856" s="161" t="s">
        <v>1700</v>
      </c>
      <c r="F856" s="162" t="s">
        <v>1658</v>
      </c>
      <c r="G856" s="161"/>
      <c r="H856" s="214">
        <v>1</v>
      </c>
      <c r="I856" s="171">
        <v>250</v>
      </c>
      <c r="J856" s="170">
        <v>500</v>
      </c>
      <c r="K856" s="172">
        <v>250</v>
      </c>
      <c r="L856" s="170">
        <v>500</v>
      </c>
      <c r="M856" s="171" t="s">
        <v>2898</v>
      </c>
      <c r="N856" s="170"/>
      <c r="O856" s="177" t="s">
        <v>1523</v>
      </c>
      <c r="P856" s="162" t="s">
        <v>1619</v>
      </c>
      <c r="Q856" s="176"/>
      <c r="R856" s="174"/>
      <c r="S856" s="179"/>
      <c r="T856" s="162" t="s">
        <v>28</v>
      </c>
      <c r="U856" s="161" t="s">
        <v>17</v>
      </c>
      <c r="V856" s="174">
        <v>1697</v>
      </c>
      <c r="W856" s="180"/>
      <c r="X856" s="185">
        <v>45069</v>
      </c>
      <c r="Y856" s="187">
        <v>45097.470856481479</v>
      </c>
    </row>
    <row r="857" spans="1:25">
      <c r="A857" s="220" t="s">
        <v>45</v>
      </c>
      <c r="B857" s="221" t="s">
        <v>1599</v>
      </c>
      <c r="C857" s="222" t="s">
        <v>3849</v>
      </c>
      <c r="D857" s="221" t="s">
        <v>3850</v>
      </c>
      <c r="E857" s="223" t="s">
        <v>1613</v>
      </c>
      <c r="F857" s="224" t="s">
        <v>1615</v>
      </c>
      <c r="G857" s="223"/>
      <c r="H857" s="225">
        <v>27</v>
      </c>
      <c r="I857" s="226"/>
      <c r="J857" s="227">
        <v>3.78</v>
      </c>
      <c r="K857" s="228"/>
      <c r="L857" s="227">
        <v>102.06</v>
      </c>
      <c r="M857" s="226">
        <v>102.06</v>
      </c>
      <c r="N857" s="229"/>
      <c r="O857" s="230" t="s">
        <v>1523</v>
      </c>
      <c r="P857" s="221" t="s">
        <v>1604</v>
      </c>
      <c r="Q857" s="231"/>
      <c r="R857" s="232"/>
      <c r="S857" s="233"/>
      <c r="T857" s="224" t="s">
        <v>28</v>
      </c>
      <c r="U857" s="223" t="s">
        <v>1615</v>
      </c>
      <c r="V857" s="232">
        <v>2529</v>
      </c>
      <c r="W857" s="234" t="s">
        <v>3924</v>
      </c>
      <c r="X857" s="235"/>
      <c r="Y857" s="236">
        <v>45111.343194444446</v>
      </c>
    </row>
    <row r="858" spans="1:25">
      <c r="A858" s="167" t="s">
        <v>110</v>
      </c>
      <c r="B858" s="162" t="s">
        <v>1599</v>
      </c>
      <c r="C858" s="163" t="s">
        <v>2899</v>
      </c>
      <c r="D858" s="162" t="s">
        <v>2900</v>
      </c>
      <c r="E858" s="161" t="s">
        <v>1613</v>
      </c>
      <c r="F858" s="162" t="s">
        <v>1614</v>
      </c>
      <c r="G858" s="161"/>
      <c r="H858" s="214">
        <v>1</v>
      </c>
      <c r="I858" s="171"/>
      <c r="J858" s="170">
        <v>60</v>
      </c>
      <c r="K858" s="172"/>
      <c r="L858" s="170">
        <v>60</v>
      </c>
      <c r="M858" s="171">
        <v>60</v>
      </c>
      <c r="N858" s="170"/>
      <c r="O858" s="177" t="s">
        <v>1523</v>
      </c>
      <c r="P858" s="162" t="s">
        <v>1620</v>
      </c>
      <c r="Q858" s="176"/>
      <c r="R858" s="174"/>
      <c r="S858" s="179"/>
      <c r="T858" s="162" t="s">
        <v>28</v>
      </c>
      <c r="U858" s="161" t="s">
        <v>1615</v>
      </c>
      <c r="V858" s="174">
        <v>2058</v>
      </c>
      <c r="W858" s="180"/>
      <c r="X858" s="185">
        <v>45017</v>
      </c>
      <c r="Y858" s="187">
        <v>44830.552673611113</v>
      </c>
    </row>
    <row r="859" spans="1:25">
      <c r="A859" s="167" t="s">
        <v>110</v>
      </c>
      <c r="B859" s="162" t="s">
        <v>1599</v>
      </c>
      <c r="C859" s="163" t="s">
        <v>2901</v>
      </c>
      <c r="D859" s="162" t="s">
        <v>2902</v>
      </c>
      <c r="E859" s="161" t="s">
        <v>1625</v>
      </c>
      <c r="F859" s="162" t="s">
        <v>1609</v>
      </c>
      <c r="G859" s="161"/>
      <c r="H859" s="214">
        <v>1</v>
      </c>
      <c r="I859" s="171">
        <v>100</v>
      </c>
      <c r="J859" s="170">
        <v>100</v>
      </c>
      <c r="K859" s="172">
        <v>100</v>
      </c>
      <c r="L859" s="170">
        <v>100</v>
      </c>
      <c r="M859" s="171">
        <v>100</v>
      </c>
      <c r="N859" s="170"/>
      <c r="O859" s="177" t="s">
        <v>1523</v>
      </c>
      <c r="P859" s="162" t="s">
        <v>1620</v>
      </c>
      <c r="Q859" s="176"/>
      <c r="R859" s="174"/>
      <c r="S859" s="179"/>
      <c r="T859" s="162" t="s">
        <v>28</v>
      </c>
      <c r="U859" s="161" t="s">
        <v>16</v>
      </c>
      <c r="V859" s="174">
        <v>1467</v>
      </c>
      <c r="W859" s="180"/>
      <c r="X859" s="185">
        <v>45069</v>
      </c>
      <c r="Y859" s="187">
        <v>45097.412824074076</v>
      </c>
    </row>
    <row r="860" spans="1:25">
      <c r="A860" s="167" t="s">
        <v>45</v>
      </c>
      <c r="B860" s="162" t="s">
        <v>1599</v>
      </c>
      <c r="C860" s="163" t="s">
        <v>2903</v>
      </c>
      <c r="D860" s="162" t="s">
        <v>2904</v>
      </c>
      <c r="E860" s="161" t="s">
        <v>1613</v>
      </c>
      <c r="F860" s="162" t="s">
        <v>1614</v>
      </c>
      <c r="G860" s="161"/>
      <c r="H860" s="214">
        <v>1</v>
      </c>
      <c r="I860" s="171">
        <v>120</v>
      </c>
      <c r="J860" s="170">
        <v>120</v>
      </c>
      <c r="K860" s="172">
        <v>120</v>
      </c>
      <c r="L860" s="170">
        <v>120</v>
      </c>
      <c r="M860" s="171">
        <v>120</v>
      </c>
      <c r="N860" s="170"/>
      <c r="O860" s="177" t="s">
        <v>1523</v>
      </c>
      <c r="P860" s="162" t="s">
        <v>1604</v>
      </c>
      <c r="Q860" s="176"/>
      <c r="R860" s="174"/>
      <c r="S860" s="179"/>
      <c r="T860" s="162" t="s">
        <v>28</v>
      </c>
      <c r="U860" s="161" t="s">
        <v>1615</v>
      </c>
      <c r="V860" s="174">
        <v>2197</v>
      </c>
      <c r="W860" s="180" t="s">
        <v>2905</v>
      </c>
      <c r="X860" s="185">
        <v>45017</v>
      </c>
      <c r="Y860" s="187">
        <v>44945.273472222223</v>
      </c>
    </row>
    <row r="861" spans="1:25">
      <c r="A861" s="167" t="s">
        <v>45</v>
      </c>
      <c r="B861" s="162" t="s">
        <v>1599</v>
      </c>
      <c r="C861" s="163" t="s">
        <v>2906</v>
      </c>
      <c r="D861" s="162" t="s">
        <v>1990</v>
      </c>
      <c r="E861" s="161" t="s">
        <v>1613</v>
      </c>
      <c r="F861" s="162" t="s">
        <v>1614</v>
      </c>
      <c r="G861" s="161"/>
      <c r="H861" s="214">
        <v>1</v>
      </c>
      <c r="I861" s="171">
        <v>50</v>
      </c>
      <c r="J861" s="170">
        <v>50</v>
      </c>
      <c r="K861" s="172">
        <v>50</v>
      </c>
      <c r="L861" s="170">
        <v>50</v>
      </c>
      <c r="M861" s="171">
        <v>50</v>
      </c>
      <c r="N861" s="170"/>
      <c r="O861" s="177" t="s">
        <v>1523</v>
      </c>
      <c r="P861" s="162" t="s">
        <v>1620</v>
      </c>
      <c r="Q861" s="176"/>
      <c r="R861" s="174"/>
      <c r="S861" s="179"/>
      <c r="T861" s="162" t="s">
        <v>28</v>
      </c>
      <c r="U861" s="161" t="s">
        <v>1615</v>
      </c>
      <c r="V861" s="174">
        <v>1656</v>
      </c>
      <c r="W861" s="180"/>
      <c r="X861" s="185">
        <v>45069</v>
      </c>
      <c r="Y861" s="187">
        <v>44755.584594907406</v>
      </c>
    </row>
    <row r="862" spans="1:25">
      <c r="A862" s="167" t="s">
        <v>45</v>
      </c>
      <c r="B862" s="162" t="s">
        <v>1555</v>
      </c>
      <c r="C862" s="163" t="s">
        <v>2907</v>
      </c>
      <c r="D862" s="162" t="s">
        <v>2908</v>
      </c>
      <c r="E862" s="161" t="s">
        <v>1631</v>
      </c>
      <c r="F862" s="162" t="s">
        <v>1614</v>
      </c>
      <c r="G862" s="161" t="s">
        <v>2909</v>
      </c>
      <c r="H862" s="214">
        <v>1</v>
      </c>
      <c r="I862" s="171">
        <v>0</v>
      </c>
      <c r="J862" s="170">
        <v>10</v>
      </c>
      <c r="K862" s="172">
        <v>0</v>
      </c>
      <c r="L862" s="170">
        <v>10</v>
      </c>
      <c r="M862" s="171">
        <v>10</v>
      </c>
      <c r="N862" s="170"/>
      <c r="O862" s="177" t="s">
        <v>76</v>
      </c>
      <c r="P862" s="162" t="s">
        <v>1591</v>
      </c>
      <c r="Q862" s="176"/>
      <c r="R862" s="174">
        <v>2058</v>
      </c>
      <c r="S862" s="179"/>
      <c r="T862" s="162" t="s">
        <v>24</v>
      </c>
      <c r="U862" s="161" t="s">
        <v>1615</v>
      </c>
      <c r="V862" s="174">
        <v>1380</v>
      </c>
      <c r="W862" s="180"/>
      <c r="X862" s="185">
        <v>44621</v>
      </c>
      <c r="Y862" s="187">
        <v>44981.400983796295</v>
      </c>
    </row>
    <row r="863" spans="1:25">
      <c r="A863" s="167" t="s">
        <v>91</v>
      </c>
      <c r="B863" s="162" t="s">
        <v>1555</v>
      </c>
      <c r="C863" s="163" t="s">
        <v>2910</v>
      </c>
      <c r="D863" s="162" t="s">
        <v>2911</v>
      </c>
      <c r="E863" s="161" t="s">
        <v>1613</v>
      </c>
      <c r="F863" s="162" t="s">
        <v>1614</v>
      </c>
      <c r="G863" s="161"/>
      <c r="H863" s="214">
        <v>46</v>
      </c>
      <c r="I863" s="171"/>
      <c r="J863" s="170">
        <v>0.03</v>
      </c>
      <c r="K863" s="172"/>
      <c r="L863" s="170">
        <v>1.1499999999999999</v>
      </c>
      <c r="M863" s="171">
        <v>1.1499999999999999</v>
      </c>
      <c r="N863" s="170"/>
      <c r="O863" s="177" t="s">
        <v>76</v>
      </c>
      <c r="P863" s="162" t="s">
        <v>1591</v>
      </c>
      <c r="Q863" s="176"/>
      <c r="R863" s="174">
        <v>2037</v>
      </c>
      <c r="S863" s="179"/>
      <c r="T863" s="162" t="s">
        <v>24</v>
      </c>
      <c r="U863" s="161" t="s">
        <v>1615</v>
      </c>
      <c r="V863" s="174">
        <v>1544</v>
      </c>
      <c r="W863" s="180"/>
      <c r="X863" s="185">
        <v>44287</v>
      </c>
      <c r="Y863" s="187">
        <v>44685.504247685189</v>
      </c>
    </row>
    <row r="864" spans="1:25">
      <c r="A864" s="167" t="s">
        <v>91</v>
      </c>
      <c r="B864" s="162" t="s">
        <v>1555</v>
      </c>
      <c r="C864" s="163" t="s">
        <v>2910</v>
      </c>
      <c r="D864" s="162" t="s">
        <v>2911</v>
      </c>
      <c r="E864" s="161" t="s">
        <v>1589</v>
      </c>
      <c r="F864" s="162" t="s">
        <v>1627</v>
      </c>
      <c r="G864" s="161"/>
      <c r="H864" s="214">
        <v>1</v>
      </c>
      <c r="I864" s="171"/>
      <c r="J864" s="170">
        <v>1.1200000000000001</v>
      </c>
      <c r="K864" s="172"/>
      <c r="L864" s="170">
        <v>1.1200000000000001</v>
      </c>
      <c r="M864" s="171">
        <v>1.1200000000000001</v>
      </c>
      <c r="N864" s="170"/>
      <c r="O864" s="177" t="s">
        <v>76</v>
      </c>
      <c r="P864" s="162" t="s">
        <v>1591</v>
      </c>
      <c r="Q864" s="176"/>
      <c r="R864" s="174">
        <v>2037</v>
      </c>
      <c r="S864" s="179"/>
      <c r="T864" s="162" t="s">
        <v>24</v>
      </c>
      <c r="U864" s="161" t="s">
        <v>18</v>
      </c>
      <c r="V864" s="174">
        <v>1544</v>
      </c>
      <c r="W864" s="180"/>
      <c r="X864" s="185">
        <v>44287</v>
      </c>
      <c r="Y864" s="187">
        <v>44685.504247685189</v>
      </c>
    </row>
    <row r="865" spans="1:25">
      <c r="A865" s="167" t="s">
        <v>45</v>
      </c>
      <c r="B865" s="162" t="s">
        <v>1555</v>
      </c>
      <c r="C865" s="163" t="s">
        <v>651</v>
      </c>
      <c r="D865" s="162" t="s">
        <v>2912</v>
      </c>
      <c r="E865" s="161" t="s">
        <v>1631</v>
      </c>
      <c r="F865" s="162" t="s">
        <v>1614</v>
      </c>
      <c r="G865" s="161" t="s">
        <v>653</v>
      </c>
      <c r="H865" s="214">
        <v>48</v>
      </c>
      <c r="I865" s="171"/>
      <c r="J865" s="170">
        <v>2.1800000000000002</v>
      </c>
      <c r="K865" s="172"/>
      <c r="L865" s="170">
        <v>104.64</v>
      </c>
      <c r="M865" s="171">
        <v>104.64</v>
      </c>
      <c r="N865" s="170"/>
      <c r="O865" s="177" t="s">
        <v>76</v>
      </c>
      <c r="P865" s="162" t="s">
        <v>1620</v>
      </c>
      <c r="Q865" s="176">
        <v>44013</v>
      </c>
      <c r="R865" s="174">
        <v>2049</v>
      </c>
      <c r="S865" s="179"/>
      <c r="T865" s="162" t="s">
        <v>24</v>
      </c>
      <c r="U865" s="161" t="s">
        <v>1615</v>
      </c>
      <c r="V865" s="174">
        <v>1414</v>
      </c>
      <c r="W865" s="180"/>
      <c r="X865" s="185">
        <v>45017</v>
      </c>
      <c r="Y865" s="187">
        <v>45016.650451388887</v>
      </c>
    </row>
    <row r="866" spans="1:25">
      <c r="A866" s="167" t="s">
        <v>45</v>
      </c>
      <c r="B866" s="162" t="s">
        <v>1555</v>
      </c>
      <c r="C866" s="163" t="s">
        <v>568</v>
      </c>
      <c r="D866" s="162" t="s">
        <v>65</v>
      </c>
      <c r="E866" s="161" t="s">
        <v>1631</v>
      </c>
      <c r="F866" s="162" t="s">
        <v>1614</v>
      </c>
      <c r="G866" s="161" t="s">
        <v>2913</v>
      </c>
      <c r="H866" s="214">
        <v>1</v>
      </c>
      <c r="I866" s="171">
        <v>400</v>
      </c>
      <c r="J866" s="170">
        <v>400</v>
      </c>
      <c r="K866" s="172">
        <v>400</v>
      </c>
      <c r="L866" s="170">
        <v>400</v>
      </c>
      <c r="M866" s="171">
        <v>400</v>
      </c>
      <c r="N866" s="170"/>
      <c r="O866" s="177" t="s">
        <v>401</v>
      </c>
      <c r="P866" s="162" t="s">
        <v>1620</v>
      </c>
      <c r="Q866" s="176">
        <v>45047</v>
      </c>
      <c r="R866" s="174">
        <v>2052</v>
      </c>
      <c r="S866" s="179"/>
      <c r="T866" s="162" t="s">
        <v>24</v>
      </c>
      <c r="U866" s="161" t="s">
        <v>1615</v>
      </c>
      <c r="V866" s="174">
        <v>1854</v>
      </c>
      <c r="W866" s="180"/>
      <c r="X866" s="185">
        <v>45069</v>
      </c>
      <c r="Y866" s="187">
        <v>45103.501180555555</v>
      </c>
    </row>
    <row r="867" spans="1:25">
      <c r="A867" s="167" t="s">
        <v>45</v>
      </c>
      <c r="B867" s="162" t="s">
        <v>1599</v>
      </c>
      <c r="C867" s="163" t="s">
        <v>568</v>
      </c>
      <c r="D867" s="162" t="s">
        <v>65</v>
      </c>
      <c r="E867" s="161" t="s">
        <v>1631</v>
      </c>
      <c r="F867" s="162" t="s">
        <v>1614</v>
      </c>
      <c r="G867" s="161"/>
      <c r="H867" s="214">
        <v>1</v>
      </c>
      <c r="I867" s="171">
        <v>320</v>
      </c>
      <c r="J867" s="170">
        <v>320</v>
      </c>
      <c r="K867" s="172">
        <v>320</v>
      </c>
      <c r="L867" s="170">
        <v>320</v>
      </c>
      <c r="M867" s="171">
        <v>320</v>
      </c>
      <c r="N867" s="170"/>
      <c r="O867" s="177" t="s">
        <v>1523</v>
      </c>
      <c r="P867" s="162" t="s">
        <v>1620</v>
      </c>
      <c r="Q867" s="176"/>
      <c r="R867" s="174"/>
      <c r="S867" s="179"/>
      <c r="T867" s="162" t="s">
        <v>28</v>
      </c>
      <c r="U867" s="161" t="s">
        <v>1615</v>
      </c>
      <c r="V867" s="174">
        <v>1854</v>
      </c>
      <c r="W867" s="180"/>
      <c r="X867" s="185">
        <v>45069</v>
      </c>
      <c r="Y867" s="187">
        <v>45103.501180555555</v>
      </c>
    </row>
    <row r="868" spans="1:25">
      <c r="A868" s="167" t="s">
        <v>45</v>
      </c>
      <c r="B868" s="162" t="s">
        <v>1599</v>
      </c>
      <c r="C868" s="163" t="s">
        <v>58</v>
      </c>
      <c r="D868" s="162" t="s">
        <v>59</v>
      </c>
      <c r="E868" s="161" t="s">
        <v>1602</v>
      </c>
      <c r="F868" s="162" t="s">
        <v>1603</v>
      </c>
      <c r="G868" s="161"/>
      <c r="H868" s="214">
        <v>1</v>
      </c>
      <c r="I868" s="171">
        <v>0</v>
      </c>
      <c r="J868" s="170">
        <v>50</v>
      </c>
      <c r="K868" s="172">
        <v>0</v>
      </c>
      <c r="L868" s="170">
        <v>50</v>
      </c>
      <c r="M868" s="171">
        <v>50</v>
      </c>
      <c r="N868" s="170">
        <v>50</v>
      </c>
      <c r="O868" s="177" t="s">
        <v>27</v>
      </c>
      <c r="P868" s="162" t="s">
        <v>1619</v>
      </c>
      <c r="Q868" s="176">
        <v>45444</v>
      </c>
      <c r="R868" s="174"/>
      <c r="S868" s="179"/>
      <c r="T868" s="162" t="s">
        <v>27</v>
      </c>
      <c r="U868" s="161" t="s">
        <v>19</v>
      </c>
      <c r="V868" s="174">
        <v>1893</v>
      </c>
      <c r="W868" s="180" t="s">
        <v>2914</v>
      </c>
      <c r="X868" s="185">
        <v>45069</v>
      </c>
      <c r="Y868" s="187">
        <v>45103.51085648148</v>
      </c>
    </row>
    <row r="869" spans="1:25">
      <c r="A869" s="167" t="s">
        <v>45</v>
      </c>
      <c r="B869" s="162" t="s">
        <v>1599</v>
      </c>
      <c r="C869" s="163" t="s">
        <v>58</v>
      </c>
      <c r="D869" s="162" t="s">
        <v>59</v>
      </c>
      <c r="E869" s="161" t="s">
        <v>1602</v>
      </c>
      <c r="F869" s="162" t="s">
        <v>1603</v>
      </c>
      <c r="G869" s="161"/>
      <c r="H869" s="214">
        <v>1</v>
      </c>
      <c r="I869" s="171"/>
      <c r="J869" s="170">
        <v>150</v>
      </c>
      <c r="K869" s="172"/>
      <c r="L869" s="170">
        <v>150</v>
      </c>
      <c r="M869" s="171">
        <v>150</v>
      </c>
      <c r="N869" s="170">
        <v>150</v>
      </c>
      <c r="O869" s="177" t="s">
        <v>27</v>
      </c>
      <c r="P869" s="162" t="s">
        <v>1619</v>
      </c>
      <c r="Q869" s="176">
        <v>45444</v>
      </c>
      <c r="R869" s="174"/>
      <c r="S869" s="179"/>
      <c r="T869" s="162" t="s">
        <v>27</v>
      </c>
      <c r="U869" s="161" t="s">
        <v>19</v>
      </c>
      <c r="V869" s="174">
        <v>1893</v>
      </c>
      <c r="W869" s="180" t="s">
        <v>2914</v>
      </c>
      <c r="X869" s="185">
        <v>45069</v>
      </c>
      <c r="Y869" s="187">
        <v>45103.51085648148</v>
      </c>
    </row>
    <row r="870" spans="1:25">
      <c r="A870" s="167" t="s">
        <v>45</v>
      </c>
      <c r="B870" s="162" t="s">
        <v>1599</v>
      </c>
      <c r="C870" s="163" t="s">
        <v>2915</v>
      </c>
      <c r="D870" s="162" t="s">
        <v>721</v>
      </c>
      <c r="E870" s="161" t="s">
        <v>1589</v>
      </c>
      <c r="F870" s="162" t="s">
        <v>1590</v>
      </c>
      <c r="G870" s="161"/>
      <c r="H870" s="214">
        <v>1</v>
      </c>
      <c r="I870" s="171">
        <v>250</v>
      </c>
      <c r="J870" s="170">
        <v>250</v>
      </c>
      <c r="K870" s="172">
        <v>250</v>
      </c>
      <c r="L870" s="170">
        <v>250</v>
      </c>
      <c r="M870" s="171">
        <v>250</v>
      </c>
      <c r="N870" s="170"/>
      <c r="O870" s="177" t="s">
        <v>1523</v>
      </c>
      <c r="P870" s="162" t="s">
        <v>1619</v>
      </c>
      <c r="Q870" s="176">
        <v>45108</v>
      </c>
      <c r="R870" s="174"/>
      <c r="S870" s="179"/>
      <c r="T870" s="162" t="s">
        <v>28</v>
      </c>
      <c r="U870" s="161" t="s">
        <v>14</v>
      </c>
      <c r="V870" s="174">
        <v>1620</v>
      </c>
      <c r="W870" s="180"/>
      <c r="X870" s="185">
        <v>45069</v>
      </c>
      <c r="Y870" s="187">
        <v>45021.598715277774</v>
      </c>
    </row>
    <row r="871" spans="1:25">
      <c r="A871" s="167" t="s">
        <v>45</v>
      </c>
      <c r="B871" s="162" t="s">
        <v>1599</v>
      </c>
      <c r="C871" s="163" t="s">
        <v>2916</v>
      </c>
      <c r="D871" s="162" t="s">
        <v>2917</v>
      </c>
      <c r="E871" s="161" t="s">
        <v>1608</v>
      </c>
      <c r="F871" s="162" t="s">
        <v>1609</v>
      </c>
      <c r="G871" s="161"/>
      <c r="H871" s="214">
        <v>500</v>
      </c>
      <c r="I871" s="171"/>
      <c r="J871" s="170">
        <v>20</v>
      </c>
      <c r="K871" s="172"/>
      <c r="L871" s="170">
        <v>10000</v>
      </c>
      <c r="M871" s="171">
        <v>10000</v>
      </c>
      <c r="N871" s="170"/>
      <c r="O871" s="177" t="s">
        <v>1523</v>
      </c>
      <c r="P871" s="162" t="s">
        <v>1620</v>
      </c>
      <c r="Q871" s="176"/>
      <c r="R871" s="174"/>
      <c r="S871" s="179"/>
      <c r="T871" s="162" t="s">
        <v>28</v>
      </c>
      <c r="U871" s="161" t="s">
        <v>16</v>
      </c>
      <c r="V871" s="174">
        <v>1917</v>
      </c>
      <c r="W871" s="180"/>
      <c r="X871" s="185">
        <v>45017</v>
      </c>
      <c r="Y871" s="187">
        <v>44684.610856481479</v>
      </c>
    </row>
    <row r="872" spans="1:25">
      <c r="A872" s="167" t="s">
        <v>110</v>
      </c>
      <c r="B872" s="162" t="s">
        <v>1555</v>
      </c>
      <c r="C872" s="163" t="s">
        <v>2918</v>
      </c>
      <c r="D872" s="162" t="s">
        <v>1604</v>
      </c>
      <c r="E872" s="161" t="s">
        <v>1613</v>
      </c>
      <c r="F872" s="162" t="s">
        <v>1614</v>
      </c>
      <c r="G872" s="161"/>
      <c r="H872" s="214">
        <v>1</v>
      </c>
      <c r="I872" s="171"/>
      <c r="J872" s="170">
        <v>0.24</v>
      </c>
      <c r="K872" s="172"/>
      <c r="L872" s="170">
        <v>0.24</v>
      </c>
      <c r="M872" s="171">
        <v>0.24</v>
      </c>
      <c r="N872" s="170"/>
      <c r="O872" s="177" t="s">
        <v>76</v>
      </c>
      <c r="P872" s="162" t="s">
        <v>1591</v>
      </c>
      <c r="Q872" s="176"/>
      <c r="R872" s="174"/>
      <c r="S872" s="179"/>
      <c r="T872" s="162" t="s">
        <v>24</v>
      </c>
      <c r="U872" s="161" t="s">
        <v>1615</v>
      </c>
      <c r="V872" s="174">
        <v>2096</v>
      </c>
      <c r="W872" s="180"/>
      <c r="X872" s="185" t="s">
        <v>259</v>
      </c>
      <c r="Y872" s="187">
        <v>44831.311597222222</v>
      </c>
    </row>
    <row r="873" spans="1:25">
      <c r="A873" s="167" t="s">
        <v>110</v>
      </c>
      <c r="B873" s="162" t="s">
        <v>1555</v>
      </c>
      <c r="C873" s="163" t="s">
        <v>882</v>
      </c>
      <c r="D873" s="162" t="s">
        <v>883</v>
      </c>
      <c r="E873" s="161" t="s">
        <v>1739</v>
      </c>
      <c r="F873" s="162" t="s">
        <v>1592</v>
      </c>
      <c r="G873" s="161" t="s">
        <v>2919</v>
      </c>
      <c r="H873" s="214">
        <v>1</v>
      </c>
      <c r="I873" s="171"/>
      <c r="J873" s="170">
        <v>500</v>
      </c>
      <c r="K873" s="172"/>
      <c r="L873" s="170">
        <v>500</v>
      </c>
      <c r="M873" s="171">
        <v>500</v>
      </c>
      <c r="N873" s="170"/>
      <c r="O873" s="177" t="s">
        <v>76</v>
      </c>
      <c r="P873" s="162" t="s">
        <v>1619</v>
      </c>
      <c r="Q873" s="176"/>
      <c r="R873" s="174">
        <v>2039</v>
      </c>
      <c r="S873" s="179"/>
      <c r="T873" s="162" t="s">
        <v>24</v>
      </c>
      <c r="U873" s="161" t="s">
        <v>14</v>
      </c>
      <c r="V873" s="174">
        <v>1150</v>
      </c>
      <c r="W873" s="180"/>
      <c r="X873" s="185">
        <v>45017</v>
      </c>
      <c r="Y873" s="187">
        <v>45015.644270833334</v>
      </c>
    </row>
    <row r="874" spans="1:25">
      <c r="A874" s="167" t="s">
        <v>45</v>
      </c>
      <c r="B874" s="162" t="s">
        <v>1555</v>
      </c>
      <c r="C874" s="163" t="s">
        <v>2920</v>
      </c>
      <c r="D874" s="162" t="s">
        <v>2921</v>
      </c>
      <c r="E874" s="161" t="s">
        <v>1589</v>
      </c>
      <c r="F874" s="162" t="s">
        <v>1635</v>
      </c>
      <c r="G874" s="161" t="s">
        <v>2922</v>
      </c>
      <c r="H874" s="214">
        <v>1</v>
      </c>
      <c r="I874" s="171">
        <v>0.8</v>
      </c>
      <c r="J874" s="170">
        <v>1.28</v>
      </c>
      <c r="K874" s="172">
        <v>0.8</v>
      </c>
      <c r="L874" s="170">
        <v>1.28</v>
      </c>
      <c r="M874" s="171">
        <v>1.28</v>
      </c>
      <c r="N874" s="170">
        <v>0</v>
      </c>
      <c r="O874" s="177" t="s">
        <v>76</v>
      </c>
      <c r="P874" s="162" t="s">
        <v>1591</v>
      </c>
      <c r="Q874" s="176"/>
      <c r="R874" s="174"/>
      <c r="S874" s="179"/>
      <c r="T874" s="162" t="s">
        <v>24</v>
      </c>
      <c r="U874" s="161" t="s">
        <v>20</v>
      </c>
      <c r="V874" s="174">
        <v>1293</v>
      </c>
      <c r="W874" s="180"/>
      <c r="X874" s="185">
        <v>44287</v>
      </c>
      <c r="Y874" s="187">
        <v>44981.40388888889</v>
      </c>
    </row>
    <row r="875" spans="1:25">
      <c r="A875" s="167" t="s">
        <v>77</v>
      </c>
      <c r="B875" s="162" t="s">
        <v>1555</v>
      </c>
      <c r="C875" s="163" t="s">
        <v>2923</v>
      </c>
      <c r="D875" s="162" t="s">
        <v>1604</v>
      </c>
      <c r="E875" s="161" t="s">
        <v>1631</v>
      </c>
      <c r="F875" s="162" t="s">
        <v>1614</v>
      </c>
      <c r="G875" s="161"/>
      <c r="H875" s="214">
        <v>1</v>
      </c>
      <c r="I875" s="171"/>
      <c r="J875" s="170">
        <v>4.96</v>
      </c>
      <c r="K875" s="172"/>
      <c r="L875" s="170">
        <v>4.96</v>
      </c>
      <c r="M875" s="171">
        <v>4.96</v>
      </c>
      <c r="N875" s="170"/>
      <c r="O875" s="177" t="s">
        <v>76</v>
      </c>
      <c r="P875" s="162" t="s">
        <v>1591</v>
      </c>
      <c r="Q875" s="176"/>
      <c r="R875" s="174"/>
      <c r="S875" s="179"/>
      <c r="T875" s="162" t="s">
        <v>24</v>
      </c>
      <c r="U875" s="161" t="s">
        <v>1615</v>
      </c>
      <c r="V875" s="174">
        <v>2097</v>
      </c>
      <c r="W875" s="180"/>
      <c r="X875" s="185" t="s">
        <v>259</v>
      </c>
      <c r="Y875" s="187">
        <v>44831.314710648148</v>
      </c>
    </row>
    <row r="876" spans="1:25">
      <c r="A876" s="167" t="s">
        <v>105</v>
      </c>
      <c r="B876" s="162" t="s">
        <v>1599</v>
      </c>
      <c r="C876" s="163" t="s">
        <v>2924</v>
      </c>
      <c r="D876" s="162" t="s">
        <v>2925</v>
      </c>
      <c r="E876" s="161" t="s">
        <v>1625</v>
      </c>
      <c r="F876" s="162" t="s">
        <v>1609</v>
      </c>
      <c r="G876" s="161"/>
      <c r="H876" s="214">
        <v>175</v>
      </c>
      <c r="I876" s="171">
        <v>7.2</v>
      </c>
      <c r="J876" s="170">
        <v>7.2</v>
      </c>
      <c r="K876" s="172">
        <v>1260</v>
      </c>
      <c r="L876" s="170">
        <v>1260</v>
      </c>
      <c r="M876" s="171">
        <v>1260</v>
      </c>
      <c r="N876" s="170"/>
      <c r="O876" s="177" t="s">
        <v>1523</v>
      </c>
      <c r="P876" s="162" t="s">
        <v>1604</v>
      </c>
      <c r="Q876" s="176"/>
      <c r="R876" s="174"/>
      <c r="S876" s="179"/>
      <c r="T876" s="162" t="s">
        <v>28</v>
      </c>
      <c r="U876" s="161" t="s">
        <v>16</v>
      </c>
      <c r="V876" s="174">
        <v>2390</v>
      </c>
      <c r="W876" s="180" t="s">
        <v>2926</v>
      </c>
      <c r="X876" s="185">
        <v>45017</v>
      </c>
      <c r="Y876" s="187">
        <v>44932.278136574074</v>
      </c>
    </row>
    <row r="877" spans="1:25">
      <c r="A877" s="167" t="s">
        <v>77</v>
      </c>
      <c r="B877" s="162" t="s">
        <v>1599</v>
      </c>
      <c r="C877" s="163" t="s">
        <v>2927</v>
      </c>
      <c r="D877" s="162" t="s">
        <v>2928</v>
      </c>
      <c r="E877" s="161" t="s">
        <v>1739</v>
      </c>
      <c r="F877" s="162" t="s">
        <v>1885</v>
      </c>
      <c r="G877" s="161"/>
      <c r="H877" s="214">
        <v>2</v>
      </c>
      <c r="I877" s="171">
        <v>5.5</v>
      </c>
      <c r="J877" s="170">
        <v>55</v>
      </c>
      <c r="K877" s="172">
        <v>11</v>
      </c>
      <c r="L877" s="170">
        <v>110</v>
      </c>
      <c r="M877" s="171" t="s">
        <v>2930</v>
      </c>
      <c r="N877" s="170"/>
      <c r="O877" s="177" t="s">
        <v>1523</v>
      </c>
      <c r="P877" s="162" t="s">
        <v>1619</v>
      </c>
      <c r="Q877" s="176"/>
      <c r="R877" s="174">
        <v>2085</v>
      </c>
      <c r="S877" s="179"/>
      <c r="T877" s="162" t="s">
        <v>28</v>
      </c>
      <c r="U877" s="161" t="s">
        <v>18</v>
      </c>
      <c r="V877" s="174">
        <v>1273</v>
      </c>
      <c r="W877" s="180"/>
      <c r="X877" s="185">
        <v>45069</v>
      </c>
      <c r="Y877" s="187">
        <v>44981.40179398148</v>
      </c>
    </row>
    <row r="878" spans="1:25">
      <c r="A878" s="167" t="s">
        <v>77</v>
      </c>
      <c r="B878" s="162" t="s">
        <v>1599</v>
      </c>
      <c r="C878" s="163" t="s">
        <v>2927</v>
      </c>
      <c r="D878" s="162" t="s">
        <v>2928</v>
      </c>
      <c r="E878" s="161" t="s">
        <v>1739</v>
      </c>
      <c r="F878" s="162" t="s">
        <v>1885</v>
      </c>
      <c r="G878" s="161"/>
      <c r="H878" s="214">
        <v>1</v>
      </c>
      <c r="I878" s="171">
        <v>4</v>
      </c>
      <c r="J878" s="170">
        <v>40</v>
      </c>
      <c r="K878" s="172">
        <v>4</v>
      </c>
      <c r="L878" s="170">
        <v>40</v>
      </c>
      <c r="M878" s="171" t="s">
        <v>2929</v>
      </c>
      <c r="N878" s="170"/>
      <c r="O878" s="177" t="s">
        <v>1523</v>
      </c>
      <c r="P878" s="162" t="s">
        <v>1591</v>
      </c>
      <c r="Q878" s="176"/>
      <c r="R878" s="174">
        <v>2084</v>
      </c>
      <c r="S878" s="179"/>
      <c r="T878" s="162" t="s">
        <v>28</v>
      </c>
      <c r="U878" s="161" t="s">
        <v>18</v>
      </c>
      <c r="V878" s="174">
        <v>1273</v>
      </c>
      <c r="W878" s="180"/>
      <c r="X878" s="185">
        <v>45069</v>
      </c>
      <c r="Y878" s="187">
        <v>44981.40179398148</v>
      </c>
    </row>
    <row r="879" spans="1:25">
      <c r="A879" s="167" t="s">
        <v>91</v>
      </c>
      <c r="B879" s="162" t="s">
        <v>1599</v>
      </c>
      <c r="C879" s="163" t="s">
        <v>2931</v>
      </c>
      <c r="D879" s="162" t="s">
        <v>2932</v>
      </c>
      <c r="E879" s="161" t="s">
        <v>1613</v>
      </c>
      <c r="F879" s="162" t="s">
        <v>1614</v>
      </c>
      <c r="G879" s="161"/>
      <c r="H879" s="214">
        <v>1</v>
      </c>
      <c r="I879" s="171">
        <v>147</v>
      </c>
      <c r="J879" s="170">
        <v>147</v>
      </c>
      <c r="K879" s="172">
        <v>147</v>
      </c>
      <c r="L879" s="170">
        <v>147</v>
      </c>
      <c r="M879" s="171">
        <v>147</v>
      </c>
      <c r="N879" s="170"/>
      <c r="O879" s="177" t="s">
        <v>1523</v>
      </c>
      <c r="P879" s="162" t="s">
        <v>1604</v>
      </c>
      <c r="Q879" s="176"/>
      <c r="R879" s="174"/>
      <c r="S879" s="179"/>
      <c r="T879" s="162" t="s">
        <v>28</v>
      </c>
      <c r="U879" s="161" t="s">
        <v>1615</v>
      </c>
      <c r="V879" s="174">
        <v>2308</v>
      </c>
      <c r="W879" s="180" t="s">
        <v>2933</v>
      </c>
      <c r="X879" s="185">
        <v>45017</v>
      </c>
      <c r="Y879" s="187">
        <v>44945.274212962962</v>
      </c>
    </row>
    <row r="880" spans="1:25">
      <c r="A880" s="167" t="s">
        <v>105</v>
      </c>
      <c r="B880" s="162" t="s">
        <v>1599</v>
      </c>
      <c r="C880" s="163" t="s">
        <v>2934</v>
      </c>
      <c r="D880" s="162" t="s">
        <v>2935</v>
      </c>
      <c r="E880" s="161" t="s">
        <v>1613</v>
      </c>
      <c r="F880" s="162" t="s">
        <v>1614</v>
      </c>
      <c r="G880" s="161"/>
      <c r="H880" s="214">
        <v>69</v>
      </c>
      <c r="I880" s="171">
        <v>4.2</v>
      </c>
      <c r="J880" s="170">
        <v>4.2</v>
      </c>
      <c r="K880" s="172">
        <v>289.8</v>
      </c>
      <c r="L880" s="170">
        <v>289.8</v>
      </c>
      <c r="M880" s="171">
        <v>289.8</v>
      </c>
      <c r="N880" s="170"/>
      <c r="O880" s="177" t="s">
        <v>1523</v>
      </c>
      <c r="P880" s="162" t="s">
        <v>1604</v>
      </c>
      <c r="Q880" s="176"/>
      <c r="R880" s="174"/>
      <c r="S880" s="179"/>
      <c r="T880" s="162" t="s">
        <v>28</v>
      </c>
      <c r="U880" s="161" t="s">
        <v>1615</v>
      </c>
      <c r="V880" s="174">
        <v>2389</v>
      </c>
      <c r="W880" s="180" t="s">
        <v>2936</v>
      </c>
      <c r="X880" s="185">
        <v>45017</v>
      </c>
      <c r="Y880" s="187">
        <v>44932.271608796298</v>
      </c>
    </row>
    <row r="881" spans="1:25">
      <c r="A881" s="167" t="s">
        <v>45</v>
      </c>
      <c r="B881" s="162" t="s">
        <v>1599</v>
      </c>
      <c r="C881" s="163" t="s">
        <v>2937</v>
      </c>
      <c r="D881" s="162" t="s">
        <v>2938</v>
      </c>
      <c r="E881" s="161" t="s">
        <v>1613</v>
      </c>
      <c r="F881" s="162" t="s">
        <v>1614</v>
      </c>
      <c r="G881" s="161"/>
      <c r="H881" s="214">
        <v>1</v>
      </c>
      <c r="I881" s="171">
        <v>210</v>
      </c>
      <c r="J881" s="170">
        <v>210</v>
      </c>
      <c r="K881" s="172">
        <v>210</v>
      </c>
      <c r="L881" s="170">
        <v>210</v>
      </c>
      <c r="M881" s="171">
        <v>210</v>
      </c>
      <c r="N881" s="170"/>
      <c r="O881" s="177" t="s">
        <v>1523</v>
      </c>
      <c r="P881" s="162" t="s">
        <v>1604</v>
      </c>
      <c r="Q881" s="176"/>
      <c r="R881" s="174"/>
      <c r="S881" s="179"/>
      <c r="T881" s="162" t="s">
        <v>28</v>
      </c>
      <c r="U881" s="161" t="s">
        <v>1615</v>
      </c>
      <c r="V881" s="174">
        <v>2369</v>
      </c>
      <c r="W881" s="180" t="s">
        <v>2939</v>
      </c>
      <c r="X881" s="185">
        <v>45017</v>
      </c>
      <c r="Y881" s="187">
        <v>44931.480532407404</v>
      </c>
    </row>
    <row r="882" spans="1:25">
      <c r="A882" s="167" t="s">
        <v>45</v>
      </c>
      <c r="B882" s="162" t="s">
        <v>1599</v>
      </c>
      <c r="C882" s="163" t="s">
        <v>2940</v>
      </c>
      <c r="D882" s="162" t="s">
        <v>2200</v>
      </c>
      <c r="E882" s="161" t="s">
        <v>1608</v>
      </c>
      <c r="F882" s="162" t="s">
        <v>1609</v>
      </c>
      <c r="G882" s="161"/>
      <c r="H882" s="214">
        <v>1</v>
      </c>
      <c r="I882" s="171"/>
      <c r="J882" s="170">
        <v>2000</v>
      </c>
      <c r="K882" s="172"/>
      <c r="L882" s="170">
        <v>2000</v>
      </c>
      <c r="M882" s="171">
        <v>2000</v>
      </c>
      <c r="N882" s="170"/>
      <c r="O882" s="177" t="s">
        <v>1523</v>
      </c>
      <c r="P882" s="162" t="s">
        <v>1620</v>
      </c>
      <c r="Q882" s="176">
        <v>47849</v>
      </c>
      <c r="R882" s="174"/>
      <c r="S882" s="179"/>
      <c r="T882" s="162" t="s">
        <v>28</v>
      </c>
      <c r="U882" s="161" t="s">
        <v>16</v>
      </c>
      <c r="V882" s="174">
        <v>2023</v>
      </c>
      <c r="W882" s="180"/>
      <c r="X882" s="185">
        <v>45017</v>
      </c>
      <c r="Y882" s="187">
        <v>44721.35864583333</v>
      </c>
    </row>
    <row r="883" spans="1:25">
      <c r="A883" s="167" t="s">
        <v>110</v>
      </c>
      <c r="B883" s="162" t="s">
        <v>1599</v>
      </c>
      <c r="C883" s="163" t="s">
        <v>2941</v>
      </c>
      <c r="D883" s="162" t="s">
        <v>641</v>
      </c>
      <c r="E883" s="161" t="s">
        <v>1631</v>
      </c>
      <c r="F883" s="162" t="s">
        <v>1614</v>
      </c>
      <c r="G883" s="161"/>
      <c r="H883" s="214">
        <v>1</v>
      </c>
      <c r="I883" s="171">
        <v>250</v>
      </c>
      <c r="J883" s="170">
        <v>250</v>
      </c>
      <c r="K883" s="172">
        <v>250</v>
      </c>
      <c r="L883" s="170">
        <v>250</v>
      </c>
      <c r="M883" s="171">
        <v>250</v>
      </c>
      <c r="N883" s="170"/>
      <c r="O883" s="177" t="s">
        <v>1523</v>
      </c>
      <c r="P883" s="162" t="s">
        <v>1620</v>
      </c>
      <c r="Q883" s="176"/>
      <c r="R883" s="174"/>
      <c r="S883" s="179"/>
      <c r="T883" s="162" t="s">
        <v>28</v>
      </c>
      <c r="U883" s="161" t="s">
        <v>1615</v>
      </c>
      <c r="V883" s="174">
        <v>1411</v>
      </c>
      <c r="W883" s="180"/>
      <c r="X883" s="185">
        <v>45017</v>
      </c>
      <c r="Y883" s="187">
        <v>43312.053865740738</v>
      </c>
    </row>
    <row r="884" spans="1:25">
      <c r="A884" s="167" t="s">
        <v>110</v>
      </c>
      <c r="B884" s="162" t="s">
        <v>1599</v>
      </c>
      <c r="C884" s="163" t="s">
        <v>2942</v>
      </c>
      <c r="D884" s="162" t="s">
        <v>641</v>
      </c>
      <c r="E884" s="161" t="s">
        <v>1602</v>
      </c>
      <c r="F884" s="162" t="s">
        <v>1603</v>
      </c>
      <c r="G884" s="161"/>
      <c r="H884" s="214">
        <v>1</v>
      </c>
      <c r="I884" s="171"/>
      <c r="J884" s="170">
        <v>80</v>
      </c>
      <c r="K884" s="172"/>
      <c r="L884" s="170">
        <v>80</v>
      </c>
      <c r="M884" s="171">
        <v>80</v>
      </c>
      <c r="N884" s="170">
        <v>0</v>
      </c>
      <c r="O884" s="177" t="s">
        <v>1523</v>
      </c>
      <c r="P884" s="162" t="s">
        <v>1619</v>
      </c>
      <c r="Q884" s="176"/>
      <c r="R884" s="174"/>
      <c r="S884" s="179"/>
      <c r="T884" s="162" t="s">
        <v>28</v>
      </c>
      <c r="U884" s="161" t="s">
        <v>19</v>
      </c>
      <c r="V884" s="174">
        <v>2059</v>
      </c>
      <c r="W884" s="180"/>
      <c r="X884" s="185">
        <v>45017</v>
      </c>
      <c r="Y884" s="187">
        <v>44824.677523148152</v>
      </c>
    </row>
    <row r="885" spans="1:25">
      <c r="A885" s="167" t="s">
        <v>45</v>
      </c>
      <c r="B885" s="162" t="s">
        <v>1599</v>
      </c>
      <c r="C885" s="163" t="s">
        <v>2943</v>
      </c>
      <c r="D885" s="162" t="s">
        <v>162</v>
      </c>
      <c r="E885" s="161" t="s">
        <v>1602</v>
      </c>
      <c r="F885" s="162" t="s">
        <v>1603</v>
      </c>
      <c r="G885" s="161"/>
      <c r="H885" s="214">
        <v>1</v>
      </c>
      <c r="I885" s="171">
        <v>150</v>
      </c>
      <c r="J885" s="170">
        <v>150</v>
      </c>
      <c r="K885" s="172">
        <v>150</v>
      </c>
      <c r="L885" s="170">
        <v>150</v>
      </c>
      <c r="M885" s="171">
        <v>150</v>
      </c>
      <c r="N885" s="170">
        <v>300</v>
      </c>
      <c r="O885" s="177" t="s">
        <v>1523</v>
      </c>
      <c r="P885" s="162" t="s">
        <v>1604</v>
      </c>
      <c r="Q885" s="176"/>
      <c r="R885" s="174"/>
      <c r="S885" s="179"/>
      <c r="T885" s="162" t="s">
        <v>28</v>
      </c>
      <c r="U885" s="161" t="s">
        <v>19</v>
      </c>
      <c r="V885" s="174">
        <v>2418</v>
      </c>
      <c r="W885" s="180"/>
      <c r="X885" s="185">
        <v>45017</v>
      </c>
      <c r="Y885" s="187">
        <v>44986.561377314814</v>
      </c>
    </row>
    <row r="886" spans="1:25">
      <c r="A886" s="167" t="s">
        <v>45</v>
      </c>
      <c r="B886" s="162" t="s">
        <v>1599</v>
      </c>
      <c r="C886" s="163" t="s">
        <v>2944</v>
      </c>
      <c r="D886" s="162" t="s">
        <v>2902</v>
      </c>
      <c r="E886" s="161" t="s">
        <v>1625</v>
      </c>
      <c r="F886" s="162" t="s">
        <v>1609</v>
      </c>
      <c r="G886" s="161"/>
      <c r="H886" s="214">
        <v>1</v>
      </c>
      <c r="I886" s="171">
        <v>500</v>
      </c>
      <c r="J886" s="170">
        <v>500</v>
      </c>
      <c r="K886" s="172">
        <v>500</v>
      </c>
      <c r="L886" s="170">
        <v>500</v>
      </c>
      <c r="M886" s="171">
        <v>500</v>
      </c>
      <c r="N886" s="170"/>
      <c r="O886" s="177" t="s">
        <v>1523</v>
      </c>
      <c r="P886" s="162" t="s">
        <v>1620</v>
      </c>
      <c r="Q886" s="176"/>
      <c r="R886" s="174">
        <v>2045</v>
      </c>
      <c r="S886" s="179"/>
      <c r="T886" s="162" t="s">
        <v>28</v>
      </c>
      <c r="U886" s="161" t="s">
        <v>16</v>
      </c>
      <c r="V886" s="174">
        <v>1466</v>
      </c>
      <c r="W886" s="180"/>
      <c r="X886" s="185">
        <v>45017</v>
      </c>
      <c r="Y886" s="187">
        <v>45021.398252314815</v>
      </c>
    </row>
    <row r="887" spans="1:25">
      <c r="A887" s="167" t="s">
        <v>45</v>
      </c>
      <c r="B887" s="162" t="s">
        <v>1599</v>
      </c>
      <c r="C887" s="163" t="s">
        <v>2945</v>
      </c>
      <c r="D887" s="162" t="s">
        <v>721</v>
      </c>
      <c r="E887" s="161" t="s">
        <v>1589</v>
      </c>
      <c r="F887" s="164" t="s">
        <v>1590</v>
      </c>
      <c r="G887" s="161"/>
      <c r="H887" s="215">
        <v>1</v>
      </c>
      <c r="I887" s="171">
        <v>500</v>
      </c>
      <c r="J887" s="173">
        <v>500</v>
      </c>
      <c r="K887" s="172">
        <v>500</v>
      </c>
      <c r="L887" s="173">
        <v>500</v>
      </c>
      <c r="M887" s="171">
        <v>500</v>
      </c>
      <c r="N887" s="170"/>
      <c r="O887" s="177" t="s">
        <v>1523</v>
      </c>
      <c r="P887" s="162" t="s">
        <v>1619</v>
      </c>
      <c r="Q887" s="176"/>
      <c r="R887" s="175"/>
      <c r="S887" s="179"/>
      <c r="T887" s="164" t="s">
        <v>28</v>
      </c>
      <c r="U887" s="161" t="s">
        <v>14</v>
      </c>
      <c r="V887" s="175">
        <v>1617</v>
      </c>
      <c r="W887" s="181"/>
      <c r="X887" s="186">
        <v>45017</v>
      </c>
      <c r="Y887" s="187">
        <v>45021.593344907407</v>
      </c>
    </row>
    <row r="888" spans="1:25">
      <c r="A888" s="167" t="s">
        <v>110</v>
      </c>
      <c r="B888" s="162" t="s">
        <v>1555</v>
      </c>
      <c r="C888" s="163" t="s">
        <v>886</v>
      </c>
      <c r="D888" s="162" t="s">
        <v>887</v>
      </c>
      <c r="E888" s="161" t="s">
        <v>1631</v>
      </c>
      <c r="F888" s="162" t="s">
        <v>1614</v>
      </c>
      <c r="G888" s="161" t="s">
        <v>2946</v>
      </c>
      <c r="H888" s="214">
        <v>37</v>
      </c>
      <c r="I888" s="171"/>
      <c r="J888" s="170">
        <v>2</v>
      </c>
      <c r="K888" s="172"/>
      <c r="L888" s="170">
        <v>74</v>
      </c>
      <c r="M888" s="171">
        <v>74</v>
      </c>
      <c r="N888" s="170"/>
      <c r="O888" s="177" t="s">
        <v>76</v>
      </c>
      <c r="P888" s="162" t="s">
        <v>1620</v>
      </c>
      <c r="Q888" s="176">
        <v>43678</v>
      </c>
      <c r="R888" s="174">
        <v>2044</v>
      </c>
      <c r="S888" s="179"/>
      <c r="T888" s="162" t="s">
        <v>24</v>
      </c>
      <c r="U888" s="161" t="s">
        <v>1615</v>
      </c>
      <c r="V888" s="174">
        <v>1461</v>
      </c>
      <c r="W888" s="180"/>
      <c r="X888" s="185">
        <v>45069</v>
      </c>
      <c r="Y888" s="187">
        <v>44981.41233796296</v>
      </c>
    </row>
    <row r="889" spans="1:25">
      <c r="A889" s="167" t="s">
        <v>110</v>
      </c>
      <c r="B889" s="162" t="s">
        <v>1555</v>
      </c>
      <c r="C889" s="163" t="s">
        <v>886</v>
      </c>
      <c r="D889" s="162" t="s">
        <v>887</v>
      </c>
      <c r="E889" s="161" t="s">
        <v>1631</v>
      </c>
      <c r="F889" s="162" t="s">
        <v>1614</v>
      </c>
      <c r="G889" s="161" t="s">
        <v>2947</v>
      </c>
      <c r="H889" s="214">
        <v>19</v>
      </c>
      <c r="I889" s="171"/>
      <c r="J889" s="170">
        <v>1.92</v>
      </c>
      <c r="K889" s="172"/>
      <c r="L889" s="170">
        <v>36.479999999999997</v>
      </c>
      <c r="M889" s="171">
        <v>36.479999999999997</v>
      </c>
      <c r="N889" s="170"/>
      <c r="O889" s="177" t="s">
        <v>76</v>
      </c>
      <c r="P889" s="162" t="s">
        <v>1620</v>
      </c>
      <c r="Q889" s="176">
        <v>43678</v>
      </c>
      <c r="R889" s="174">
        <v>2044</v>
      </c>
      <c r="S889" s="179"/>
      <c r="T889" s="162" t="s">
        <v>24</v>
      </c>
      <c r="U889" s="161" t="s">
        <v>1615</v>
      </c>
      <c r="V889" s="174">
        <v>1461</v>
      </c>
      <c r="W889" s="180"/>
      <c r="X889" s="185">
        <v>45069</v>
      </c>
      <c r="Y889" s="187">
        <v>44981.41233796296</v>
      </c>
    </row>
    <row r="890" spans="1:25">
      <c r="A890" s="167" t="s">
        <v>110</v>
      </c>
      <c r="B890" s="162" t="s">
        <v>1599</v>
      </c>
      <c r="C890" s="163" t="s">
        <v>2948</v>
      </c>
      <c r="D890" s="162" t="s">
        <v>2236</v>
      </c>
      <c r="E890" s="161" t="s">
        <v>1625</v>
      </c>
      <c r="F890" s="162" t="s">
        <v>1609</v>
      </c>
      <c r="G890" s="161"/>
      <c r="H890" s="214">
        <v>1</v>
      </c>
      <c r="I890" s="171">
        <v>300</v>
      </c>
      <c r="J890" s="170">
        <v>300</v>
      </c>
      <c r="K890" s="172">
        <v>300</v>
      </c>
      <c r="L890" s="170">
        <v>300</v>
      </c>
      <c r="M890" s="171">
        <v>300</v>
      </c>
      <c r="N890" s="170"/>
      <c r="O890" s="177" t="s">
        <v>1523</v>
      </c>
      <c r="P890" s="162" t="s">
        <v>1620</v>
      </c>
      <c r="Q890" s="176"/>
      <c r="R890" s="174"/>
      <c r="S890" s="179"/>
      <c r="T890" s="162" t="s">
        <v>28</v>
      </c>
      <c r="U890" s="161" t="s">
        <v>16</v>
      </c>
      <c r="V890" s="174">
        <v>2508</v>
      </c>
      <c r="W890" s="180"/>
      <c r="X890" s="185" t="s">
        <v>259</v>
      </c>
      <c r="Y890" s="187">
        <v>45042.623553240737</v>
      </c>
    </row>
    <row r="891" spans="1:25">
      <c r="A891" s="167" t="s">
        <v>45</v>
      </c>
      <c r="B891" s="162" t="s">
        <v>1555</v>
      </c>
      <c r="C891" s="163" t="s">
        <v>1238</v>
      </c>
      <c r="D891" s="162" t="s">
        <v>193</v>
      </c>
      <c r="E891" s="161" t="s">
        <v>1613</v>
      </c>
      <c r="F891" s="162" t="s">
        <v>1614</v>
      </c>
      <c r="G891" s="161" t="s">
        <v>2949</v>
      </c>
      <c r="H891" s="214">
        <v>77</v>
      </c>
      <c r="I891" s="171"/>
      <c r="J891" s="170">
        <v>1.33</v>
      </c>
      <c r="K891" s="172"/>
      <c r="L891" s="170">
        <v>102.03</v>
      </c>
      <c r="M891" s="171">
        <v>102.03</v>
      </c>
      <c r="N891" s="170"/>
      <c r="O891" s="177" t="s">
        <v>76</v>
      </c>
      <c r="P891" s="162" t="s">
        <v>1620</v>
      </c>
      <c r="Q891" s="176"/>
      <c r="R891" s="174">
        <v>2042</v>
      </c>
      <c r="S891" s="179"/>
      <c r="T891" s="162" t="s">
        <v>24</v>
      </c>
      <c r="U891" s="161" t="s">
        <v>1615</v>
      </c>
      <c r="V891" s="174">
        <v>1323</v>
      </c>
      <c r="W891" s="180"/>
      <c r="X891" s="185">
        <v>45017</v>
      </c>
      <c r="Y891" s="187">
        <v>45016.483113425929</v>
      </c>
    </row>
    <row r="892" spans="1:25">
      <c r="A892" s="167" t="s">
        <v>77</v>
      </c>
      <c r="B892" s="162" t="s">
        <v>1555</v>
      </c>
      <c r="C892" s="163" t="s">
        <v>275</v>
      </c>
      <c r="D892" s="162" t="s">
        <v>276</v>
      </c>
      <c r="E892" s="161" t="s">
        <v>1631</v>
      </c>
      <c r="F892" s="162" t="s">
        <v>1614</v>
      </c>
      <c r="G892" s="161" t="s">
        <v>277</v>
      </c>
      <c r="H892" s="214">
        <v>26</v>
      </c>
      <c r="I892" s="171">
        <v>0</v>
      </c>
      <c r="J892" s="170">
        <v>2.14</v>
      </c>
      <c r="K892" s="172">
        <v>0</v>
      </c>
      <c r="L892" s="170">
        <v>55.64</v>
      </c>
      <c r="M892" s="171">
        <v>55.64</v>
      </c>
      <c r="N892" s="170"/>
      <c r="O892" s="177" t="s">
        <v>76</v>
      </c>
      <c r="P892" s="162" t="s">
        <v>1620</v>
      </c>
      <c r="Q892" s="176">
        <v>44652</v>
      </c>
      <c r="R892" s="174">
        <v>2049</v>
      </c>
      <c r="S892" s="179"/>
      <c r="T892" s="162" t="s">
        <v>24</v>
      </c>
      <c r="U892" s="161" t="s">
        <v>1615</v>
      </c>
      <c r="V892" s="174">
        <v>1591</v>
      </c>
      <c r="W892" s="180"/>
      <c r="X892" s="185">
        <v>45017</v>
      </c>
      <c r="Y892" s="187">
        <v>45021.578715277778</v>
      </c>
    </row>
    <row r="893" spans="1:25">
      <c r="A893" s="167" t="s">
        <v>77</v>
      </c>
      <c r="B893" s="162" t="s">
        <v>1555</v>
      </c>
      <c r="C893" s="163" t="s">
        <v>712</v>
      </c>
      <c r="D893" s="162" t="s">
        <v>713</v>
      </c>
      <c r="E893" s="161" t="s">
        <v>1673</v>
      </c>
      <c r="F893" s="162" t="s">
        <v>1592</v>
      </c>
      <c r="G893" s="161" t="s">
        <v>2950</v>
      </c>
      <c r="H893" s="214">
        <v>1</v>
      </c>
      <c r="I893" s="171"/>
      <c r="J893" s="170">
        <v>173</v>
      </c>
      <c r="K893" s="172"/>
      <c r="L893" s="170">
        <v>173</v>
      </c>
      <c r="M893" s="171">
        <v>173</v>
      </c>
      <c r="N893" s="170"/>
      <c r="O893" s="177" t="s">
        <v>76</v>
      </c>
      <c r="P893" s="162" t="s">
        <v>1619</v>
      </c>
      <c r="Q893" s="176"/>
      <c r="R893" s="174">
        <v>2050</v>
      </c>
      <c r="S893" s="179"/>
      <c r="T893" s="162" t="s">
        <v>24</v>
      </c>
      <c r="U893" s="161" t="s">
        <v>13</v>
      </c>
      <c r="V893" s="174">
        <v>1433</v>
      </c>
      <c r="W893" s="180"/>
      <c r="X893" s="185">
        <v>45017</v>
      </c>
      <c r="Y893" s="187">
        <v>45020.653391203705</v>
      </c>
    </row>
    <row r="894" spans="1:25">
      <c r="A894" s="167" t="s">
        <v>77</v>
      </c>
      <c r="B894" s="162" t="s">
        <v>1555</v>
      </c>
      <c r="C894" s="163" t="s">
        <v>712</v>
      </c>
      <c r="D894" s="162" t="s">
        <v>713</v>
      </c>
      <c r="E894" s="161" t="s">
        <v>1673</v>
      </c>
      <c r="F894" s="162" t="s">
        <v>1592</v>
      </c>
      <c r="G894" s="161" t="s">
        <v>2951</v>
      </c>
      <c r="H894" s="214">
        <v>1</v>
      </c>
      <c r="I894" s="171"/>
      <c r="J894" s="170">
        <v>173</v>
      </c>
      <c r="K894" s="172"/>
      <c r="L894" s="170">
        <v>173</v>
      </c>
      <c r="M894" s="171">
        <v>173</v>
      </c>
      <c r="N894" s="170"/>
      <c r="O894" s="177" t="s">
        <v>76</v>
      </c>
      <c r="P894" s="162" t="s">
        <v>1619</v>
      </c>
      <c r="Q894" s="176"/>
      <c r="R894" s="174">
        <v>2050</v>
      </c>
      <c r="S894" s="179"/>
      <c r="T894" s="162" t="s">
        <v>24</v>
      </c>
      <c r="U894" s="161" t="s">
        <v>13</v>
      </c>
      <c r="V894" s="174">
        <v>1433</v>
      </c>
      <c r="W894" s="180"/>
      <c r="X894" s="185">
        <v>45017</v>
      </c>
      <c r="Y894" s="187">
        <v>45020.653391203705</v>
      </c>
    </row>
    <row r="895" spans="1:25" ht="26.25" customHeight="1">
      <c r="A895" s="167" t="s">
        <v>77</v>
      </c>
      <c r="B895" s="162" t="s">
        <v>1555</v>
      </c>
      <c r="C895" s="163" t="s">
        <v>2952</v>
      </c>
      <c r="D895" s="162" t="s">
        <v>2953</v>
      </c>
      <c r="E895" s="161" t="s">
        <v>1613</v>
      </c>
      <c r="F895" s="162" t="s">
        <v>1614</v>
      </c>
      <c r="G895" s="161" t="s">
        <v>2954</v>
      </c>
      <c r="H895" s="214">
        <v>1</v>
      </c>
      <c r="I895" s="171">
        <v>25</v>
      </c>
      <c r="J895" s="170">
        <v>25</v>
      </c>
      <c r="K895" s="172">
        <v>25</v>
      </c>
      <c r="L895" s="170">
        <v>25</v>
      </c>
      <c r="M895" s="171">
        <v>25</v>
      </c>
      <c r="N895" s="170"/>
      <c r="O895" s="177" t="s">
        <v>76</v>
      </c>
      <c r="P895" s="162" t="s">
        <v>1620</v>
      </c>
      <c r="Q895" s="176">
        <v>43678</v>
      </c>
      <c r="R895" s="174">
        <v>2043</v>
      </c>
      <c r="S895" s="179"/>
      <c r="T895" s="162" t="s">
        <v>24</v>
      </c>
      <c r="U895" s="161" t="s">
        <v>1615</v>
      </c>
      <c r="V895" s="174">
        <v>1386</v>
      </c>
      <c r="W895" s="180"/>
      <c r="X895" s="185">
        <v>45069</v>
      </c>
      <c r="Y895" s="187">
        <v>45098.483553240738</v>
      </c>
    </row>
    <row r="896" spans="1:25">
      <c r="A896" s="167" t="s">
        <v>110</v>
      </c>
      <c r="B896" s="162" t="s">
        <v>1555</v>
      </c>
      <c r="C896" s="163" t="s">
        <v>2955</v>
      </c>
      <c r="D896" s="162" t="s">
        <v>2956</v>
      </c>
      <c r="E896" s="161" t="s">
        <v>1625</v>
      </c>
      <c r="F896" s="162" t="s">
        <v>1609</v>
      </c>
      <c r="G896" s="161" t="s">
        <v>2957</v>
      </c>
      <c r="H896" s="214">
        <v>32</v>
      </c>
      <c r="I896" s="171"/>
      <c r="J896" s="170">
        <v>2.1</v>
      </c>
      <c r="K896" s="172"/>
      <c r="L896" s="170">
        <v>67.2</v>
      </c>
      <c r="M896" s="171">
        <v>67.2</v>
      </c>
      <c r="N896" s="170"/>
      <c r="O896" s="177" t="s">
        <v>76</v>
      </c>
      <c r="P896" s="162" t="s">
        <v>1620</v>
      </c>
      <c r="Q896" s="176"/>
      <c r="R896" s="174">
        <v>2037</v>
      </c>
      <c r="S896" s="179"/>
      <c r="T896" s="162" t="s">
        <v>24</v>
      </c>
      <c r="U896" s="161" t="s">
        <v>16</v>
      </c>
      <c r="V896" s="174">
        <v>1152</v>
      </c>
      <c r="W896" s="180"/>
      <c r="X896" s="185">
        <v>45017</v>
      </c>
      <c r="Y896" s="187">
        <v>45015.647534722222</v>
      </c>
    </row>
    <row r="897" spans="1:25">
      <c r="A897" s="167" t="s">
        <v>77</v>
      </c>
      <c r="B897" s="162" t="s">
        <v>1555</v>
      </c>
      <c r="C897" s="163" t="s">
        <v>2958</v>
      </c>
      <c r="D897" s="162" t="s">
        <v>2333</v>
      </c>
      <c r="E897" s="161" t="s">
        <v>1596</v>
      </c>
      <c r="F897" s="162" t="s">
        <v>1639</v>
      </c>
      <c r="G897" s="161" t="s">
        <v>2959</v>
      </c>
      <c r="H897" s="214">
        <v>14</v>
      </c>
      <c r="I897" s="171"/>
      <c r="J897" s="170">
        <v>1.07</v>
      </c>
      <c r="K897" s="172"/>
      <c r="L897" s="170">
        <v>14.91</v>
      </c>
      <c r="M897" s="171">
        <v>14.91</v>
      </c>
      <c r="N897" s="170"/>
      <c r="O897" s="177" t="s">
        <v>76</v>
      </c>
      <c r="P897" s="162" t="s">
        <v>1591</v>
      </c>
      <c r="Q897" s="176"/>
      <c r="R897" s="174">
        <v>2025</v>
      </c>
      <c r="S897" s="179"/>
      <c r="T897" s="162" t="s">
        <v>24</v>
      </c>
      <c r="U897" s="161" t="s">
        <v>14</v>
      </c>
      <c r="V897" s="174">
        <v>1359</v>
      </c>
      <c r="W897" s="180"/>
      <c r="X897" s="185">
        <v>44621</v>
      </c>
      <c r="Y897" s="187">
        <v>44981.39603009259</v>
      </c>
    </row>
    <row r="898" spans="1:25">
      <c r="A898" s="167" t="s">
        <v>77</v>
      </c>
      <c r="B898" s="162" t="s">
        <v>1555</v>
      </c>
      <c r="C898" s="163" t="s">
        <v>2958</v>
      </c>
      <c r="D898" s="162" t="s">
        <v>2333</v>
      </c>
      <c r="E898" s="161" t="s">
        <v>1596</v>
      </c>
      <c r="F898" s="162" t="s">
        <v>1639</v>
      </c>
      <c r="G898" s="161" t="s">
        <v>2959</v>
      </c>
      <c r="H898" s="214">
        <v>2</v>
      </c>
      <c r="I898" s="171"/>
      <c r="J898" s="170">
        <v>3.04</v>
      </c>
      <c r="K898" s="172"/>
      <c r="L898" s="170">
        <v>6.09</v>
      </c>
      <c r="M898" s="171">
        <v>6.09</v>
      </c>
      <c r="N898" s="170"/>
      <c r="O898" s="177" t="s">
        <v>76</v>
      </c>
      <c r="P898" s="162" t="s">
        <v>1591</v>
      </c>
      <c r="Q898" s="176"/>
      <c r="R898" s="174">
        <v>2025</v>
      </c>
      <c r="S898" s="179"/>
      <c r="T898" s="162" t="s">
        <v>24</v>
      </c>
      <c r="U898" s="161" t="s">
        <v>14</v>
      </c>
      <c r="V898" s="174">
        <v>1359</v>
      </c>
      <c r="W898" s="180"/>
      <c r="X898" s="185">
        <v>44621</v>
      </c>
      <c r="Y898" s="187">
        <v>44981.39603009259</v>
      </c>
    </row>
    <row r="899" spans="1:25">
      <c r="A899" s="167" t="s">
        <v>77</v>
      </c>
      <c r="B899" s="162" t="s">
        <v>1555</v>
      </c>
      <c r="C899" s="163" t="s">
        <v>1153</v>
      </c>
      <c r="D899" s="162" t="s">
        <v>2960</v>
      </c>
      <c r="E899" s="161" t="s">
        <v>1596</v>
      </c>
      <c r="F899" s="162" t="s">
        <v>1639</v>
      </c>
      <c r="G899" s="161" t="s">
        <v>2961</v>
      </c>
      <c r="H899" s="214">
        <v>5</v>
      </c>
      <c r="I899" s="171"/>
      <c r="J899" s="170">
        <v>3</v>
      </c>
      <c r="K899" s="172"/>
      <c r="L899" s="170">
        <v>15</v>
      </c>
      <c r="M899" s="171">
        <v>15</v>
      </c>
      <c r="N899" s="170"/>
      <c r="O899" s="177" t="s">
        <v>76</v>
      </c>
      <c r="P899" s="162" t="s">
        <v>1591</v>
      </c>
      <c r="Q899" s="176"/>
      <c r="R899" s="174">
        <v>2025</v>
      </c>
      <c r="S899" s="179"/>
      <c r="T899" s="162" t="s">
        <v>24</v>
      </c>
      <c r="U899" s="161" t="s">
        <v>14</v>
      </c>
      <c r="V899" s="174">
        <v>1379</v>
      </c>
      <c r="W899" s="180"/>
      <c r="X899" s="185">
        <v>44621</v>
      </c>
      <c r="Y899" s="187">
        <v>44981.400636574072</v>
      </c>
    </row>
    <row r="900" spans="1:25">
      <c r="A900" s="167" t="s">
        <v>45</v>
      </c>
      <c r="B900" s="162" t="s">
        <v>1599</v>
      </c>
      <c r="C900" s="163" t="s">
        <v>454</v>
      </c>
      <c r="D900" s="162" t="s">
        <v>2962</v>
      </c>
      <c r="E900" s="161" t="s">
        <v>1602</v>
      </c>
      <c r="F900" s="162" t="s">
        <v>1603</v>
      </c>
      <c r="G900" s="161" t="s">
        <v>2963</v>
      </c>
      <c r="H900" s="214">
        <v>138</v>
      </c>
      <c r="I900" s="171">
        <v>0</v>
      </c>
      <c r="J900" s="170">
        <v>2.96</v>
      </c>
      <c r="K900" s="172">
        <v>0</v>
      </c>
      <c r="L900" s="170">
        <v>408.48</v>
      </c>
      <c r="M900" s="171">
        <v>408.48</v>
      </c>
      <c r="N900" s="170">
        <v>1600</v>
      </c>
      <c r="O900" s="177" t="s">
        <v>27</v>
      </c>
      <c r="P900" s="162" t="s">
        <v>1619</v>
      </c>
      <c r="Q900" s="176">
        <v>45778</v>
      </c>
      <c r="R900" s="174">
        <v>2065</v>
      </c>
      <c r="S900" s="179"/>
      <c r="T900" s="162" t="s">
        <v>27</v>
      </c>
      <c r="U900" s="161" t="s">
        <v>19</v>
      </c>
      <c r="V900" s="174">
        <v>2015</v>
      </c>
      <c r="W900" s="180"/>
      <c r="X900" s="185">
        <v>45069</v>
      </c>
      <c r="Y900" s="187">
        <v>45098.422094907408</v>
      </c>
    </row>
    <row r="901" spans="1:25">
      <c r="A901" s="167" t="s">
        <v>45</v>
      </c>
      <c r="B901" s="162" t="s">
        <v>1599</v>
      </c>
      <c r="C901" s="163" t="s">
        <v>2964</v>
      </c>
      <c r="D901" s="162" t="s">
        <v>2453</v>
      </c>
      <c r="E901" s="161" t="s">
        <v>1631</v>
      </c>
      <c r="F901" s="162" t="s">
        <v>1614</v>
      </c>
      <c r="G901" s="161"/>
      <c r="H901" s="214">
        <v>1</v>
      </c>
      <c r="I901" s="171">
        <v>80</v>
      </c>
      <c r="J901" s="170">
        <v>80</v>
      </c>
      <c r="K901" s="172">
        <v>80</v>
      </c>
      <c r="L901" s="170">
        <v>80</v>
      </c>
      <c r="M901" s="171">
        <v>80</v>
      </c>
      <c r="N901" s="170"/>
      <c r="O901" s="177" t="s">
        <v>1523</v>
      </c>
      <c r="P901" s="162" t="s">
        <v>1620</v>
      </c>
      <c r="Q901" s="176"/>
      <c r="R901" s="174"/>
      <c r="S901" s="179"/>
      <c r="T901" s="162" t="s">
        <v>28</v>
      </c>
      <c r="U901" s="161" t="s">
        <v>1615</v>
      </c>
      <c r="V901" s="174">
        <v>1540</v>
      </c>
      <c r="W901" s="180" t="s">
        <v>2965</v>
      </c>
      <c r="X901" s="185">
        <v>45017</v>
      </c>
      <c r="Y901" s="187">
        <v>44938.573425925926</v>
      </c>
    </row>
    <row r="902" spans="1:25">
      <c r="A902" s="167" t="s">
        <v>91</v>
      </c>
      <c r="B902" s="162" t="s">
        <v>1555</v>
      </c>
      <c r="C902" s="163" t="s">
        <v>694</v>
      </c>
      <c r="D902" s="162" t="s">
        <v>695</v>
      </c>
      <c r="E902" s="161" t="s">
        <v>2072</v>
      </c>
      <c r="F902" s="162" t="s">
        <v>1592</v>
      </c>
      <c r="G902" s="161" t="s">
        <v>696</v>
      </c>
      <c r="H902" s="214">
        <v>1</v>
      </c>
      <c r="I902" s="171"/>
      <c r="J902" s="170">
        <v>118</v>
      </c>
      <c r="K902" s="172"/>
      <c r="L902" s="170">
        <v>118</v>
      </c>
      <c r="M902" s="171">
        <v>118</v>
      </c>
      <c r="N902" s="170"/>
      <c r="O902" s="177" t="s">
        <v>76</v>
      </c>
      <c r="P902" s="162" t="s">
        <v>1619</v>
      </c>
      <c r="Q902" s="176"/>
      <c r="R902" s="174">
        <v>2026</v>
      </c>
      <c r="S902" s="179"/>
      <c r="T902" s="162" t="s">
        <v>24</v>
      </c>
      <c r="U902" s="161" t="s">
        <v>12</v>
      </c>
      <c r="V902" s="174">
        <v>1154</v>
      </c>
      <c r="W902" s="180"/>
      <c r="X902" s="185">
        <v>45069</v>
      </c>
      <c r="Y902" s="187">
        <v>45019.693298611113</v>
      </c>
    </row>
    <row r="903" spans="1:25">
      <c r="A903" s="167" t="s">
        <v>91</v>
      </c>
      <c r="B903" s="162" t="s">
        <v>1555</v>
      </c>
      <c r="C903" s="163" t="s">
        <v>694</v>
      </c>
      <c r="D903" s="162" t="s">
        <v>695</v>
      </c>
      <c r="E903" s="161" t="s">
        <v>2072</v>
      </c>
      <c r="F903" s="162" t="s">
        <v>1592</v>
      </c>
      <c r="G903" s="161" t="s">
        <v>696</v>
      </c>
      <c r="H903" s="214">
        <v>1</v>
      </c>
      <c r="I903" s="171"/>
      <c r="J903" s="170">
        <v>62</v>
      </c>
      <c r="K903" s="172"/>
      <c r="L903" s="170">
        <v>62</v>
      </c>
      <c r="M903" s="171">
        <v>62</v>
      </c>
      <c r="N903" s="170"/>
      <c r="O903" s="177" t="s">
        <v>76</v>
      </c>
      <c r="P903" s="162" t="s">
        <v>1619</v>
      </c>
      <c r="Q903" s="176"/>
      <c r="R903" s="174">
        <v>2026</v>
      </c>
      <c r="S903" s="179"/>
      <c r="T903" s="162" t="s">
        <v>24</v>
      </c>
      <c r="U903" s="161" t="s">
        <v>12</v>
      </c>
      <c r="V903" s="174">
        <v>1154</v>
      </c>
      <c r="W903" s="180"/>
      <c r="X903" s="185">
        <v>45069</v>
      </c>
      <c r="Y903" s="187">
        <v>45019.693298611113</v>
      </c>
    </row>
    <row r="904" spans="1:25">
      <c r="A904" s="167" t="s">
        <v>45</v>
      </c>
      <c r="B904" s="162" t="s">
        <v>1599</v>
      </c>
      <c r="C904" s="163" t="s">
        <v>2966</v>
      </c>
      <c r="D904" s="162" t="s">
        <v>2966</v>
      </c>
      <c r="E904" s="161" t="s">
        <v>1657</v>
      </c>
      <c r="F904" s="162" t="s">
        <v>1658</v>
      </c>
      <c r="G904" s="161"/>
      <c r="H904" s="214">
        <v>1</v>
      </c>
      <c r="I904" s="171">
        <v>600</v>
      </c>
      <c r="J904" s="170">
        <v>600</v>
      </c>
      <c r="K904" s="172">
        <v>600</v>
      </c>
      <c r="L904" s="170">
        <v>600</v>
      </c>
      <c r="M904" s="171">
        <v>600</v>
      </c>
      <c r="N904" s="170">
        <v>7200</v>
      </c>
      <c r="O904" s="177" t="s">
        <v>1523</v>
      </c>
      <c r="P904" s="162" t="s">
        <v>1619</v>
      </c>
      <c r="Q904" s="176"/>
      <c r="R904" s="174"/>
      <c r="S904" s="179"/>
      <c r="T904" s="162" t="s">
        <v>28</v>
      </c>
      <c r="U904" s="161" t="s">
        <v>17</v>
      </c>
      <c r="V904" s="174">
        <v>1751</v>
      </c>
      <c r="W904" s="180" t="s">
        <v>3981</v>
      </c>
      <c r="X904" s="185">
        <v>45017</v>
      </c>
      <c r="Y904" s="187">
        <v>44953.424375000002</v>
      </c>
    </row>
    <row r="905" spans="1:25">
      <c r="A905" s="167" t="s">
        <v>45</v>
      </c>
      <c r="B905" s="162" t="s">
        <v>1599</v>
      </c>
      <c r="C905" s="163" t="s">
        <v>2967</v>
      </c>
      <c r="D905" s="162" t="s">
        <v>2968</v>
      </c>
      <c r="E905" s="161" t="s">
        <v>1613</v>
      </c>
      <c r="F905" s="162" t="s">
        <v>1614</v>
      </c>
      <c r="G905" s="161"/>
      <c r="H905" s="214">
        <v>1</v>
      </c>
      <c r="I905" s="171"/>
      <c r="J905" s="170">
        <v>300</v>
      </c>
      <c r="K905" s="172"/>
      <c r="L905" s="170">
        <v>300</v>
      </c>
      <c r="M905" s="171">
        <v>300</v>
      </c>
      <c r="N905" s="170"/>
      <c r="O905" s="177" t="s">
        <v>1523</v>
      </c>
      <c r="P905" s="162" t="s">
        <v>1620</v>
      </c>
      <c r="Q905" s="176"/>
      <c r="R905" s="174"/>
      <c r="S905" s="179"/>
      <c r="T905" s="162" t="s">
        <v>28</v>
      </c>
      <c r="U905" s="161" t="s">
        <v>1615</v>
      </c>
      <c r="V905" s="174">
        <v>2064</v>
      </c>
      <c r="W905" s="180" t="s">
        <v>3982</v>
      </c>
      <c r="X905" s="185">
        <v>45017</v>
      </c>
      <c r="Y905" s="187">
        <v>44824.701689814814</v>
      </c>
    </row>
    <row r="906" spans="1:25">
      <c r="A906" s="220" t="s">
        <v>91</v>
      </c>
      <c r="B906" s="221" t="s">
        <v>1599</v>
      </c>
      <c r="C906" s="222" t="s">
        <v>3914</v>
      </c>
      <c r="D906" s="221" t="s">
        <v>3843</v>
      </c>
      <c r="E906" s="223" t="s">
        <v>1602</v>
      </c>
      <c r="F906" s="224" t="s">
        <v>20</v>
      </c>
      <c r="G906" s="223"/>
      <c r="H906" s="225">
        <v>1</v>
      </c>
      <c r="I906" s="226"/>
      <c r="J906" s="227">
        <v>250</v>
      </c>
      <c r="K906" s="228"/>
      <c r="L906" s="227">
        <v>250</v>
      </c>
      <c r="M906" s="226">
        <v>250</v>
      </c>
      <c r="N906" s="229">
        <v>500</v>
      </c>
      <c r="O906" s="230" t="s">
        <v>1523</v>
      </c>
      <c r="P906" s="221" t="s">
        <v>1604</v>
      </c>
      <c r="Q906" s="231"/>
      <c r="R906" s="232"/>
      <c r="S906" s="233"/>
      <c r="T906" s="224" t="s">
        <v>28</v>
      </c>
      <c r="U906" s="223" t="s">
        <v>19</v>
      </c>
      <c r="V906" s="232">
        <v>2522</v>
      </c>
      <c r="W906" s="234" t="s">
        <v>3958</v>
      </c>
      <c r="X906" s="235"/>
      <c r="Y906" s="236">
        <v>45111.736979166664</v>
      </c>
    </row>
    <row r="907" spans="1:25">
      <c r="A907" s="220" t="s">
        <v>91</v>
      </c>
      <c r="B907" s="221" t="s">
        <v>1599</v>
      </c>
      <c r="C907" s="222" t="s">
        <v>3915</v>
      </c>
      <c r="D907" s="221" t="s">
        <v>3843</v>
      </c>
      <c r="E907" s="223" t="s">
        <v>1602</v>
      </c>
      <c r="F907" s="224" t="s">
        <v>20</v>
      </c>
      <c r="G907" s="223"/>
      <c r="H907" s="225">
        <v>1</v>
      </c>
      <c r="I907" s="226"/>
      <c r="J907" s="227">
        <v>250</v>
      </c>
      <c r="K907" s="228"/>
      <c r="L907" s="227">
        <v>250</v>
      </c>
      <c r="M907" s="226">
        <v>250</v>
      </c>
      <c r="N907" s="229">
        <v>500</v>
      </c>
      <c r="O907" s="230" t="s">
        <v>1523</v>
      </c>
      <c r="P907" s="221" t="s">
        <v>1604</v>
      </c>
      <c r="Q907" s="231"/>
      <c r="R907" s="232"/>
      <c r="S907" s="233"/>
      <c r="T907" s="224" t="s">
        <v>28</v>
      </c>
      <c r="U907" s="223" t="s">
        <v>19</v>
      </c>
      <c r="V907" s="232">
        <v>2523</v>
      </c>
      <c r="W907" s="234" t="s">
        <v>3958</v>
      </c>
      <c r="X907" s="235"/>
      <c r="Y907" s="236">
        <v>45111.737083333333</v>
      </c>
    </row>
    <row r="908" spans="1:25">
      <c r="A908" s="220" t="s">
        <v>110</v>
      </c>
      <c r="B908" s="221" t="s">
        <v>1599</v>
      </c>
      <c r="C908" s="222" t="s">
        <v>3842</v>
      </c>
      <c r="D908" s="221" t="s">
        <v>3843</v>
      </c>
      <c r="E908" s="223" t="s">
        <v>1602</v>
      </c>
      <c r="F908" s="224" t="s">
        <v>20</v>
      </c>
      <c r="G908" s="223"/>
      <c r="H908" s="225">
        <v>1</v>
      </c>
      <c r="I908" s="226"/>
      <c r="J908" s="227">
        <v>1000</v>
      </c>
      <c r="K908" s="228"/>
      <c r="L908" s="227">
        <v>1000</v>
      </c>
      <c r="M908" s="226">
        <v>1000</v>
      </c>
      <c r="N908" s="229">
        <v>2000</v>
      </c>
      <c r="O908" s="230" t="s">
        <v>1523</v>
      </c>
      <c r="P908" s="221" t="s">
        <v>1604</v>
      </c>
      <c r="Q908" s="231"/>
      <c r="R908" s="232"/>
      <c r="S908" s="233"/>
      <c r="T908" s="224" t="s">
        <v>28</v>
      </c>
      <c r="U908" s="223" t="s">
        <v>19</v>
      </c>
      <c r="V908" s="232">
        <v>2524</v>
      </c>
      <c r="W908" s="234"/>
      <c r="X908" s="235"/>
      <c r="Y908" s="236">
        <v>45106.381388888891</v>
      </c>
    </row>
    <row r="909" spans="1:25">
      <c r="A909" s="167" t="s">
        <v>45</v>
      </c>
      <c r="B909" s="162" t="s">
        <v>1599</v>
      </c>
      <c r="C909" s="163" t="s">
        <v>2969</v>
      </c>
      <c r="D909" s="162" t="s">
        <v>2970</v>
      </c>
      <c r="E909" s="161" t="s">
        <v>1625</v>
      </c>
      <c r="F909" s="162" t="s">
        <v>1609</v>
      </c>
      <c r="G909" s="161"/>
      <c r="H909" s="214">
        <v>43</v>
      </c>
      <c r="I909" s="171"/>
      <c r="J909" s="170">
        <v>6.4</v>
      </c>
      <c r="K909" s="172"/>
      <c r="L909" s="170">
        <v>275.2</v>
      </c>
      <c r="M909" s="171">
        <v>275.2</v>
      </c>
      <c r="N909" s="170"/>
      <c r="O909" s="177" t="s">
        <v>1523</v>
      </c>
      <c r="P909" s="162" t="s">
        <v>1620</v>
      </c>
      <c r="Q909" s="176"/>
      <c r="R909" s="174"/>
      <c r="S909" s="179"/>
      <c r="T909" s="162" t="s">
        <v>28</v>
      </c>
      <c r="U909" s="161" t="s">
        <v>16</v>
      </c>
      <c r="V909" s="174">
        <v>1155</v>
      </c>
      <c r="W909" s="180" t="s">
        <v>2971</v>
      </c>
      <c r="X909" s="185">
        <v>45069</v>
      </c>
      <c r="Y909" s="187">
        <v>44938.458564814813</v>
      </c>
    </row>
    <row r="910" spans="1:25">
      <c r="A910" s="167" t="s">
        <v>91</v>
      </c>
      <c r="B910" s="162" t="s">
        <v>1599</v>
      </c>
      <c r="C910" s="163" t="s">
        <v>2972</v>
      </c>
      <c r="D910" s="162" t="s">
        <v>324</v>
      </c>
      <c r="E910" s="161" t="s">
        <v>1613</v>
      </c>
      <c r="F910" s="162" t="s">
        <v>1614</v>
      </c>
      <c r="G910" s="161"/>
      <c r="H910" s="214">
        <v>1</v>
      </c>
      <c r="I910" s="171"/>
      <c r="J910" s="170">
        <v>176</v>
      </c>
      <c r="K910" s="172"/>
      <c r="L910" s="170">
        <v>176</v>
      </c>
      <c r="M910" s="171">
        <v>176</v>
      </c>
      <c r="N910" s="170"/>
      <c r="O910" s="177" t="s">
        <v>1523</v>
      </c>
      <c r="P910" s="162" t="s">
        <v>1620</v>
      </c>
      <c r="Q910" s="176"/>
      <c r="R910" s="174"/>
      <c r="S910" s="179"/>
      <c r="T910" s="162" t="s">
        <v>28</v>
      </c>
      <c r="U910" s="161" t="s">
        <v>1615</v>
      </c>
      <c r="V910" s="174">
        <v>2052</v>
      </c>
      <c r="W910" s="180"/>
      <c r="X910" s="185">
        <v>45017</v>
      </c>
      <c r="Y910" s="187">
        <v>44824.637175925927</v>
      </c>
    </row>
    <row r="911" spans="1:25">
      <c r="A911" s="167" t="s">
        <v>91</v>
      </c>
      <c r="B911" s="162" t="s">
        <v>1599</v>
      </c>
      <c r="C911" s="163" t="s">
        <v>1365</v>
      </c>
      <c r="D911" s="162" t="s">
        <v>523</v>
      </c>
      <c r="E911" s="161" t="s">
        <v>1625</v>
      </c>
      <c r="F911" s="162" t="s">
        <v>1609</v>
      </c>
      <c r="G911" s="161"/>
      <c r="H911" s="214">
        <v>49</v>
      </c>
      <c r="I911" s="171">
        <v>6</v>
      </c>
      <c r="J911" s="170">
        <v>6</v>
      </c>
      <c r="K911" s="172">
        <v>294</v>
      </c>
      <c r="L911" s="170">
        <v>294</v>
      </c>
      <c r="M911" s="171">
        <v>294</v>
      </c>
      <c r="N911" s="170"/>
      <c r="O911" s="177" t="s">
        <v>1523</v>
      </c>
      <c r="P911" s="162" t="s">
        <v>1620</v>
      </c>
      <c r="Q911" s="176"/>
      <c r="R911" s="174"/>
      <c r="S911" s="179"/>
      <c r="T911" s="162" t="s">
        <v>28</v>
      </c>
      <c r="U911" s="161" t="s">
        <v>16</v>
      </c>
      <c r="V911" s="174">
        <v>1337</v>
      </c>
      <c r="W911" s="180"/>
      <c r="X911" s="185">
        <v>45069</v>
      </c>
      <c r="Y911" s="187">
        <v>45097.391932870371</v>
      </c>
    </row>
    <row r="912" spans="1:25">
      <c r="A912" s="167" t="s">
        <v>105</v>
      </c>
      <c r="B912" s="162" t="s">
        <v>1599</v>
      </c>
      <c r="C912" s="163" t="s">
        <v>2973</v>
      </c>
      <c r="D912" s="162" t="s">
        <v>2974</v>
      </c>
      <c r="E912" s="161" t="s">
        <v>1602</v>
      </c>
      <c r="F912" s="162" t="s">
        <v>1603</v>
      </c>
      <c r="G912" s="161"/>
      <c r="H912" s="214">
        <v>1</v>
      </c>
      <c r="I912" s="171">
        <v>100</v>
      </c>
      <c r="J912" s="170">
        <v>100</v>
      </c>
      <c r="K912" s="172">
        <v>100</v>
      </c>
      <c r="L912" s="170">
        <v>100</v>
      </c>
      <c r="M912" s="171">
        <v>100</v>
      </c>
      <c r="N912" s="170">
        <v>0</v>
      </c>
      <c r="O912" s="177" t="s">
        <v>1523</v>
      </c>
      <c r="P912" s="162" t="s">
        <v>1604</v>
      </c>
      <c r="Q912" s="176"/>
      <c r="R912" s="174"/>
      <c r="S912" s="179"/>
      <c r="T912" s="162" t="s">
        <v>28</v>
      </c>
      <c r="U912" s="161" t="s">
        <v>19</v>
      </c>
      <c r="V912" s="174">
        <v>2234</v>
      </c>
      <c r="W912" s="180" t="s">
        <v>2975</v>
      </c>
      <c r="X912" s="185">
        <v>45017</v>
      </c>
      <c r="Y912" s="187">
        <v>44945.27484953704</v>
      </c>
    </row>
    <row r="913" spans="1:25">
      <c r="A913" s="167" t="s">
        <v>105</v>
      </c>
      <c r="B913" s="162" t="s">
        <v>1599</v>
      </c>
      <c r="C913" s="163" t="s">
        <v>2976</v>
      </c>
      <c r="D913" s="162" t="s">
        <v>2977</v>
      </c>
      <c r="E913" s="161" t="s">
        <v>1602</v>
      </c>
      <c r="F913" s="162" t="s">
        <v>1603</v>
      </c>
      <c r="G913" s="161"/>
      <c r="H913" s="214">
        <v>1</v>
      </c>
      <c r="I913" s="171">
        <v>300</v>
      </c>
      <c r="J913" s="170">
        <v>300</v>
      </c>
      <c r="K913" s="172">
        <v>300</v>
      </c>
      <c r="L913" s="170">
        <v>300</v>
      </c>
      <c r="M913" s="171">
        <v>300</v>
      </c>
      <c r="N913" s="170">
        <v>0</v>
      </c>
      <c r="O913" s="177" t="s">
        <v>1523</v>
      </c>
      <c r="P913" s="162" t="s">
        <v>1604</v>
      </c>
      <c r="Q913" s="176"/>
      <c r="R913" s="174"/>
      <c r="S913" s="179"/>
      <c r="T913" s="162" t="s">
        <v>28</v>
      </c>
      <c r="U913" s="161" t="s">
        <v>19</v>
      </c>
      <c r="V913" s="174">
        <v>2233</v>
      </c>
      <c r="W913" s="180" t="s">
        <v>2978</v>
      </c>
      <c r="X913" s="185">
        <v>45017</v>
      </c>
      <c r="Y913" s="187">
        <v>44986.412349537037</v>
      </c>
    </row>
    <row r="914" spans="1:25">
      <c r="A914" s="167" t="s">
        <v>105</v>
      </c>
      <c r="B914" s="162" t="s">
        <v>1555</v>
      </c>
      <c r="C914" s="163" t="s">
        <v>2979</v>
      </c>
      <c r="D914" s="162" t="s">
        <v>1735</v>
      </c>
      <c r="E914" s="161" t="s">
        <v>1700</v>
      </c>
      <c r="F914" s="162" t="s">
        <v>1658</v>
      </c>
      <c r="G914" s="161" t="s">
        <v>2980</v>
      </c>
      <c r="H914" s="214">
        <v>1</v>
      </c>
      <c r="I914" s="171">
        <v>28</v>
      </c>
      <c r="J914" s="170">
        <v>28</v>
      </c>
      <c r="K914" s="172">
        <v>28</v>
      </c>
      <c r="L914" s="170">
        <v>28</v>
      </c>
      <c r="M914" s="171">
        <v>28</v>
      </c>
      <c r="N914" s="170"/>
      <c r="O914" s="177" t="s">
        <v>76</v>
      </c>
      <c r="P914" s="162" t="s">
        <v>1591</v>
      </c>
      <c r="Q914" s="176"/>
      <c r="R914" s="174">
        <v>2100</v>
      </c>
      <c r="S914" s="179"/>
      <c r="T914" s="162" t="s">
        <v>24</v>
      </c>
      <c r="U914" s="161" t="s">
        <v>17</v>
      </c>
      <c r="V914" s="174">
        <v>1156</v>
      </c>
      <c r="W914" s="180"/>
      <c r="X914" s="185">
        <v>44621</v>
      </c>
      <c r="Y914" s="187">
        <v>44981.416817129626</v>
      </c>
    </row>
    <row r="915" spans="1:25">
      <c r="A915" s="167" t="s">
        <v>45</v>
      </c>
      <c r="B915" s="162" t="s">
        <v>1599</v>
      </c>
      <c r="C915" s="163" t="s">
        <v>2981</v>
      </c>
      <c r="D915" s="162" t="s">
        <v>2982</v>
      </c>
      <c r="E915" s="161" t="s">
        <v>1602</v>
      </c>
      <c r="F915" s="162" t="s">
        <v>1603</v>
      </c>
      <c r="G915" s="161"/>
      <c r="H915" s="214">
        <v>1</v>
      </c>
      <c r="I915" s="171">
        <v>100</v>
      </c>
      <c r="J915" s="170">
        <v>100</v>
      </c>
      <c r="K915" s="172">
        <v>100</v>
      </c>
      <c r="L915" s="170">
        <v>100</v>
      </c>
      <c r="M915" s="171">
        <v>100</v>
      </c>
      <c r="N915" s="170">
        <v>0</v>
      </c>
      <c r="O915" s="177" t="s">
        <v>1523</v>
      </c>
      <c r="P915" s="162" t="s">
        <v>1604</v>
      </c>
      <c r="Q915" s="176"/>
      <c r="R915" s="174"/>
      <c r="S915" s="179"/>
      <c r="T915" s="162" t="s">
        <v>28</v>
      </c>
      <c r="U915" s="161" t="s">
        <v>19</v>
      </c>
      <c r="V915" s="174">
        <v>2222</v>
      </c>
      <c r="W915" s="180" t="s">
        <v>2983</v>
      </c>
      <c r="X915" s="185">
        <v>45017</v>
      </c>
      <c r="Y915" s="187">
        <v>44945.275601851848</v>
      </c>
    </row>
    <row r="916" spans="1:25">
      <c r="A916" s="167" t="s">
        <v>91</v>
      </c>
      <c r="B916" s="162" t="s">
        <v>1599</v>
      </c>
      <c r="C916" s="163" t="s">
        <v>2984</v>
      </c>
      <c r="D916" s="162" t="s">
        <v>2098</v>
      </c>
      <c r="E916" s="161" t="s">
        <v>1602</v>
      </c>
      <c r="F916" s="162" t="s">
        <v>1603</v>
      </c>
      <c r="G916" s="161"/>
      <c r="H916" s="214">
        <v>1</v>
      </c>
      <c r="I916" s="171"/>
      <c r="J916" s="170">
        <v>225</v>
      </c>
      <c r="K916" s="172"/>
      <c r="L916" s="170">
        <v>225</v>
      </c>
      <c r="M916" s="171">
        <v>225</v>
      </c>
      <c r="N916" s="170">
        <v>0</v>
      </c>
      <c r="O916" s="177" t="s">
        <v>1523</v>
      </c>
      <c r="P916" s="162" t="s">
        <v>1604</v>
      </c>
      <c r="Q916" s="176"/>
      <c r="R916" s="174"/>
      <c r="S916" s="179"/>
      <c r="T916" s="162" t="s">
        <v>28</v>
      </c>
      <c r="U916" s="161" t="s">
        <v>19</v>
      </c>
      <c r="V916" s="174">
        <v>2259</v>
      </c>
      <c r="W916" s="180" t="s">
        <v>2985</v>
      </c>
      <c r="X916" s="185">
        <v>45017</v>
      </c>
      <c r="Y916" s="187">
        <v>44903.393923611111</v>
      </c>
    </row>
    <row r="917" spans="1:25">
      <c r="A917" s="167" t="s">
        <v>45</v>
      </c>
      <c r="B917" s="162" t="s">
        <v>1555</v>
      </c>
      <c r="C917" s="163" t="s">
        <v>2986</v>
      </c>
      <c r="D917" s="162" t="s">
        <v>1604</v>
      </c>
      <c r="E917" s="161" t="s">
        <v>1613</v>
      </c>
      <c r="F917" s="162" t="s">
        <v>1614</v>
      </c>
      <c r="G917" s="161"/>
      <c r="H917" s="214">
        <v>1</v>
      </c>
      <c r="I917" s="171"/>
      <c r="J917" s="170">
        <v>0.11</v>
      </c>
      <c r="K917" s="172"/>
      <c r="L917" s="170">
        <v>0.11</v>
      </c>
      <c r="M917" s="171">
        <v>0.11</v>
      </c>
      <c r="N917" s="170"/>
      <c r="O917" s="177" t="s">
        <v>76</v>
      </c>
      <c r="P917" s="162" t="s">
        <v>1591</v>
      </c>
      <c r="Q917" s="176"/>
      <c r="R917" s="174"/>
      <c r="S917" s="179"/>
      <c r="T917" s="162" t="s">
        <v>24</v>
      </c>
      <c r="U917" s="161" t="s">
        <v>1615</v>
      </c>
      <c r="V917" s="174">
        <v>2098</v>
      </c>
      <c r="W917" s="180"/>
      <c r="X917" s="185" t="s">
        <v>259</v>
      </c>
      <c r="Y917" s="187">
        <v>44831.317777777775</v>
      </c>
    </row>
    <row r="918" spans="1:25">
      <c r="A918" s="167" t="s">
        <v>45</v>
      </c>
      <c r="B918" s="162" t="s">
        <v>1555</v>
      </c>
      <c r="C918" s="163" t="s">
        <v>2987</v>
      </c>
      <c r="D918" s="162" t="s">
        <v>1604</v>
      </c>
      <c r="E918" s="161" t="s">
        <v>1613</v>
      </c>
      <c r="F918" s="162" t="s">
        <v>1614</v>
      </c>
      <c r="G918" s="161"/>
      <c r="H918" s="214">
        <v>1</v>
      </c>
      <c r="I918" s="171"/>
      <c r="J918" s="170">
        <v>0.11</v>
      </c>
      <c r="K918" s="172"/>
      <c r="L918" s="170">
        <v>0.11</v>
      </c>
      <c r="M918" s="171">
        <v>0.11</v>
      </c>
      <c r="N918" s="170"/>
      <c r="O918" s="177" t="s">
        <v>76</v>
      </c>
      <c r="P918" s="162" t="s">
        <v>1591</v>
      </c>
      <c r="Q918" s="176"/>
      <c r="R918" s="174"/>
      <c r="S918" s="179"/>
      <c r="T918" s="162" t="s">
        <v>24</v>
      </c>
      <c r="U918" s="161" t="s">
        <v>1615</v>
      </c>
      <c r="V918" s="174">
        <v>2099</v>
      </c>
      <c r="W918" s="180"/>
      <c r="X918" s="185" t="s">
        <v>259</v>
      </c>
      <c r="Y918" s="187">
        <v>44831.32068287037</v>
      </c>
    </row>
    <row r="919" spans="1:25">
      <c r="A919" s="167" t="s">
        <v>45</v>
      </c>
      <c r="B919" s="162" t="s">
        <v>1555</v>
      </c>
      <c r="C919" s="163" t="s">
        <v>1141</v>
      </c>
      <c r="D919" s="162" t="s">
        <v>2988</v>
      </c>
      <c r="E919" s="161" t="s">
        <v>1631</v>
      </c>
      <c r="F919" s="162" t="s">
        <v>1614</v>
      </c>
      <c r="G919" s="161" t="s">
        <v>2989</v>
      </c>
      <c r="H919" s="214">
        <v>1</v>
      </c>
      <c r="I919" s="171"/>
      <c r="J919" s="170">
        <v>55</v>
      </c>
      <c r="K919" s="172"/>
      <c r="L919" s="170">
        <v>55</v>
      </c>
      <c r="M919" s="171">
        <v>55</v>
      </c>
      <c r="N919" s="170"/>
      <c r="O919" s="177" t="s">
        <v>76</v>
      </c>
      <c r="P919" s="162" t="s">
        <v>1620</v>
      </c>
      <c r="Q919" s="176"/>
      <c r="R919" s="174">
        <v>2058</v>
      </c>
      <c r="S919" s="179"/>
      <c r="T919" s="162" t="s">
        <v>24</v>
      </c>
      <c r="U919" s="161" t="s">
        <v>1615</v>
      </c>
      <c r="V919" s="174">
        <v>1402</v>
      </c>
      <c r="W919" s="180"/>
      <c r="X919" s="185">
        <v>45069</v>
      </c>
      <c r="Y919" s="187">
        <v>44981.405972222223</v>
      </c>
    </row>
    <row r="920" spans="1:25">
      <c r="A920" s="167" t="s">
        <v>91</v>
      </c>
      <c r="B920" s="162" t="s">
        <v>1555</v>
      </c>
      <c r="C920" s="163" t="s">
        <v>938</v>
      </c>
      <c r="D920" s="162" t="s">
        <v>226</v>
      </c>
      <c r="E920" s="161" t="s">
        <v>2072</v>
      </c>
      <c r="F920" s="162" t="s">
        <v>1592</v>
      </c>
      <c r="G920" s="161" t="s">
        <v>2990</v>
      </c>
      <c r="H920" s="214">
        <v>2</v>
      </c>
      <c r="I920" s="171"/>
      <c r="J920" s="170">
        <v>179</v>
      </c>
      <c r="K920" s="172"/>
      <c r="L920" s="170">
        <v>358</v>
      </c>
      <c r="M920" s="171">
        <v>358</v>
      </c>
      <c r="N920" s="170"/>
      <c r="O920" s="177" t="s">
        <v>76</v>
      </c>
      <c r="P920" s="162" t="s">
        <v>1619</v>
      </c>
      <c r="Q920" s="176"/>
      <c r="R920" s="174">
        <v>2037</v>
      </c>
      <c r="S920" s="179"/>
      <c r="T920" s="162" t="s">
        <v>24</v>
      </c>
      <c r="U920" s="161" t="s">
        <v>12</v>
      </c>
      <c r="V920" s="174">
        <v>1158</v>
      </c>
      <c r="W920" s="180"/>
      <c r="X920" s="185">
        <v>45017</v>
      </c>
      <c r="Y920" s="187">
        <v>45086.492939814816</v>
      </c>
    </row>
    <row r="921" spans="1:25">
      <c r="A921" s="167" t="s">
        <v>91</v>
      </c>
      <c r="B921" s="162" t="s">
        <v>1555</v>
      </c>
      <c r="C921" s="163" t="s">
        <v>938</v>
      </c>
      <c r="D921" s="162" t="s">
        <v>226</v>
      </c>
      <c r="E921" s="161" t="s">
        <v>2072</v>
      </c>
      <c r="F921" s="162" t="s">
        <v>1592</v>
      </c>
      <c r="G921" s="161" t="s">
        <v>2990</v>
      </c>
      <c r="H921" s="214">
        <v>1</v>
      </c>
      <c r="I921" s="171">
        <v>0</v>
      </c>
      <c r="J921" s="170">
        <v>171</v>
      </c>
      <c r="K921" s="172">
        <v>0</v>
      </c>
      <c r="L921" s="170">
        <v>171</v>
      </c>
      <c r="M921" s="171">
        <v>171</v>
      </c>
      <c r="N921" s="170"/>
      <c r="O921" s="177" t="s">
        <v>76</v>
      </c>
      <c r="P921" s="162" t="s">
        <v>1619</v>
      </c>
      <c r="Q921" s="176"/>
      <c r="R921" s="174">
        <v>2037</v>
      </c>
      <c r="S921" s="179"/>
      <c r="T921" s="162" t="s">
        <v>24</v>
      </c>
      <c r="U921" s="161" t="s">
        <v>12</v>
      </c>
      <c r="V921" s="174">
        <v>1158</v>
      </c>
      <c r="W921" s="180"/>
      <c r="X921" s="185">
        <v>45017</v>
      </c>
      <c r="Y921" s="187">
        <v>45086.492939814816</v>
      </c>
    </row>
    <row r="922" spans="1:25">
      <c r="A922" s="167" t="s">
        <v>91</v>
      </c>
      <c r="B922" s="162" t="s">
        <v>1599</v>
      </c>
      <c r="C922" s="163" t="s">
        <v>2991</v>
      </c>
      <c r="D922" s="162" t="s">
        <v>2992</v>
      </c>
      <c r="E922" s="161" t="s">
        <v>1602</v>
      </c>
      <c r="F922" s="162" t="s">
        <v>1603</v>
      </c>
      <c r="G922" s="161"/>
      <c r="H922" s="214">
        <v>1</v>
      </c>
      <c r="I922" s="171">
        <v>20</v>
      </c>
      <c r="J922" s="170">
        <v>20</v>
      </c>
      <c r="K922" s="172">
        <v>20</v>
      </c>
      <c r="L922" s="170">
        <v>20</v>
      </c>
      <c r="M922" s="171">
        <v>20</v>
      </c>
      <c r="N922" s="170">
        <v>40</v>
      </c>
      <c r="O922" s="177" t="s">
        <v>1523</v>
      </c>
      <c r="P922" s="162" t="s">
        <v>1619</v>
      </c>
      <c r="Q922" s="176"/>
      <c r="R922" s="174">
        <v>2037</v>
      </c>
      <c r="S922" s="179"/>
      <c r="T922" s="162" t="s">
        <v>28</v>
      </c>
      <c r="U922" s="161" t="s">
        <v>19</v>
      </c>
      <c r="V922" s="174">
        <v>1930</v>
      </c>
      <c r="W922" s="180"/>
      <c r="X922" s="185">
        <v>45069</v>
      </c>
      <c r="Y922" s="187">
        <v>44964.836168981485</v>
      </c>
    </row>
    <row r="923" spans="1:25">
      <c r="A923" s="167" t="s">
        <v>45</v>
      </c>
      <c r="B923" s="162" t="s">
        <v>1599</v>
      </c>
      <c r="C923" s="163" t="s">
        <v>2993</v>
      </c>
      <c r="D923" s="162" t="s">
        <v>326</v>
      </c>
      <c r="E923" s="161" t="s">
        <v>1631</v>
      </c>
      <c r="F923" s="162" t="s">
        <v>1614</v>
      </c>
      <c r="G923" s="161"/>
      <c r="H923" s="214">
        <v>1</v>
      </c>
      <c r="I923" s="171">
        <v>80</v>
      </c>
      <c r="J923" s="170">
        <v>80</v>
      </c>
      <c r="K923" s="172">
        <v>80</v>
      </c>
      <c r="L923" s="170">
        <v>80</v>
      </c>
      <c r="M923" s="171">
        <v>80</v>
      </c>
      <c r="N923" s="170"/>
      <c r="O923" s="177" t="s">
        <v>1523</v>
      </c>
      <c r="P923" s="162" t="s">
        <v>1619</v>
      </c>
      <c r="Q923" s="176"/>
      <c r="R923" s="174"/>
      <c r="S923" s="179"/>
      <c r="T923" s="162" t="s">
        <v>28</v>
      </c>
      <c r="U923" s="161" t="s">
        <v>1615</v>
      </c>
      <c r="V923" s="174">
        <v>2518</v>
      </c>
      <c r="W923" s="180"/>
      <c r="X923" s="185"/>
      <c r="Y923" s="187">
        <v>45086.445694444446</v>
      </c>
    </row>
    <row r="924" spans="1:25">
      <c r="A924" s="167" t="s">
        <v>45</v>
      </c>
      <c r="B924" s="162" t="s">
        <v>1599</v>
      </c>
      <c r="C924" s="163" t="s">
        <v>2993</v>
      </c>
      <c r="D924" s="162" t="s">
        <v>326</v>
      </c>
      <c r="E924" s="161" t="s">
        <v>1602</v>
      </c>
      <c r="F924" s="162" t="s">
        <v>1603</v>
      </c>
      <c r="G924" s="161"/>
      <c r="H924" s="214">
        <v>1</v>
      </c>
      <c r="I924" s="171">
        <v>80</v>
      </c>
      <c r="J924" s="170">
        <v>80</v>
      </c>
      <c r="K924" s="172">
        <v>80</v>
      </c>
      <c r="L924" s="170">
        <v>80</v>
      </c>
      <c r="M924" s="171">
        <v>80</v>
      </c>
      <c r="N924" s="170">
        <v>160</v>
      </c>
      <c r="O924" s="177" t="s">
        <v>1523</v>
      </c>
      <c r="P924" s="162" t="s">
        <v>1619</v>
      </c>
      <c r="Q924" s="176"/>
      <c r="R924" s="174"/>
      <c r="S924" s="179"/>
      <c r="T924" s="162" t="s">
        <v>28</v>
      </c>
      <c r="U924" s="161" t="s">
        <v>19</v>
      </c>
      <c r="V924" s="174">
        <v>2518</v>
      </c>
      <c r="W924" s="180"/>
      <c r="X924" s="185"/>
      <c r="Y924" s="187">
        <v>45086.445694444446</v>
      </c>
    </row>
    <row r="925" spans="1:25">
      <c r="A925" s="167" t="s">
        <v>45</v>
      </c>
      <c r="B925" s="162" t="s">
        <v>1555</v>
      </c>
      <c r="C925" s="163" t="s">
        <v>2994</v>
      </c>
      <c r="D925" s="162" t="s">
        <v>1604</v>
      </c>
      <c r="E925" s="161" t="s">
        <v>1613</v>
      </c>
      <c r="F925" s="162" t="s">
        <v>1614</v>
      </c>
      <c r="G925" s="161"/>
      <c r="H925" s="214">
        <v>1</v>
      </c>
      <c r="I925" s="171"/>
      <c r="J925" s="170">
        <v>0.2</v>
      </c>
      <c r="K925" s="172"/>
      <c r="L925" s="170">
        <v>0.2</v>
      </c>
      <c r="M925" s="171">
        <v>0.2</v>
      </c>
      <c r="N925" s="170"/>
      <c r="O925" s="177" t="s">
        <v>76</v>
      </c>
      <c r="P925" s="162" t="s">
        <v>1591</v>
      </c>
      <c r="Q925" s="176"/>
      <c r="R925" s="174"/>
      <c r="S925" s="179"/>
      <c r="T925" s="162" t="s">
        <v>24</v>
      </c>
      <c r="U925" s="161" t="s">
        <v>1615</v>
      </c>
      <c r="V925" s="174">
        <v>2100</v>
      </c>
      <c r="W925" s="180"/>
      <c r="X925" s="185" t="s">
        <v>259</v>
      </c>
      <c r="Y925" s="187">
        <v>44831.325474537036</v>
      </c>
    </row>
    <row r="926" spans="1:25">
      <c r="A926" s="167" t="s">
        <v>91</v>
      </c>
      <c r="B926" s="162" t="s">
        <v>1555</v>
      </c>
      <c r="C926" s="163" t="s">
        <v>2995</v>
      </c>
      <c r="D926" s="162" t="s">
        <v>2996</v>
      </c>
      <c r="E926" s="161" t="s">
        <v>1631</v>
      </c>
      <c r="F926" s="162" t="s">
        <v>1614</v>
      </c>
      <c r="G926" s="161"/>
      <c r="H926" s="214">
        <v>2</v>
      </c>
      <c r="I926" s="171">
        <v>2.4500000000000002</v>
      </c>
      <c r="J926" s="170">
        <v>2.4500000000000002</v>
      </c>
      <c r="K926" s="172">
        <v>4.9000000000000004</v>
      </c>
      <c r="L926" s="170">
        <v>4.9000000000000004</v>
      </c>
      <c r="M926" s="171">
        <v>4.9000000000000004</v>
      </c>
      <c r="N926" s="170"/>
      <c r="O926" s="177" t="s">
        <v>76</v>
      </c>
      <c r="P926" s="162" t="s">
        <v>1591</v>
      </c>
      <c r="Q926" s="176"/>
      <c r="R926" s="174"/>
      <c r="S926" s="179"/>
      <c r="T926" s="162" t="s">
        <v>24</v>
      </c>
      <c r="U926" s="161" t="s">
        <v>1615</v>
      </c>
      <c r="V926" s="174">
        <v>1535</v>
      </c>
      <c r="W926" s="180"/>
      <c r="X926" s="185">
        <v>44805</v>
      </c>
      <c r="Y926" s="187">
        <v>43247.957407407404</v>
      </c>
    </row>
    <row r="927" spans="1:25">
      <c r="A927" s="167" t="s">
        <v>110</v>
      </c>
      <c r="B927" s="162" t="s">
        <v>1555</v>
      </c>
      <c r="C927" s="163" t="s">
        <v>127</v>
      </c>
      <c r="D927" s="162" t="s">
        <v>2997</v>
      </c>
      <c r="E927" s="161" t="s">
        <v>1602</v>
      </c>
      <c r="F927" s="162" t="s">
        <v>1603</v>
      </c>
      <c r="G927" s="161" t="s">
        <v>129</v>
      </c>
      <c r="H927" s="214">
        <v>1</v>
      </c>
      <c r="I927" s="171">
        <v>5</v>
      </c>
      <c r="J927" s="170">
        <v>5</v>
      </c>
      <c r="K927" s="172">
        <v>5</v>
      </c>
      <c r="L927" s="170">
        <v>5</v>
      </c>
      <c r="M927" s="171">
        <v>5</v>
      </c>
      <c r="N927" s="170">
        <v>10</v>
      </c>
      <c r="O927" s="177" t="s">
        <v>401</v>
      </c>
      <c r="P927" s="162" t="s">
        <v>1619</v>
      </c>
      <c r="Q927" s="176">
        <v>45047</v>
      </c>
      <c r="R927" s="174">
        <v>2038</v>
      </c>
      <c r="S927" s="179"/>
      <c r="T927" s="162" t="s">
        <v>24</v>
      </c>
      <c r="U927" s="161" t="s">
        <v>19</v>
      </c>
      <c r="V927" s="174">
        <v>2425</v>
      </c>
      <c r="W927" s="180"/>
      <c r="X927" s="185">
        <v>45069</v>
      </c>
      <c r="Y927" s="187">
        <v>45098.368692129632</v>
      </c>
    </row>
    <row r="928" spans="1:25">
      <c r="A928" s="220" t="s">
        <v>45</v>
      </c>
      <c r="B928" s="221" t="s">
        <v>1599</v>
      </c>
      <c r="C928" s="222" t="s">
        <v>3857</v>
      </c>
      <c r="D928" s="221" t="s">
        <v>3858</v>
      </c>
      <c r="E928" s="223" t="s">
        <v>1657</v>
      </c>
      <c r="F928" s="224" t="s">
        <v>17</v>
      </c>
      <c r="G928" s="223"/>
      <c r="H928" s="225">
        <v>3</v>
      </c>
      <c r="I928" s="226"/>
      <c r="J928" s="227">
        <v>270</v>
      </c>
      <c r="K928" s="228"/>
      <c r="L928" s="227">
        <v>810</v>
      </c>
      <c r="M928" s="226">
        <v>810</v>
      </c>
      <c r="N928" s="229">
        <v>0</v>
      </c>
      <c r="O928" s="230" t="s">
        <v>1523</v>
      </c>
      <c r="P928" s="221" t="s">
        <v>1604</v>
      </c>
      <c r="Q928" s="231"/>
      <c r="R928" s="232"/>
      <c r="S928" s="233"/>
      <c r="T928" s="224" t="s">
        <v>28</v>
      </c>
      <c r="U928" s="223" t="s">
        <v>17</v>
      </c>
      <c r="V928" s="232">
        <v>2534</v>
      </c>
      <c r="W928" s="234" t="s">
        <v>3928</v>
      </c>
      <c r="X928" s="235"/>
      <c r="Y928" s="236">
        <v>45111.369467592594</v>
      </c>
    </row>
    <row r="929" spans="1:25">
      <c r="A929" s="167" t="s">
        <v>45</v>
      </c>
      <c r="B929" s="162" t="s">
        <v>1599</v>
      </c>
      <c r="C929" s="163" t="s">
        <v>2998</v>
      </c>
      <c r="D929" s="162" t="s">
        <v>2998</v>
      </c>
      <c r="E929" s="161" t="s">
        <v>1613</v>
      </c>
      <c r="F929" s="162" t="s">
        <v>1614</v>
      </c>
      <c r="G929" s="161"/>
      <c r="H929" s="214">
        <v>1</v>
      </c>
      <c r="I929" s="171"/>
      <c r="J929" s="170">
        <v>22</v>
      </c>
      <c r="K929" s="172"/>
      <c r="L929" s="170">
        <v>22</v>
      </c>
      <c r="M929" s="171">
        <v>22</v>
      </c>
      <c r="N929" s="170"/>
      <c r="O929" s="177" t="s">
        <v>1523</v>
      </c>
      <c r="P929" s="162" t="s">
        <v>1591</v>
      </c>
      <c r="Q929" s="176"/>
      <c r="R929" s="174"/>
      <c r="S929" s="179"/>
      <c r="T929" s="162" t="s">
        <v>28</v>
      </c>
      <c r="U929" s="161" t="s">
        <v>1615</v>
      </c>
      <c r="V929" s="174">
        <v>1584</v>
      </c>
      <c r="W929" s="180"/>
      <c r="X929" s="185">
        <v>44896</v>
      </c>
      <c r="Y929" s="187">
        <v>43259.355833333335</v>
      </c>
    </row>
    <row r="930" spans="1:25">
      <c r="A930" s="167" t="s">
        <v>45</v>
      </c>
      <c r="B930" s="162" t="s">
        <v>1599</v>
      </c>
      <c r="C930" s="163" t="s">
        <v>166</v>
      </c>
      <c r="D930" s="162" t="s">
        <v>2999</v>
      </c>
      <c r="E930" s="161" t="s">
        <v>1625</v>
      </c>
      <c r="F930" s="162" t="s">
        <v>1609</v>
      </c>
      <c r="G930" s="161"/>
      <c r="H930" s="214">
        <v>93</v>
      </c>
      <c r="I930" s="171">
        <v>6.8</v>
      </c>
      <c r="J930" s="170">
        <v>6.8</v>
      </c>
      <c r="K930" s="172">
        <v>632.4</v>
      </c>
      <c r="L930" s="170">
        <v>632.4</v>
      </c>
      <c r="M930" s="171">
        <v>632.4</v>
      </c>
      <c r="N930" s="170"/>
      <c r="O930" s="177" t="s">
        <v>1523</v>
      </c>
      <c r="P930" s="162" t="s">
        <v>1620</v>
      </c>
      <c r="Q930" s="176">
        <v>47088</v>
      </c>
      <c r="R930" s="174"/>
      <c r="S930" s="179"/>
      <c r="T930" s="162" t="s">
        <v>28</v>
      </c>
      <c r="U930" s="161" t="s">
        <v>16</v>
      </c>
      <c r="V930" s="174">
        <v>2219</v>
      </c>
      <c r="W930" s="180" t="s">
        <v>3000</v>
      </c>
      <c r="X930" s="185">
        <v>45069</v>
      </c>
      <c r="Y930" s="187">
        <v>45027.676458333335</v>
      </c>
    </row>
    <row r="931" spans="1:25">
      <c r="A931" s="167" t="s">
        <v>45</v>
      </c>
      <c r="B931" s="162" t="s">
        <v>1555</v>
      </c>
      <c r="C931" s="163" t="s">
        <v>3001</v>
      </c>
      <c r="D931" s="162" t="s">
        <v>396</v>
      </c>
      <c r="E931" s="161" t="s">
        <v>1700</v>
      </c>
      <c r="F931" s="162" t="s">
        <v>1658</v>
      </c>
      <c r="G931" s="161" t="s">
        <v>3002</v>
      </c>
      <c r="H931" s="214">
        <v>1</v>
      </c>
      <c r="I931" s="171">
        <v>5.7</v>
      </c>
      <c r="J931" s="170">
        <v>5.77</v>
      </c>
      <c r="K931" s="172">
        <v>5.7</v>
      </c>
      <c r="L931" s="170">
        <v>5.77</v>
      </c>
      <c r="M931" s="171">
        <v>5.77</v>
      </c>
      <c r="N931" s="170"/>
      <c r="O931" s="177" t="s">
        <v>76</v>
      </c>
      <c r="P931" s="162" t="s">
        <v>1591</v>
      </c>
      <c r="Q931" s="176"/>
      <c r="R931" s="174"/>
      <c r="S931" s="179"/>
      <c r="T931" s="162" t="s">
        <v>24</v>
      </c>
      <c r="U931" s="161" t="s">
        <v>17</v>
      </c>
      <c r="V931" s="174">
        <v>1159</v>
      </c>
      <c r="W931" s="180"/>
      <c r="X931" s="185">
        <v>44621</v>
      </c>
      <c r="Y931" s="187">
        <v>45029.422523148147</v>
      </c>
    </row>
    <row r="932" spans="1:25">
      <c r="A932" s="167" t="s">
        <v>110</v>
      </c>
      <c r="B932" s="162" t="s">
        <v>1599</v>
      </c>
      <c r="C932" s="163" t="s">
        <v>3003</v>
      </c>
      <c r="D932" s="162" t="s">
        <v>239</v>
      </c>
      <c r="E932" s="161" t="s">
        <v>1602</v>
      </c>
      <c r="F932" s="162" t="s">
        <v>1603</v>
      </c>
      <c r="G932" s="161"/>
      <c r="H932" s="214">
        <v>88</v>
      </c>
      <c r="I932" s="171"/>
      <c r="J932" s="170">
        <v>2.84</v>
      </c>
      <c r="K932" s="172"/>
      <c r="L932" s="170">
        <v>250.01</v>
      </c>
      <c r="M932" s="171">
        <v>250.01</v>
      </c>
      <c r="N932" s="170">
        <v>550</v>
      </c>
      <c r="O932" s="177" t="s">
        <v>1523</v>
      </c>
      <c r="P932" s="162" t="s">
        <v>1619</v>
      </c>
      <c r="Q932" s="176"/>
      <c r="R932" s="174"/>
      <c r="S932" s="179"/>
      <c r="T932" s="162" t="s">
        <v>28</v>
      </c>
      <c r="U932" s="161" t="s">
        <v>19</v>
      </c>
      <c r="V932" s="174">
        <v>1997</v>
      </c>
      <c r="W932" s="180" t="s">
        <v>3004</v>
      </c>
      <c r="X932" s="185">
        <v>45069</v>
      </c>
      <c r="Y932" s="187">
        <v>45028.429432870369</v>
      </c>
    </row>
    <row r="933" spans="1:25">
      <c r="A933" s="167" t="s">
        <v>77</v>
      </c>
      <c r="B933" s="162" t="s">
        <v>1599</v>
      </c>
      <c r="C933" s="163" t="s">
        <v>3005</v>
      </c>
      <c r="D933" s="162" t="s">
        <v>2142</v>
      </c>
      <c r="E933" s="161" t="s">
        <v>1602</v>
      </c>
      <c r="F933" s="162" t="s">
        <v>1603</v>
      </c>
      <c r="G933" s="161"/>
      <c r="H933" s="214">
        <v>1</v>
      </c>
      <c r="I933" s="171">
        <v>400</v>
      </c>
      <c r="J933" s="170">
        <v>400</v>
      </c>
      <c r="K933" s="172">
        <v>400</v>
      </c>
      <c r="L933" s="170">
        <v>400</v>
      </c>
      <c r="M933" s="171">
        <v>400</v>
      </c>
      <c r="N933" s="170">
        <v>0</v>
      </c>
      <c r="O933" s="177" t="s">
        <v>1523</v>
      </c>
      <c r="P933" s="162" t="s">
        <v>1604</v>
      </c>
      <c r="Q933" s="176"/>
      <c r="R933" s="174"/>
      <c r="S933" s="179"/>
      <c r="T933" s="162" t="s">
        <v>28</v>
      </c>
      <c r="U933" s="161" t="s">
        <v>19</v>
      </c>
      <c r="V933" s="174">
        <v>2381</v>
      </c>
      <c r="W933" s="180" t="s">
        <v>3006</v>
      </c>
      <c r="X933" s="185">
        <v>45017</v>
      </c>
      <c r="Y933" s="187">
        <v>44931.563842592594</v>
      </c>
    </row>
    <row r="934" spans="1:25">
      <c r="A934" s="167" t="s">
        <v>77</v>
      </c>
      <c r="B934" s="162" t="s">
        <v>1555</v>
      </c>
      <c r="C934" s="163" t="s">
        <v>3007</v>
      </c>
      <c r="D934" s="162" t="s">
        <v>3008</v>
      </c>
      <c r="E934" s="161" t="s">
        <v>1739</v>
      </c>
      <c r="F934" s="162" t="s">
        <v>1986</v>
      </c>
      <c r="G934" s="161"/>
      <c r="H934" s="214">
        <v>1</v>
      </c>
      <c r="I934" s="171"/>
      <c r="J934" s="170">
        <v>36.9</v>
      </c>
      <c r="K934" s="172"/>
      <c r="L934" s="170">
        <v>36.9</v>
      </c>
      <c r="M934" s="171">
        <v>36.9</v>
      </c>
      <c r="N934" s="170"/>
      <c r="O934" s="177" t="s">
        <v>76</v>
      </c>
      <c r="P934" s="162" t="s">
        <v>1591</v>
      </c>
      <c r="Q934" s="176"/>
      <c r="R934" s="174">
        <v>2035</v>
      </c>
      <c r="S934" s="179"/>
      <c r="T934" s="162" t="s">
        <v>24</v>
      </c>
      <c r="U934" s="161" t="s">
        <v>18</v>
      </c>
      <c r="V934" s="174">
        <v>1160</v>
      </c>
      <c r="W934" s="180"/>
      <c r="X934" s="185">
        <v>45017</v>
      </c>
      <c r="Y934" s="187">
        <v>45021.754594907405</v>
      </c>
    </row>
    <row r="935" spans="1:25">
      <c r="A935" s="167" t="s">
        <v>77</v>
      </c>
      <c r="B935" s="162" t="s">
        <v>1555</v>
      </c>
      <c r="C935" s="163" t="s">
        <v>3007</v>
      </c>
      <c r="D935" s="162" t="s">
        <v>3008</v>
      </c>
      <c r="E935" s="161" t="s">
        <v>1739</v>
      </c>
      <c r="F935" s="162" t="s">
        <v>1986</v>
      </c>
      <c r="G935" s="161"/>
      <c r="H935" s="214">
        <v>1</v>
      </c>
      <c r="I935" s="171"/>
      <c r="J935" s="170">
        <v>30.9</v>
      </c>
      <c r="K935" s="172"/>
      <c r="L935" s="170">
        <v>30.9</v>
      </c>
      <c r="M935" s="171">
        <v>30.9</v>
      </c>
      <c r="N935" s="170"/>
      <c r="O935" s="177" t="s">
        <v>76</v>
      </c>
      <c r="P935" s="162" t="s">
        <v>1591</v>
      </c>
      <c r="Q935" s="176"/>
      <c r="R935" s="174">
        <v>2035</v>
      </c>
      <c r="S935" s="179"/>
      <c r="T935" s="162" t="s">
        <v>24</v>
      </c>
      <c r="U935" s="161" t="s">
        <v>18</v>
      </c>
      <c r="V935" s="174">
        <v>1160</v>
      </c>
      <c r="W935" s="180"/>
      <c r="X935" s="185">
        <v>45017</v>
      </c>
      <c r="Y935" s="187">
        <v>45021.754594907405</v>
      </c>
    </row>
    <row r="936" spans="1:25">
      <c r="A936" s="167" t="s">
        <v>77</v>
      </c>
      <c r="B936" s="162" t="s">
        <v>1599</v>
      </c>
      <c r="C936" s="163" t="s">
        <v>3009</v>
      </c>
      <c r="D936" s="162" t="s">
        <v>79</v>
      </c>
      <c r="E936" s="161" t="s">
        <v>1657</v>
      </c>
      <c r="F936" s="162" t="s">
        <v>1658</v>
      </c>
      <c r="G936" s="161"/>
      <c r="H936" s="214">
        <v>16</v>
      </c>
      <c r="I936" s="171">
        <v>312.5</v>
      </c>
      <c r="J936" s="170">
        <v>312.5</v>
      </c>
      <c r="K936" s="172">
        <v>5000</v>
      </c>
      <c r="L936" s="170">
        <v>5000</v>
      </c>
      <c r="M936" s="171">
        <v>5000</v>
      </c>
      <c r="N936" s="170">
        <v>120000</v>
      </c>
      <c r="O936" s="177" t="s">
        <v>1523</v>
      </c>
      <c r="P936" s="162" t="s">
        <v>1619</v>
      </c>
      <c r="Q936" s="176"/>
      <c r="R936" s="174"/>
      <c r="S936" s="179"/>
      <c r="T936" s="162" t="s">
        <v>28</v>
      </c>
      <c r="U936" s="161" t="s">
        <v>17</v>
      </c>
      <c r="V936" s="174">
        <v>2267</v>
      </c>
      <c r="W936" s="180"/>
      <c r="X936" s="185">
        <v>45017</v>
      </c>
      <c r="Y936" s="187">
        <v>45070.535949074074</v>
      </c>
    </row>
    <row r="937" spans="1:25">
      <c r="A937" s="167" t="s">
        <v>77</v>
      </c>
      <c r="B937" s="162" t="s">
        <v>1555</v>
      </c>
      <c r="C937" s="163" t="s">
        <v>3010</v>
      </c>
      <c r="D937" s="162" t="s">
        <v>2503</v>
      </c>
      <c r="E937" s="161" t="s">
        <v>1739</v>
      </c>
      <c r="F937" s="162" t="s">
        <v>1986</v>
      </c>
      <c r="G937" s="161"/>
      <c r="H937" s="214">
        <v>1</v>
      </c>
      <c r="I937" s="171"/>
      <c r="J937" s="170">
        <v>10</v>
      </c>
      <c r="K937" s="172"/>
      <c r="L937" s="170">
        <v>10</v>
      </c>
      <c r="M937" s="171">
        <v>10</v>
      </c>
      <c r="N937" s="170"/>
      <c r="O937" s="177" t="s">
        <v>76</v>
      </c>
      <c r="P937" s="162" t="s">
        <v>1591</v>
      </c>
      <c r="Q937" s="176"/>
      <c r="R937" s="174">
        <v>2035</v>
      </c>
      <c r="S937" s="179"/>
      <c r="T937" s="162" t="s">
        <v>24</v>
      </c>
      <c r="U937" s="161" t="s">
        <v>18</v>
      </c>
      <c r="V937" s="174">
        <v>1161</v>
      </c>
      <c r="W937" s="180"/>
      <c r="X937" s="185">
        <v>44621</v>
      </c>
      <c r="Y937" s="187">
        <v>45029.424131944441</v>
      </c>
    </row>
    <row r="938" spans="1:25">
      <c r="A938" s="167" t="s">
        <v>77</v>
      </c>
      <c r="B938" s="162" t="s">
        <v>1555</v>
      </c>
      <c r="C938" s="163" t="s">
        <v>3010</v>
      </c>
      <c r="D938" s="162" t="s">
        <v>2503</v>
      </c>
      <c r="E938" s="161" t="s">
        <v>1739</v>
      </c>
      <c r="F938" s="162" t="s">
        <v>1986</v>
      </c>
      <c r="G938" s="161"/>
      <c r="H938" s="214">
        <v>1</v>
      </c>
      <c r="I938" s="171"/>
      <c r="J938" s="170">
        <v>4</v>
      </c>
      <c r="K938" s="172"/>
      <c r="L938" s="170">
        <v>4</v>
      </c>
      <c r="M938" s="171">
        <v>4</v>
      </c>
      <c r="N938" s="170"/>
      <c r="O938" s="177" t="s">
        <v>76</v>
      </c>
      <c r="P938" s="162" t="s">
        <v>1591</v>
      </c>
      <c r="Q938" s="176"/>
      <c r="R938" s="174">
        <v>2035</v>
      </c>
      <c r="S938" s="179"/>
      <c r="T938" s="162" t="s">
        <v>24</v>
      </c>
      <c r="U938" s="161" t="s">
        <v>18</v>
      </c>
      <c r="V938" s="174">
        <v>1161</v>
      </c>
      <c r="W938" s="180"/>
      <c r="X938" s="185">
        <v>44621</v>
      </c>
      <c r="Y938" s="187">
        <v>45029.424131944441</v>
      </c>
    </row>
    <row r="939" spans="1:25" ht="21">
      <c r="A939" s="167" t="s">
        <v>91</v>
      </c>
      <c r="B939" s="162" t="s">
        <v>1599</v>
      </c>
      <c r="C939" s="163" t="s">
        <v>3011</v>
      </c>
      <c r="D939" s="162" t="s">
        <v>3012</v>
      </c>
      <c r="E939" s="161" t="s">
        <v>1613</v>
      </c>
      <c r="F939" s="162" t="s">
        <v>1614</v>
      </c>
      <c r="G939" s="161"/>
      <c r="H939" s="214">
        <v>1</v>
      </c>
      <c r="I939" s="171">
        <v>5.7</v>
      </c>
      <c r="J939" s="170">
        <v>5.7</v>
      </c>
      <c r="K939" s="172">
        <v>5.7</v>
      </c>
      <c r="L939" s="170">
        <v>5.7</v>
      </c>
      <c r="M939" s="171">
        <v>5.7</v>
      </c>
      <c r="N939" s="170"/>
      <c r="O939" s="177" t="s">
        <v>1523</v>
      </c>
      <c r="P939" s="162" t="s">
        <v>1591</v>
      </c>
      <c r="Q939" s="176"/>
      <c r="R939" s="174"/>
      <c r="S939" s="179"/>
      <c r="T939" s="162" t="s">
        <v>28</v>
      </c>
      <c r="U939" s="161" t="s">
        <v>1615</v>
      </c>
      <c r="V939" s="174">
        <v>1665</v>
      </c>
      <c r="W939" s="180"/>
      <c r="X939" s="185">
        <v>44805</v>
      </c>
      <c r="Y939" s="187">
        <v>43293.087824074071</v>
      </c>
    </row>
    <row r="940" spans="1:25">
      <c r="A940" s="167" t="s">
        <v>91</v>
      </c>
      <c r="B940" s="162" t="s">
        <v>1599</v>
      </c>
      <c r="C940" s="163" t="s">
        <v>3013</v>
      </c>
      <c r="D940" s="162" t="s">
        <v>3014</v>
      </c>
      <c r="E940" s="161" t="s">
        <v>1602</v>
      </c>
      <c r="F940" s="162" t="s">
        <v>1603</v>
      </c>
      <c r="G940" s="161"/>
      <c r="H940" s="214">
        <v>1</v>
      </c>
      <c r="I940" s="171">
        <v>100</v>
      </c>
      <c r="J940" s="170">
        <v>100</v>
      </c>
      <c r="K940" s="172">
        <v>100</v>
      </c>
      <c r="L940" s="170">
        <v>100</v>
      </c>
      <c r="M940" s="171">
        <v>100</v>
      </c>
      <c r="N940" s="170">
        <v>100</v>
      </c>
      <c r="O940" s="177" t="s">
        <v>1523</v>
      </c>
      <c r="P940" s="162" t="s">
        <v>1604</v>
      </c>
      <c r="Q940" s="176"/>
      <c r="R940" s="174"/>
      <c r="S940" s="179"/>
      <c r="T940" s="162" t="s">
        <v>28</v>
      </c>
      <c r="U940" s="161" t="s">
        <v>19</v>
      </c>
      <c r="V940" s="174">
        <v>2419</v>
      </c>
      <c r="W940" s="180"/>
      <c r="X940" s="185">
        <v>45017</v>
      </c>
      <c r="Y940" s="187">
        <v>44986.568483796298</v>
      </c>
    </row>
    <row r="941" spans="1:25">
      <c r="A941" s="167" t="s">
        <v>105</v>
      </c>
      <c r="B941" s="162" t="s">
        <v>1555</v>
      </c>
      <c r="C941" s="163" t="s">
        <v>3015</v>
      </c>
      <c r="D941" s="162" t="s">
        <v>1735</v>
      </c>
      <c r="E941" s="161" t="s">
        <v>1700</v>
      </c>
      <c r="F941" s="162" t="s">
        <v>1658</v>
      </c>
      <c r="G941" s="161" t="s">
        <v>3016</v>
      </c>
      <c r="H941" s="214">
        <v>2</v>
      </c>
      <c r="I941" s="171">
        <v>50</v>
      </c>
      <c r="J941" s="170">
        <v>50</v>
      </c>
      <c r="K941" s="172">
        <v>100</v>
      </c>
      <c r="L941" s="170">
        <v>100</v>
      </c>
      <c r="M941" s="171">
        <v>100</v>
      </c>
      <c r="N941" s="170"/>
      <c r="O941" s="177" t="s">
        <v>76</v>
      </c>
      <c r="P941" s="162" t="s">
        <v>1619</v>
      </c>
      <c r="Q941" s="176"/>
      <c r="R941" s="174">
        <v>2100</v>
      </c>
      <c r="S941" s="179"/>
      <c r="T941" s="162" t="s">
        <v>24</v>
      </c>
      <c r="U941" s="161" t="s">
        <v>17</v>
      </c>
      <c r="V941" s="174">
        <v>1162</v>
      </c>
      <c r="W941" s="180"/>
      <c r="X941" s="185">
        <v>45017</v>
      </c>
      <c r="Y941" s="187">
        <v>45086.834328703706</v>
      </c>
    </row>
    <row r="942" spans="1:25">
      <c r="A942" s="167" t="s">
        <v>105</v>
      </c>
      <c r="B942" s="162" t="s">
        <v>1555</v>
      </c>
      <c r="C942" s="163" t="s">
        <v>3015</v>
      </c>
      <c r="D942" s="162" t="s">
        <v>1735</v>
      </c>
      <c r="E942" s="161" t="s">
        <v>1700</v>
      </c>
      <c r="F942" s="162" t="s">
        <v>1658</v>
      </c>
      <c r="G942" s="161" t="s">
        <v>3017</v>
      </c>
      <c r="H942" s="214">
        <v>4</v>
      </c>
      <c r="I942" s="171">
        <v>50</v>
      </c>
      <c r="J942" s="170">
        <v>50</v>
      </c>
      <c r="K942" s="172">
        <v>200</v>
      </c>
      <c r="L942" s="170">
        <v>200</v>
      </c>
      <c r="M942" s="171">
        <v>200</v>
      </c>
      <c r="N942" s="170"/>
      <c r="O942" s="177" t="s">
        <v>76</v>
      </c>
      <c r="P942" s="162" t="s">
        <v>1619</v>
      </c>
      <c r="Q942" s="176"/>
      <c r="R942" s="174">
        <v>2100</v>
      </c>
      <c r="S942" s="179"/>
      <c r="T942" s="162" t="s">
        <v>24</v>
      </c>
      <c r="U942" s="161" t="s">
        <v>17</v>
      </c>
      <c r="V942" s="174">
        <v>1162</v>
      </c>
      <c r="W942" s="180"/>
      <c r="X942" s="185">
        <v>45017</v>
      </c>
      <c r="Y942" s="187">
        <v>45086.834328703706</v>
      </c>
    </row>
    <row r="943" spans="1:25">
      <c r="A943" s="167" t="s">
        <v>91</v>
      </c>
      <c r="B943" s="162" t="s">
        <v>1555</v>
      </c>
      <c r="C943" s="163" t="s">
        <v>97</v>
      </c>
      <c r="D943" s="162" t="s">
        <v>98</v>
      </c>
      <c r="E943" s="161" t="s">
        <v>1613</v>
      </c>
      <c r="F943" s="162" t="s">
        <v>1614</v>
      </c>
      <c r="G943" s="161" t="s">
        <v>3018</v>
      </c>
      <c r="H943" s="214">
        <v>36</v>
      </c>
      <c r="I943" s="171">
        <v>2.2000000000000002</v>
      </c>
      <c r="J943" s="170">
        <v>2.2000000000000002</v>
      </c>
      <c r="K943" s="172">
        <v>79.2</v>
      </c>
      <c r="L943" s="170">
        <v>79.2</v>
      </c>
      <c r="M943" s="171">
        <v>79.2</v>
      </c>
      <c r="N943" s="170"/>
      <c r="O943" s="177" t="s">
        <v>76</v>
      </c>
      <c r="P943" s="162" t="s">
        <v>1620</v>
      </c>
      <c r="Q943" s="176">
        <v>44927</v>
      </c>
      <c r="R943" s="174">
        <v>2047</v>
      </c>
      <c r="S943" s="179"/>
      <c r="T943" s="162" t="s">
        <v>24</v>
      </c>
      <c r="U943" s="161" t="s">
        <v>1615</v>
      </c>
      <c r="V943" s="174">
        <v>1392</v>
      </c>
      <c r="W943" s="180" t="s">
        <v>3019</v>
      </c>
      <c r="X943" s="185">
        <v>45017</v>
      </c>
      <c r="Y943" s="187">
        <v>45020.604155092595</v>
      </c>
    </row>
    <row r="944" spans="1:25">
      <c r="A944" s="167" t="s">
        <v>91</v>
      </c>
      <c r="B944" s="162" t="s">
        <v>1555</v>
      </c>
      <c r="C944" s="163" t="s">
        <v>296</v>
      </c>
      <c r="D944" s="162" t="s">
        <v>98</v>
      </c>
      <c r="E944" s="161" t="s">
        <v>1625</v>
      </c>
      <c r="F944" s="162" t="s">
        <v>1609</v>
      </c>
      <c r="G944" s="161" t="s">
        <v>3020</v>
      </c>
      <c r="H944" s="214">
        <v>50</v>
      </c>
      <c r="I944" s="171">
        <v>4.2</v>
      </c>
      <c r="J944" s="170">
        <v>4.2</v>
      </c>
      <c r="K944" s="172">
        <v>210</v>
      </c>
      <c r="L944" s="170">
        <v>210</v>
      </c>
      <c r="M944" s="171">
        <v>210</v>
      </c>
      <c r="N944" s="170"/>
      <c r="O944" s="177" t="s">
        <v>76</v>
      </c>
      <c r="P944" s="162" t="s">
        <v>1620</v>
      </c>
      <c r="Q944" s="176"/>
      <c r="R944" s="174">
        <v>2052</v>
      </c>
      <c r="S944" s="179"/>
      <c r="T944" s="162" t="s">
        <v>24</v>
      </c>
      <c r="U944" s="161" t="s">
        <v>16</v>
      </c>
      <c r="V944" s="174">
        <v>1375</v>
      </c>
      <c r="W944" s="180"/>
      <c r="X944" s="185">
        <v>45017</v>
      </c>
      <c r="Y944" s="187">
        <v>45020.600034722222</v>
      </c>
    </row>
    <row r="945" spans="1:25">
      <c r="A945" s="167" t="s">
        <v>45</v>
      </c>
      <c r="B945" s="162" t="s">
        <v>1599</v>
      </c>
      <c r="C945" s="163" t="s">
        <v>3021</v>
      </c>
      <c r="D945" s="162" t="s">
        <v>3022</v>
      </c>
      <c r="E945" s="161" t="s">
        <v>1603</v>
      </c>
      <c r="F945" s="162" t="s">
        <v>1603</v>
      </c>
      <c r="G945" s="161"/>
      <c r="H945" s="214">
        <v>1</v>
      </c>
      <c r="I945" s="171">
        <v>660</v>
      </c>
      <c r="J945" s="170">
        <v>660</v>
      </c>
      <c r="K945" s="172">
        <v>660</v>
      </c>
      <c r="L945" s="170">
        <v>660</v>
      </c>
      <c r="M945" s="171">
        <v>660</v>
      </c>
      <c r="N945" s="170"/>
      <c r="O945" s="177" t="s">
        <v>1523</v>
      </c>
      <c r="P945" s="162" t="s">
        <v>1604</v>
      </c>
      <c r="Q945" s="176"/>
      <c r="R945" s="174"/>
      <c r="S945" s="179"/>
      <c r="T945" s="162" t="s">
        <v>28</v>
      </c>
      <c r="U945" s="161" t="s">
        <v>20</v>
      </c>
      <c r="V945" s="174">
        <v>2180</v>
      </c>
      <c r="W945" s="180" t="s">
        <v>3023</v>
      </c>
      <c r="X945" s="185">
        <v>45017</v>
      </c>
      <c r="Y945" s="187">
        <v>44945.276597222219</v>
      </c>
    </row>
    <row r="946" spans="1:25">
      <c r="A946" s="167" t="s">
        <v>105</v>
      </c>
      <c r="B946" s="162" t="s">
        <v>1599</v>
      </c>
      <c r="C946" s="163" t="s">
        <v>3024</v>
      </c>
      <c r="D946" s="162" t="s">
        <v>3025</v>
      </c>
      <c r="E946" s="161" t="s">
        <v>1625</v>
      </c>
      <c r="F946" s="162" t="s">
        <v>1609</v>
      </c>
      <c r="G946" s="161"/>
      <c r="H946" s="214">
        <v>5</v>
      </c>
      <c r="I946" s="171"/>
      <c r="J946" s="170">
        <v>4.2</v>
      </c>
      <c r="K946" s="172"/>
      <c r="L946" s="170">
        <v>21</v>
      </c>
      <c r="M946" s="171">
        <v>21</v>
      </c>
      <c r="N946" s="170"/>
      <c r="O946" s="177" t="s">
        <v>1523</v>
      </c>
      <c r="P946" s="162" t="s">
        <v>1620</v>
      </c>
      <c r="Q946" s="176"/>
      <c r="R946" s="174"/>
      <c r="S946" s="179"/>
      <c r="T946" s="162" t="s">
        <v>28</v>
      </c>
      <c r="U946" s="161" t="s">
        <v>16</v>
      </c>
      <c r="V946" s="174">
        <v>2227</v>
      </c>
      <c r="W946" s="180" t="s">
        <v>3026</v>
      </c>
      <c r="X946" s="185">
        <v>45069</v>
      </c>
      <c r="Y946" s="187">
        <v>45097.618969907409</v>
      </c>
    </row>
    <row r="947" spans="1:25">
      <c r="A947" s="167" t="s">
        <v>91</v>
      </c>
      <c r="B947" s="162" t="s">
        <v>1555</v>
      </c>
      <c r="C947" s="163" t="s">
        <v>3027</v>
      </c>
      <c r="D947" s="162" t="s">
        <v>2167</v>
      </c>
      <c r="E947" s="161" t="s">
        <v>1673</v>
      </c>
      <c r="F947" s="162" t="s">
        <v>1635</v>
      </c>
      <c r="G947" s="161" t="s">
        <v>3028</v>
      </c>
      <c r="H947" s="214">
        <v>2</v>
      </c>
      <c r="I947" s="171"/>
      <c r="J947" s="170">
        <v>25</v>
      </c>
      <c r="K947" s="172"/>
      <c r="L947" s="170">
        <v>50</v>
      </c>
      <c r="M947" s="171">
        <v>50</v>
      </c>
      <c r="N947" s="170"/>
      <c r="O947" s="177" t="s">
        <v>76</v>
      </c>
      <c r="P947" s="162" t="s">
        <v>1619</v>
      </c>
      <c r="Q947" s="176"/>
      <c r="R947" s="174">
        <v>2030</v>
      </c>
      <c r="S947" s="179"/>
      <c r="T947" s="162" t="s">
        <v>24</v>
      </c>
      <c r="U947" s="161" t="s">
        <v>13</v>
      </c>
      <c r="V947" s="174">
        <v>1163</v>
      </c>
      <c r="W947" s="180"/>
      <c r="X947" s="185">
        <v>45017</v>
      </c>
      <c r="Y947" s="187">
        <v>45020.489236111112</v>
      </c>
    </row>
    <row r="948" spans="1:25">
      <c r="A948" s="167" t="s">
        <v>91</v>
      </c>
      <c r="B948" s="162" t="s">
        <v>1555</v>
      </c>
      <c r="C948" s="163" t="s">
        <v>3027</v>
      </c>
      <c r="D948" s="162" t="s">
        <v>2167</v>
      </c>
      <c r="E948" s="161" t="s">
        <v>1673</v>
      </c>
      <c r="F948" s="162" t="s">
        <v>1635</v>
      </c>
      <c r="G948" s="161" t="s">
        <v>3029</v>
      </c>
      <c r="H948" s="214">
        <v>1</v>
      </c>
      <c r="I948" s="171"/>
      <c r="J948" s="170">
        <v>23.5</v>
      </c>
      <c r="K948" s="172"/>
      <c r="L948" s="170">
        <v>23.5</v>
      </c>
      <c r="M948" s="171">
        <v>23.5</v>
      </c>
      <c r="N948" s="170"/>
      <c r="O948" s="177" t="s">
        <v>76</v>
      </c>
      <c r="P948" s="162" t="s">
        <v>1619</v>
      </c>
      <c r="Q948" s="176"/>
      <c r="R948" s="174">
        <v>2030</v>
      </c>
      <c r="S948" s="179"/>
      <c r="T948" s="162" t="s">
        <v>24</v>
      </c>
      <c r="U948" s="161" t="s">
        <v>13</v>
      </c>
      <c r="V948" s="174">
        <v>1163</v>
      </c>
      <c r="W948" s="180"/>
      <c r="X948" s="185">
        <v>45017</v>
      </c>
      <c r="Y948" s="187">
        <v>45020.489236111112</v>
      </c>
    </row>
    <row r="949" spans="1:25">
      <c r="A949" s="167" t="s">
        <v>91</v>
      </c>
      <c r="B949" s="162" t="s">
        <v>1599</v>
      </c>
      <c r="C949" s="163" t="s">
        <v>3030</v>
      </c>
      <c r="D949" s="162" t="s">
        <v>3031</v>
      </c>
      <c r="E949" s="161" t="s">
        <v>1613</v>
      </c>
      <c r="F949" s="162" t="s">
        <v>1614</v>
      </c>
      <c r="G949" s="161"/>
      <c r="H949" s="214">
        <v>1</v>
      </c>
      <c r="I949" s="171">
        <v>300</v>
      </c>
      <c r="J949" s="170">
        <v>300</v>
      </c>
      <c r="K949" s="172">
        <v>300</v>
      </c>
      <c r="L949" s="170">
        <v>300</v>
      </c>
      <c r="M949" s="171">
        <v>300</v>
      </c>
      <c r="N949" s="170"/>
      <c r="O949" s="177" t="s">
        <v>1523</v>
      </c>
      <c r="P949" s="162" t="s">
        <v>1604</v>
      </c>
      <c r="Q949" s="176"/>
      <c r="R949" s="174"/>
      <c r="S949" s="179"/>
      <c r="T949" s="162" t="s">
        <v>28</v>
      </c>
      <c r="U949" s="161" t="s">
        <v>1615</v>
      </c>
      <c r="V949" s="174">
        <v>2309</v>
      </c>
      <c r="W949" s="180" t="s">
        <v>3032</v>
      </c>
      <c r="X949" s="185">
        <v>45017</v>
      </c>
      <c r="Y949" s="187">
        <v>44945.276979166665</v>
      </c>
    </row>
    <row r="950" spans="1:25">
      <c r="A950" s="167" t="s">
        <v>91</v>
      </c>
      <c r="B950" s="162" t="s">
        <v>1555</v>
      </c>
      <c r="C950" s="163" t="s">
        <v>3033</v>
      </c>
      <c r="D950" s="162" t="s">
        <v>805</v>
      </c>
      <c r="E950" s="161" t="s">
        <v>1589</v>
      </c>
      <c r="F950" s="162" t="s">
        <v>1635</v>
      </c>
      <c r="G950" s="161" t="s">
        <v>3034</v>
      </c>
      <c r="H950" s="214">
        <v>36</v>
      </c>
      <c r="I950" s="171"/>
      <c r="J950" s="170">
        <v>1.3</v>
      </c>
      <c r="K950" s="172"/>
      <c r="L950" s="170">
        <v>46.8</v>
      </c>
      <c r="M950" s="171">
        <v>46.8</v>
      </c>
      <c r="N950" s="170"/>
      <c r="O950" s="177" t="s">
        <v>76</v>
      </c>
      <c r="P950" s="162" t="s">
        <v>1619</v>
      </c>
      <c r="Q950" s="176"/>
      <c r="R950" s="174">
        <v>2070</v>
      </c>
      <c r="S950" s="179"/>
      <c r="T950" s="162" t="s">
        <v>24</v>
      </c>
      <c r="U950" s="161" t="s">
        <v>20</v>
      </c>
      <c r="V950" s="174">
        <v>1391</v>
      </c>
      <c r="W950" s="180"/>
      <c r="X950" s="185">
        <v>45017</v>
      </c>
      <c r="Y950" s="187">
        <v>45077.601145833331</v>
      </c>
    </row>
    <row r="951" spans="1:25">
      <c r="A951" s="167" t="s">
        <v>110</v>
      </c>
      <c r="B951" s="162" t="s">
        <v>1555</v>
      </c>
      <c r="C951" s="163" t="s">
        <v>3035</v>
      </c>
      <c r="D951" s="162" t="s">
        <v>3036</v>
      </c>
      <c r="E951" s="161" t="s">
        <v>1625</v>
      </c>
      <c r="F951" s="162" t="s">
        <v>1609</v>
      </c>
      <c r="G951" s="161" t="s">
        <v>3037</v>
      </c>
      <c r="H951" s="214">
        <v>29</v>
      </c>
      <c r="I951" s="171"/>
      <c r="J951" s="170">
        <v>2.0499999999999998</v>
      </c>
      <c r="K951" s="172"/>
      <c r="L951" s="170">
        <v>59.45</v>
      </c>
      <c r="M951" s="171">
        <v>59.45</v>
      </c>
      <c r="N951" s="170"/>
      <c r="O951" s="177" t="s">
        <v>76</v>
      </c>
      <c r="P951" s="162" t="s">
        <v>1591</v>
      </c>
      <c r="Q951" s="176"/>
      <c r="R951" s="174">
        <v>2040</v>
      </c>
      <c r="S951" s="179"/>
      <c r="T951" s="162" t="s">
        <v>24</v>
      </c>
      <c r="U951" s="161" t="s">
        <v>16</v>
      </c>
      <c r="V951" s="174">
        <v>1165</v>
      </c>
      <c r="W951" s="180"/>
      <c r="X951" s="185">
        <v>45017</v>
      </c>
      <c r="Y951" s="187">
        <v>45021.757453703707</v>
      </c>
    </row>
    <row r="952" spans="1:25">
      <c r="A952" s="167" t="s">
        <v>110</v>
      </c>
      <c r="B952" s="162" t="s">
        <v>1555</v>
      </c>
      <c r="C952" s="163" t="s">
        <v>3035</v>
      </c>
      <c r="D952" s="162" t="s">
        <v>3036</v>
      </c>
      <c r="E952" s="161" t="s">
        <v>1625</v>
      </c>
      <c r="F952" s="162" t="s">
        <v>1609</v>
      </c>
      <c r="G952" s="161" t="s">
        <v>3037</v>
      </c>
      <c r="H952" s="214">
        <v>23</v>
      </c>
      <c r="I952" s="171"/>
      <c r="J952" s="170">
        <v>2.0499999999999998</v>
      </c>
      <c r="K952" s="172"/>
      <c r="L952" s="170">
        <v>47.15</v>
      </c>
      <c r="M952" s="171">
        <v>47.15</v>
      </c>
      <c r="N952" s="170"/>
      <c r="O952" s="177" t="s">
        <v>76</v>
      </c>
      <c r="P952" s="162" t="s">
        <v>1591</v>
      </c>
      <c r="Q952" s="176"/>
      <c r="R952" s="174"/>
      <c r="S952" s="179"/>
      <c r="T952" s="162" t="s">
        <v>24</v>
      </c>
      <c r="U952" s="161" t="s">
        <v>16</v>
      </c>
      <c r="V952" s="174">
        <v>1165</v>
      </c>
      <c r="W952" s="180"/>
      <c r="X952" s="185">
        <v>45017</v>
      </c>
      <c r="Y952" s="187">
        <v>45021.757453703707</v>
      </c>
    </row>
    <row r="953" spans="1:25">
      <c r="A953" s="167" t="s">
        <v>110</v>
      </c>
      <c r="B953" s="162" t="s">
        <v>1555</v>
      </c>
      <c r="C953" s="163" t="s">
        <v>3035</v>
      </c>
      <c r="D953" s="162" t="s">
        <v>3036</v>
      </c>
      <c r="E953" s="161" t="s">
        <v>1625</v>
      </c>
      <c r="F953" s="162" t="s">
        <v>1609</v>
      </c>
      <c r="G953" s="161" t="s">
        <v>3037</v>
      </c>
      <c r="H953" s="214">
        <v>22</v>
      </c>
      <c r="I953" s="171"/>
      <c r="J953" s="170">
        <v>2.0499999999999998</v>
      </c>
      <c r="K953" s="172"/>
      <c r="L953" s="170">
        <v>45.1</v>
      </c>
      <c r="M953" s="171">
        <v>45.1</v>
      </c>
      <c r="N953" s="170"/>
      <c r="O953" s="177" t="s">
        <v>76</v>
      </c>
      <c r="P953" s="162" t="s">
        <v>1591</v>
      </c>
      <c r="Q953" s="176"/>
      <c r="R953" s="174"/>
      <c r="S953" s="179"/>
      <c r="T953" s="162" t="s">
        <v>24</v>
      </c>
      <c r="U953" s="161" t="s">
        <v>16</v>
      </c>
      <c r="V953" s="174">
        <v>1165</v>
      </c>
      <c r="W953" s="180"/>
      <c r="X953" s="185">
        <v>45017</v>
      </c>
      <c r="Y953" s="187">
        <v>45021.757453703707</v>
      </c>
    </row>
    <row r="954" spans="1:25">
      <c r="A954" s="167" t="s">
        <v>110</v>
      </c>
      <c r="B954" s="162" t="s">
        <v>1599</v>
      </c>
      <c r="C954" s="163" t="s">
        <v>3038</v>
      </c>
      <c r="D954" s="162" t="s">
        <v>3039</v>
      </c>
      <c r="E954" s="161" t="s">
        <v>1625</v>
      </c>
      <c r="F954" s="162" t="s">
        <v>1609</v>
      </c>
      <c r="G954" s="161"/>
      <c r="H954" s="214">
        <v>1</v>
      </c>
      <c r="I954" s="171">
        <v>495</v>
      </c>
      <c r="J954" s="170">
        <v>495</v>
      </c>
      <c r="K954" s="172">
        <v>495</v>
      </c>
      <c r="L954" s="170">
        <v>495</v>
      </c>
      <c r="M954" s="171">
        <v>495</v>
      </c>
      <c r="N954" s="170"/>
      <c r="O954" s="177" t="s">
        <v>1523</v>
      </c>
      <c r="P954" s="162" t="s">
        <v>1604</v>
      </c>
      <c r="Q954" s="176"/>
      <c r="R954" s="174"/>
      <c r="S954" s="179"/>
      <c r="T954" s="162" t="s">
        <v>28</v>
      </c>
      <c r="U954" s="161" t="s">
        <v>16</v>
      </c>
      <c r="V954" s="174">
        <v>2346</v>
      </c>
      <c r="W954" s="180" t="s">
        <v>3040</v>
      </c>
      <c r="X954" s="185">
        <v>45017</v>
      </c>
      <c r="Y954" s="187">
        <v>44945.277314814812</v>
      </c>
    </row>
    <row r="955" spans="1:25">
      <c r="A955" s="167" t="s">
        <v>110</v>
      </c>
      <c r="B955" s="162" t="s">
        <v>1599</v>
      </c>
      <c r="C955" s="163" t="s">
        <v>3041</v>
      </c>
      <c r="D955" s="162" t="s">
        <v>2131</v>
      </c>
      <c r="E955" s="161" t="s">
        <v>1631</v>
      </c>
      <c r="F955" s="162" t="s">
        <v>1614</v>
      </c>
      <c r="G955" s="161"/>
      <c r="H955" s="214">
        <v>40</v>
      </c>
      <c r="I955" s="171">
        <v>2.5</v>
      </c>
      <c r="J955" s="170">
        <v>6.25</v>
      </c>
      <c r="K955" s="172">
        <v>100</v>
      </c>
      <c r="L955" s="170">
        <v>250</v>
      </c>
      <c r="M955" s="171" t="s">
        <v>3042</v>
      </c>
      <c r="N955" s="170"/>
      <c r="O955" s="177" t="s">
        <v>1523</v>
      </c>
      <c r="P955" s="162" t="s">
        <v>1620</v>
      </c>
      <c r="Q955" s="176">
        <v>46661</v>
      </c>
      <c r="R955" s="174"/>
      <c r="S955" s="179"/>
      <c r="T955" s="162" t="s">
        <v>28</v>
      </c>
      <c r="U955" s="161" t="s">
        <v>1615</v>
      </c>
      <c r="V955" s="174">
        <v>1569</v>
      </c>
      <c r="W955" s="180"/>
      <c r="X955" s="185">
        <v>45069</v>
      </c>
      <c r="Y955" s="187">
        <v>45021.565416666665</v>
      </c>
    </row>
    <row r="956" spans="1:25">
      <c r="A956" s="167" t="s">
        <v>77</v>
      </c>
      <c r="B956" s="162" t="s">
        <v>1599</v>
      </c>
      <c r="C956" s="163" t="s">
        <v>3043</v>
      </c>
      <c r="D956" s="162" t="s">
        <v>3044</v>
      </c>
      <c r="E956" s="161" t="s">
        <v>1625</v>
      </c>
      <c r="F956" s="162" t="s">
        <v>1609</v>
      </c>
      <c r="G956" s="161"/>
      <c r="H956" s="214">
        <v>150</v>
      </c>
      <c r="I956" s="171">
        <v>7</v>
      </c>
      <c r="J956" s="170">
        <v>8</v>
      </c>
      <c r="K956" s="172">
        <v>1050</v>
      </c>
      <c r="L956" s="170">
        <v>1200</v>
      </c>
      <c r="M956" s="171" t="s">
        <v>3046</v>
      </c>
      <c r="N956" s="170"/>
      <c r="O956" s="177" t="s">
        <v>1523</v>
      </c>
      <c r="P956" s="162" t="s">
        <v>1620</v>
      </c>
      <c r="Q956" s="176">
        <v>46722</v>
      </c>
      <c r="R956" s="174"/>
      <c r="S956" s="179"/>
      <c r="T956" s="162" t="s">
        <v>28</v>
      </c>
      <c r="U956" s="161" t="s">
        <v>16</v>
      </c>
      <c r="V956" s="174">
        <v>1606</v>
      </c>
      <c r="W956" s="180"/>
      <c r="X956" s="185">
        <v>45069</v>
      </c>
      <c r="Y956" s="187">
        <v>45103.802083333336</v>
      </c>
    </row>
    <row r="957" spans="1:25">
      <c r="A957" s="167" t="s">
        <v>77</v>
      </c>
      <c r="B957" s="162" t="s">
        <v>1599</v>
      </c>
      <c r="C957" s="163" t="s">
        <v>3043</v>
      </c>
      <c r="D957" s="162" t="s">
        <v>3044</v>
      </c>
      <c r="E957" s="161" t="s">
        <v>1625</v>
      </c>
      <c r="F957" s="162" t="s">
        <v>1609</v>
      </c>
      <c r="G957" s="161"/>
      <c r="H957" s="214">
        <v>100</v>
      </c>
      <c r="I957" s="171">
        <v>7</v>
      </c>
      <c r="J957" s="170">
        <v>8</v>
      </c>
      <c r="K957" s="172">
        <v>700</v>
      </c>
      <c r="L957" s="170">
        <v>800</v>
      </c>
      <c r="M957" s="171" t="s">
        <v>3045</v>
      </c>
      <c r="N957" s="170"/>
      <c r="O957" s="177" t="s">
        <v>1523</v>
      </c>
      <c r="P957" s="162" t="s">
        <v>1620</v>
      </c>
      <c r="Q957" s="176">
        <v>46722</v>
      </c>
      <c r="R957" s="174"/>
      <c r="S957" s="179"/>
      <c r="T957" s="162" t="s">
        <v>28</v>
      </c>
      <c r="U957" s="161" t="s">
        <v>16</v>
      </c>
      <c r="V957" s="174">
        <v>1606</v>
      </c>
      <c r="W957" s="180"/>
      <c r="X957" s="185">
        <v>45069</v>
      </c>
      <c r="Y957" s="187">
        <v>45103.802083333336</v>
      </c>
    </row>
    <row r="958" spans="1:25">
      <c r="A958" s="167" t="s">
        <v>77</v>
      </c>
      <c r="B958" s="162" t="s">
        <v>1555</v>
      </c>
      <c r="C958" s="163" t="s">
        <v>3047</v>
      </c>
      <c r="D958" s="162" t="s">
        <v>3048</v>
      </c>
      <c r="E958" s="161" t="s">
        <v>1739</v>
      </c>
      <c r="F958" s="162" t="s">
        <v>1986</v>
      </c>
      <c r="G958" s="161"/>
      <c r="H958" s="214">
        <v>1</v>
      </c>
      <c r="I958" s="171"/>
      <c r="J958" s="170">
        <v>11</v>
      </c>
      <c r="K958" s="172"/>
      <c r="L958" s="170">
        <v>11</v>
      </c>
      <c r="M958" s="171">
        <v>11</v>
      </c>
      <c r="N958" s="170"/>
      <c r="O958" s="177" t="s">
        <v>76</v>
      </c>
      <c r="P958" s="162" t="s">
        <v>1591</v>
      </c>
      <c r="Q958" s="176"/>
      <c r="R958" s="174">
        <v>2035</v>
      </c>
      <c r="S958" s="179"/>
      <c r="T958" s="162" t="s">
        <v>24</v>
      </c>
      <c r="U958" s="161" t="s">
        <v>18</v>
      </c>
      <c r="V958" s="174">
        <v>1301</v>
      </c>
      <c r="W958" s="180"/>
      <c r="X958" s="185">
        <v>44621</v>
      </c>
      <c r="Y958" s="187">
        <v>45077.594884259262</v>
      </c>
    </row>
    <row r="959" spans="1:25">
      <c r="A959" s="167" t="s">
        <v>77</v>
      </c>
      <c r="B959" s="162" t="s">
        <v>1555</v>
      </c>
      <c r="C959" s="163" t="s">
        <v>3047</v>
      </c>
      <c r="D959" s="162" t="s">
        <v>3048</v>
      </c>
      <c r="E959" s="161" t="s">
        <v>1739</v>
      </c>
      <c r="F959" s="164" t="s">
        <v>1986</v>
      </c>
      <c r="G959" s="161"/>
      <c r="H959" s="215">
        <v>1</v>
      </c>
      <c r="I959" s="171"/>
      <c r="J959" s="173">
        <v>6</v>
      </c>
      <c r="K959" s="172"/>
      <c r="L959" s="173">
        <v>6</v>
      </c>
      <c r="M959" s="171">
        <v>6</v>
      </c>
      <c r="N959" s="170"/>
      <c r="O959" s="177" t="s">
        <v>76</v>
      </c>
      <c r="P959" s="162" t="s">
        <v>1591</v>
      </c>
      <c r="Q959" s="176"/>
      <c r="R959" s="175">
        <v>2035</v>
      </c>
      <c r="S959" s="179"/>
      <c r="T959" s="164" t="s">
        <v>24</v>
      </c>
      <c r="U959" s="161" t="s">
        <v>18</v>
      </c>
      <c r="V959" s="175">
        <v>1301</v>
      </c>
      <c r="W959" s="181"/>
      <c r="X959" s="186">
        <v>44621</v>
      </c>
      <c r="Y959" s="187">
        <v>45077.594884259262</v>
      </c>
    </row>
    <row r="960" spans="1:25">
      <c r="A960" s="167" t="s">
        <v>45</v>
      </c>
      <c r="B960" s="162" t="s">
        <v>1555</v>
      </c>
      <c r="C960" s="163" t="s">
        <v>3049</v>
      </c>
      <c r="D960" s="162" t="s">
        <v>1604</v>
      </c>
      <c r="E960" s="161" t="s">
        <v>1613</v>
      </c>
      <c r="F960" s="162" t="s">
        <v>1614</v>
      </c>
      <c r="G960" s="161"/>
      <c r="H960" s="214">
        <v>1</v>
      </c>
      <c r="I960" s="171"/>
      <c r="J960" s="170">
        <v>0.36</v>
      </c>
      <c r="K960" s="172"/>
      <c r="L960" s="170">
        <v>0.36</v>
      </c>
      <c r="M960" s="171">
        <v>0.36</v>
      </c>
      <c r="N960" s="170"/>
      <c r="O960" s="177" t="s">
        <v>76</v>
      </c>
      <c r="P960" s="162" t="s">
        <v>1591</v>
      </c>
      <c r="Q960" s="176"/>
      <c r="R960" s="174"/>
      <c r="S960" s="179"/>
      <c r="T960" s="162" t="s">
        <v>24</v>
      </c>
      <c r="U960" s="161" t="s">
        <v>1615</v>
      </c>
      <c r="V960" s="174">
        <v>2101</v>
      </c>
      <c r="W960" s="180"/>
      <c r="X960" s="185" t="s">
        <v>259</v>
      </c>
      <c r="Y960" s="187">
        <v>44831.329710648148</v>
      </c>
    </row>
    <row r="961" spans="1:25">
      <c r="A961" s="167" t="s">
        <v>45</v>
      </c>
      <c r="B961" s="162" t="s">
        <v>1555</v>
      </c>
      <c r="C961" s="163" t="s">
        <v>3050</v>
      </c>
      <c r="D961" s="162" t="s">
        <v>1604</v>
      </c>
      <c r="E961" s="161" t="s">
        <v>1613</v>
      </c>
      <c r="F961" s="162" t="s">
        <v>1614</v>
      </c>
      <c r="G961" s="161"/>
      <c r="H961" s="214">
        <v>1</v>
      </c>
      <c r="I961" s="171"/>
      <c r="J961" s="170">
        <v>0.36</v>
      </c>
      <c r="K961" s="172"/>
      <c r="L961" s="170">
        <v>0.36</v>
      </c>
      <c r="M961" s="171">
        <v>0.36</v>
      </c>
      <c r="N961" s="170"/>
      <c r="O961" s="177" t="s">
        <v>76</v>
      </c>
      <c r="P961" s="162" t="s">
        <v>1591</v>
      </c>
      <c r="Q961" s="176"/>
      <c r="R961" s="174"/>
      <c r="S961" s="179"/>
      <c r="T961" s="162" t="s">
        <v>24</v>
      </c>
      <c r="U961" s="161" t="s">
        <v>1615</v>
      </c>
      <c r="V961" s="174">
        <v>2102</v>
      </c>
      <c r="W961" s="180"/>
      <c r="X961" s="185" t="s">
        <v>259</v>
      </c>
      <c r="Y961" s="187">
        <v>44831.347638888888</v>
      </c>
    </row>
    <row r="962" spans="1:25">
      <c r="A962" s="167" t="s">
        <v>45</v>
      </c>
      <c r="B962" s="162" t="s">
        <v>1555</v>
      </c>
      <c r="C962" s="163" t="s">
        <v>3051</v>
      </c>
      <c r="D962" s="162" t="s">
        <v>1604</v>
      </c>
      <c r="E962" s="161" t="s">
        <v>1613</v>
      </c>
      <c r="F962" s="162" t="s">
        <v>1614</v>
      </c>
      <c r="G962" s="161"/>
      <c r="H962" s="214">
        <v>1</v>
      </c>
      <c r="I962" s="171"/>
      <c r="J962" s="170">
        <v>0.25</v>
      </c>
      <c r="K962" s="172"/>
      <c r="L962" s="170">
        <v>0.25</v>
      </c>
      <c r="M962" s="171">
        <v>0.25</v>
      </c>
      <c r="N962" s="170"/>
      <c r="O962" s="177" t="s">
        <v>76</v>
      </c>
      <c r="P962" s="162" t="s">
        <v>1591</v>
      </c>
      <c r="Q962" s="176"/>
      <c r="R962" s="174"/>
      <c r="S962" s="179"/>
      <c r="T962" s="162" t="s">
        <v>24</v>
      </c>
      <c r="U962" s="161" t="s">
        <v>1615</v>
      </c>
      <c r="V962" s="174">
        <v>2103</v>
      </c>
      <c r="W962" s="180"/>
      <c r="X962" s="185" t="s">
        <v>259</v>
      </c>
      <c r="Y962" s="187">
        <v>44831.350300925929</v>
      </c>
    </row>
    <row r="963" spans="1:25">
      <c r="A963" s="167" t="s">
        <v>45</v>
      </c>
      <c r="B963" s="162" t="s">
        <v>1555</v>
      </c>
      <c r="C963" s="163" t="s">
        <v>3052</v>
      </c>
      <c r="D963" s="162" t="s">
        <v>1604</v>
      </c>
      <c r="E963" s="161" t="s">
        <v>1613</v>
      </c>
      <c r="F963" s="162" t="s">
        <v>1614</v>
      </c>
      <c r="G963" s="161"/>
      <c r="H963" s="214">
        <v>1</v>
      </c>
      <c r="I963" s="171"/>
      <c r="J963" s="170">
        <v>1.21</v>
      </c>
      <c r="K963" s="172"/>
      <c r="L963" s="170">
        <v>1.21</v>
      </c>
      <c r="M963" s="171">
        <v>1.21</v>
      </c>
      <c r="N963" s="170"/>
      <c r="O963" s="177" t="s">
        <v>76</v>
      </c>
      <c r="P963" s="162" t="s">
        <v>1591</v>
      </c>
      <c r="Q963" s="176"/>
      <c r="R963" s="174"/>
      <c r="S963" s="179"/>
      <c r="T963" s="162" t="s">
        <v>24</v>
      </c>
      <c r="U963" s="161" t="s">
        <v>1615</v>
      </c>
      <c r="V963" s="174">
        <v>2104</v>
      </c>
      <c r="W963" s="180"/>
      <c r="X963" s="185" t="s">
        <v>259</v>
      </c>
      <c r="Y963" s="187">
        <v>44831.360081018516</v>
      </c>
    </row>
    <row r="964" spans="1:25">
      <c r="A964" s="220" t="s">
        <v>77</v>
      </c>
      <c r="B964" s="221" t="s">
        <v>1599</v>
      </c>
      <c r="C964" s="222" t="s">
        <v>3904</v>
      </c>
      <c r="D964" s="221" t="s">
        <v>3905</v>
      </c>
      <c r="E964" s="223" t="s">
        <v>1613</v>
      </c>
      <c r="F964" s="224" t="s">
        <v>1615</v>
      </c>
      <c r="G964" s="223"/>
      <c r="H964" s="225">
        <v>1</v>
      </c>
      <c r="I964" s="226"/>
      <c r="J964" s="227">
        <v>600</v>
      </c>
      <c r="K964" s="228"/>
      <c r="L964" s="227">
        <v>600</v>
      </c>
      <c r="M964" s="226">
        <v>600</v>
      </c>
      <c r="N964" s="229"/>
      <c r="O964" s="230" t="s">
        <v>1523</v>
      </c>
      <c r="P964" s="221" t="s">
        <v>1604</v>
      </c>
      <c r="Q964" s="231"/>
      <c r="R964" s="232"/>
      <c r="S964" s="233"/>
      <c r="T964" s="224" t="s">
        <v>28</v>
      </c>
      <c r="U964" s="223" t="s">
        <v>1615</v>
      </c>
      <c r="V964" s="232">
        <v>2564</v>
      </c>
      <c r="W964" s="234" t="s">
        <v>3952</v>
      </c>
      <c r="X964" s="235"/>
      <c r="Y964" s="236">
        <v>45111.609317129631</v>
      </c>
    </row>
    <row r="965" spans="1:25">
      <c r="A965" s="167" t="s">
        <v>110</v>
      </c>
      <c r="B965" s="162" t="s">
        <v>1555</v>
      </c>
      <c r="C965" s="163" t="s">
        <v>1406</v>
      </c>
      <c r="D965" s="162" t="s">
        <v>3053</v>
      </c>
      <c r="E965" s="161" t="s">
        <v>2072</v>
      </c>
      <c r="F965" s="162" t="s">
        <v>1592</v>
      </c>
      <c r="G965" s="161"/>
      <c r="H965" s="214">
        <v>1</v>
      </c>
      <c r="I965" s="171">
        <v>21</v>
      </c>
      <c r="J965" s="170">
        <v>21</v>
      </c>
      <c r="K965" s="172">
        <v>21</v>
      </c>
      <c r="L965" s="170">
        <v>21</v>
      </c>
      <c r="M965" s="171">
        <v>21</v>
      </c>
      <c r="N965" s="170"/>
      <c r="O965" s="177" t="s">
        <v>76</v>
      </c>
      <c r="P965" s="162" t="s">
        <v>1591</v>
      </c>
      <c r="Q965" s="176"/>
      <c r="R965" s="174"/>
      <c r="S965" s="179"/>
      <c r="T965" s="162" t="s">
        <v>24</v>
      </c>
      <c r="U965" s="161" t="s">
        <v>12</v>
      </c>
      <c r="V965" s="174">
        <v>1317</v>
      </c>
      <c r="W965" s="180"/>
      <c r="X965" s="185">
        <v>44621</v>
      </c>
      <c r="Y965" s="187">
        <v>45029.629479166666</v>
      </c>
    </row>
    <row r="966" spans="1:25">
      <c r="A966" s="167" t="s">
        <v>91</v>
      </c>
      <c r="B966" s="162" t="s">
        <v>1555</v>
      </c>
      <c r="C966" s="163" t="s">
        <v>742</v>
      </c>
      <c r="D966" s="162" t="s">
        <v>717</v>
      </c>
      <c r="E966" s="161" t="s">
        <v>1673</v>
      </c>
      <c r="F966" s="162" t="s">
        <v>1592</v>
      </c>
      <c r="G966" s="161" t="s">
        <v>3054</v>
      </c>
      <c r="H966" s="214">
        <v>1</v>
      </c>
      <c r="I966" s="171">
        <v>0</v>
      </c>
      <c r="J966" s="170">
        <v>29</v>
      </c>
      <c r="K966" s="172">
        <v>0</v>
      </c>
      <c r="L966" s="170">
        <v>29</v>
      </c>
      <c r="M966" s="171">
        <v>29</v>
      </c>
      <c r="N966" s="170"/>
      <c r="O966" s="177" t="s">
        <v>76</v>
      </c>
      <c r="P966" s="162" t="s">
        <v>1619</v>
      </c>
      <c r="Q966" s="176"/>
      <c r="R966" s="174">
        <v>2053</v>
      </c>
      <c r="S966" s="179"/>
      <c r="T966" s="162" t="s">
        <v>24</v>
      </c>
      <c r="U966" s="161" t="s">
        <v>13</v>
      </c>
      <c r="V966" s="174">
        <v>1166</v>
      </c>
      <c r="W966" s="180"/>
      <c r="X966" s="185">
        <v>45069</v>
      </c>
      <c r="Y966" s="187">
        <v>45103.789513888885</v>
      </c>
    </row>
    <row r="967" spans="1:25">
      <c r="A967" s="167" t="s">
        <v>91</v>
      </c>
      <c r="B967" s="162" t="s">
        <v>1555</v>
      </c>
      <c r="C967" s="163" t="s">
        <v>742</v>
      </c>
      <c r="D967" s="162" t="s">
        <v>717</v>
      </c>
      <c r="E967" s="161" t="s">
        <v>1673</v>
      </c>
      <c r="F967" s="162" t="s">
        <v>1592</v>
      </c>
      <c r="G967" s="161" t="s">
        <v>3055</v>
      </c>
      <c r="H967" s="214">
        <v>1</v>
      </c>
      <c r="I967" s="171">
        <v>0</v>
      </c>
      <c r="J967" s="170">
        <v>24</v>
      </c>
      <c r="K967" s="172">
        <v>0</v>
      </c>
      <c r="L967" s="170">
        <v>24</v>
      </c>
      <c r="M967" s="171">
        <v>24</v>
      </c>
      <c r="N967" s="170"/>
      <c r="O967" s="177" t="s">
        <v>76</v>
      </c>
      <c r="P967" s="162" t="s">
        <v>1619</v>
      </c>
      <c r="Q967" s="176"/>
      <c r="R967" s="174">
        <v>2054</v>
      </c>
      <c r="S967" s="179"/>
      <c r="T967" s="162" t="s">
        <v>24</v>
      </c>
      <c r="U967" s="161" t="s">
        <v>13</v>
      </c>
      <c r="V967" s="174">
        <v>1166</v>
      </c>
      <c r="W967" s="180"/>
      <c r="X967" s="185">
        <v>45069</v>
      </c>
      <c r="Y967" s="187">
        <v>45103.789513888885</v>
      </c>
    </row>
    <row r="968" spans="1:25">
      <c r="A968" s="167" t="s">
        <v>91</v>
      </c>
      <c r="B968" s="162" t="s">
        <v>1555</v>
      </c>
      <c r="C968" s="163" t="s">
        <v>742</v>
      </c>
      <c r="D968" s="162" t="s">
        <v>717</v>
      </c>
      <c r="E968" s="161" t="s">
        <v>1673</v>
      </c>
      <c r="F968" s="162" t="s">
        <v>1592</v>
      </c>
      <c r="G968" s="161" t="s">
        <v>3056</v>
      </c>
      <c r="H968" s="214">
        <v>1</v>
      </c>
      <c r="I968" s="171">
        <v>0</v>
      </c>
      <c r="J968" s="170">
        <v>29</v>
      </c>
      <c r="K968" s="172">
        <v>0</v>
      </c>
      <c r="L968" s="170">
        <v>29</v>
      </c>
      <c r="M968" s="171">
        <v>29</v>
      </c>
      <c r="N968" s="170"/>
      <c r="O968" s="177" t="s">
        <v>76</v>
      </c>
      <c r="P968" s="162" t="s">
        <v>1619</v>
      </c>
      <c r="Q968" s="176"/>
      <c r="R968" s="174">
        <v>2054</v>
      </c>
      <c r="S968" s="179"/>
      <c r="T968" s="162" t="s">
        <v>24</v>
      </c>
      <c r="U968" s="161" t="s">
        <v>13</v>
      </c>
      <c r="V968" s="174">
        <v>1166</v>
      </c>
      <c r="W968" s="180"/>
      <c r="X968" s="185">
        <v>45069</v>
      </c>
      <c r="Y968" s="187">
        <v>45103.789513888885</v>
      </c>
    </row>
    <row r="969" spans="1:25">
      <c r="A969" s="167" t="s">
        <v>91</v>
      </c>
      <c r="B969" s="162" t="s">
        <v>1555</v>
      </c>
      <c r="C969" s="163" t="s">
        <v>742</v>
      </c>
      <c r="D969" s="162" t="s">
        <v>717</v>
      </c>
      <c r="E969" s="161" t="s">
        <v>1673</v>
      </c>
      <c r="F969" s="162" t="s">
        <v>1592</v>
      </c>
      <c r="G969" s="161" t="s">
        <v>3057</v>
      </c>
      <c r="H969" s="214">
        <v>1</v>
      </c>
      <c r="I969" s="171">
        <v>0</v>
      </c>
      <c r="J969" s="170">
        <v>24</v>
      </c>
      <c r="K969" s="172">
        <v>0</v>
      </c>
      <c r="L969" s="170">
        <v>24</v>
      </c>
      <c r="M969" s="171">
        <v>24</v>
      </c>
      <c r="N969" s="170"/>
      <c r="O969" s="177" t="s">
        <v>76</v>
      </c>
      <c r="P969" s="162" t="s">
        <v>1619</v>
      </c>
      <c r="Q969" s="176"/>
      <c r="R969" s="174">
        <v>2055</v>
      </c>
      <c r="S969" s="179"/>
      <c r="T969" s="162" t="s">
        <v>24</v>
      </c>
      <c r="U969" s="161" t="s">
        <v>13</v>
      </c>
      <c r="V969" s="174">
        <v>1166</v>
      </c>
      <c r="W969" s="180"/>
      <c r="X969" s="185">
        <v>45069</v>
      </c>
      <c r="Y969" s="187">
        <v>45103.789513888885</v>
      </c>
    </row>
    <row r="970" spans="1:25">
      <c r="A970" s="167" t="s">
        <v>91</v>
      </c>
      <c r="B970" s="162" t="s">
        <v>1555</v>
      </c>
      <c r="C970" s="163" t="s">
        <v>742</v>
      </c>
      <c r="D970" s="162" t="s">
        <v>717</v>
      </c>
      <c r="E970" s="161" t="s">
        <v>1673</v>
      </c>
      <c r="F970" s="162" t="s">
        <v>1592</v>
      </c>
      <c r="G970" s="161" t="s">
        <v>3058</v>
      </c>
      <c r="H970" s="214">
        <v>1</v>
      </c>
      <c r="I970" s="171">
        <v>0</v>
      </c>
      <c r="J970" s="170">
        <v>128</v>
      </c>
      <c r="K970" s="172">
        <v>0</v>
      </c>
      <c r="L970" s="170">
        <v>128</v>
      </c>
      <c r="M970" s="171">
        <v>128</v>
      </c>
      <c r="N970" s="170"/>
      <c r="O970" s="177" t="s">
        <v>76</v>
      </c>
      <c r="P970" s="162" t="s">
        <v>1619</v>
      </c>
      <c r="Q970" s="176"/>
      <c r="R970" s="174">
        <v>2044</v>
      </c>
      <c r="S970" s="179"/>
      <c r="T970" s="162" t="s">
        <v>24</v>
      </c>
      <c r="U970" s="161" t="s">
        <v>13</v>
      </c>
      <c r="V970" s="174">
        <v>1166</v>
      </c>
      <c r="W970" s="180"/>
      <c r="X970" s="185">
        <v>45069</v>
      </c>
      <c r="Y970" s="187">
        <v>45103.789513888885</v>
      </c>
    </row>
    <row r="971" spans="1:25">
      <c r="A971" s="167" t="s">
        <v>91</v>
      </c>
      <c r="B971" s="162" t="s">
        <v>1599</v>
      </c>
      <c r="C971" s="163" t="s">
        <v>742</v>
      </c>
      <c r="D971" s="162" t="s">
        <v>717</v>
      </c>
      <c r="E971" s="161" t="s">
        <v>1673</v>
      </c>
      <c r="F971" s="162" t="s">
        <v>1592</v>
      </c>
      <c r="G971" s="161"/>
      <c r="H971" s="214">
        <v>1</v>
      </c>
      <c r="I971" s="171">
        <v>165</v>
      </c>
      <c r="J971" s="170">
        <v>165</v>
      </c>
      <c r="K971" s="172">
        <v>165</v>
      </c>
      <c r="L971" s="170">
        <v>165</v>
      </c>
      <c r="M971" s="171">
        <v>165</v>
      </c>
      <c r="N971" s="170"/>
      <c r="O971" s="177" t="s">
        <v>1523</v>
      </c>
      <c r="P971" s="162" t="s">
        <v>1619</v>
      </c>
      <c r="Q971" s="176"/>
      <c r="R971" s="174"/>
      <c r="S971" s="179"/>
      <c r="T971" s="162" t="s">
        <v>28</v>
      </c>
      <c r="U971" s="161" t="s">
        <v>13</v>
      </c>
      <c r="V971" s="174">
        <v>1166</v>
      </c>
      <c r="W971" s="180"/>
      <c r="X971" s="185">
        <v>45069</v>
      </c>
      <c r="Y971" s="187">
        <v>45103.789513888885</v>
      </c>
    </row>
    <row r="972" spans="1:25">
      <c r="A972" s="167" t="s">
        <v>45</v>
      </c>
      <c r="B972" s="162" t="s">
        <v>1555</v>
      </c>
      <c r="C972" s="163" t="s">
        <v>333</v>
      </c>
      <c r="D972" s="162" t="s">
        <v>3059</v>
      </c>
      <c r="E972" s="161" t="s">
        <v>1602</v>
      </c>
      <c r="F972" s="162" t="s">
        <v>1603</v>
      </c>
      <c r="G972" s="161" t="s">
        <v>3060</v>
      </c>
      <c r="H972" s="214">
        <v>1</v>
      </c>
      <c r="I972" s="171"/>
      <c r="J972" s="170">
        <v>10</v>
      </c>
      <c r="K972" s="172"/>
      <c r="L972" s="170">
        <v>10</v>
      </c>
      <c r="M972" s="171">
        <v>10</v>
      </c>
      <c r="N972" s="170">
        <v>20</v>
      </c>
      <c r="O972" s="177" t="s">
        <v>401</v>
      </c>
      <c r="P972" s="162" t="s">
        <v>1619</v>
      </c>
      <c r="Q972" s="176">
        <v>44835</v>
      </c>
      <c r="R972" s="174"/>
      <c r="S972" s="179"/>
      <c r="T972" s="162" t="s">
        <v>24</v>
      </c>
      <c r="U972" s="161" t="s">
        <v>19</v>
      </c>
      <c r="V972" s="174">
        <v>1934</v>
      </c>
      <c r="W972" s="180" t="s">
        <v>3061</v>
      </c>
      <c r="X972" s="185">
        <v>45069</v>
      </c>
      <c r="Y972" s="187">
        <v>44938.601134259261</v>
      </c>
    </row>
    <row r="973" spans="1:25">
      <c r="A973" s="220" t="s">
        <v>77</v>
      </c>
      <c r="B973" s="221" t="s">
        <v>1599</v>
      </c>
      <c r="C973" s="222" t="s">
        <v>3910</v>
      </c>
      <c r="D973" s="221" t="s">
        <v>3911</v>
      </c>
      <c r="E973" s="223" t="s">
        <v>1603</v>
      </c>
      <c r="F973" s="224" t="s">
        <v>20</v>
      </c>
      <c r="G973" s="223"/>
      <c r="H973" s="225">
        <v>1</v>
      </c>
      <c r="I973" s="226"/>
      <c r="J973" s="227">
        <v>750</v>
      </c>
      <c r="K973" s="228"/>
      <c r="L973" s="227">
        <v>750</v>
      </c>
      <c r="M973" s="226">
        <v>750</v>
      </c>
      <c r="N973" s="229"/>
      <c r="O973" s="230" t="s">
        <v>1523</v>
      </c>
      <c r="P973" s="221" t="s">
        <v>1604</v>
      </c>
      <c r="Q973" s="231"/>
      <c r="R973" s="232"/>
      <c r="S973" s="233"/>
      <c r="T973" s="224" t="s">
        <v>28</v>
      </c>
      <c r="U973" s="223" t="s">
        <v>20</v>
      </c>
      <c r="V973" s="232">
        <v>2566</v>
      </c>
      <c r="W973" s="234" t="s">
        <v>3956</v>
      </c>
      <c r="X973" s="235"/>
      <c r="Y973" s="236">
        <v>45111.696145833332</v>
      </c>
    </row>
    <row r="974" spans="1:25">
      <c r="A974" s="167" t="s">
        <v>45</v>
      </c>
      <c r="B974" s="162" t="s">
        <v>1599</v>
      </c>
      <c r="C974" s="163" t="s">
        <v>3062</v>
      </c>
      <c r="D974" s="162" t="s">
        <v>336</v>
      </c>
      <c r="E974" s="161" t="s">
        <v>1602</v>
      </c>
      <c r="F974" s="162" t="s">
        <v>1603</v>
      </c>
      <c r="G974" s="161" t="s">
        <v>3063</v>
      </c>
      <c r="H974" s="214">
        <v>8</v>
      </c>
      <c r="I974" s="171">
        <v>2.93</v>
      </c>
      <c r="J974" s="170">
        <v>3.45</v>
      </c>
      <c r="K974" s="172">
        <v>23.44</v>
      </c>
      <c r="L974" s="170">
        <v>27.6</v>
      </c>
      <c r="M974" s="171" t="s">
        <v>3064</v>
      </c>
      <c r="N974" s="170">
        <v>40</v>
      </c>
      <c r="O974" s="177" t="s">
        <v>27</v>
      </c>
      <c r="P974" s="162" t="s">
        <v>1619</v>
      </c>
      <c r="Q974" s="176">
        <v>45992</v>
      </c>
      <c r="R974" s="174">
        <v>2045</v>
      </c>
      <c r="S974" s="179"/>
      <c r="T974" s="162" t="s">
        <v>27</v>
      </c>
      <c r="U974" s="161" t="s">
        <v>19</v>
      </c>
      <c r="V974" s="174">
        <v>1857</v>
      </c>
      <c r="W974" s="180"/>
      <c r="X974" s="185">
        <v>45069</v>
      </c>
      <c r="Y974" s="187">
        <v>45098.367118055554</v>
      </c>
    </row>
    <row r="975" spans="1:25">
      <c r="A975" s="167" t="s">
        <v>45</v>
      </c>
      <c r="B975" s="162" t="s">
        <v>1599</v>
      </c>
      <c r="C975" s="163" t="s">
        <v>3062</v>
      </c>
      <c r="D975" s="162" t="s">
        <v>336</v>
      </c>
      <c r="E975" s="161" t="s">
        <v>1631</v>
      </c>
      <c r="F975" s="162" t="s">
        <v>1614</v>
      </c>
      <c r="G975" s="161" t="s">
        <v>3065</v>
      </c>
      <c r="H975" s="214">
        <v>22</v>
      </c>
      <c r="I975" s="171">
        <v>3.96</v>
      </c>
      <c r="J975" s="170">
        <v>4.4000000000000004</v>
      </c>
      <c r="K975" s="172">
        <v>87.12</v>
      </c>
      <c r="L975" s="170">
        <v>96.8</v>
      </c>
      <c r="M975" s="171" t="s">
        <v>3066</v>
      </c>
      <c r="N975" s="170"/>
      <c r="O975" s="177" t="s">
        <v>27</v>
      </c>
      <c r="P975" s="162" t="s">
        <v>1620</v>
      </c>
      <c r="Q975" s="176">
        <v>45992</v>
      </c>
      <c r="R975" s="174">
        <v>2055</v>
      </c>
      <c r="S975" s="179"/>
      <c r="T975" s="162" t="s">
        <v>27</v>
      </c>
      <c r="U975" s="161" t="s">
        <v>1615</v>
      </c>
      <c r="V975" s="174">
        <v>1857</v>
      </c>
      <c r="W975" s="180"/>
      <c r="X975" s="185">
        <v>45069</v>
      </c>
      <c r="Y975" s="187">
        <v>45098.367118055554</v>
      </c>
    </row>
    <row r="976" spans="1:25">
      <c r="A976" s="167" t="s">
        <v>77</v>
      </c>
      <c r="B976" s="162" t="s">
        <v>1555</v>
      </c>
      <c r="C976" s="163" t="s">
        <v>3067</v>
      </c>
      <c r="D976" s="162" t="s">
        <v>3068</v>
      </c>
      <c r="E976" s="161" t="s">
        <v>1739</v>
      </c>
      <c r="F976" s="164" t="s">
        <v>1986</v>
      </c>
      <c r="G976" s="161"/>
      <c r="H976" s="215">
        <v>1</v>
      </c>
      <c r="I976" s="171">
        <v>0</v>
      </c>
      <c r="J976" s="173">
        <v>38</v>
      </c>
      <c r="K976" s="172">
        <v>0</v>
      </c>
      <c r="L976" s="173">
        <v>38</v>
      </c>
      <c r="M976" s="171">
        <v>38</v>
      </c>
      <c r="N976" s="170"/>
      <c r="O976" s="177" t="s">
        <v>76</v>
      </c>
      <c r="P976" s="162" t="s">
        <v>1591</v>
      </c>
      <c r="Q976" s="176"/>
      <c r="R976" s="175">
        <v>2044</v>
      </c>
      <c r="S976" s="179"/>
      <c r="T976" s="164" t="s">
        <v>24</v>
      </c>
      <c r="U976" s="161" t="s">
        <v>18</v>
      </c>
      <c r="V976" s="175">
        <v>1305</v>
      </c>
      <c r="W976" s="181"/>
      <c r="X976" s="185">
        <v>45017</v>
      </c>
      <c r="Y976" s="187">
        <v>44846.473912037036</v>
      </c>
    </row>
    <row r="977" spans="1:25">
      <c r="A977" s="167" t="s">
        <v>77</v>
      </c>
      <c r="B977" s="162" t="s">
        <v>1555</v>
      </c>
      <c r="C977" s="163" t="s">
        <v>3067</v>
      </c>
      <c r="D977" s="162" t="s">
        <v>3068</v>
      </c>
      <c r="E977" s="161" t="s">
        <v>1739</v>
      </c>
      <c r="F977" s="164" t="s">
        <v>1603</v>
      </c>
      <c r="G977" s="161"/>
      <c r="H977" s="215">
        <v>1</v>
      </c>
      <c r="I977" s="171"/>
      <c r="J977" s="173">
        <v>7</v>
      </c>
      <c r="K977" s="172"/>
      <c r="L977" s="173">
        <v>7</v>
      </c>
      <c r="M977" s="171">
        <v>7</v>
      </c>
      <c r="N977" s="170"/>
      <c r="O977" s="177" t="s">
        <v>76</v>
      </c>
      <c r="P977" s="162" t="s">
        <v>1591</v>
      </c>
      <c r="Q977" s="176"/>
      <c r="R977" s="175"/>
      <c r="S977" s="179"/>
      <c r="T977" s="164" t="s">
        <v>24</v>
      </c>
      <c r="U977" s="161" t="s">
        <v>14</v>
      </c>
      <c r="V977" s="175">
        <v>1305</v>
      </c>
      <c r="W977" s="181"/>
      <c r="X977" s="186">
        <v>45017</v>
      </c>
      <c r="Y977" s="187">
        <v>44846.473912037036</v>
      </c>
    </row>
    <row r="978" spans="1:25">
      <c r="A978" s="167" t="s">
        <v>77</v>
      </c>
      <c r="B978" s="162" t="s">
        <v>1555</v>
      </c>
      <c r="C978" s="163" t="s">
        <v>3067</v>
      </c>
      <c r="D978" s="162" t="s">
        <v>3068</v>
      </c>
      <c r="E978" s="161" t="s">
        <v>1739</v>
      </c>
      <c r="F978" s="164" t="s">
        <v>1603</v>
      </c>
      <c r="G978" s="161"/>
      <c r="H978" s="215">
        <v>1</v>
      </c>
      <c r="I978" s="171"/>
      <c r="J978" s="173">
        <v>3.5</v>
      </c>
      <c r="K978" s="172"/>
      <c r="L978" s="173">
        <v>3.5</v>
      </c>
      <c r="M978" s="171">
        <v>3.5</v>
      </c>
      <c r="N978" s="170"/>
      <c r="O978" s="177" t="s">
        <v>76</v>
      </c>
      <c r="P978" s="162" t="s">
        <v>1591</v>
      </c>
      <c r="Q978" s="176"/>
      <c r="R978" s="175"/>
      <c r="S978" s="179"/>
      <c r="T978" s="164" t="s">
        <v>24</v>
      </c>
      <c r="U978" s="161" t="s">
        <v>14</v>
      </c>
      <c r="V978" s="175">
        <v>1305</v>
      </c>
      <c r="W978" s="181"/>
      <c r="X978" s="186">
        <v>45017</v>
      </c>
      <c r="Y978" s="187">
        <v>44846.473912037036</v>
      </c>
    </row>
    <row r="979" spans="1:25">
      <c r="A979" s="167" t="s">
        <v>77</v>
      </c>
      <c r="B979" s="162" t="s">
        <v>1599</v>
      </c>
      <c r="C979" s="163" t="s">
        <v>3069</v>
      </c>
      <c r="D979" s="162" t="s">
        <v>1848</v>
      </c>
      <c r="E979" s="161" t="s">
        <v>1631</v>
      </c>
      <c r="F979" s="162" t="s">
        <v>1614</v>
      </c>
      <c r="G979" s="161"/>
      <c r="H979" s="214">
        <v>1</v>
      </c>
      <c r="I979" s="171">
        <v>300</v>
      </c>
      <c r="J979" s="170">
        <v>300</v>
      </c>
      <c r="K979" s="172">
        <v>300</v>
      </c>
      <c r="L979" s="170">
        <v>300</v>
      </c>
      <c r="M979" s="171">
        <v>300</v>
      </c>
      <c r="N979" s="170">
        <v>0</v>
      </c>
      <c r="O979" s="177" t="s">
        <v>1523</v>
      </c>
      <c r="P979" s="162" t="s">
        <v>1620</v>
      </c>
      <c r="Q979" s="176"/>
      <c r="R979" s="174"/>
      <c r="S979" s="179"/>
      <c r="T979" s="162" t="s">
        <v>28</v>
      </c>
      <c r="U979" s="161" t="s">
        <v>1615</v>
      </c>
      <c r="V979" s="174">
        <v>1474</v>
      </c>
      <c r="W979" s="180" t="s">
        <v>3070</v>
      </c>
      <c r="X979" s="185">
        <v>45017</v>
      </c>
      <c r="Y979" s="187">
        <v>44938.571435185186</v>
      </c>
    </row>
    <row r="980" spans="1:25">
      <c r="A980" s="167" t="s">
        <v>110</v>
      </c>
      <c r="B980" s="162" t="s">
        <v>1599</v>
      </c>
      <c r="C980" s="163" t="s">
        <v>130</v>
      </c>
      <c r="D980" s="162" t="s">
        <v>131</v>
      </c>
      <c r="E980" s="161" t="s">
        <v>1602</v>
      </c>
      <c r="F980" s="162" t="s">
        <v>1603</v>
      </c>
      <c r="G980" s="161"/>
      <c r="H980" s="214">
        <v>1</v>
      </c>
      <c r="I980" s="171"/>
      <c r="J980" s="170">
        <v>200</v>
      </c>
      <c r="K980" s="172"/>
      <c r="L980" s="170">
        <v>200</v>
      </c>
      <c r="M980" s="171">
        <v>200</v>
      </c>
      <c r="N980" s="170">
        <v>400</v>
      </c>
      <c r="O980" s="177" t="s">
        <v>26</v>
      </c>
      <c r="P980" s="162" t="s">
        <v>1619</v>
      </c>
      <c r="Q980" s="176"/>
      <c r="R980" s="174"/>
      <c r="S980" s="179"/>
      <c r="T980" s="162" t="s">
        <v>26</v>
      </c>
      <c r="U980" s="161" t="s">
        <v>19</v>
      </c>
      <c r="V980" s="174">
        <v>2460</v>
      </c>
      <c r="W980" s="180"/>
      <c r="X980" s="185">
        <v>45047</v>
      </c>
      <c r="Y980" s="187">
        <v>45111</v>
      </c>
    </row>
    <row r="981" spans="1:25">
      <c r="A981" s="167" t="s">
        <v>77</v>
      </c>
      <c r="B981" s="162" t="s">
        <v>1599</v>
      </c>
      <c r="C981" s="163" t="s">
        <v>3071</v>
      </c>
      <c r="D981" s="162" t="s">
        <v>1760</v>
      </c>
      <c r="E981" s="161" t="s">
        <v>1602</v>
      </c>
      <c r="F981" s="162" t="s">
        <v>1603</v>
      </c>
      <c r="G981" s="161"/>
      <c r="H981" s="214">
        <v>1</v>
      </c>
      <c r="I981" s="171">
        <v>20</v>
      </c>
      <c r="J981" s="170">
        <v>20</v>
      </c>
      <c r="K981" s="172">
        <v>20</v>
      </c>
      <c r="L981" s="170">
        <v>20</v>
      </c>
      <c r="M981" s="171">
        <v>20</v>
      </c>
      <c r="N981" s="170">
        <v>0</v>
      </c>
      <c r="O981" s="177" t="s">
        <v>1523</v>
      </c>
      <c r="P981" s="162" t="s">
        <v>1619</v>
      </c>
      <c r="Q981" s="176"/>
      <c r="R981" s="174"/>
      <c r="S981" s="179"/>
      <c r="T981" s="162" t="s">
        <v>28</v>
      </c>
      <c r="U981" s="161" t="s">
        <v>19</v>
      </c>
      <c r="V981" s="174">
        <v>2504</v>
      </c>
      <c r="W981" s="180"/>
      <c r="X981" s="185" t="s">
        <v>259</v>
      </c>
      <c r="Y981" s="187">
        <v>45042.542060185187</v>
      </c>
    </row>
    <row r="982" spans="1:25">
      <c r="A982" s="167" t="s">
        <v>77</v>
      </c>
      <c r="B982" s="162" t="s">
        <v>1599</v>
      </c>
      <c r="C982" s="163" t="s">
        <v>3072</v>
      </c>
      <c r="D982" s="162" t="s">
        <v>1760</v>
      </c>
      <c r="E982" s="161" t="s">
        <v>1613</v>
      </c>
      <c r="F982" s="162" t="s">
        <v>1614</v>
      </c>
      <c r="G982" s="161"/>
      <c r="H982" s="214">
        <v>1</v>
      </c>
      <c r="I982" s="171">
        <v>20</v>
      </c>
      <c r="J982" s="170">
        <v>20</v>
      </c>
      <c r="K982" s="172">
        <v>20</v>
      </c>
      <c r="L982" s="170">
        <v>20</v>
      </c>
      <c r="M982" s="171">
        <v>20</v>
      </c>
      <c r="N982" s="170"/>
      <c r="O982" s="177" t="s">
        <v>1523</v>
      </c>
      <c r="P982" s="162" t="s">
        <v>1620</v>
      </c>
      <c r="Q982" s="176"/>
      <c r="R982" s="174"/>
      <c r="S982" s="179"/>
      <c r="T982" s="162" t="s">
        <v>28</v>
      </c>
      <c r="U982" s="161" t="s">
        <v>1615</v>
      </c>
      <c r="V982" s="174">
        <v>2503</v>
      </c>
      <c r="W982" s="180"/>
      <c r="X982" s="185" t="s">
        <v>259</v>
      </c>
      <c r="Y982" s="187">
        <v>45042.537881944445</v>
      </c>
    </row>
    <row r="983" spans="1:25">
      <c r="A983" s="167" t="s">
        <v>77</v>
      </c>
      <c r="B983" s="162" t="s">
        <v>1599</v>
      </c>
      <c r="C983" s="163" t="s">
        <v>3073</v>
      </c>
      <c r="D983" s="162" t="s">
        <v>1760</v>
      </c>
      <c r="E983" s="161" t="s">
        <v>1625</v>
      </c>
      <c r="F983" s="162" t="s">
        <v>1603</v>
      </c>
      <c r="G983" s="161"/>
      <c r="H983" s="214">
        <v>1</v>
      </c>
      <c r="I983" s="171">
        <v>184</v>
      </c>
      <c r="J983" s="170">
        <v>184</v>
      </c>
      <c r="K983" s="172">
        <v>184</v>
      </c>
      <c r="L983" s="170">
        <v>184</v>
      </c>
      <c r="M983" s="171">
        <v>184</v>
      </c>
      <c r="N983" s="170"/>
      <c r="O983" s="177" t="s">
        <v>1523</v>
      </c>
      <c r="P983" s="162" t="s">
        <v>1604</v>
      </c>
      <c r="Q983" s="176"/>
      <c r="R983" s="174"/>
      <c r="S983" s="179"/>
      <c r="T983" s="162" t="s">
        <v>28</v>
      </c>
      <c r="U983" s="161" t="s">
        <v>16</v>
      </c>
      <c r="V983" s="174">
        <v>2482</v>
      </c>
      <c r="W983" s="180" t="s">
        <v>3074</v>
      </c>
      <c r="X983" s="185">
        <v>45017</v>
      </c>
      <c r="Y983" s="187">
        <v>45035.687314814815</v>
      </c>
    </row>
    <row r="984" spans="1:25">
      <c r="A984" s="167" t="s">
        <v>45</v>
      </c>
      <c r="B984" s="162" t="s">
        <v>1599</v>
      </c>
      <c r="C984" s="163" t="s">
        <v>3075</v>
      </c>
      <c r="D984" s="162" t="s">
        <v>3076</v>
      </c>
      <c r="E984" s="161" t="s">
        <v>1625</v>
      </c>
      <c r="F984" s="162" t="s">
        <v>1609</v>
      </c>
      <c r="G984" s="161"/>
      <c r="H984" s="214">
        <v>19</v>
      </c>
      <c r="I984" s="171">
        <v>6</v>
      </c>
      <c r="J984" s="170">
        <v>6</v>
      </c>
      <c r="K984" s="172">
        <v>114</v>
      </c>
      <c r="L984" s="170">
        <v>114</v>
      </c>
      <c r="M984" s="171">
        <v>114</v>
      </c>
      <c r="N984" s="170">
        <v>0</v>
      </c>
      <c r="O984" s="177" t="s">
        <v>1523</v>
      </c>
      <c r="P984" s="162" t="s">
        <v>1620</v>
      </c>
      <c r="Q984" s="176"/>
      <c r="R984" s="174">
        <v>2055</v>
      </c>
      <c r="S984" s="179"/>
      <c r="T984" s="162" t="s">
        <v>28</v>
      </c>
      <c r="U984" s="161" t="s">
        <v>16</v>
      </c>
      <c r="V984" s="174">
        <v>1877</v>
      </c>
      <c r="W984" s="180"/>
      <c r="X984" s="185">
        <v>45069</v>
      </c>
      <c r="Y984" s="187">
        <v>44830.509965277779</v>
      </c>
    </row>
    <row r="985" spans="1:25">
      <c r="A985" s="167" t="s">
        <v>110</v>
      </c>
      <c r="B985" s="162" t="s">
        <v>1599</v>
      </c>
      <c r="C985" s="163" t="s">
        <v>3077</v>
      </c>
      <c r="D985" s="162" t="s">
        <v>3078</v>
      </c>
      <c r="E985" s="161" t="s">
        <v>1631</v>
      </c>
      <c r="F985" s="162" t="s">
        <v>1614</v>
      </c>
      <c r="G985" s="161"/>
      <c r="H985" s="214">
        <v>1</v>
      </c>
      <c r="I985" s="171">
        <v>60</v>
      </c>
      <c r="J985" s="170">
        <v>60</v>
      </c>
      <c r="K985" s="172">
        <v>60</v>
      </c>
      <c r="L985" s="170">
        <v>60</v>
      </c>
      <c r="M985" s="171">
        <v>60</v>
      </c>
      <c r="N985" s="170"/>
      <c r="O985" s="177" t="s">
        <v>1523</v>
      </c>
      <c r="P985" s="162" t="s">
        <v>1620</v>
      </c>
      <c r="Q985" s="176">
        <v>46082</v>
      </c>
      <c r="R985" s="174">
        <v>2051</v>
      </c>
      <c r="S985" s="179"/>
      <c r="T985" s="162" t="s">
        <v>28</v>
      </c>
      <c r="U985" s="161" t="s">
        <v>1615</v>
      </c>
      <c r="V985" s="174">
        <v>2347</v>
      </c>
      <c r="W985" s="180" t="s">
        <v>3079</v>
      </c>
      <c r="X985" s="185">
        <v>45069</v>
      </c>
      <c r="Y985" s="187">
        <v>45027.649618055555</v>
      </c>
    </row>
    <row r="986" spans="1:25">
      <c r="A986" s="167" t="s">
        <v>45</v>
      </c>
      <c r="B986" s="162" t="s">
        <v>1599</v>
      </c>
      <c r="C986" s="163" t="s">
        <v>3080</v>
      </c>
      <c r="D986" s="162" t="s">
        <v>3081</v>
      </c>
      <c r="E986" s="161" t="s">
        <v>1739</v>
      </c>
      <c r="F986" s="162" t="s">
        <v>3082</v>
      </c>
      <c r="G986" s="161" t="s">
        <v>3083</v>
      </c>
      <c r="H986" s="214">
        <v>1</v>
      </c>
      <c r="I986" s="171">
        <v>128</v>
      </c>
      <c r="J986" s="170">
        <v>151</v>
      </c>
      <c r="K986" s="172">
        <v>128</v>
      </c>
      <c r="L986" s="170">
        <v>151</v>
      </c>
      <c r="M986" s="171" t="s">
        <v>3084</v>
      </c>
      <c r="N986" s="170"/>
      <c r="O986" s="177" t="s">
        <v>1523</v>
      </c>
      <c r="P986" s="162" t="s">
        <v>1619</v>
      </c>
      <c r="Q986" s="176"/>
      <c r="R986" s="174">
        <v>2043</v>
      </c>
      <c r="S986" s="179"/>
      <c r="T986" s="162" t="s">
        <v>28</v>
      </c>
      <c r="U986" s="161" t="s">
        <v>18</v>
      </c>
      <c r="V986" s="174">
        <v>1167</v>
      </c>
      <c r="W986" s="180"/>
      <c r="X986" s="185">
        <v>45069</v>
      </c>
      <c r="Y986" s="187">
        <v>45020.492303240739</v>
      </c>
    </row>
    <row r="987" spans="1:25">
      <c r="A987" s="167" t="s">
        <v>91</v>
      </c>
      <c r="B987" s="162" t="s">
        <v>1555</v>
      </c>
      <c r="C987" s="163" t="s">
        <v>3085</v>
      </c>
      <c r="D987" s="162" t="s">
        <v>1604</v>
      </c>
      <c r="E987" s="161" t="s">
        <v>1613</v>
      </c>
      <c r="F987" s="162" t="s">
        <v>1614</v>
      </c>
      <c r="G987" s="161"/>
      <c r="H987" s="214">
        <v>1</v>
      </c>
      <c r="I987" s="171"/>
      <c r="J987" s="170">
        <v>0.21</v>
      </c>
      <c r="K987" s="172"/>
      <c r="L987" s="170">
        <v>0.21</v>
      </c>
      <c r="M987" s="171">
        <v>0.21</v>
      </c>
      <c r="N987" s="170"/>
      <c r="O987" s="177" t="s">
        <v>76</v>
      </c>
      <c r="P987" s="162" t="s">
        <v>1591</v>
      </c>
      <c r="Q987" s="176"/>
      <c r="R987" s="174"/>
      <c r="S987" s="179"/>
      <c r="T987" s="162" t="s">
        <v>24</v>
      </c>
      <c r="U987" s="161" t="s">
        <v>1615</v>
      </c>
      <c r="V987" s="174">
        <v>2105</v>
      </c>
      <c r="W987" s="180"/>
      <c r="X987" s="185" t="s">
        <v>259</v>
      </c>
      <c r="Y987" s="187">
        <v>44831.363900462966</v>
      </c>
    </row>
    <row r="988" spans="1:25">
      <c r="A988" s="167" t="s">
        <v>91</v>
      </c>
      <c r="B988" s="162" t="s">
        <v>1555</v>
      </c>
      <c r="C988" s="163" t="s">
        <v>3086</v>
      </c>
      <c r="D988" s="162" t="s">
        <v>1604</v>
      </c>
      <c r="E988" s="161" t="s">
        <v>1613</v>
      </c>
      <c r="F988" s="162" t="s">
        <v>1614</v>
      </c>
      <c r="G988" s="161"/>
      <c r="H988" s="214">
        <v>1</v>
      </c>
      <c r="I988" s="171"/>
      <c r="J988" s="170">
        <v>0.21</v>
      </c>
      <c r="K988" s="172"/>
      <c r="L988" s="170">
        <v>0.21</v>
      </c>
      <c r="M988" s="171">
        <v>0.21</v>
      </c>
      <c r="N988" s="170"/>
      <c r="O988" s="177" t="s">
        <v>76</v>
      </c>
      <c r="P988" s="162" t="s">
        <v>1591</v>
      </c>
      <c r="Q988" s="176"/>
      <c r="R988" s="174"/>
      <c r="S988" s="179"/>
      <c r="T988" s="162" t="s">
        <v>24</v>
      </c>
      <c r="U988" s="161" t="s">
        <v>1615</v>
      </c>
      <c r="V988" s="174">
        <v>2106</v>
      </c>
      <c r="W988" s="180"/>
      <c r="X988" s="185" t="s">
        <v>259</v>
      </c>
      <c r="Y988" s="187">
        <v>44831.368321759262</v>
      </c>
    </row>
    <row r="989" spans="1:25">
      <c r="A989" s="167" t="s">
        <v>91</v>
      </c>
      <c r="B989" s="162" t="s">
        <v>1555</v>
      </c>
      <c r="C989" s="163" t="s">
        <v>3087</v>
      </c>
      <c r="D989" s="162" t="s">
        <v>1604</v>
      </c>
      <c r="E989" s="161" t="s">
        <v>1613</v>
      </c>
      <c r="F989" s="162" t="s">
        <v>1614</v>
      </c>
      <c r="G989" s="161"/>
      <c r="H989" s="214">
        <v>1</v>
      </c>
      <c r="I989" s="171"/>
      <c r="J989" s="170">
        <v>0.21</v>
      </c>
      <c r="K989" s="172"/>
      <c r="L989" s="170">
        <v>0.21</v>
      </c>
      <c r="M989" s="171">
        <v>0.21</v>
      </c>
      <c r="N989" s="170"/>
      <c r="O989" s="177" t="s">
        <v>76</v>
      </c>
      <c r="P989" s="162" t="s">
        <v>1591</v>
      </c>
      <c r="Q989" s="176"/>
      <c r="R989" s="174"/>
      <c r="S989" s="179"/>
      <c r="T989" s="162" t="s">
        <v>24</v>
      </c>
      <c r="U989" s="161" t="s">
        <v>1615</v>
      </c>
      <c r="V989" s="174">
        <v>2107</v>
      </c>
      <c r="W989" s="180"/>
      <c r="X989" s="185" t="s">
        <v>259</v>
      </c>
      <c r="Y989" s="187">
        <v>44831.371481481481</v>
      </c>
    </row>
    <row r="990" spans="1:25">
      <c r="A990" s="167" t="s">
        <v>91</v>
      </c>
      <c r="B990" s="162" t="s">
        <v>1555</v>
      </c>
      <c r="C990" s="163" t="s">
        <v>3088</v>
      </c>
      <c r="D990" s="162" t="s">
        <v>1604</v>
      </c>
      <c r="E990" s="161" t="s">
        <v>1613</v>
      </c>
      <c r="F990" s="162" t="s">
        <v>1614</v>
      </c>
      <c r="G990" s="161"/>
      <c r="H990" s="214">
        <v>1</v>
      </c>
      <c r="I990" s="171"/>
      <c r="J990" s="170">
        <v>0.21</v>
      </c>
      <c r="K990" s="172"/>
      <c r="L990" s="170">
        <v>0.21</v>
      </c>
      <c r="M990" s="171">
        <v>0.21</v>
      </c>
      <c r="N990" s="170"/>
      <c r="O990" s="177" t="s">
        <v>76</v>
      </c>
      <c r="P990" s="162" t="s">
        <v>1591</v>
      </c>
      <c r="Q990" s="176"/>
      <c r="R990" s="174"/>
      <c r="S990" s="179"/>
      <c r="T990" s="162" t="s">
        <v>24</v>
      </c>
      <c r="U990" s="161" t="s">
        <v>1615</v>
      </c>
      <c r="V990" s="174">
        <v>2108</v>
      </c>
      <c r="W990" s="180"/>
      <c r="X990" s="185" t="s">
        <v>259</v>
      </c>
      <c r="Y990" s="187">
        <v>44831.374675925923</v>
      </c>
    </row>
    <row r="991" spans="1:25">
      <c r="A991" s="167" t="s">
        <v>91</v>
      </c>
      <c r="B991" s="162" t="s">
        <v>1555</v>
      </c>
      <c r="C991" s="163" t="s">
        <v>3089</v>
      </c>
      <c r="D991" s="162" t="s">
        <v>1604</v>
      </c>
      <c r="E991" s="161" t="s">
        <v>1613</v>
      </c>
      <c r="F991" s="162" t="s">
        <v>1614</v>
      </c>
      <c r="G991" s="161"/>
      <c r="H991" s="214">
        <v>1</v>
      </c>
      <c r="I991" s="171"/>
      <c r="J991" s="170">
        <v>0.21</v>
      </c>
      <c r="K991" s="172"/>
      <c r="L991" s="170">
        <v>0.21</v>
      </c>
      <c r="M991" s="171">
        <v>0.21</v>
      </c>
      <c r="N991" s="170"/>
      <c r="O991" s="177" t="s">
        <v>76</v>
      </c>
      <c r="P991" s="162" t="s">
        <v>1591</v>
      </c>
      <c r="Q991" s="176"/>
      <c r="R991" s="174"/>
      <c r="S991" s="179"/>
      <c r="T991" s="162" t="s">
        <v>24</v>
      </c>
      <c r="U991" s="161" t="s">
        <v>1615</v>
      </c>
      <c r="V991" s="174">
        <v>2109</v>
      </c>
      <c r="W991" s="180"/>
      <c r="X991" s="185" t="s">
        <v>259</v>
      </c>
      <c r="Y991" s="187">
        <v>44831.401828703703</v>
      </c>
    </row>
    <row r="992" spans="1:25">
      <c r="A992" s="167" t="s">
        <v>91</v>
      </c>
      <c r="B992" s="162" t="s">
        <v>1555</v>
      </c>
      <c r="C992" s="163" t="s">
        <v>3090</v>
      </c>
      <c r="D992" s="162" t="s">
        <v>1604</v>
      </c>
      <c r="E992" s="161" t="s">
        <v>1613</v>
      </c>
      <c r="F992" s="162" t="s">
        <v>1614</v>
      </c>
      <c r="G992" s="161"/>
      <c r="H992" s="214">
        <v>1</v>
      </c>
      <c r="I992" s="171"/>
      <c r="J992" s="170">
        <v>0.6</v>
      </c>
      <c r="K992" s="172"/>
      <c r="L992" s="170">
        <v>0.6</v>
      </c>
      <c r="M992" s="171">
        <v>0.6</v>
      </c>
      <c r="N992" s="170"/>
      <c r="O992" s="177" t="s">
        <v>76</v>
      </c>
      <c r="P992" s="162" t="s">
        <v>1591</v>
      </c>
      <c r="Q992" s="176"/>
      <c r="R992" s="174"/>
      <c r="S992" s="179"/>
      <c r="T992" s="162" t="s">
        <v>24</v>
      </c>
      <c r="U992" s="161" t="s">
        <v>1615</v>
      </c>
      <c r="V992" s="174">
        <v>2110</v>
      </c>
      <c r="W992" s="180"/>
      <c r="X992" s="185" t="s">
        <v>259</v>
      </c>
      <c r="Y992" s="187">
        <v>44831.404699074075</v>
      </c>
    </row>
    <row r="993" spans="1:25">
      <c r="A993" s="167" t="s">
        <v>91</v>
      </c>
      <c r="B993" s="162" t="s">
        <v>1555</v>
      </c>
      <c r="C993" s="163" t="s">
        <v>3091</v>
      </c>
      <c r="D993" s="162" t="s">
        <v>1604</v>
      </c>
      <c r="E993" s="161" t="s">
        <v>1613</v>
      </c>
      <c r="F993" s="162" t="s">
        <v>1614</v>
      </c>
      <c r="G993" s="161"/>
      <c r="H993" s="214">
        <v>1</v>
      </c>
      <c r="I993" s="171"/>
      <c r="J993" s="170">
        <v>0.21</v>
      </c>
      <c r="K993" s="172"/>
      <c r="L993" s="170">
        <v>0.21</v>
      </c>
      <c r="M993" s="171">
        <v>0.21</v>
      </c>
      <c r="N993" s="170"/>
      <c r="O993" s="177" t="s">
        <v>76</v>
      </c>
      <c r="P993" s="162" t="s">
        <v>1591</v>
      </c>
      <c r="Q993" s="176"/>
      <c r="R993" s="174"/>
      <c r="S993" s="179"/>
      <c r="T993" s="162" t="s">
        <v>24</v>
      </c>
      <c r="U993" s="161" t="s">
        <v>1615</v>
      </c>
      <c r="V993" s="174">
        <v>2111</v>
      </c>
      <c r="W993" s="180"/>
      <c r="X993" s="185" t="s">
        <v>259</v>
      </c>
      <c r="Y993" s="187">
        <v>44831.419872685183</v>
      </c>
    </row>
    <row r="994" spans="1:25">
      <c r="A994" s="167" t="s">
        <v>91</v>
      </c>
      <c r="B994" s="162" t="s">
        <v>1555</v>
      </c>
      <c r="C994" s="163" t="s">
        <v>3092</v>
      </c>
      <c r="D994" s="162" t="s">
        <v>1604</v>
      </c>
      <c r="E994" s="161" t="s">
        <v>1613</v>
      </c>
      <c r="F994" s="162" t="s">
        <v>1614</v>
      </c>
      <c r="G994" s="161"/>
      <c r="H994" s="214">
        <v>1</v>
      </c>
      <c r="I994" s="171"/>
      <c r="J994" s="170">
        <v>0.21</v>
      </c>
      <c r="K994" s="172"/>
      <c r="L994" s="170">
        <v>0.21</v>
      </c>
      <c r="M994" s="171">
        <v>0.21</v>
      </c>
      <c r="N994" s="170"/>
      <c r="O994" s="177" t="s">
        <v>76</v>
      </c>
      <c r="P994" s="162" t="s">
        <v>1591</v>
      </c>
      <c r="Q994" s="176"/>
      <c r="R994" s="174"/>
      <c r="S994" s="179"/>
      <c r="T994" s="162" t="s">
        <v>24</v>
      </c>
      <c r="U994" s="161" t="s">
        <v>1615</v>
      </c>
      <c r="V994" s="174">
        <v>2112</v>
      </c>
      <c r="W994" s="180"/>
      <c r="X994" s="185" t="s">
        <v>259</v>
      </c>
      <c r="Y994" s="187">
        <v>44831.423171296294</v>
      </c>
    </row>
    <row r="995" spans="1:25">
      <c r="A995" s="167" t="s">
        <v>91</v>
      </c>
      <c r="B995" s="162" t="s">
        <v>1555</v>
      </c>
      <c r="C995" s="163" t="s">
        <v>3093</v>
      </c>
      <c r="D995" s="162" t="s">
        <v>1604</v>
      </c>
      <c r="E995" s="161" t="s">
        <v>1613</v>
      </c>
      <c r="F995" s="162" t="s">
        <v>1614</v>
      </c>
      <c r="G995" s="161"/>
      <c r="H995" s="214">
        <v>1</v>
      </c>
      <c r="I995" s="171"/>
      <c r="J995" s="170">
        <v>0.21</v>
      </c>
      <c r="K995" s="172"/>
      <c r="L995" s="170">
        <v>0.21</v>
      </c>
      <c r="M995" s="171">
        <v>0.21</v>
      </c>
      <c r="N995" s="170"/>
      <c r="O995" s="177" t="s">
        <v>76</v>
      </c>
      <c r="P995" s="162" t="s">
        <v>1591</v>
      </c>
      <c r="Q995" s="176"/>
      <c r="R995" s="174"/>
      <c r="S995" s="179"/>
      <c r="T995" s="162" t="s">
        <v>24</v>
      </c>
      <c r="U995" s="161" t="s">
        <v>1615</v>
      </c>
      <c r="V995" s="174">
        <v>2113</v>
      </c>
      <c r="W995" s="180"/>
      <c r="X995" s="185" t="s">
        <v>259</v>
      </c>
      <c r="Y995" s="187">
        <v>44831.425520833334</v>
      </c>
    </row>
    <row r="996" spans="1:25">
      <c r="A996" s="167" t="s">
        <v>91</v>
      </c>
      <c r="B996" s="162" t="s">
        <v>1555</v>
      </c>
      <c r="C996" s="163" t="s">
        <v>3094</v>
      </c>
      <c r="D996" s="162" t="s">
        <v>1604</v>
      </c>
      <c r="E996" s="161" t="s">
        <v>1613</v>
      </c>
      <c r="F996" s="162" t="s">
        <v>1614</v>
      </c>
      <c r="G996" s="161"/>
      <c r="H996" s="214">
        <v>1</v>
      </c>
      <c r="I996" s="171"/>
      <c r="J996" s="170">
        <v>0.21</v>
      </c>
      <c r="K996" s="172"/>
      <c r="L996" s="170">
        <v>0.21</v>
      </c>
      <c r="M996" s="171">
        <v>0.21</v>
      </c>
      <c r="N996" s="170"/>
      <c r="O996" s="177" t="s">
        <v>76</v>
      </c>
      <c r="P996" s="162" t="s">
        <v>1591</v>
      </c>
      <c r="Q996" s="176"/>
      <c r="R996" s="174"/>
      <c r="S996" s="179"/>
      <c r="T996" s="162" t="s">
        <v>24</v>
      </c>
      <c r="U996" s="161" t="s">
        <v>1615</v>
      </c>
      <c r="V996" s="174">
        <v>2114</v>
      </c>
      <c r="W996" s="180"/>
      <c r="X996" s="185" t="s">
        <v>259</v>
      </c>
      <c r="Y996" s="187">
        <v>44831.428680555553</v>
      </c>
    </row>
    <row r="997" spans="1:25">
      <c r="A997" s="167" t="s">
        <v>91</v>
      </c>
      <c r="B997" s="162" t="s">
        <v>1555</v>
      </c>
      <c r="C997" s="163" t="s">
        <v>3095</v>
      </c>
      <c r="D997" s="162" t="s">
        <v>1604</v>
      </c>
      <c r="E997" s="161" t="s">
        <v>1613</v>
      </c>
      <c r="F997" s="162" t="s">
        <v>1614</v>
      </c>
      <c r="G997" s="161"/>
      <c r="H997" s="214">
        <v>1</v>
      </c>
      <c r="I997" s="171"/>
      <c r="J997" s="170">
        <v>0.21</v>
      </c>
      <c r="K997" s="172"/>
      <c r="L997" s="170">
        <v>0.21</v>
      </c>
      <c r="M997" s="171">
        <v>0.21</v>
      </c>
      <c r="N997" s="170"/>
      <c r="O997" s="177" t="s">
        <v>76</v>
      </c>
      <c r="P997" s="162" t="s">
        <v>1591</v>
      </c>
      <c r="Q997" s="176"/>
      <c r="R997" s="174"/>
      <c r="S997" s="179"/>
      <c r="T997" s="162" t="s">
        <v>24</v>
      </c>
      <c r="U997" s="161" t="s">
        <v>1615</v>
      </c>
      <c r="V997" s="174">
        <v>2115</v>
      </c>
      <c r="W997" s="180"/>
      <c r="X997" s="185" t="s">
        <v>259</v>
      </c>
      <c r="Y997" s="187">
        <v>44831.432083333333</v>
      </c>
    </row>
    <row r="998" spans="1:25">
      <c r="A998" s="167" t="s">
        <v>105</v>
      </c>
      <c r="B998" s="162" t="s">
        <v>1555</v>
      </c>
      <c r="C998" s="163" t="s">
        <v>3096</v>
      </c>
      <c r="D998" s="162" t="s">
        <v>1735</v>
      </c>
      <c r="E998" s="161" t="s">
        <v>1700</v>
      </c>
      <c r="F998" s="162" t="s">
        <v>1658</v>
      </c>
      <c r="G998" s="161" t="s">
        <v>3097</v>
      </c>
      <c r="H998" s="214">
        <v>1</v>
      </c>
      <c r="I998" s="171">
        <v>115.6</v>
      </c>
      <c r="J998" s="170">
        <v>115.6</v>
      </c>
      <c r="K998" s="172">
        <v>115.6</v>
      </c>
      <c r="L998" s="170">
        <v>115.6</v>
      </c>
      <c r="M998" s="171">
        <v>115.6</v>
      </c>
      <c r="N998" s="170"/>
      <c r="O998" s="177" t="s">
        <v>76</v>
      </c>
      <c r="P998" s="162" t="s">
        <v>1619</v>
      </c>
      <c r="Q998" s="176"/>
      <c r="R998" s="174">
        <v>2100</v>
      </c>
      <c r="S998" s="179"/>
      <c r="T998" s="162" t="s">
        <v>24</v>
      </c>
      <c r="U998" s="161" t="s">
        <v>17</v>
      </c>
      <c r="V998" s="174">
        <v>1168</v>
      </c>
      <c r="W998" s="180"/>
      <c r="X998" s="185">
        <v>45017</v>
      </c>
      <c r="Y998" s="187">
        <v>45086.835601851853</v>
      </c>
    </row>
    <row r="999" spans="1:25">
      <c r="A999" s="167" t="s">
        <v>105</v>
      </c>
      <c r="B999" s="162" t="s">
        <v>1555</v>
      </c>
      <c r="C999" s="163" t="s">
        <v>3096</v>
      </c>
      <c r="D999" s="162" t="s">
        <v>1735</v>
      </c>
      <c r="E999" s="161" t="s">
        <v>1700</v>
      </c>
      <c r="F999" s="162" t="s">
        <v>1658</v>
      </c>
      <c r="G999" s="161" t="s">
        <v>3098</v>
      </c>
      <c r="H999" s="214">
        <v>1</v>
      </c>
      <c r="I999" s="171">
        <v>115.6</v>
      </c>
      <c r="J999" s="170">
        <v>115.6</v>
      </c>
      <c r="K999" s="172">
        <v>115.6</v>
      </c>
      <c r="L999" s="170">
        <v>115.6</v>
      </c>
      <c r="M999" s="171">
        <v>115.6</v>
      </c>
      <c r="N999" s="170"/>
      <c r="O999" s="177" t="s">
        <v>76</v>
      </c>
      <c r="P999" s="162" t="s">
        <v>1619</v>
      </c>
      <c r="Q999" s="176"/>
      <c r="R999" s="174">
        <v>2100</v>
      </c>
      <c r="S999" s="179"/>
      <c r="T999" s="162" t="s">
        <v>24</v>
      </c>
      <c r="U999" s="161" t="s">
        <v>17</v>
      </c>
      <c r="V999" s="174">
        <v>1168</v>
      </c>
      <c r="W999" s="180"/>
      <c r="X999" s="185">
        <v>45017</v>
      </c>
      <c r="Y999" s="187">
        <v>45086.835601851853</v>
      </c>
    </row>
    <row r="1000" spans="1:25">
      <c r="A1000" s="167" t="s">
        <v>77</v>
      </c>
      <c r="B1000" s="162" t="s">
        <v>1555</v>
      </c>
      <c r="C1000" s="163" t="s">
        <v>3099</v>
      </c>
      <c r="D1000" s="162" t="s">
        <v>295</v>
      </c>
      <c r="E1000" s="161" t="s">
        <v>1596</v>
      </c>
      <c r="F1000" s="162" t="s">
        <v>1627</v>
      </c>
      <c r="G1000" s="161"/>
      <c r="H1000" s="214">
        <v>1</v>
      </c>
      <c r="I1000" s="171"/>
      <c r="J1000" s="170">
        <v>0.85</v>
      </c>
      <c r="K1000" s="172"/>
      <c r="L1000" s="170">
        <v>0.85</v>
      </c>
      <c r="M1000" s="171">
        <v>0.85</v>
      </c>
      <c r="N1000" s="170"/>
      <c r="O1000" s="177" t="s">
        <v>76</v>
      </c>
      <c r="P1000" s="162" t="s">
        <v>1591</v>
      </c>
      <c r="Q1000" s="176"/>
      <c r="R1000" s="174">
        <v>2042</v>
      </c>
      <c r="S1000" s="179"/>
      <c r="T1000" s="162" t="s">
        <v>24</v>
      </c>
      <c r="U1000" s="161" t="s">
        <v>18</v>
      </c>
      <c r="V1000" s="174">
        <v>2159</v>
      </c>
      <c r="W1000" s="180"/>
      <c r="X1000" s="185" t="s">
        <v>259</v>
      </c>
      <c r="Y1000" s="187">
        <v>44981.421782407408</v>
      </c>
    </row>
    <row r="1001" spans="1:25">
      <c r="A1001" s="167" t="s">
        <v>91</v>
      </c>
      <c r="B1001" s="162" t="s">
        <v>1599</v>
      </c>
      <c r="C1001" s="163" t="s">
        <v>3100</v>
      </c>
      <c r="D1001" s="162" t="s">
        <v>3101</v>
      </c>
      <c r="E1001" s="161" t="s">
        <v>1673</v>
      </c>
      <c r="F1001" s="162" t="s">
        <v>1592</v>
      </c>
      <c r="G1001" s="161"/>
      <c r="H1001" s="214">
        <v>1</v>
      </c>
      <c r="I1001" s="171">
        <v>150</v>
      </c>
      <c r="J1001" s="170">
        <v>150</v>
      </c>
      <c r="K1001" s="172">
        <v>150</v>
      </c>
      <c r="L1001" s="170">
        <v>150</v>
      </c>
      <c r="M1001" s="171">
        <v>150</v>
      </c>
      <c r="N1001" s="170"/>
      <c r="O1001" s="177" t="s">
        <v>1523</v>
      </c>
      <c r="P1001" s="162" t="s">
        <v>1619</v>
      </c>
      <c r="Q1001" s="176"/>
      <c r="R1001" s="174"/>
      <c r="S1001" s="179"/>
      <c r="T1001" s="162" t="s">
        <v>28</v>
      </c>
      <c r="U1001" s="161" t="s">
        <v>13</v>
      </c>
      <c r="V1001" s="174">
        <v>1522</v>
      </c>
      <c r="W1001" s="180"/>
      <c r="X1001" s="185">
        <v>45069</v>
      </c>
      <c r="Y1001" s="187">
        <v>45097.423692129632</v>
      </c>
    </row>
    <row r="1002" spans="1:25">
      <c r="A1002" s="167" t="s">
        <v>91</v>
      </c>
      <c r="B1002" s="162" t="s">
        <v>1599</v>
      </c>
      <c r="C1002" s="163" t="s">
        <v>3102</v>
      </c>
      <c r="D1002" s="162" t="s">
        <v>3101</v>
      </c>
      <c r="E1002" s="161" t="s">
        <v>1673</v>
      </c>
      <c r="F1002" s="162" t="s">
        <v>1592</v>
      </c>
      <c r="G1002" s="161"/>
      <c r="H1002" s="214">
        <v>1</v>
      </c>
      <c r="I1002" s="171">
        <v>150</v>
      </c>
      <c r="J1002" s="170">
        <v>150</v>
      </c>
      <c r="K1002" s="172">
        <v>150</v>
      </c>
      <c r="L1002" s="170">
        <v>150</v>
      </c>
      <c r="M1002" s="171">
        <v>150</v>
      </c>
      <c r="N1002" s="170"/>
      <c r="O1002" s="177" t="s">
        <v>1523</v>
      </c>
      <c r="P1002" s="162" t="s">
        <v>1619</v>
      </c>
      <c r="Q1002" s="176"/>
      <c r="R1002" s="174"/>
      <c r="S1002" s="179"/>
      <c r="T1002" s="162" t="s">
        <v>28</v>
      </c>
      <c r="U1002" s="161" t="s">
        <v>13</v>
      </c>
      <c r="V1002" s="174">
        <v>1523</v>
      </c>
      <c r="W1002" s="180"/>
      <c r="X1002" s="185">
        <v>45069</v>
      </c>
      <c r="Y1002" s="187">
        <v>45097.425243055557</v>
      </c>
    </row>
    <row r="1003" spans="1:25">
      <c r="A1003" s="167" t="s">
        <v>105</v>
      </c>
      <c r="B1003" s="162" t="s">
        <v>1555</v>
      </c>
      <c r="C1003" s="163" t="s">
        <v>3103</v>
      </c>
      <c r="D1003" s="162" t="s">
        <v>403</v>
      </c>
      <c r="E1003" s="161" t="s">
        <v>1596</v>
      </c>
      <c r="F1003" s="162" t="s">
        <v>1627</v>
      </c>
      <c r="G1003" s="161" t="s">
        <v>3104</v>
      </c>
      <c r="H1003" s="214">
        <v>1</v>
      </c>
      <c r="I1003" s="171">
        <v>0</v>
      </c>
      <c r="J1003" s="170">
        <v>1.1200000000000001</v>
      </c>
      <c r="K1003" s="172">
        <v>0</v>
      </c>
      <c r="L1003" s="170">
        <v>1.1200000000000001</v>
      </c>
      <c r="M1003" s="171">
        <v>1.1200000000000001</v>
      </c>
      <c r="N1003" s="170"/>
      <c r="O1003" s="177" t="s">
        <v>76</v>
      </c>
      <c r="P1003" s="162" t="s">
        <v>1591</v>
      </c>
      <c r="Q1003" s="176"/>
      <c r="R1003" s="174">
        <v>2042</v>
      </c>
      <c r="S1003" s="179"/>
      <c r="T1003" s="162" t="s">
        <v>24</v>
      </c>
      <c r="U1003" s="161" t="s">
        <v>18</v>
      </c>
      <c r="V1003" s="174">
        <v>1169</v>
      </c>
      <c r="W1003" s="180"/>
      <c r="X1003" s="185">
        <v>44805</v>
      </c>
      <c r="Y1003" s="187">
        <v>44981.423078703701</v>
      </c>
    </row>
    <row r="1004" spans="1:25">
      <c r="A1004" s="167" t="s">
        <v>77</v>
      </c>
      <c r="B1004" s="162" t="s">
        <v>1555</v>
      </c>
      <c r="C1004" s="163" t="s">
        <v>3105</v>
      </c>
      <c r="D1004" s="162" t="s">
        <v>3106</v>
      </c>
      <c r="E1004" s="161" t="s">
        <v>1739</v>
      </c>
      <c r="F1004" s="164" t="s">
        <v>1603</v>
      </c>
      <c r="G1004" s="161" t="s">
        <v>3107</v>
      </c>
      <c r="H1004" s="215">
        <v>1</v>
      </c>
      <c r="I1004" s="171">
        <v>30</v>
      </c>
      <c r="J1004" s="173">
        <v>30</v>
      </c>
      <c r="K1004" s="172">
        <v>30</v>
      </c>
      <c r="L1004" s="173">
        <v>30</v>
      </c>
      <c r="M1004" s="171">
        <v>30</v>
      </c>
      <c r="N1004" s="170"/>
      <c r="O1004" s="177" t="s">
        <v>76</v>
      </c>
      <c r="P1004" s="162" t="s">
        <v>1591</v>
      </c>
      <c r="Q1004" s="176"/>
      <c r="R1004" s="175"/>
      <c r="S1004" s="179"/>
      <c r="T1004" s="164" t="s">
        <v>24</v>
      </c>
      <c r="U1004" s="161" t="s">
        <v>14</v>
      </c>
      <c r="V1004" s="175">
        <v>1172</v>
      </c>
      <c r="W1004" s="181"/>
      <c r="X1004" s="186">
        <v>44805</v>
      </c>
      <c r="Y1004" s="187">
        <v>43241.062222222223</v>
      </c>
    </row>
    <row r="1005" spans="1:25">
      <c r="A1005" s="167" t="s">
        <v>105</v>
      </c>
      <c r="B1005" s="162" t="s">
        <v>1555</v>
      </c>
      <c r="C1005" s="163" t="s">
        <v>3108</v>
      </c>
      <c r="D1005" s="162" t="s">
        <v>1735</v>
      </c>
      <c r="E1005" s="161" t="s">
        <v>1700</v>
      </c>
      <c r="F1005" s="162" t="s">
        <v>1658</v>
      </c>
      <c r="G1005" s="161" t="s">
        <v>3109</v>
      </c>
      <c r="H1005" s="214">
        <v>1</v>
      </c>
      <c r="I1005" s="171">
        <v>28</v>
      </c>
      <c r="J1005" s="170">
        <v>28</v>
      </c>
      <c r="K1005" s="172">
        <v>28</v>
      </c>
      <c r="L1005" s="170">
        <v>28</v>
      </c>
      <c r="M1005" s="171">
        <v>28</v>
      </c>
      <c r="N1005" s="170"/>
      <c r="O1005" s="177" t="s">
        <v>76</v>
      </c>
      <c r="P1005" s="162" t="s">
        <v>1591</v>
      </c>
      <c r="Q1005" s="176"/>
      <c r="R1005" s="174">
        <v>2100</v>
      </c>
      <c r="S1005" s="179"/>
      <c r="T1005" s="162" t="s">
        <v>24</v>
      </c>
      <c r="U1005" s="161" t="s">
        <v>17</v>
      </c>
      <c r="V1005" s="174">
        <v>1170</v>
      </c>
      <c r="W1005" s="180"/>
      <c r="X1005" s="185">
        <v>44621</v>
      </c>
      <c r="Y1005" s="187">
        <v>44981.42391203704</v>
      </c>
    </row>
    <row r="1006" spans="1:25">
      <c r="A1006" s="167" t="s">
        <v>45</v>
      </c>
      <c r="B1006" s="162" t="s">
        <v>1555</v>
      </c>
      <c r="C1006" s="163" t="s">
        <v>3110</v>
      </c>
      <c r="D1006" s="162" t="s">
        <v>3110</v>
      </c>
      <c r="E1006" s="161" t="s">
        <v>1589</v>
      </c>
      <c r="F1006" s="162" t="s">
        <v>1635</v>
      </c>
      <c r="G1006" s="161"/>
      <c r="H1006" s="214">
        <v>2</v>
      </c>
      <c r="I1006" s="171"/>
      <c r="J1006" s="170"/>
      <c r="K1006" s="172"/>
      <c r="L1006" s="170"/>
      <c r="M1006" s="171"/>
      <c r="N1006" s="170"/>
      <c r="O1006" s="177" t="s">
        <v>76</v>
      </c>
      <c r="P1006" s="162" t="s">
        <v>1591</v>
      </c>
      <c r="Q1006" s="176"/>
      <c r="R1006" s="174"/>
      <c r="S1006" s="179"/>
      <c r="T1006" s="162" t="s">
        <v>24</v>
      </c>
      <c r="U1006" s="161" t="s">
        <v>20</v>
      </c>
      <c r="V1006" s="174">
        <v>1296</v>
      </c>
      <c r="W1006" s="180"/>
      <c r="X1006" s="185" t="s">
        <v>259</v>
      </c>
      <c r="Y1006" s="187">
        <v>43227.197615740741</v>
      </c>
    </row>
    <row r="1007" spans="1:25">
      <c r="A1007" s="167" t="s">
        <v>110</v>
      </c>
      <c r="B1007" s="162" t="s">
        <v>1555</v>
      </c>
      <c r="C1007" s="163" t="s">
        <v>3111</v>
      </c>
      <c r="D1007" s="162" t="s">
        <v>1604</v>
      </c>
      <c r="E1007" s="161" t="s">
        <v>1596</v>
      </c>
      <c r="F1007" s="162" t="s">
        <v>1627</v>
      </c>
      <c r="G1007" s="161"/>
      <c r="H1007" s="214">
        <v>1</v>
      </c>
      <c r="I1007" s="171"/>
      <c r="J1007" s="170">
        <v>1.06</v>
      </c>
      <c r="K1007" s="172"/>
      <c r="L1007" s="170">
        <v>1.06</v>
      </c>
      <c r="M1007" s="171">
        <v>1.06</v>
      </c>
      <c r="N1007" s="170"/>
      <c r="O1007" s="177" t="s">
        <v>76</v>
      </c>
      <c r="P1007" s="162" t="s">
        <v>1591</v>
      </c>
      <c r="Q1007" s="176"/>
      <c r="R1007" s="174"/>
      <c r="S1007" s="179"/>
      <c r="T1007" s="162" t="s">
        <v>24</v>
      </c>
      <c r="U1007" s="161" t="s">
        <v>18</v>
      </c>
      <c r="V1007" s="174">
        <v>2116</v>
      </c>
      <c r="W1007" s="180"/>
      <c r="X1007" s="185" t="s">
        <v>259</v>
      </c>
      <c r="Y1007" s="187">
        <v>44831.44427083333</v>
      </c>
    </row>
    <row r="1008" spans="1:25">
      <c r="A1008" s="167" t="s">
        <v>45</v>
      </c>
      <c r="B1008" s="162" t="s">
        <v>1599</v>
      </c>
      <c r="C1008" s="163" t="s">
        <v>3112</v>
      </c>
      <c r="D1008" s="162" t="s">
        <v>3113</v>
      </c>
      <c r="E1008" s="161" t="s">
        <v>1631</v>
      </c>
      <c r="F1008" s="162" t="s">
        <v>1614</v>
      </c>
      <c r="G1008" s="161"/>
      <c r="H1008" s="214">
        <v>1</v>
      </c>
      <c r="I1008" s="171"/>
      <c r="J1008" s="170">
        <v>412</v>
      </c>
      <c r="K1008" s="172"/>
      <c r="L1008" s="170">
        <v>412</v>
      </c>
      <c r="M1008" s="171">
        <v>412</v>
      </c>
      <c r="N1008" s="170"/>
      <c r="O1008" s="177" t="s">
        <v>1523</v>
      </c>
      <c r="P1008" s="162" t="s">
        <v>1604</v>
      </c>
      <c r="Q1008" s="176"/>
      <c r="R1008" s="174"/>
      <c r="S1008" s="179"/>
      <c r="T1008" s="162" t="s">
        <v>28</v>
      </c>
      <c r="U1008" s="161" t="s">
        <v>1615</v>
      </c>
      <c r="V1008" s="174">
        <v>2521</v>
      </c>
      <c r="W1008" s="180" t="s">
        <v>3983</v>
      </c>
      <c r="X1008" s="185"/>
      <c r="Y1008" s="187">
        <v>45100.445243055554</v>
      </c>
    </row>
    <row r="1009" spans="1:25">
      <c r="A1009" s="167" t="s">
        <v>45</v>
      </c>
      <c r="B1009" s="162" t="s">
        <v>1599</v>
      </c>
      <c r="C1009" s="163" t="s">
        <v>3114</v>
      </c>
      <c r="D1009" s="162" t="s">
        <v>3115</v>
      </c>
      <c r="E1009" s="161" t="s">
        <v>1602</v>
      </c>
      <c r="F1009" s="162" t="s">
        <v>1603</v>
      </c>
      <c r="G1009" s="161"/>
      <c r="H1009" s="214">
        <v>1</v>
      </c>
      <c r="I1009" s="171">
        <v>130</v>
      </c>
      <c r="J1009" s="170">
        <v>130</v>
      </c>
      <c r="K1009" s="172">
        <v>130</v>
      </c>
      <c r="L1009" s="170">
        <v>130</v>
      </c>
      <c r="M1009" s="171">
        <v>130</v>
      </c>
      <c r="N1009" s="170">
        <v>0</v>
      </c>
      <c r="O1009" s="177" t="s">
        <v>1523</v>
      </c>
      <c r="P1009" s="162" t="s">
        <v>1604</v>
      </c>
      <c r="Q1009" s="176"/>
      <c r="R1009" s="174"/>
      <c r="S1009" s="179"/>
      <c r="T1009" s="162" t="s">
        <v>28</v>
      </c>
      <c r="U1009" s="161" t="s">
        <v>19</v>
      </c>
      <c r="V1009" s="174">
        <v>2208</v>
      </c>
      <c r="W1009" s="180" t="s">
        <v>3116</v>
      </c>
      <c r="X1009" s="185">
        <v>45017</v>
      </c>
      <c r="Y1009" s="187">
        <v>44945.294629629629</v>
      </c>
    </row>
    <row r="1010" spans="1:25">
      <c r="A1010" s="167" t="s">
        <v>110</v>
      </c>
      <c r="B1010" s="162" t="s">
        <v>1599</v>
      </c>
      <c r="C1010" s="163" t="s">
        <v>3117</v>
      </c>
      <c r="D1010" s="162" t="s">
        <v>3118</v>
      </c>
      <c r="E1010" s="161" t="s">
        <v>1625</v>
      </c>
      <c r="F1010" s="162" t="s">
        <v>1609</v>
      </c>
      <c r="G1010" s="161"/>
      <c r="H1010" s="214">
        <v>1</v>
      </c>
      <c r="I1010" s="171"/>
      <c r="J1010" s="170">
        <v>40</v>
      </c>
      <c r="K1010" s="172"/>
      <c r="L1010" s="170">
        <v>40</v>
      </c>
      <c r="M1010" s="171">
        <v>40</v>
      </c>
      <c r="N1010" s="170"/>
      <c r="O1010" s="177" t="s">
        <v>1523</v>
      </c>
      <c r="P1010" s="162" t="s">
        <v>1620</v>
      </c>
      <c r="Q1010" s="176"/>
      <c r="R1010" s="174"/>
      <c r="S1010" s="179"/>
      <c r="T1010" s="162" t="s">
        <v>28</v>
      </c>
      <c r="U1010" s="161" t="s">
        <v>16</v>
      </c>
      <c r="V1010" s="174">
        <v>2060</v>
      </c>
      <c r="W1010" s="180"/>
      <c r="X1010" s="185">
        <v>45017</v>
      </c>
      <c r="Y1010" s="187">
        <v>44824.683356481481</v>
      </c>
    </row>
    <row r="1011" spans="1:25">
      <c r="A1011" s="167" t="s">
        <v>45</v>
      </c>
      <c r="B1011" s="162" t="s">
        <v>1599</v>
      </c>
      <c r="C1011" s="163" t="s">
        <v>337</v>
      </c>
      <c r="D1011" s="162" t="s">
        <v>326</v>
      </c>
      <c r="E1011" s="161" t="s">
        <v>1602</v>
      </c>
      <c r="F1011" s="162" t="s">
        <v>1603</v>
      </c>
      <c r="G1011" s="161" t="s">
        <v>3119</v>
      </c>
      <c r="H1011" s="214">
        <v>1</v>
      </c>
      <c r="I1011" s="171"/>
      <c r="J1011" s="170">
        <v>60</v>
      </c>
      <c r="K1011" s="172"/>
      <c r="L1011" s="170">
        <v>60</v>
      </c>
      <c r="M1011" s="171">
        <v>60</v>
      </c>
      <c r="N1011" s="170">
        <v>120</v>
      </c>
      <c r="O1011" s="177" t="s">
        <v>26</v>
      </c>
      <c r="P1011" s="162" t="s">
        <v>1619</v>
      </c>
      <c r="Q1011" s="176">
        <v>44958</v>
      </c>
      <c r="R1011" s="174">
        <v>2051</v>
      </c>
      <c r="S1011" s="179"/>
      <c r="T1011" s="162" t="s">
        <v>26</v>
      </c>
      <c r="U1011" s="161" t="s">
        <v>19</v>
      </c>
      <c r="V1011" s="174">
        <v>1936</v>
      </c>
      <c r="W1011" s="180" t="s">
        <v>2127</v>
      </c>
      <c r="X1011" s="185">
        <v>45069</v>
      </c>
      <c r="Y1011" s="187">
        <v>45028.469849537039</v>
      </c>
    </row>
    <row r="1012" spans="1:25">
      <c r="A1012" s="167" t="s">
        <v>45</v>
      </c>
      <c r="B1012" s="162" t="s">
        <v>1599</v>
      </c>
      <c r="C1012" s="163" t="s">
        <v>338</v>
      </c>
      <c r="D1012" s="162" t="s">
        <v>3120</v>
      </c>
      <c r="E1012" s="161" t="s">
        <v>1602</v>
      </c>
      <c r="F1012" s="162" t="s">
        <v>1603</v>
      </c>
      <c r="G1012" s="161" t="s">
        <v>3121</v>
      </c>
      <c r="H1012" s="214">
        <v>1</v>
      </c>
      <c r="I1012" s="171"/>
      <c r="J1012" s="170">
        <v>65</v>
      </c>
      <c r="K1012" s="172"/>
      <c r="L1012" s="170">
        <v>65</v>
      </c>
      <c r="M1012" s="171">
        <v>65</v>
      </c>
      <c r="N1012" s="170">
        <v>130</v>
      </c>
      <c r="O1012" s="177" t="s">
        <v>26</v>
      </c>
      <c r="P1012" s="162" t="s">
        <v>1619</v>
      </c>
      <c r="Q1012" s="176">
        <v>45139</v>
      </c>
      <c r="R1012" s="174">
        <v>2051</v>
      </c>
      <c r="S1012" s="179"/>
      <c r="T1012" s="162" t="s">
        <v>26</v>
      </c>
      <c r="U1012" s="161" t="s">
        <v>19</v>
      </c>
      <c r="V1012" s="174">
        <v>2018</v>
      </c>
      <c r="W1012" s="180" t="s">
        <v>2127</v>
      </c>
      <c r="X1012" s="185">
        <v>45069</v>
      </c>
      <c r="Y1012" s="187">
        <v>45097.588101851848</v>
      </c>
    </row>
    <row r="1013" spans="1:25">
      <c r="A1013" s="167" t="s">
        <v>45</v>
      </c>
      <c r="B1013" s="162" t="s">
        <v>1599</v>
      </c>
      <c r="C1013" s="163" t="s">
        <v>570</v>
      </c>
      <c r="D1013" s="162" t="s">
        <v>571</v>
      </c>
      <c r="E1013" s="161" t="s">
        <v>1631</v>
      </c>
      <c r="F1013" s="162" t="s">
        <v>1614</v>
      </c>
      <c r="G1013" s="161"/>
      <c r="H1013" s="214">
        <v>360</v>
      </c>
      <c r="I1013" s="171"/>
      <c r="J1013" s="170">
        <v>0.09</v>
      </c>
      <c r="K1013" s="172"/>
      <c r="L1013" s="170">
        <v>32.4</v>
      </c>
      <c r="M1013" s="171">
        <v>32.4</v>
      </c>
      <c r="N1013" s="170"/>
      <c r="O1013" s="177" t="s">
        <v>26</v>
      </c>
      <c r="P1013" s="162" t="s">
        <v>1620</v>
      </c>
      <c r="Q1013" s="176">
        <v>45261</v>
      </c>
      <c r="R1013" s="174">
        <v>2047</v>
      </c>
      <c r="S1013" s="179"/>
      <c r="T1013" s="162" t="s">
        <v>26</v>
      </c>
      <c r="U1013" s="161" t="s">
        <v>1615</v>
      </c>
      <c r="V1013" s="174">
        <v>1415</v>
      </c>
      <c r="W1013" s="180"/>
      <c r="X1013" s="185">
        <v>45069</v>
      </c>
      <c r="Y1013" s="187">
        <v>45097.40152777778</v>
      </c>
    </row>
    <row r="1014" spans="1:25">
      <c r="A1014" s="167" t="s">
        <v>91</v>
      </c>
      <c r="B1014" s="162" t="s">
        <v>1599</v>
      </c>
      <c r="C1014" s="163" t="s">
        <v>3122</v>
      </c>
      <c r="D1014" s="162" t="s">
        <v>641</v>
      </c>
      <c r="E1014" s="161" t="s">
        <v>1631</v>
      </c>
      <c r="F1014" s="162" t="s">
        <v>1614</v>
      </c>
      <c r="G1014" s="161"/>
      <c r="H1014" s="214">
        <v>1</v>
      </c>
      <c r="I1014" s="171">
        <v>330</v>
      </c>
      <c r="J1014" s="170">
        <v>330</v>
      </c>
      <c r="K1014" s="172">
        <v>330</v>
      </c>
      <c r="L1014" s="170">
        <v>330</v>
      </c>
      <c r="M1014" s="171">
        <v>330</v>
      </c>
      <c r="N1014" s="170"/>
      <c r="O1014" s="177" t="s">
        <v>1523</v>
      </c>
      <c r="P1014" s="162" t="s">
        <v>1620</v>
      </c>
      <c r="Q1014" s="176"/>
      <c r="R1014" s="174"/>
      <c r="S1014" s="179"/>
      <c r="T1014" s="162" t="s">
        <v>28</v>
      </c>
      <c r="U1014" s="161" t="s">
        <v>1615</v>
      </c>
      <c r="V1014" s="174">
        <v>1410</v>
      </c>
      <c r="W1014" s="180"/>
      <c r="X1014" s="185">
        <v>45017</v>
      </c>
      <c r="Y1014" s="187">
        <v>43312.060787037037</v>
      </c>
    </row>
    <row r="1015" spans="1:25">
      <c r="A1015" s="167" t="s">
        <v>91</v>
      </c>
      <c r="B1015" s="162" t="s">
        <v>1599</v>
      </c>
      <c r="C1015" s="163" t="s">
        <v>3123</v>
      </c>
      <c r="D1015" s="162" t="s">
        <v>641</v>
      </c>
      <c r="E1015" s="161" t="s">
        <v>1602</v>
      </c>
      <c r="F1015" s="162" t="s">
        <v>1603</v>
      </c>
      <c r="G1015" s="161"/>
      <c r="H1015" s="214">
        <v>1</v>
      </c>
      <c r="I1015" s="171"/>
      <c r="J1015" s="170">
        <v>100</v>
      </c>
      <c r="K1015" s="172"/>
      <c r="L1015" s="170">
        <v>100</v>
      </c>
      <c r="M1015" s="171">
        <v>100</v>
      </c>
      <c r="N1015" s="170">
        <v>0</v>
      </c>
      <c r="O1015" s="177" t="s">
        <v>1523</v>
      </c>
      <c r="P1015" s="162" t="s">
        <v>1619</v>
      </c>
      <c r="Q1015" s="176"/>
      <c r="R1015" s="174"/>
      <c r="S1015" s="179"/>
      <c r="T1015" s="162" t="s">
        <v>28</v>
      </c>
      <c r="U1015" s="161" t="s">
        <v>19</v>
      </c>
      <c r="V1015" s="174">
        <v>2053</v>
      </c>
      <c r="W1015" s="180"/>
      <c r="X1015" s="185">
        <v>45017</v>
      </c>
      <c r="Y1015" s="187">
        <v>44824.643310185187</v>
      </c>
    </row>
    <row r="1016" spans="1:25">
      <c r="A1016" s="167" t="s">
        <v>110</v>
      </c>
      <c r="B1016" s="162" t="s">
        <v>1599</v>
      </c>
      <c r="C1016" s="163" t="s">
        <v>3124</v>
      </c>
      <c r="D1016" s="162" t="s">
        <v>2338</v>
      </c>
      <c r="E1016" s="161" t="s">
        <v>1602</v>
      </c>
      <c r="F1016" s="162" t="s">
        <v>1603</v>
      </c>
      <c r="G1016" s="161"/>
      <c r="H1016" s="214">
        <v>1</v>
      </c>
      <c r="I1016" s="171">
        <v>250</v>
      </c>
      <c r="J1016" s="170">
        <v>250</v>
      </c>
      <c r="K1016" s="172">
        <v>250</v>
      </c>
      <c r="L1016" s="170">
        <v>250</v>
      </c>
      <c r="M1016" s="171">
        <v>250</v>
      </c>
      <c r="N1016" s="170">
        <v>0</v>
      </c>
      <c r="O1016" s="177" t="s">
        <v>1523</v>
      </c>
      <c r="P1016" s="162" t="s">
        <v>1604</v>
      </c>
      <c r="Q1016" s="176"/>
      <c r="R1016" s="174"/>
      <c r="S1016" s="179"/>
      <c r="T1016" s="162" t="s">
        <v>28</v>
      </c>
      <c r="U1016" s="161" t="s">
        <v>19</v>
      </c>
      <c r="V1016" s="174">
        <v>2397</v>
      </c>
      <c r="W1016" s="180" t="s">
        <v>3125</v>
      </c>
      <c r="X1016" s="185">
        <v>45017</v>
      </c>
      <c r="Y1016" s="187">
        <v>44932.320775462962</v>
      </c>
    </row>
    <row r="1017" spans="1:25">
      <c r="A1017" s="167" t="s">
        <v>91</v>
      </c>
      <c r="B1017" s="162" t="s">
        <v>1555</v>
      </c>
      <c r="C1017" s="163" t="s">
        <v>3126</v>
      </c>
      <c r="D1017" s="162" t="s">
        <v>3127</v>
      </c>
      <c r="E1017" s="161" t="s">
        <v>1613</v>
      </c>
      <c r="F1017" s="162" t="s">
        <v>1614</v>
      </c>
      <c r="G1017" s="161"/>
      <c r="H1017" s="214">
        <v>1</v>
      </c>
      <c r="I1017" s="171">
        <v>0.05</v>
      </c>
      <c r="J1017" s="170">
        <v>0.05</v>
      </c>
      <c r="K1017" s="172">
        <v>0.05</v>
      </c>
      <c r="L1017" s="170">
        <v>0.05</v>
      </c>
      <c r="M1017" s="171">
        <v>0.05</v>
      </c>
      <c r="N1017" s="170"/>
      <c r="O1017" s="177" t="s">
        <v>76</v>
      </c>
      <c r="P1017" s="162" t="s">
        <v>1591</v>
      </c>
      <c r="Q1017" s="176">
        <v>44805</v>
      </c>
      <c r="R1017" s="174">
        <v>2050</v>
      </c>
      <c r="S1017" s="179"/>
      <c r="T1017" s="162" t="s">
        <v>24</v>
      </c>
      <c r="U1017" s="161" t="s">
        <v>1615</v>
      </c>
      <c r="V1017" s="174">
        <v>1548</v>
      </c>
      <c r="W1017" s="180"/>
      <c r="X1017" s="185">
        <v>44805</v>
      </c>
      <c r="Y1017" s="187">
        <v>44981.407013888886</v>
      </c>
    </row>
    <row r="1018" spans="1:25">
      <c r="A1018" s="167" t="s">
        <v>105</v>
      </c>
      <c r="B1018" s="162" t="s">
        <v>1599</v>
      </c>
      <c r="C1018" s="163" t="s">
        <v>3128</v>
      </c>
      <c r="D1018" s="162" t="s">
        <v>3129</v>
      </c>
      <c r="E1018" s="161" t="s">
        <v>1625</v>
      </c>
      <c r="F1018" s="162" t="s">
        <v>1609</v>
      </c>
      <c r="G1018" s="161"/>
      <c r="H1018" s="214">
        <v>1</v>
      </c>
      <c r="I1018" s="171"/>
      <c r="J1018" s="170">
        <v>929</v>
      </c>
      <c r="K1018" s="172"/>
      <c r="L1018" s="170">
        <v>929</v>
      </c>
      <c r="M1018" s="171">
        <v>929</v>
      </c>
      <c r="N1018" s="170"/>
      <c r="O1018" s="177" t="s">
        <v>1523</v>
      </c>
      <c r="P1018" s="162" t="s">
        <v>1620</v>
      </c>
      <c r="Q1018" s="176"/>
      <c r="R1018" s="174"/>
      <c r="S1018" s="179"/>
      <c r="T1018" s="162" t="s">
        <v>28</v>
      </c>
      <c r="U1018" s="161" t="s">
        <v>16</v>
      </c>
      <c r="V1018" s="174">
        <v>2056</v>
      </c>
      <c r="W1018" s="180" t="s">
        <v>3130</v>
      </c>
      <c r="X1018" s="185">
        <v>45069</v>
      </c>
      <c r="Y1018" s="187">
        <v>45097.603900462964</v>
      </c>
    </row>
    <row r="1019" spans="1:25">
      <c r="A1019" s="220" t="s">
        <v>91</v>
      </c>
      <c r="B1019" s="221" t="s">
        <v>1599</v>
      </c>
      <c r="C1019" s="222" t="s">
        <v>3882</v>
      </c>
      <c r="D1019" s="221" t="s">
        <v>3883</v>
      </c>
      <c r="E1019" s="223" t="s">
        <v>1613</v>
      </c>
      <c r="F1019" s="224" t="s">
        <v>1615</v>
      </c>
      <c r="G1019" s="223"/>
      <c r="H1019" s="225">
        <v>1</v>
      </c>
      <c r="I1019" s="226"/>
      <c r="J1019" s="227">
        <v>1</v>
      </c>
      <c r="K1019" s="228"/>
      <c r="L1019" s="227">
        <v>1</v>
      </c>
      <c r="M1019" s="226">
        <v>1</v>
      </c>
      <c r="N1019" s="229"/>
      <c r="O1019" s="230" t="s">
        <v>1523</v>
      </c>
      <c r="P1019" s="221" t="s">
        <v>1604</v>
      </c>
      <c r="Q1019" s="231"/>
      <c r="R1019" s="232"/>
      <c r="S1019" s="233"/>
      <c r="T1019" s="224" t="s">
        <v>28</v>
      </c>
      <c r="U1019" s="223" t="s">
        <v>1615</v>
      </c>
      <c r="V1019" s="232">
        <v>2549</v>
      </c>
      <c r="W1019" s="234" t="s">
        <v>3940</v>
      </c>
      <c r="X1019" s="235"/>
      <c r="Y1019" s="236">
        <v>45111.512974537036</v>
      </c>
    </row>
    <row r="1020" spans="1:25">
      <c r="A1020" s="167" t="s">
        <v>77</v>
      </c>
      <c r="B1020" s="162" t="s">
        <v>1555</v>
      </c>
      <c r="C1020" s="163" t="s">
        <v>3131</v>
      </c>
      <c r="D1020" s="162" t="s">
        <v>295</v>
      </c>
      <c r="E1020" s="161" t="s">
        <v>1596</v>
      </c>
      <c r="F1020" s="162" t="s">
        <v>1627</v>
      </c>
      <c r="G1020" s="161"/>
      <c r="H1020" s="214">
        <v>2</v>
      </c>
      <c r="I1020" s="171"/>
      <c r="J1020" s="170">
        <v>1.1200000000000001</v>
      </c>
      <c r="K1020" s="172"/>
      <c r="L1020" s="170">
        <v>2.25</v>
      </c>
      <c r="M1020" s="171">
        <v>2.25</v>
      </c>
      <c r="N1020" s="170"/>
      <c r="O1020" s="177" t="s">
        <v>76</v>
      </c>
      <c r="P1020" s="162" t="s">
        <v>1591</v>
      </c>
      <c r="Q1020" s="176"/>
      <c r="R1020" s="174">
        <v>2042</v>
      </c>
      <c r="S1020" s="179"/>
      <c r="T1020" s="162" t="s">
        <v>24</v>
      </c>
      <c r="U1020" s="161" t="s">
        <v>18</v>
      </c>
      <c r="V1020" s="174">
        <v>2167</v>
      </c>
      <c r="W1020" s="180"/>
      <c r="X1020" s="185" t="s">
        <v>259</v>
      </c>
      <c r="Y1020" s="187">
        <v>44981.422881944447</v>
      </c>
    </row>
    <row r="1021" spans="1:25">
      <c r="A1021" s="167" t="s">
        <v>77</v>
      </c>
      <c r="B1021" s="162" t="s">
        <v>1555</v>
      </c>
      <c r="C1021" s="163" t="s">
        <v>3131</v>
      </c>
      <c r="D1021" s="162" t="s">
        <v>295</v>
      </c>
      <c r="E1021" s="161" t="s">
        <v>1596</v>
      </c>
      <c r="F1021" s="162" t="s">
        <v>1627</v>
      </c>
      <c r="G1021" s="161"/>
      <c r="H1021" s="214">
        <v>1</v>
      </c>
      <c r="I1021" s="171"/>
      <c r="J1021" s="170">
        <v>1.06</v>
      </c>
      <c r="K1021" s="172"/>
      <c r="L1021" s="170">
        <v>1.06</v>
      </c>
      <c r="M1021" s="171">
        <v>1.06</v>
      </c>
      <c r="N1021" s="170"/>
      <c r="O1021" s="177" t="s">
        <v>76</v>
      </c>
      <c r="P1021" s="162" t="s">
        <v>1591</v>
      </c>
      <c r="Q1021" s="176"/>
      <c r="R1021" s="174">
        <v>2042</v>
      </c>
      <c r="S1021" s="179"/>
      <c r="T1021" s="162" t="s">
        <v>24</v>
      </c>
      <c r="U1021" s="161" t="s">
        <v>18</v>
      </c>
      <c r="V1021" s="174">
        <v>2167</v>
      </c>
      <c r="W1021" s="180"/>
      <c r="X1021" s="185" t="s">
        <v>259</v>
      </c>
      <c r="Y1021" s="187">
        <v>44981.422881944447</v>
      </c>
    </row>
    <row r="1022" spans="1:25">
      <c r="A1022" s="167" t="s">
        <v>77</v>
      </c>
      <c r="B1022" s="162" t="s">
        <v>1555</v>
      </c>
      <c r="C1022" s="163" t="s">
        <v>426</v>
      </c>
      <c r="D1022" s="162" t="s">
        <v>403</v>
      </c>
      <c r="E1022" s="161" t="s">
        <v>1596</v>
      </c>
      <c r="F1022" s="162" t="s">
        <v>1627</v>
      </c>
      <c r="G1022" s="161" t="s">
        <v>427</v>
      </c>
      <c r="H1022" s="214">
        <v>4</v>
      </c>
      <c r="I1022" s="171"/>
      <c r="J1022" s="170">
        <v>1.1200000000000001</v>
      </c>
      <c r="K1022" s="172"/>
      <c r="L1022" s="170">
        <v>4.49</v>
      </c>
      <c r="M1022" s="171">
        <v>4.49</v>
      </c>
      <c r="N1022" s="170"/>
      <c r="O1022" s="177" t="s">
        <v>76</v>
      </c>
      <c r="P1022" s="162" t="s">
        <v>1591</v>
      </c>
      <c r="Q1022" s="176"/>
      <c r="R1022" s="174">
        <v>2042</v>
      </c>
      <c r="S1022" s="179"/>
      <c r="T1022" s="162" t="s">
        <v>24</v>
      </c>
      <c r="U1022" s="161" t="s">
        <v>18</v>
      </c>
      <c r="V1022" s="174">
        <v>1171</v>
      </c>
      <c r="W1022" s="180"/>
      <c r="X1022" s="185">
        <v>44287</v>
      </c>
      <c r="Y1022" s="187">
        <v>44981.424583333333</v>
      </c>
    </row>
    <row r="1023" spans="1:25">
      <c r="A1023" s="167" t="s">
        <v>77</v>
      </c>
      <c r="B1023" s="162" t="s">
        <v>1599</v>
      </c>
      <c r="C1023" s="163" t="s">
        <v>3132</v>
      </c>
      <c r="D1023" s="162" t="s">
        <v>324</v>
      </c>
      <c r="E1023" s="161" t="s">
        <v>1613</v>
      </c>
      <c r="F1023" s="162" t="s">
        <v>1614</v>
      </c>
      <c r="G1023" s="161"/>
      <c r="H1023" s="214">
        <v>1</v>
      </c>
      <c r="I1023" s="171"/>
      <c r="J1023" s="170">
        <v>90</v>
      </c>
      <c r="K1023" s="172"/>
      <c r="L1023" s="170">
        <v>90</v>
      </c>
      <c r="M1023" s="171">
        <v>90</v>
      </c>
      <c r="N1023" s="170"/>
      <c r="O1023" s="177" t="s">
        <v>1523</v>
      </c>
      <c r="P1023" s="162" t="s">
        <v>1620</v>
      </c>
      <c r="Q1023" s="176"/>
      <c r="R1023" s="174"/>
      <c r="S1023" s="179"/>
      <c r="T1023" s="162" t="s">
        <v>28</v>
      </c>
      <c r="U1023" s="161" t="s">
        <v>1615</v>
      </c>
      <c r="V1023" s="174">
        <v>2044</v>
      </c>
      <c r="W1023" s="180"/>
      <c r="X1023" s="185">
        <v>45017</v>
      </c>
      <c r="Y1023" s="187">
        <v>44824.555185185185</v>
      </c>
    </row>
    <row r="1024" spans="1:25">
      <c r="A1024" s="167" t="s">
        <v>77</v>
      </c>
      <c r="B1024" s="162" t="s">
        <v>1555</v>
      </c>
      <c r="C1024" s="163" t="s">
        <v>3133</v>
      </c>
      <c r="D1024" s="162" t="s">
        <v>717</v>
      </c>
      <c r="E1024" s="161" t="s">
        <v>1673</v>
      </c>
      <c r="F1024" s="164" t="s">
        <v>1592</v>
      </c>
      <c r="G1024" s="161" t="s">
        <v>3134</v>
      </c>
      <c r="H1024" s="215">
        <v>1</v>
      </c>
      <c r="I1024" s="171"/>
      <c r="J1024" s="173">
        <v>40</v>
      </c>
      <c r="K1024" s="172"/>
      <c r="L1024" s="173">
        <v>40</v>
      </c>
      <c r="M1024" s="171">
        <v>40</v>
      </c>
      <c r="N1024" s="170"/>
      <c r="O1024" s="177" t="s">
        <v>76</v>
      </c>
      <c r="P1024" s="162" t="s">
        <v>1619</v>
      </c>
      <c r="Q1024" s="176"/>
      <c r="R1024" s="175">
        <v>2034</v>
      </c>
      <c r="S1024" s="179"/>
      <c r="T1024" s="164" t="s">
        <v>24</v>
      </c>
      <c r="U1024" s="161" t="s">
        <v>13</v>
      </c>
      <c r="V1024" s="175">
        <v>1173</v>
      </c>
      <c r="W1024" s="181"/>
      <c r="X1024" s="186">
        <v>45017</v>
      </c>
      <c r="Y1024" s="187">
        <v>45020.493993055556</v>
      </c>
    </row>
    <row r="1025" spans="1:25">
      <c r="A1025" s="167" t="s">
        <v>77</v>
      </c>
      <c r="B1025" s="162" t="s">
        <v>1555</v>
      </c>
      <c r="C1025" s="163" t="s">
        <v>3133</v>
      </c>
      <c r="D1025" s="162" t="s">
        <v>717</v>
      </c>
      <c r="E1025" s="161" t="s">
        <v>1673</v>
      </c>
      <c r="F1025" s="162" t="s">
        <v>1592</v>
      </c>
      <c r="G1025" s="161" t="s">
        <v>3135</v>
      </c>
      <c r="H1025" s="214">
        <v>1</v>
      </c>
      <c r="I1025" s="171"/>
      <c r="J1025" s="170">
        <v>40</v>
      </c>
      <c r="K1025" s="172"/>
      <c r="L1025" s="170">
        <v>40</v>
      </c>
      <c r="M1025" s="171">
        <v>40</v>
      </c>
      <c r="N1025" s="170"/>
      <c r="O1025" s="177" t="s">
        <v>76</v>
      </c>
      <c r="P1025" s="162" t="s">
        <v>1619</v>
      </c>
      <c r="Q1025" s="176"/>
      <c r="R1025" s="174">
        <v>2034</v>
      </c>
      <c r="S1025" s="179"/>
      <c r="T1025" s="162" t="s">
        <v>24</v>
      </c>
      <c r="U1025" s="161" t="s">
        <v>13</v>
      </c>
      <c r="V1025" s="174">
        <v>1173</v>
      </c>
      <c r="W1025" s="180"/>
      <c r="X1025" s="185">
        <v>45017</v>
      </c>
      <c r="Y1025" s="187">
        <v>45020.493993055556</v>
      </c>
    </row>
    <row r="1026" spans="1:25">
      <c r="A1026" s="220" t="s">
        <v>45</v>
      </c>
      <c r="B1026" s="221" t="s">
        <v>1599</v>
      </c>
      <c r="C1026" s="222" t="s">
        <v>3864</v>
      </c>
      <c r="D1026" s="221" t="s">
        <v>3863</v>
      </c>
      <c r="E1026" s="223" t="s">
        <v>1602</v>
      </c>
      <c r="F1026" s="224" t="s">
        <v>20</v>
      </c>
      <c r="G1026" s="223"/>
      <c r="H1026" s="225">
        <v>1</v>
      </c>
      <c r="I1026" s="226"/>
      <c r="J1026" s="227">
        <v>150</v>
      </c>
      <c r="K1026" s="228"/>
      <c r="L1026" s="227">
        <v>150</v>
      </c>
      <c r="M1026" s="226">
        <v>150</v>
      </c>
      <c r="N1026" s="229">
        <v>0</v>
      </c>
      <c r="O1026" s="230" t="s">
        <v>1523</v>
      </c>
      <c r="P1026" s="221" t="s">
        <v>1604</v>
      </c>
      <c r="Q1026" s="231"/>
      <c r="R1026" s="232"/>
      <c r="S1026" s="233"/>
      <c r="T1026" s="224" t="s">
        <v>28</v>
      </c>
      <c r="U1026" s="223" t="s">
        <v>19</v>
      </c>
      <c r="V1026" s="232">
        <v>2538</v>
      </c>
      <c r="W1026" s="234" t="s">
        <v>3930</v>
      </c>
      <c r="X1026" s="235"/>
      <c r="Y1026" s="236">
        <v>45111.390844907408</v>
      </c>
    </row>
    <row r="1027" spans="1:25">
      <c r="A1027" s="220" t="s">
        <v>45</v>
      </c>
      <c r="B1027" s="221" t="s">
        <v>1599</v>
      </c>
      <c r="C1027" s="222" t="s">
        <v>3862</v>
      </c>
      <c r="D1027" s="221" t="s">
        <v>3863</v>
      </c>
      <c r="E1027" s="223" t="s">
        <v>1613</v>
      </c>
      <c r="F1027" s="224" t="s">
        <v>1615</v>
      </c>
      <c r="G1027" s="223"/>
      <c r="H1027" s="225">
        <v>1009</v>
      </c>
      <c r="I1027" s="226"/>
      <c r="J1027" s="227">
        <v>0.25</v>
      </c>
      <c r="K1027" s="228"/>
      <c r="L1027" s="227">
        <v>252.25</v>
      </c>
      <c r="M1027" s="226">
        <v>252.25</v>
      </c>
      <c r="N1027" s="229"/>
      <c r="O1027" s="230" t="s">
        <v>1523</v>
      </c>
      <c r="P1027" s="221" t="s">
        <v>1604</v>
      </c>
      <c r="Q1027" s="231"/>
      <c r="R1027" s="232"/>
      <c r="S1027" s="233"/>
      <c r="T1027" s="224" t="s">
        <v>28</v>
      </c>
      <c r="U1027" s="223" t="s">
        <v>1615</v>
      </c>
      <c r="V1027" s="232">
        <v>2537</v>
      </c>
      <c r="W1027" s="234" t="s">
        <v>3930</v>
      </c>
      <c r="X1027" s="235"/>
      <c r="Y1027" s="236">
        <v>45111.385092592594</v>
      </c>
    </row>
    <row r="1028" spans="1:25">
      <c r="A1028" s="167" t="s">
        <v>45</v>
      </c>
      <c r="B1028" s="162" t="s">
        <v>1599</v>
      </c>
      <c r="C1028" s="163" t="s">
        <v>3136</v>
      </c>
      <c r="D1028" s="162" t="s">
        <v>2082</v>
      </c>
      <c r="E1028" s="161" t="s">
        <v>1613</v>
      </c>
      <c r="F1028" s="162" t="s">
        <v>1614</v>
      </c>
      <c r="G1028" s="161"/>
      <c r="H1028" s="214">
        <v>1</v>
      </c>
      <c r="I1028" s="171">
        <v>500</v>
      </c>
      <c r="J1028" s="170">
        <v>500</v>
      </c>
      <c r="K1028" s="172">
        <v>500</v>
      </c>
      <c r="L1028" s="170">
        <v>500</v>
      </c>
      <c r="M1028" s="171">
        <v>500</v>
      </c>
      <c r="N1028" s="170"/>
      <c r="O1028" s="177" t="s">
        <v>1523</v>
      </c>
      <c r="P1028" s="162" t="s">
        <v>1604</v>
      </c>
      <c r="Q1028" s="176"/>
      <c r="R1028" s="174"/>
      <c r="S1028" s="179"/>
      <c r="T1028" s="162" t="s">
        <v>28</v>
      </c>
      <c r="U1028" s="161" t="s">
        <v>1615</v>
      </c>
      <c r="V1028" s="174">
        <v>2184</v>
      </c>
      <c r="W1028" s="180" t="s">
        <v>3137</v>
      </c>
      <c r="X1028" s="185">
        <v>45017</v>
      </c>
      <c r="Y1028" s="187">
        <v>44986.401863425926</v>
      </c>
    </row>
    <row r="1029" spans="1:25">
      <c r="A1029" s="167" t="s">
        <v>77</v>
      </c>
      <c r="B1029" s="162" t="s">
        <v>1555</v>
      </c>
      <c r="C1029" s="163" t="s">
        <v>976</v>
      </c>
      <c r="D1029" s="162" t="s">
        <v>3138</v>
      </c>
      <c r="E1029" s="161" t="s">
        <v>1631</v>
      </c>
      <c r="F1029" s="162" t="s">
        <v>1614</v>
      </c>
      <c r="G1029" s="161" t="s">
        <v>3139</v>
      </c>
      <c r="H1029" s="214">
        <v>64</v>
      </c>
      <c r="I1029" s="171">
        <v>2</v>
      </c>
      <c r="J1029" s="170">
        <v>2</v>
      </c>
      <c r="K1029" s="172">
        <v>128</v>
      </c>
      <c r="L1029" s="170">
        <v>128</v>
      </c>
      <c r="M1029" s="171">
        <v>128</v>
      </c>
      <c r="N1029" s="170"/>
      <c r="O1029" s="177" t="s">
        <v>76</v>
      </c>
      <c r="P1029" s="162" t="s">
        <v>1620</v>
      </c>
      <c r="Q1029" s="176"/>
      <c r="R1029" s="174">
        <v>2043</v>
      </c>
      <c r="S1029" s="179"/>
      <c r="T1029" s="162" t="s">
        <v>24</v>
      </c>
      <c r="U1029" s="161" t="s">
        <v>1615</v>
      </c>
      <c r="V1029" s="174">
        <v>1401</v>
      </c>
      <c r="W1029" s="180"/>
      <c r="X1029" s="185">
        <v>45017</v>
      </c>
      <c r="Y1029" s="187">
        <v>45020.622511574074</v>
      </c>
    </row>
    <row r="1030" spans="1:25">
      <c r="A1030" s="167" t="s">
        <v>105</v>
      </c>
      <c r="B1030" s="162" t="s">
        <v>1555</v>
      </c>
      <c r="C1030" s="163" t="s">
        <v>3140</v>
      </c>
      <c r="D1030" s="162" t="s">
        <v>1735</v>
      </c>
      <c r="E1030" s="161" t="s">
        <v>1700</v>
      </c>
      <c r="F1030" s="162" t="s">
        <v>1658</v>
      </c>
      <c r="G1030" s="161" t="s">
        <v>3141</v>
      </c>
      <c r="H1030" s="214">
        <v>1</v>
      </c>
      <c r="I1030" s="171">
        <v>10.5</v>
      </c>
      <c r="J1030" s="170">
        <v>10.5</v>
      </c>
      <c r="K1030" s="172">
        <v>10.5</v>
      </c>
      <c r="L1030" s="170">
        <v>10.5</v>
      </c>
      <c r="M1030" s="171">
        <v>10.5</v>
      </c>
      <c r="N1030" s="170"/>
      <c r="O1030" s="177" t="s">
        <v>76</v>
      </c>
      <c r="P1030" s="162" t="s">
        <v>1591</v>
      </c>
      <c r="Q1030" s="176"/>
      <c r="R1030" s="174">
        <v>2100</v>
      </c>
      <c r="S1030" s="179"/>
      <c r="T1030" s="162" t="s">
        <v>24</v>
      </c>
      <c r="U1030" s="161" t="s">
        <v>17</v>
      </c>
      <c r="V1030" s="174">
        <v>1174</v>
      </c>
      <c r="W1030" s="180"/>
      <c r="X1030" s="185">
        <v>44621</v>
      </c>
      <c r="Y1030" s="187">
        <v>44981.425474537034</v>
      </c>
    </row>
    <row r="1031" spans="1:25">
      <c r="A1031" s="167" t="s">
        <v>105</v>
      </c>
      <c r="B1031" s="162" t="s">
        <v>1599</v>
      </c>
      <c r="C1031" s="163" t="s">
        <v>3142</v>
      </c>
      <c r="D1031" s="162" t="s">
        <v>1735</v>
      </c>
      <c r="E1031" s="161" t="s">
        <v>1657</v>
      </c>
      <c r="F1031" s="162" t="s">
        <v>1658</v>
      </c>
      <c r="G1031" s="161"/>
      <c r="H1031" s="214">
        <v>4</v>
      </c>
      <c r="I1031" s="171"/>
      <c r="J1031" s="170">
        <v>187.5</v>
      </c>
      <c r="K1031" s="172"/>
      <c r="L1031" s="170">
        <v>750</v>
      </c>
      <c r="M1031" s="171">
        <v>750</v>
      </c>
      <c r="N1031" s="170">
        <v>12000</v>
      </c>
      <c r="O1031" s="177" t="s">
        <v>1523</v>
      </c>
      <c r="P1031" s="162" t="s">
        <v>1619</v>
      </c>
      <c r="Q1031" s="176"/>
      <c r="R1031" s="174"/>
      <c r="S1031" s="179"/>
      <c r="T1031" s="162" t="s">
        <v>28</v>
      </c>
      <c r="U1031" s="161" t="s">
        <v>17</v>
      </c>
      <c r="V1031" s="174">
        <v>2225</v>
      </c>
      <c r="W1031" s="180" t="s">
        <v>3143</v>
      </c>
      <c r="X1031" s="185">
        <v>45017</v>
      </c>
      <c r="Y1031" s="187">
        <v>45086.832499999997</v>
      </c>
    </row>
    <row r="1032" spans="1:25">
      <c r="A1032" s="167" t="s">
        <v>45</v>
      </c>
      <c r="B1032" s="162" t="s">
        <v>1555</v>
      </c>
      <c r="C1032" s="163" t="s">
        <v>1273</v>
      </c>
      <c r="D1032" s="162" t="s">
        <v>3144</v>
      </c>
      <c r="E1032" s="161" t="s">
        <v>1613</v>
      </c>
      <c r="F1032" s="162" t="s">
        <v>1614</v>
      </c>
      <c r="G1032" s="161" t="s">
        <v>3145</v>
      </c>
      <c r="H1032" s="214">
        <v>20</v>
      </c>
      <c r="I1032" s="171">
        <v>1</v>
      </c>
      <c r="J1032" s="170">
        <v>1</v>
      </c>
      <c r="K1032" s="172">
        <v>20</v>
      </c>
      <c r="L1032" s="170">
        <v>20</v>
      </c>
      <c r="M1032" s="171">
        <v>20</v>
      </c>
      <c r="N1032" s="170"/>
      <c r="O1032" s="177" t="s">
        <v>76</v>
      </c>
      <c r="P1032" s="162" t="s">
        <v>1591</v>
      </c>
      <c r="Q1032" s="176"/>
      <c r="R1032" s="174">
        <v>2045</v>
      </c>
      <c r="S1032" s="179"/>
      <c r="T1032" s="162" t="s">
        <v>24</v>
      </c>
      <c r="U1032" s="161" t="s">
        <v>1615</v>
      </c>
      <c r="V1032" s="174">
        <v>1336</v>
      </c>
      <c r="W1032" s="180"/>
      <c r="X1032" s="185">
        <v>44621</v>
      </c>
      <c r="Y1032" s="187">
        <v>45022.417928240742</v>
      </c>
    </row>
    <row r="1033" spans="1:25">
      <c r="A1033" s="167" t="s">
        <v>110</v>
      </c>
      <c r="B1033" s="162" t="s">
        <v>1555</v>
      </c>
      <c r="C1033" s="163" t="s">
        <v>3146</v>
      </c>
      <c r="D1033" s="162" t="s">
        <v>396</v>
      </c>
      <c r="E1033" s="161" t="s">
        <v>1700</v>
      </c>
      <c r="F1033" s="164" t="s">
        <v>1658</v>
      </c>
      <c r="G1033" s="161" t="s">
        <v>3147</v>
      </c>
      <c r="H1033" s="215">
        <v>5</v>
      </c>
      <c r="I1033" s="171"/>
      <c r="J1033" s="173">
        <v>2.7</v>
      </c>
      <c r="K1033" s="172"/>
      <c r="L1033" s="173">
        <v>13.5</v>
      </c>
      <c r="M1033" s="171">
        <v>13.5</v>
      </c>
      <c r="N1033" s="170"/>
      <c r="O1033" s="177" t="s">
        <v>76</v>
      </c>
      <c r="P1033" s="162" t="s">
        <v>1591</v>
      </c>
      <c r="Q1033" s="176"/>
      <c r="R1033" s="175"/>
      <c r="S1033" s="179"/>
      <c r="T1033" s="164" t="s">
        <v>24</v>
      </c>
      <c r="U1033" s="161" t="s">
        <v>17</v>
      </c>
      <c r="V1033" s="175">
        <v>1175</v>
      </c>
      <c r="W1033" s="181"/>
      <c r="X1033" s="186">
        <v>44621</v>
      </c>
      <c r="Y1033" s="187">
        <v>45029.42765046296</v>
      </c>
    </row>
    <row r="1034" spans="1:25">
      <c r="A1034" s="167" t="s">
        <v>45</v>
      </c>
      <c r="B1034" s="162" t="s">
        <v>1599</v>
      </c>
      <c r="C1034" s="163" t="s">
        <v>3148</v>
      </c>
      <c r="D1034" s="162" t="s">
        <v>2547</v>
      </c>
      <c r="E1034" s="161" t="s">
        <v>1602</v>
      </c>
      <c r="F1034" s="162" t="s">
        <v>1609</v>
      </c>
      <c r="G1034" s="161"/>
      <c r="H1034" s="214">
        <v>1</v>
      </c>
      <c r="I1034" s="171">
        <v>240</v>
      </c>
      <c r="J1034" s="170">
        <v>248</v>
      </c>
      <c r="K1034" s="172">
        <v>240</v>
      </c>
      <c r="L1034" s="170">
        <v>248</v>
      </c>
      <c r="M1034" s="171" t="s">
        <v>3149</v>
      </c>
      <c r="N1034" s="170">
        <v>96</v>
      </c>
      <c r="O1034" s="177" t="s">
        <v>1523</v>
      </c>
      <c r="P1034" s="162" t="s">
        <v>1620</v>
      </c>
      <c r="Q1034" s="176">
        <v>46631</v>
      </c>
      <c r="R1034" s="174"/>
      <c r="S1034" s="179"/>
      <c r="T1034" s="162" t="s">
        <v>28</v>
      </c>
      <c r="U1034" s="161" t="s">
        <v>19</v>
      </c>
      <c r="V1034" s="174">
        <v>2455</v>
      </c>
      <c r="W1034" s="180"/>
      <c r="X1034" s="185">
        <v>45069</v>
      </c>
      <c r="Y1034" s="187">
        <v>45027.617291666669</v>
      </c>
    </row>
    <row r="1035" spans="1:25">
      <c r="A1035" s="167" t="s">
        <v>45</v>
      </c>
      <c r="B1035" s="162" t="s">
        <v>1599</v>
      </c>
      <c r="C1035" s="163" t="s">
        <v>3150</v>
      </c>
      <c r="D1035" s="162" t="s">
        <v>146</v>
      </c>
      <c r="E1035" s="161" t="s">
        <v>1625</v>
      </c>
      <c r="F1035" s="162" t="s">
        <v>1609</v>
      </c>
      <c r="G1035" s="161"/>
      <c r="H1035" s="214">
        <v>28</v>
      </c>
      <c r="I1035" s="171">
        <v>6</v>
      </c>
      <c r="J1035" s="170">
        <v>6.2</v>
      </c>
      <c r="K1035" s="172">
        <v>168</v>
      </c>
      <c r="L1035" s="170">
        <v>173.6</v>
      </c>
      <c r="M1035" s="171" t="s">
        <v>3151</v>
      </c>
      <c r="N1035" s="170"/>
      <c r="O1035" s="177" t="s">
        <v>1523</v>
      </c>
      <c r="P1035" s="162" t="s">
        <v>1620</v>
      </c>
      <c r="Q1035" s="176">
        <v>46631</v>
      </c>
      <c r="R1035" s="174"/>
      <c r="S1035" s="179"/>
      <c r="T1035" s="162" t="s">
        <v>28</v>
      </c>
      <c r="U1035" s="161" t="s">
        <v>16</v>
      </c>
      <c r="V1035" s="174">
        <v>1676</v>
      </c>
      <c r="W1035" s="180"/>
      <c r="X1035" s="185">
        <v>45069</v>
      </c>
      <c r="Y1035" s="187">
        <v>45021.627337962964</v>
      </c>
    </row>
    <row r="1036" spans="1:25">
      <c r="A1036" s="167" t="s">
        <v>45</v>
      </c>
      <c r="B1036" s="162" t="s">
        <v>1599</v>
      </c>
      <c r="C1036" s="163" t="s">
        <v>3150</v>
      </c>
      <c r="D1036" s="162" t="s">
        <v>146</v>
      </c>
      <c r="E1036" s="161" t="s">
        <v>1625</v>
      </c>
      <c r="F1036" s="162" t="s">
        <v>1609</v>
      </c>
      <c r="G1036" s="161"/>
      <c r="H1036" s="214">
        <v>12</v>
      </c>
      <c r="I1036" s="171">
        <v>6</v>
      </c>
      <c r="J1036" s="170">
        <v>6.2</v>
      </c>
      <c r="K1036" s="172">
        <v>72</v>
      </c>
      <c r="L1036" s="170">
        <v>74.400000000000006</v>
      </c>
      <c r="M1036" s="171" t="s">
        <v>3152</v>
      </c>
      <c r="N1036" s="170"/>
      <c r="O1036" s="177" t="s">
        <v>1523</v>
      </c>
      <c r="P1036" s="162" t="s">
        <v>1620</v>
      </c>
      <c r="Q1036" s="176">
        <v>46631</v>
      </c>
      <c r="R1036" s="174"/>
      <c r="S1036" s="179"/>
      <c r="T1036" s="162" t="s">
        <v>28</v>
      </c>
      <c r="U1036" s="161" t="s">
        <v>16</v>
      </c>
      <c r="V1036" s="174">
        <v>1676</v>
      </c>
      <c r="W1036" s="180"/>
      <c r="X1036" s="185">
        <v>45069</v>
      </c>
      <c r="Y1036" s="187">
        <v>45021.627337962964</v>
      </c>
    </row>
    <row r="1037" spans="1:25">
      <c r="A1037" s="167" t="s">
        <v>45</v>
      </c>
      <c r="B1037" s="162" t="s">
        <v>1599</v>
      </c>
      <c r="C1037" s="163" t="s">
        <v>3153</v>
      </c>
      <c r="D1037" s="162" t="s">
        <v>2547</v>
      </c>
      <c r="E1037" s="161" t="s">
        <v>1602</v>
      </c>
      <c r="F1037" s="162" t="s">
        <v>1609</v>
      </c>
      <c r="G1037" s="161"/>
      <c r="H1037" s="214">
        <v>1</v>
      </c>
      <c r="I1037" s="171">
        <v>48</v>
      </c>
      <c r="J1037" s="170">
        <v>48</v>
      </c>
      <c r="K1037" s="172">
        <v>48</v>
      </c>
      <c r="L1037" s="170">
        <v>48</v>
      </c>
      <c r="M1037" s="171">
        <v>48</v>
      </c>
      <c r="N1037" s="170">
        <v>48</v>
      </c>
      <c r="O1037" s="177" t="s">
        <v>1523</v>
      </c>
      <c r="P1037" s="162" t="s">
        <v>1620</v>
      </c>
      <c r="Q1037" s="176">
        <v>46661</v>
      </c>
      <c r="R1037" s="174"/>
      <c r="S1037" s="179"/>
      <c r="T1037" s="162" t="s">
        <v>28</v>
      </c>
      <c r="U1037" s="161" t="s">
        <v>19</v>
      </c>
      <c r="V1037" s="174">
        <v>2456</v>
      </c>
      <c r="W1037" s="180"/>
      <c r="X1037" s="185">
        <v>45069</v>
      </c>
      <c r="Y1037" s="187">
        <v>45027.616365740738</v>
      </c>
    </row>
    <row r="1038" spans="1:25">
      <c r="A1038" s="167" t="s">
        <v>45</v>
      </c>
      <c r="B1038" s="162" t="s">
        <v>1599</v>
      </c>
      <c r="C1038" s="163" t="s">
        <v>3154</v>
      </c>
      <c r="D1038" s="162" t="s">
        <v>2547</v>
      </c>
      <c r="E1038" s="161" t="s">
        <v>1625</v>
      </c>
      <c r="F1038" s="162" t="s">
        <v>1609</v>
      </c>
      <c r="G1038" s="161"/>
      <c r="H1038" s="214">
        <v>80</v>
      </c>
      <c r="I1038" s="171">
        <v>6</v>
      </c>
      <c r="J1038" s="170">
        <v>6.2</v>
      </c>
      <c r="K1038" s="172">
        <v>480</v>
      </c>
      <c r="L1038" s="170">
        <v>496</v>
      </c>
      <c r="M1038" s="171" t="s">
        <v>3155</v>
      </c>
      <c r="N1038" s="170"/>
      <c r="O1038" s="177" t="s">
        <v>1523</v>
      </c>
      <c r="P1038" s="162" t="s">
        <v>1620</v>
      </c>
      <c r="Q1038" s="176">
        <v>47088</v>
      </c>
      <c r="R1038" s="174"/>
      <c r="S1038" s="179"/>
      <c r="T1038" s="162" t="s">
        <v>28</v>
      </c>
      <c r="U1038" s="161" t="s">
        <v>16</v>
      </c>
      <c r="V1038" s="174">
        <v>2458</v>
      </c>
      <c r="W1038" s="180"/>
      <c r="X1038" s="185">
        <v>45069</v>
      </c>
      <c r="Y1038" s="187">
        <v>45027.531122685185</v>
      </c>
    </row>
    <row r="1039" spans="1:25">
      <c r="A1039" s="167" t="s">
        <v>77</v>
      </c>
      <c r="B1039" s="162" t="s">
        <v>1555</v>
      </c>
      <c r="C1039" s="163" t="s">
        <v>978</v>
      </c>
      <c r="D1039" s="162" t="s">
        <v>3156</v>
      </c>
      <c r="E1039" s="161" t="s">
        <v>1631</v>
      </c>
      <c r="F1039" s="162" t="s">
        <v>1614</v>
      </c>
      <c r="G1039" s="161" t="s">
        <v>3157</v>
      </c>
      <c r="H1039" s="214">
        <v>1</v>
      </c>
      <c r="I1039" s="171">
        <v>65</v>
      </c>
      <c r="J1039" s="170">
        <v>65</v>
      </c>
      <c r="K1039" s="172">
        <v>65</v>
      </c>
      <c r="L1039" s="170">
        <v>65</v>
      </c>
      <c r="M1039" s="171">
        <v>65</v>
      </c>
      <c r="N1039" s="170"/>
      <c r="O1039" s="177" t="s">
        <v>76</v>
      </c>
      <c r="P1039" s="162" t="s">
        <v>1620</v>
      </c>
      <c r="Q1039" s="176">
        <v>44105</v>
      </c>
      <c r="R1039" s="174">
        <v>2049</v>
      </c>
      <c r="S1039" s="179"/>
      <c r="T1039" s="162" t="s">
        <v>24</v>
      </c>
      <c r="U1039" s="161" t="s">
        <v>1615</v>
      </c>
      <c r="V1039" s="174">
        <v>1493</v>
      </c>
      <c r="W1039" s="180"/>
      <c r="X1039" s="185">
        <v>45017</v>
      </c>
      <c r="Y1039" s="187">
        <v>45021.423425925925</v>
      </c>
    </row>
    <row r="1040" spans="1:25">
      <c r="A1040" s="167" t="s">
        <v>110</v>
      </c>
      <c r="B1040" s="162" t="s">
        <v>1599</v>
      </c>
      <c r="C1040" s="163" t="s">
        <v>385</v>
      </c>
      <c r="D1040" s="162" t="s">
        <v>386</v>
      </c>
      <c r="E1040" s="161" t="s">
        <v>1625</v>
      </c>
      <c r="F1040" s="162" t="s">
        <v>1609</v>
      </c>
      <c r="G1040" s="161"/>
      <c r="H1040" s="214">
        <v>56</v>
      </c>
      <c r="I1040" s="171">
        <v>4.2</v>
      </c>
      <c r="J1040" s="170">
        <v>4.2</v>
      </c>
      <c r="K1040" s="172">
        <v>235.2</v>
      </c>
      <c r="L1040" s="170">
        <v>235.2</v>
      </c>
      <c r="M1040" s="171">
        <v>235.2</v>
      </c>
      <c r="N1040" s="170"/>
      <c r="O1040" s="177" t="s">
        <v>27</v>
      </c>
      <c r="P1040" s="162" t="s">
        <v>1620</v>
      </c>
      <c r="Q1040" s="176">
        <v>45231</v>
      </c>
      <c r="R1040" s="174"/>
      <c r="S1040" s="179"/>
      <c r="T1040" s="162" t="s">
        <v>27</v>
      </c>
      <c r="U1040" s="161" t="s">
        <v>16</v>
      </c>
      <c r="V1040" s="174">
        <v>1176</v>
      </c>
      <c r="W1040" s="180" t="s">
        <v>3158</v>
      </c>
      <c r="X1040" s="185">
        <v>45069</v>
      </c>
      <c r="Y1040" s="187">
        <v>44938.460509259261</v>
      </c>
    </row>
    <row r="1041" spans="1:25">
      <c r="A1041" s="167" t="s">
        <v>45</v>
      </c>
      <c r="B1041" s="162" t="s">
        <v>1599</v>
      </c>
      <c r="C1041" s="163" t="s">
        <v>522</v>
      </c>
      <c r="D1041" s="162" t="s">
        <v>523</v>
      </c>
      <c r="E1041" s="161" t="s">
        <v>1625</v>
      </c>
      <c r="F1041" s="162" t="s">
        <v>1609</v>
      </c>
      <c r="G1041" s="161"/>
      <c r="H1041" s="214">
        <v>66</v>
      </c>
      <c r="I1041" s="171"/>
      <c r="J1041" s="170">
        <v>6</v>
      </c>
      <c r="K1041" s="172"/>
      <c r="L1041" s="170">
        <v>396</v>
      </c>
      <c r="M1041" s="171">
        <v>396</v>
      </c>
      <c r="N1041" s="170"/>
      <c r="O1041" s="177" t="s">
        <v>26</v>
      </c>
      <c r="P1041" s="162" t="s">
        <v>1620</v>
      </c>
      <c r="Q1041" s="176">
        <v>45474</v>
      </c>
      <c r="R1041" s="174">
        <v>2048</v>
      </c>
      <c r="S1041" s="179"/>
      <c r="T1041" s="162" t="s">
        <v>26</v>
      </c>
      <c r="U1041" s="161" t="s">
        <v>16</v>
      </c>
      <c r="V1041" s="174">
        <v>1353</v>
      </c>
      <c r="W1041" s="180" t="s">
        <v>3159</v>
      </c>
      <c r="X1041" s="185">
        <v>45069</v>
      </c>
      <c r="Y1041" s="187">
        <v>45098.481620370374</v>
      </c>
    </row>
    <row r="1042" spans="1:25">
      <c r="A1042" s="167" t="s">
        <v>91</v>
      </c>
      <c r="B1042" s="162" t="s">
        <v>1555</v>
      </c>
      <c r="C1042" s="163" t="s">
        <v>3160</v>
      </c>
      <c r="D1042" s="162" t="s">
        <v>1604</v>
      </c>
      <c r="E1042" s="161" t="s">
        <v>1613</v>
      </c>
      <c r="F1042" s="162" t="s">
        <v>1614</v>
      </c>
      <c r="G1042" s="161"/>
      <c r="H1042" s="214">
        <v>1</v>
      </c>
      <c r="I1042" s="171"/>
      <c r="J1042" s="170">
        <v>0.51</v>
      </c>
      <c r="K1042" s="172"/>
      <c r="L1042" s="170">
        <v>0.51</v>
      </c>
      <c r="M1042" s="171">
        <v>0.51</v>
      </c>
      <c r="N1042" s="170"/>
      <c r="O1042" s="177" t="s">
        <v>76</v>
      </c>
      <c r="P1042" s="162" t="s">
        <v>1591</v>
      </c>
      <c r="Q1042" s="176"/>
      <c r="R1042" s="174"/>
      <c r="S1042" s="179"/>
      <c r="T1042" s="162" t="s">
        <v>24</v>
      </c>
      <c r="U1042" s="161" t="s">
        <v>1615</v>
      </c>
      <c r="V1042" s="174">
        <v>2117</v>
      </c>
      <c r="W1042" s="180"/>
      <c r="X1042" s="185" t="s">
        <v>259</v>
      </c>
      <c r="Y1042" s="187">
        <v>44831.448078703703</v>
      </c>
    </row>
    <row r="1043" spans="1:25">
      <c r="A1043" s="167" t="s">
        <v>110</v>
      </c>
      <c r="B1043" s="162" t="s">
        <v>1555</v>
      </c>
      <c r="C1043" s="163" t="s">
        <v>3161</v>
      </c>
      <c r="D1043" s="162" t="s">
        <v>1604</v>
      </c>
      <c r="E1043" s="161" t="s">
        <v>1613</v>
      </c>
      <c r="F1043" s="162" t="s">
        <v>1614</v>
      </c>
      <c r="G1043" s="161"/>
      <c r="H1043" s="214">
        <v>1</v>
      </c>
      <c r="I1043" s="171"/>
      <c r="J1043" s="170">
        <v>0.26</v>
      </c>
      <c r="K1043" s="172"/>
      <c r="L1043" s="170">
        <v>0.26</v>
      </c>
      <c r="M1043" s="171">
        <v>0.26</v>
      </c>
      <c r="N1043" s="170"/>
      <c r="O1043" s="177" t="s">
        <v>76</v>
      </c>
      <c r="P1043" s="162" t="s">
        <v>1591</v>
      </c>
      <c r="Q1043" s="184"/>
      <c r="R1043" s="174"/>
      <c r="S1043" s="179"/>
      <c r="T1043" s="162" t="s">
        <v>24</v>
      </c>
      <c r="U1043" s="161" t="s">
        <v>1615</v>
      </c>
      <c r="V1043" s="174">
        <v>2118</v>
      </c>
      <c r="W1043" s="180"/>
      <c r="X1043" s="185" t="s">
        <v>259</v>
      </c>
      <c r="Y1043" s="187">
        <v>44831.451666666668</v>
      </c>
    </row>
    <row r="1044" spans="1:25">
      <c r="A1044" s="167" t="s">
        <v>45</v>
      </c>
      <c r="B1044" s="162" t="s">
        <v>1599</v>
      </c>
      <c r="C1044" s="163" t="s">
        <v>3162</v>
      </c>
      <c r="D1044" s="162" t="s">
        <v>146</v>
      </c>
      <c r="E1044" s="161" t="s">
        <v>1602</v>
      </c>
      <c r="F1044" s="162" t="s">
        <v>1603</v>
      </c>
      <c r="G1044" s="161"/>
      <c r="H1044" s="214">
        <v>1</v>
      </c>
      <c r="I1044" s="171">
        <v>200</v>
      </c>
      <c r="J1044" s="170">
        <v>200</v>
      </c>
      <c r="K1044" s="172">
        <v>200</v>
      </c>
      <c r="L1044" s="170">
        <v>200</v>
      </c>
      <c r="M1044" s="171">
        <v>200</v>
      </c>
      <c r="N1044" s="170">
        <v>800</v>
      </c>
      <c r="O1044" s="177" t="s">
        <v>1523</v>
      </c>
      <c r="P1044" s="162" t="s">
        <v>1620</v>
      </c>
      <c r="Q1044" s="176">
        <v>46357</v>
      </c>
      <c r="R1044" s="174"/>
      <c r="S1044" s="179"/>
      <c r="T1044" s="162" t="s">
        <v>28</v>
      </c>
      <c r="U1044" s="161" t="s">
        <v>19</v>
      </c>
      <c r="V1044" s="174">
        <v>2452</v>
      </c>
      <c r="W1044" s="180"/>
      <c r="X1044" s="185">
        <v>45069</v>
      </c>
      <c r="Y1044" s="187">
        <v>45027.61991898148</v>
      </c>
    </row>
    <row r="1045" spans="1:25">
      <c r="A1045" s="167" t="s">
        <v>45</v>
      </c>
      <c r="B1045" s="162" t="s">
        <v>1599</v>
      </c>
      <c r="C1045" s="163" t="s">
        <v>3163</v>
      </c>
      <c r="D1045" s="162" t="s">
        <v>146</v>
      </c>
      <c r="E1045" s="161" t="s">
        <v>1631</v>
      </c>
      <c r="F1045" s="162" t="s">
        <v>1614</v>
      </c>
      <c r="G1045" s="161"/>
      <c r="H1045" s="214">
        <v>56</v>
      </c>
      <c r="I1045" s="171">
        <v>5</v>
      </c>
      <c r="J1045" s="170">
        <v>5</v>
      </c>
      <c r="K1045" s="172">
        <v>280</v>
      </c>
      <c r="L1045" s="170">
        <v>280</v>
      </c>
      <c r="M1045" s="171">
        <v>280</v>
      </c>
      <c r="N1045" s="170"/>
      <c r="O1045" s="177" t="s">
        <v>1523</v>
      </c>
      <c r="P1045" s="162" t="s">
        <v>1620</v>
      </c>
      <c r="Q1045" s="184">
        <v>46357</v>
      </c>
      <c r="R1045" s="174"/>
      <c r="S1045" s="179"/>
      <c r="T1045" s="162" t="s">
        <v>28</v>
      </c>
      <c r="U1045" s="161" t="s">
        <v>1615</v>
      </c>
      <c r="V1045" s="174">
        <v>1925</v>
      </c>
      <c r="W1045" s="180"/>
      <c r="X1045" s="185">
        <v>45069</v>
      </c>
      <c r="Y1045" s="187">
        <v>45028.460763888892</v>
      </c>
    </row>
    <row r="1046" spans="1:25">
      <c r="A1046" s="167" t="s">
        <v>45</v>
      </c>
      <c r="B1046" s="162" t="s">
        <v>1599</v>
      </c>
      <c r="C1046" s="163" t="s">
        <v>3163</v>
      </c>
      <c r="D1046" s="162" t="s">
        <v>146</v>
      </c>
      <c r="E1046" s="161" t="s">
        <v>1631</v>
      </c>
      <c r="F1046" s="162" t="s">
        <v>1614</v>
      </c>
      <c r="G1046" s="161"/>
      <c r="H1046" s="214">
        <v>34</v>
      </c>
      <c r="I1046" s="171">
        <v>5</v>
      </c>
      <c r="J1046" s="170">
        <v>5</v>
      </c>
      <c r="K1046" s="172">
        <v>170</v>
      </c>
      <c r="L1046" s="170">
        <v>170</v>
      </c>
      <c r="M1046" s="171">
        <v>170</v>
      </c>
      <c r="N1046" s="170"/>
      <c r="O1046" s="177" t="s">
        <v>1523</v>
      </c>
      <c r="P1046" s="162" t="s">
        <v>1620</v>
      </c>
      <c r="Q1046" s="176">
        <v>46357</v>
      </c>
      <c r="R1046" s="174"/>
      <c r="S1046" s="179"/>
      <c r="T1046" s="162" t="s">
        <v>28</v>
      </c>
      <c r="U1046" s="161" t="s">
        <v>1615</v>
      </c>
      <c r="V1046" s="174">
        <v>1925</v>
      </c>
      <c r="W1046" s="180"/>
      <c r="X1046" s="185">
        <v>45069</v>
      </c>
      <c r="Y1046" s="187">
        <v>45028.460763888892</v>
      </c>
    </row>
    <row r="1047" spans="1:25">
      <c r="A1047" s="167" t="s">
        <v>110</v>
      </c>
      <c r="B1047" s="162" t="s">
        <v>1555</v>
      </c>
      <c r="C1047" s="163" t="s">
        <v>1025</v>
      </c>
      <c r="D1047" s="162" t="s">
        <v>3164</v>
      </c>
      <c r="E1047" s="161" t="s">
        <v>1625</v>
      </c>
      <c r="F1047" s="162" t="s">
        <v>1609</v>
      </c>
      <c r="G1047" s="161" t="s">
        <v>3165</v>
      </c>
      <c r="H1047" s="214">
        <v>15</v>
      </c>
      <c r="I1047" s="171">
        <v>3.6</v>
      </c>
      <c r="J1047" s="170">
        <v>3.6</v>
      </c>
      <c r="K1047" s="172">
        <v>54</v>
      </c>
      <c r="L1047" s="170">
        <v>54</v>
      </c>
      <c r="M1047" s="171">
        <v>54</v>
      </c>
      <c r="N1047" s="170"/>
      <c r="O1047" s="177" t="s">
        <v>76</v>
      </c>
      <c r="P1047" s="162" t="s">
        <v>1620</v>
      </c>
      <c r="Q1047" s="176"/>
      <c r="R1047" s="174">
        <v>2043</v>
      </c>
      <c r="S1047" s="179"/>
      <c r="T1047" s="162" t="s">
        <v>24</v>
      </c>
      <c r="U1047" s="161" t="s">
        <v>16</v>
      </c>
      <c r="V1047" s="174">
        <v>1244</v>
      </c>
      <c r="W1047" s="180"/>
      <c r="X1047" s="185">
        <v>45017</v>
      </c>
      <c r="Y1047" s="187">
        <v>45077.578796296293</v>
      </c>
    </row>
    <row r="1048" spans="1:25">
      <c r="A1048" s="167" t="s">
        <v>45</v>
      </c>
      <c r="B1048" s="162" t="s">
        <v>1599</v>
      </c>
      <c r="C1048" s="163" t="s">
        <v>3166</v>
      </c>
      <c r="D1048" s="162" t="s">
        <v>2159</v>
      </c>
      <c r="E1048" s="161" t="s">
        <v>1613</v>
      </c>
      <c r="F1048" s="162" t="s">
        <v>1614</v>
      </c>
      <c r="G1048" s="161"/>
      <c r="H1048" s="214">
        <v>300</v>
      </c>
      <c r="I1048" s="171">
        <v>1</v>
      </c>
      <c r="J1048" s="170">
        <v>1</v>
      </c>
      <c r="K1048" s="172">
        <v>300</v>
      </c>
      <c r="L1048" s="170">
        <v>300</v>
      </c>
      <c r="M1048" s="171">
        <v>300</v>
      </c>
      <c r="N1048" s="170"/>
      <c r="O1048" s="177" t="s">
        <v>1523</v>
      </c>
      <c r="P1048" s="162" t="s">
        <v>1620</v>
      </c>
      <c r="Q1048" s="176"/>
      <c r="R1048" s="174"/>
      <c r="S1048" s="179"/>
      <c r="T1048" s="162" t="s">
        <v>28</v>
      </c>
      <c r="U1048" s="161" t="s">
        <v>1615</v>
      </c>
      <c r="V1048" s="174">
        <v>1618</v>
      </c>
      <c r="W1048" s="180" t="s">
        <v>3167</v>
      </c>
      <c r="X1048" s="185">
        <v>45017</v>
      </c>
      <c r="Y1048" s="187">
        <v>45021.594837962963</v>
      </c>
    </row>
    <row r="1049" spans="1:25">
      <c r="A1049" s="167" t="s">
        <v>45</v>
      </c>
      <c r="B1049" s="162" t="s">
        <v>1599</v>
      </c>
      <c r="C1049" s="163" t="s">
        <v>3168</v>
      </c>
      <c r="D1049" s="162" t="s">
        <v>3169</v>
      </c>
      <c r="E1049" s="161" t="s">
        <v>1631</v>
      </c>
      <c r="F1049" s="162" t="s">
        <v>1614</v>
      </c>
      <c r="G1049" s="161"/>
      <c r="H1049" s="214">
        <v>50</v>
      </c>
      <c r="I1049" s="171">
        <v>2</v>
      </c>
      <c r="J1049" s="170">
        <v>4</v>
      </c>
      <c r="K1049" s="172">
        <v>100</v>
      </c>
      <c r="L1049" s="170">
        <v>200</v>
      </c>
      <c r="M1049" s="171" t="s">
        <v>3170</v>
      </c>
      <c r="N1049" s="170"/>
      <c r="O1049" s="177" t="s">
        <v>1523</v>
      </c>
      <c r="P1049" s="162" t="s">
        <v>1620</v>
      </c>
      <c r="Q1049" s="176"/>
      <c r="R1049" s="174"/>
      <c r="S1049" s="179"/>
      <c r="T1049" s="162" t="s">
        <v>28</v>
      </c>
      <c r="U1049" s="161" t="s">
        <v>1615</v>
      </c>
      <c r="V1049" s="174">
        <v>1681</v>
      </c>
      <c r="W1049" s="180"/>
      <c r="X1049" s="185">
        <v>45069</v>
      </c>
      <c r="Y1049" s="187">
        <v>45098.667523148149</v>
      </c>
    </row>
    <row r="1050" spans="1:25">
      <c r="A1050" s="167" t="s">
        <v>45</v>
      </c>
      <c r="B1050" s="162" t="s">
        <v>1555</v>
      </c>
      <c r="C1050" s="163" t="s">
        <v>3171</v>
      </c>
      <c r="D1050" s="162" t="s">
        <v>3172</v>
      </c>
      <c r="E1050" s="161" t="s">
        <v>1625</v>
      </c>
      <c r="F1050" s="162" t="s">
        <v>1609</v>
      </c>
      <c r="G1050" s="161" t="s">
        <v>3173</v>
      </c>
      <c r="H1050" s="214">
        <v>75</v>
      </c>
      <c r="I1050" s="171">
        <v>0</v>
      </c>
      <c r="J1050" s="170">
        <v>3.6</v>
      </c>
      <c r="K1050" s="172">
        <v>0</v>
      </c>
      <c r="L1050" s="170">
        <v>270</v>
      </c>
      <c r="M1050" s="171">
        <v>270</v>
      </c>
      <c r="N1050" s="170"/>
      <c r="O1050" s="177" t="s">
        <v>76</v>
      </c>
      <c r="P1050" s="162" t="s">
        <v>1620</v>
      </c>
      <c r="Q1050" s="176"/>
      <c r="R1050" s="174">
        <v>2043</v>
      </c>
      <c r="S1050" s="179"/>
      <c r="T1050" s="162" t="s">
        <v>24</v>
      </c>
      <c r="U1050" s="161" t="s">
        <v>16</v>
      </c>
      <c r="V1050" s="174">
        <v>1270</v>
      </c>
      <c r="W1050" s="180"/>
      <c r="X1050" s="185">
        <v>45069</v>
      </c>
      <c r="Y1050" s="187">
        <v>45020.590428240743</v>
      </c>
    </row>
    <row r="1051" spans="1:25">
      <c r="A1051" s="167" t="s">
        <v>45</v>
      </c>
      <c r="B1051" s="162" t="s">
        <v>1599</v>
      </c>
      <c r="C1051" s="163" t="s">
        <v>3171</v>
      </c>
      <c r="D1051" s="162" t="s">
        <v>3172</v>
      </c>
      <c r="E1051" s="161" t="s">
        <v>1602</v>
      </c>
      <c r="F1051" s="162" t="s">
        <v>1603</v>
      </c>
      <c r="G1051" s="161"/>
      <c r="H1051" s="214">
        <v>1</v>
      </c>
      <c r="I1051" s="171">
        <v>0</v>
      </c>
      <c r="J1051" s="170">
        <v>30</v>
      </c>
      <c r="K1051" s="172">
        <v>0</v>
      </c>
      <c r="L1051" s="170">
        <v>30</v>
      </c>
      <c r="M1051" s="171">
        <v>30</v>
      </c>
      <c r="N1051" s="170">
        <v>38</v>
      </c>
      <c r="O1051" s="177" t="s">
        <v>27</v>
      </c>
      <c r="P1051" s="162" t="s">
        <v>1619</v>
      </c>
      <c r="Q1051" s="176">
        <v>45261</v>
      </c>
      <c r="R1051" s="174">
        <v>2033</v>
      </c>
      <c r="S1051" s="179"/>
      <c r="T1051" s="162" t="s">
        <v>27</v>
      </c>
      <c r="U1051" s="161" t="s">
        <v>19</v>
      </c>
      <c r="V1051" s="174">
        <v>1270</v>
      </c>
      <c r="W1051" s="180"/>
      <c r="X1051" s="185">
        <v>45069</v>
      </c>
      <c r="Y1051" s="187">
        <v>45020.590428240743</v>
      </c>
    </row>
    <row r="1052" spans="1:25">
      <c r="A1052" s="167" t="s">
        <v>110</v>
      </c>
      <c r="B1052" s="162" t="s">
        <v>1555</v>
      </c>
      <c r="C1052" s="163" t="s">
        <v>3174</v>
      </c>
      <c r="D1052" s="162" t="s">
        <v>1604</v>
      </c>
      <c r="E1052" s="161" t="s">
        <v>1613</v>
      </c>
      <c r="F1052" s="164" t="s">
        <v>1614</v>
      </c>
      <c r="G1052" s="161"/>
      <c r="H1052" s="215">
        <v>1</v>
      </c>
      <c r="I1052" s="171"/>
      <c r="J1052" s="173">
        <v>0.3</v>
      </c>
      <c r="K1052" s="172"/>
      <c r="L1052" s="173">
        <v>0.3</v>
      </c>
      <c r="M1052" s="171">
        <v>0.3</v>
      </c>
      <c r="N1052" s="170"/>
      <c r="O1052" s="177" t="s">
        <v>76</v>
      </c>
      <c r="P1052" s="162" t="s">
        <v>1591</v>
      </c>
      <c r="Q1052" s="176"/>
      <c r="R1052" s="175"/>
      <c r="S1052" s="179"/>
      <c r="T1052" s="164" t="s">
        <v>24</v>
      </c>
      <c r="U1052" s="161" t="s">
        <v>1615</v>
      </c>
      <c r="V1052" s="175">
        <v>2119</v>
      </c>
      <c r="W1052" s="181"/>
      <c r="X1052" s="186" t="s">
        <v>259</v>
      </c>
      <c r="Y1052" s="187">
        <v>44831.454606481479</v>
      </c>
    </row>
    <row r="1053" spans="1:25">
      <c r="A1053" s="167" t="s">
        <v>91</v>
      </c>
      <c r="B1053" s="162" t="s">
        <v>1555</v>
      </c>
      <c r="C1053" s="163" t="s">
        <v>3175</v>
      </c>
      <c r="D1053" s="162" t="s">
        <v>699</v>
      </c>
      <c r="E1053" s="161" t="s">
        <v>3176</v>
      </c>
      <c r="F1053" s="164" t="s">
        <v>1658</v>
      </c>
      <c r="G1053" s="161"/>
      <c r="H1053" s="215">
        <v>1</v>
      </c>
      <c r="I1053" s="171">
        <v>1.35</v>
      </c>
      <c r="J1053" s="173">
        <v>1.35</v>
      </c>
      <c r="K1053" s="172">
        <v>1.35</v>
      </c>
      <c r="L1053" s="173">
        <v>1.35</v>
      </c>
      <c r="M1053" s="171">
        <v>1.35</v>
      </c>
      <c r="N1053" s="170"/>
      <c r="O1053" s="177" t="s">
        <v>76</v>
      </c>
      <c r="P1053" s="162" t="s">
        <v>1591</v>
      </c>
      <c r="Q1053" s="176"/>
      <c r="R1053" s="175">
        <v>2053</v>
      </c>
      <c r="S1053" s="179"/>
      <c r="T1053" s="164" t="s">
        <v>24</v>
      </c>
      <c r="U1053" s="161" t="s">
        <v>17</v>
      </c>
      <c r="V1053" s="175">
        <v>1546</v>
      </c>
      <c r="W1053" s="181"/>
      <c r="X1053" s="186">
        <v>44805</v>
      </c>
      <c r="Y1053" s="187">
        <v>45029.575694444444</v>
      </c>
    </row>
    <row r="1054" spans="1:25">
      <c r="A1054" s="167" t="s">
        <v>110</v>
      </c>
      <c r="B1054" s="162" t="s">
        <v>1599</v>
      </c>
      <c r="C1054" s="163" t="s">
        <v>3177</v>
      </c>
      <c r="D1054" s="162" t="s">
        <v>3178</v>
      </c>
      <c r="E1054" s="161" t="s">
        <v>1608</v>
      </c>
      <c r="F1054" s="164" t="s">
        <v>1609</v>
      </c>
      <c r="G1054" s="161"/>
      <c r="H1054" s="215">
        <v>1</v>
      </c>
      <c r="I1054" s="171"/>
      <c r="J1054" s="173">
        <v>1500</v>
      </c>
      <c r="K1054" s="172"/>
      <c r="L1054" s="173">
        <v>1500</v>
      </c>
      <c r="M1054" s="171">
        <v>1500</v>
      </c>
      <c r="N1054" s="170"/>
      <c r="O1054" s="177" t="s">
        <v>1523</v>
      </c>
      <c r="P1054" s="162" t="s">
        <v>1620</v>
      </c>
      <c r="Q1054" s="176"/>
      <c r="R1054" s="175"/>
      <c r="S1054" s="179"/>
      <c r="T1054" s="164" t="s">
        <v>28</v>
      </c>
      <c r="U1054" s="161" t="s">
        <v>16</v>
      </c>
      <c r="V1054" s="175">
        <v>2453</v>
      </c>
      <c r="W1054" s="181"/>
      <c r="X1054" s="186">
        <v>45017</v>
      </c>
      <c r="Y1054" s="187">
        <v>45078.377025462964</v>
      </c>
    </row>
    <row r="1055" spans="1:25">
      <c r="A1055" s="167" t="s">
        <v>91</v>
      </c>
      <c r="B1055" s="162" t="s">
        <v>1555</v>
      </c>
      <c r="C1055" s="163" t="s">
        <v>3179</v>
      </c>
      <c r="D1055" s="162" t="s">
        <v>295</v>
      </c>
      <c r="E1055" s="161" t="s">
        <v>1596</v>
      </c>
      <c r="F1055" s="164" t="s">
        <v>1627</v>
      </c>
      <c r="G1055" s="161"/>
      <c r="H1055" s="215">
        <v>3</v>
      </c>
      <c r="I1055" s="171"/>
      <c r="J1055" s="173">
        <v>1.06</v>
      </c>
      <c r="K1055" s="172"/>
      <c r="L1055" s="173">
        <v>3.18</v>
      </c>
      <c r="M1055" s="171">
        <v>3.18</v>
      </c>
      <c r="N1055" s="170"/>
      <c r="O1055" s="177" t="s">
        <v>76</v>
      </c>
      <c r="P1055" s="162" t="s">
        <v>1591</v>
      </c>
      <c r="Q1055" s="176"/>
      <c r="R1055" s="175">
        <v>2042</v>
      </c>
      <c r="S1055" s="179"/>
      <c r="T1055" s="164" t="s">
        <v>24</v>
      </c>
      <c r="U1055" s="161" t="s">
        <v>18</v>
      </c>
      <c r="V1055" s="175">
        <v>2165</v>
      </c>
      <c r="W1055" s="181"/>
      <c r="X1055" s="186" t="s">
        <v>259</v>
      </c>
      <c r="Y1055" s="187">
        <v>44981.422581018516</v>
      </c>
    </row>
    <row r="1056" spans="1:25">
      <c r="A1056" s="167" t="s">
        <v>91</v>
      </c>
      <c r="B1056" s="162" t="s">
        <v>1555</v>
      </c>
      <c r="C1056" s="163" t="s">
        <v>3179</v>
      </c>
      <c r="D1056" s="162" t="s">
        <v>295</v>
      </c>
      <c r="E1056" s="161" t="s">
        <v>1613</v>
      </c>
      <c r="F1056" s="164" t="s">
        <v>1614</v>
      </c>
      <c r="G1056" s="161"/>
      <c r="H1056" s="215">
        <v>1</v>
      </c>
      <c r="I1056" s="171"/>
      <c r="J1056" s="173">
        <v>0.6</v>
      </c>
      <c r="K1056" s="172"/>
      <c r="L1056" s="173">
        <v>0.6</v>
      </c>
      <c r="M1056" s="171">
        <v>0.6</v>
      </c>
      <c r="N1056" s="170"/>
      <c r="O1056" s="177" t="s">
        <v>76</v>
      </c>
      <c r="P1056" s="162" t="s">
        <v>1591</v>
      </c>
      <c r="Q1056" s="176"/>
      <c r="R1056" s="175">
        <v>2042</v>
      </c>
      <c r="S1056" s="179"/>
      <c r="T1056" s="164" t="s">
        <v>24</v>
      </c>
      <c r="U1056" s="161" t="s">
        <v>1615</v>
      </c>
      <c r="V1056" s="175">
        <v>2165</v>
      </c>
      <c r="W1056" s="181"/>
      <c r="X1056" s="186" t="s">
        <v>259</v>
      </c>
      <c r="Y1056" s="187">
        <v>44981.422581018516</v>
      </c>
    </row>
    <row r="1057" spans="1:25">
      <c r="A1057" s="220" t="s">
        <v>110</v>
      </c>
      <c r="B1057" s="221" t="s">
        <v>1599</v>
      </c>
      <c r="C1057" s="222" t="s">
        <v>3876</v>
      </c>
      <c r="D1057" s="221" t="s">
        <v>3877</v>
      </c>
      <c r="E1057" s="223" t="s">
        <v>1608</v>
      </c>
      <c r="F1057" s="224" t="s">
        <v>16</v>
      </c>
      <c r="G1057" s="223"/>
      <c r="H1057" s="225">
        <v>1</v>
      </c>
      <c r="I1057" s="226"/>
      <c r="J1057" s="227">
        <v>3000</v>
      </c>
      <c r="K1057" s="228"/>
      <c r="L1057" s="227">
        <v>3000</v>
      </c>
      <c r="M1057" s="226">
        <v>3000</v>
      </c>
      <c r="N1057" s="229"/>
      <c r="O1057" s="230" t="s">
        <v>1523</v>
      </c>
      <c r="P1057" s="221" t="s">
        <v>1604</v>
      </c>
      <c r="Q1057" s="231"/>
      <c r="R1057" s="232"/>
      <c r="S1057" s="233"/>
      <c r="T1057" s="224" t="s">
        <v>28</v>
      </c>
      <c r="U1057" s="223" t="s">
        <v>16</v>
      </c>
      <c r="V1057" s="232">
        <v>2545</v>
      </c>
      <c r="W1057" s="234" t="s">
        <v>3937</v>
      </c>
      <c r="X1057" s="235"/>
      <c r="Y1057" s="236">
        <v>45111.481030092589</v>
      </c>
    </row>
    <row r="1058" spans="1:25">
      <c r="A1058" s="167" t="s">
        <v>45</v>
      </c>
      <c r="B1058" s="162" t="s">
        <v>1599</v>
      </c>
      <c r="C1058" s="163" t="s">
        <v>654</v>
      </c>
      <c r="D1058" s="162" t="s">
        <v>3180</v>
      </c>
      <c r="E1058" s="161" t="s">
        <v>1631</v>
      </c>
      <c r="F1058" s="164" t="s">
        <v>1614</v>
      </c>
      <c r="G1058" s="161" t="s">
        <v>3181</v>
      </c>
      <c r="H1058" s="215">
        <v>40</v>
      </c>
      <c r="I1058" s="171">
        <v>0</v>
      </c>
      <c r="J1058" s="173">
        <v>2.25</v>
      </c>
      <c r="K1058" s="172">
        <v>0</v>
      </c>
      <c r="L1058" s="173">
        <v>90</v>
      </c>
      <c r="M1058" s="171">
        <v>90</v>
      </c>
      <c r="N1058" s="170"/>
      <c r="O1058" s="177" t="s">
        <v>26</v>
      </c>
      <c r="P1058" s="162" t="s">
        <v>1620</v>
      </c>
      <c r="Q1058" s="176">
        <v>44927</v>
      </c>
      <c r="R1058" s="175">
        <v>2052</v>
      </c>
      <c r="S1058" s="179"/>
      <c r="T1058" s="164" t="s">
        <v>26</v>
      </c>
      <c r="U1058" s="161" t="s">
        <v>1615</v>
      </c>
      <c r="V1058" s="175">
        <v>1927</v>
      </c>
      <c r="W1058" s="181"/>
      <c r="X1058" s="186">
        <v>45069</v>
      </c>
      <c r="Y1058" s="187">
        <v>45097.495416666665</v>
      </c>
    </row>
    <row r="1059" spans="1:25">
      <c r="A1059" s="167" t="s">
        <v>110</v>
      </c>
      <c r="B1059" s="162" t="s">
        <v>1599</v>
      </c>
      <c r="C1059" s="163" t="s">
        <v>3182</v>
      </c>
      <c r="D1059" s="162" t="s">
        <v>3183</v>
      </c>
      <c r="E1059" s="161" t="s">
        <v>1625</v>
      </c>
      <c r="F1059" s="164" t="s">
        <v>1609</v>
      </c>
      <c r="G1059" s="161"/>
      <c r="H1059" s="215">
        <v>1</v>
      </c>
      <c r="I1059" s="171">
        <v>600</v>
      </c>
      <c r="J1059" s="173">
        <v>600</v>
      </c>
      <c r="K1059" s="172">
        <v>600</v>
      </c>
      <c r="L1059" s="173">
        <v>600</v>
      </c>
      <c r="M1059" s="171">
        <v>600</v>
      </c>
      <c r="N1059" s="170"/>
      <c r="O1059" s="177" t="s">
        <v>1523</v>
      </c>
      <c r="P1059" s="162" t="s">
        <v>1604</v>
      </c>
      <c r="Q1059" s="176"/>
      <c r="R1059" s="175"/>
      <c r="S1059" s="179"/>
      <c r="T1059" s="164" t="s">
        <v>28</v>
      </c>
      <c r="U1059" s="161" t="s">
        <v>16</v>
      </c>
      <c r="V1059" s="175">
        <v>2348</v>
      </c>
      <c r="W1059" s="181" t="s">
        <v>3184</v>
      </c>
      <c r="X1059" s="186">
        <v>45017</v>
      </c>
      <c r="Y1059" s="187">
        <v>44945.295636574076</v>
      </c>
    </row>
    <row r="1060" spans="1:25">
      <c r="A1060" s="167" t="s">
        <v>110</v>
      </c>
      <c r="B1060" s="162" t="s">
        <v>1555</v>
      </c>
      <c r="C1060" s="163" t="s">
        <v>3185</v>
      </c>
      <c r="D1060" s="162" t="s">
        <v>1604</v>
      </c>
      <c r="E1060" s="161" t="s">
        <v>1613</v>
      </c>
      <c r="F1060" s="162" t="s">
        <v>1614</v>
      </c>
      <c r="G1060" s="161"/>
      <c r="H1060" s="214">
        <v>1</v>
      </c>
      <c r="I1060" s="171"/>
      <c r="J1060" s="170">
        <v>0.31</v>
      </c>
      <c r="K1060" s="172"/>
      <c r="L1060" s="170">
        <v>0.31</v>
      </c>
      <c r="M1060" s="171">
        <v>0.31</v>
      </c>
      <c r="N1060" s="170"/>
      <c r="O1060" s="177" t="s">
        <v>76</v>
      </c>
      <c r="P1060" s="162" t="s">
        <v>1591</v>
      </c>
      <c r="Q1060" s="176"/>
      <c r="R1060" s="174"/>
      <c r="S1060" s="179"/>
      <c r="T1060" s="162" t="s">
        <v>24</v>
      </c>
      <c r="U1060" s="161" t="s">
        <v>1615</v>
      </c>
      <c r="V1060" s="174">
        <v>2120</v>
      </c>
      <c r="W1060" s="180"/>
      <c r="X1060" s="185" t="s">
        <v>259</v>
      </c>
      <c r="Y1060" s="187">
        <v>44831.463414351849</v>
      </c>
    </row>
    <row r="1061" spans="1:25">
      <c r="A1061" s="167" t="s">
        <v>110</v>
      </c>
      <c r="B1061" s="162" t="s">
        <v>1555</v>
      </c>
      <c r="C1061" s="163" t="s">
        <v>3186</v>
      </c>
      <c r="D1061" s="162" t="s">
        <v>185</v>
      </c>
      <c r="E1061" s="161" t="s">
        <v>1596</v>
      </c>
      <c r="F1061" s="162" t="s">
        <v>1627</v>
      </c>
      <c r="G1061" s="161"/>
      <c r="H1061" s="214">
        <v>1</v>
      </c>
      <c r="I1061" s="171"/>
      <c r="J1061" s="170">
        <v>0.78</v>
      </c>
      <c r="K1061" s="172"/>
      <c r="L1061" s="170">
        <v>0.78</v>
      </c>
      <c r="M1061" s="171">
        <v>0.78</v>
      </c>
      <c r="N1061" s="170"/>
      <c r="O1061" s="177" t="s">
        <v>76</v>
      </c>
      <c r="P1061" s="162" t="s">
        <v>1591</v>
      </c>
      <c r="Q1061" s="176"/>
      <c r="R1061" s="174">
        <v>2042</v>
      </c>
      <c r="S1061" s="179"/>
      <c r="T1061" s="162" t="s">
        <v>24</v>
      </c>
      <c r="U1061" s="161" t="s">
        <v>18</v>
      </c>
      <c r="V1061" s="174">
        <v>1342</v>
      </c>
      <c r="W1061" s="180"/>
      <c r="X1061" s="185">
        <v>44805</v>
      </c>
      <c r="Y1061" s="187">
        <v>44981.413263888891</v>
      </c>
    </row>
    <row r="1062" spans="1:25">
      <c r="A1062" s="167" t="s">
        <v>110</v>
      </c>
      <c r="B1062" s="162" t="s">
        <v>1555</v>
      </c>
      <c r="C1062" s="163" t="s">
        <v>3187</v>
      </c>
      <c r="D1062" s="162" t="s">
        <v>3188</v>
      </c>
      <c r="E1062" s="161" t="s">
        <v>1596</v>
      </c>
      <c r="F1062" s="164" t="s">
        <v>1836</v>
      </c>
      <c r="G1062" s="161"/>
      <c r="H1062" s="215">
        <v>1</v>
      </c>
      <c r="I1062" s="171">
        <v>1.1000000000000001</v>
      </c>
      <c r="J1062" s="173">
        <v>1.1000000000000001</v>
      </c>
      <c r="K1062" s="172">
        <v>1.1000000000000001</v>
      </c>
      <c r="L1062" s="173">
        <v>1.1000000000000001</v>
      </c>
      <c r="M1062" s="171">
        <v>1.1000000000000001</v>
      </c>
      <c r="N1062" s="170"/>
      <c r="O1062" s="177" t="s">
        <v>76</v>
      </c>
      <c r="P1062" s="162" t="s">
        <v>1591</v>
      </c>
      <c r="Q1062" s="176"/>
      <c r="R1062" s="175">
        <v>2038</v>
      </c>
      <c r="S1062" s="179"/>
      <c r="T1062" s="164" t="s">
        <v>24</v>
      </c>
      <c r="U1062" s="161" t="s">
        <v>18</v>
      </c>
      <c r="V1062" s="175">
        <v>1312</v>
      </c>
      <c r="W1062" s="181"/>
      <c r="X1062" s="186">
        <v>44621</v>
      </c>
      <c r="Y1062" s="187">
        <v>44981.407673611109</v>
      </c>
    </row>
    <row r="1063" spans="1:25">
      <c r="A1063" s="167" t="s">
        <v>45</v>
      </c>
      <c r="B1063" s="162" t="s">
        <v>1555</v>
      </c>
      <c r="C1063" s="163" t="s">
        <v>3189</v>
      </c>
      <c r="D1063" s="162" t="s">
        <v>473</v>
      </c>
      <c r="E1063" s="161" t="s">
        <v>1657</v>
      </c>
      <c r="F1063" s="164" t="s">
        <v>1658</v>
      </c>
      <c r="G1063" s="161" t="s">
        <v>3190</v>
      </c>
      <c r="H1063" s="215">
        <v>2</v>
      </c>
      <c r="I1063" s="171">
        <v>0</v>
      </c>
      <c r="J1063" s="173">
        <v>80</v>
      </c>
      <c r="K1063" s="172">
        <v>0</v>
      </c>
      <c r="L1063" s="173">
        <v>160</v>
      </c>
      <c r="M1063" s="171">
        <v>160</v>
      </c>
      <c r="N1063" s="170">
        <v>4600</v>
      </c>
      <c r="O1063" s="177" t="s">
        <v>76</v>
      </c>
      <c r="P1063" s="162" t="s">
        <v>1619</v>
      </c>
      <c r="Q1063" s="176"/>
      <c r="R1063" s="175">
        <v>9998</v>
      </c>
      <c r="S1063" s="179"/>
      <c r="T1063" s="164" t="s">
        <v>24</v>
      </c>
      <c r="U1063" s="161" t="s">
        <v>17</v>
      </c>
      <c r="V1063" s="175">
        <v>1177</v>
      </c>
      <c r="W1063" s="181"/>
      <c r="X1063" s="186">
        <v>45017</v>
      </c>
      <c r="Y1063" s="187">
        <v>45086.6715625</v>
      </c>
    </row>
    <row r="1064" spans="1:25">
      <c r="A1064" s="167" t="s">
        <v>45</v>
      </c>
      <c r="B1064" s="162" t="s">
        <v>1555</v>
      </c>
      <c r="C1064" s="163" t="s">
        <v>3189</v>
      </c>
      <c r="D1064" s="162" t="s">
        <v>473</v>
      </c>
      <c r="E1064" s="161" t="s">
        <v>1657</v>
      </c>
      <c r="F1064" s="164" t="s">
        <v>1658</v>
      </c>
      <c r="G1064" s="161" t="s">
        <v>3190</v>
      </c>
      <c r="H1064" s="215">
        <v>2</v>
      </c>
      <c r="I1064" s="171">
        <v>0</v>
      </c>
      <c r="J1064" s="173">
        <v>40</v>
      </c>
      <c r="K1064" s="172">
        <v>0</v>
      </c>
      <c r="L1064" s="173">
        <v>80</v>
      </c>
      <c r="M1064" s="171">
        <v>80</v>
      </c>
      <c r="N1064" s="170">
        <v>240</v>
      </c>
      <c r="O1064" s="177" t="s">
        <v>76</v>
      </c>
      <c r="P1064" s="162" t="s">
        <v>1619</v>
      </c>
      <c r="Q1064" s="176"/>
      <c r="R1064" s="175">
        <v>9998</v>
      </c>
      <c r="S1064" s="179"/>
      <c r="T1064" s="164" t="s">
        <v>24</v>
      </c>
      <c r="U1064" s="161" t="s">
        <v>17</v>
      </c>
      <c r="V1064" s="175">
        <v>1177</v>
      </c>
      <c r="W1064" s="181"/>
      <c r="X1064" s="186">
        <v>45017</v>
      </c>
      <c r="Y1064" s="187">
        <v>45086.6715625</v>
      </c>
    </row>
    <row r="1065" spans="1:25">
      <c r="A1065" s="167" t="s">
        <v>45</v>
      </c>
      <c r="B1065" s="162" t="s">
        <v>1599</v>
      </c>
      <c r="C1065" s="163" t="s">
        <v>61</v>
      </c>
      <c r="D1065" s="162" t="s">
        <v>62</v>
      </c>
      <c r="E1065" s="161" t="s">
        <v>1657</v>
      </c>
      <c r="F1065" s="164" t="s">
        <v>1658</v>
      </c>
      <c r="G1065" s="161"/>
      <c r="H1065" s="215">
        <v>1</v>
      </c>
      <c r="I1065" s="171">
        <v>0</v>
      </c>
      <c r="J1065" s="173">
        <v>235</v>
      </c>
      <c r="K1065" s="172">
        <v>0</v>
      </c>
      <c r="L1065" s="173">
        <v>235</v>
      </c>
      <c r="M1065" s="171">
        <v>235</v>
      </c>
      <c r="N1065" s="170">
        <v>2853</v>
      </c>
      <c r="O1065" s="177" t="s">
        <v>1523</v>
      </c>
      <c r="P1065" s="162" t="s">
        <v>1619</v>
      </c>
      <c r="Q1065" s="176"/>
      <c r="R1065" s="175"/>
      <c r="S1065" s="179"/>
      <c r="T1065" s="164" t="s">
        <v>28</v>
      </c>
      <c r="U1065" s="161" t="s">
        <v>17</v>
      </c>
      <c r="V1065" s="175">
        <v>1434</v>
      </c>
      <c r="W1065" s="181" t="s">
        <v>3191</v>
      </c>
      <c r="X1065" s="186">
        <v>45069</v>
      </c>
      <c r="Y1065" s="187">
        <v>45100.500555555554</v>
      </c>
    </row>
    <row r="1066" spans="1:25">
      <c r="A1066" s="167" t="s">
        <v>45</v>
      </c>
      <c r="B1066" s="162" t="s">
        <v>1599</v>
      </c>
      <c r="C1066" s="163" t="s">
        <v>3192</v>
      </c>
      <c r="D1066" s="162" t="s">
        <v>3193</v>
      </c>
      <c r="E1066" s="161" t="s">
        <v>2731</v>
      </c>
      <c r="F1066" s="164" t="s">
        <v>1592</v>
      </c>
      <c r="G1066" s="161"/>
      <c r="H1066" s="215">
        <v>1</v>
      </c>
      <c r="I1066" s="171">
        <v>27</v>
      </c>
      <c r="J1066" s="173">
        <v>27</v>
      </c>
      <c r="K1066" s="172">
        <v>27</v>
      </c>
      <c r="L1066" s="173">
        <v>27</v>
      </c>
      <c r="M1066" s="171">
        <v>27</v>
      </c>
      <c r="N1066" s="170"/>
      <c r="O1066" s="177" t="s">
        <v>1523</v>
      </c>
      <c r="P1066" s="162" t="s">
        <v>1591</v>
      </c>
      <c r="Q1066" s="176">
        <v>45108</v>
      </c>
      <c r="R1066" s="175"/>
      <c r="S1066" s="179"/>
      <c r="T1066" s="164" t="s">
        <v>28</v>
      </c>
      <c r="U1066" s="161" t="s">
        <v>14</v>
      </c>
      <c r="V1066" s="175">
        <v>1951</v>
      </c>
      <c r="W1066" s="181"/>
      <c r="X1066" s="186">
        <v>45017</v>
      </c>
      <c r="Y1066" s="187">
        <v>45028.475497685184</v>
      </c>
    </row>
    <row r="1067" spans="1:25">
      <c r="A1067" s="167" t="s">
        <v>45</v>
      </c>
      <c r="B1067" s="162" t="s">
        <v>1599</v>
      </c>
      <c r="C1067" s="163" t="s">
        <v>3192</v>
      </c>
      <c r="D1067" s="162" t="s">
        <v>3193</v>
      </c>
      <c r="E1067" s="161" t="s">
        <v>2731</v>
      </c>
      <c r="F1067" s="164" t="s">
        <v>1592</v>
      </c>
      <c r="G1067" s="161"/>
      <c r="H1067" s="215">
        <v>1</v>
      </c>
      <c r="I1067" s="171">
        <v>27</v>
      </c>
      <c r="J1067" s="173">
        <v>27</v>
      </c>
      <c r="K1067" s="172">
        <v>27</v>
      </c>
      <c r="L1067" s="173">
        <v>27</v>
      </c>
      <c r="M1067" s="171">
        <v>27</v>
      </c>
      <c r="N1067" s="170"/>
      <c r="O1067" s="177" t="s">
        <v>1523</v>
      </c>
      <c r="P1067" s="162" t="s">
        <v>1591</v>
      </c>
      <c r="Q1067" s="176">
        <v>45108</v>
      </c>
      <c r="R1067" s="175"/>
      <c r="S1067" s="179"/>
      <c r="T1067" s="164" t="s">
        <v>28</v>
      </c>
      <c r="U1067" s="161" t="s">
        <v>14</v>
      </c>
      <c r="V1067" s="175">
        <v>1951</v>
      </c>
      <c r="W1067" s="181"/>
      <c r="X1067" s="186">
        <v>45017</v>
      </c>
      <c r="Y1067" s="187">
        <v>45028.475497685184</v>
      </c>
    </row>
    <row r="1068" spans="1:25">
      <c r="A1068" s="167" t="s">
        <v>45</v>
      </c>
      <c r="B1068" s="162" t="s">
        <v>1599</v>
      </c>
      <c r="C1068" s="163" t="s">
        <v>3194</v>
      </c>
      <c r="D1068" s="162" t="s">
        <v>3195</v>
      </c>
      <c r="E1068" s="161" t="s">
        <v>3196</v>
      </c>
      <c r="F1068" s="162" t="s">
        <v>1603</v>
      </c>
      <c r="G1068" s="161"/>
      <c r="H1068" s="214">
        <v>2</v>
      </c>
      <c r="I1068" s="171">
        <v>100</v>
      </c>
      <c r="J1068" s="170">
        <v>100</v>
      </c>
      <c r="K1068" s="172">
        <v>200</v>
      </c>
      <c r="L1068" s="170">
        <v>200</v>
      </c>
      <c r="M1068" s="171">
        <v>200</v>
      </c>
      <c r="N1068" s="170">
        <v>1600</v>
      </c>
      <c r="O1068" s="177" t="s">
        <v>1523</v>
      </c>
      <c r="P1068" s="162" t="s">
        <v>1619</v>
      </c>
      <c r="Q1068" s="176"/>
      <c r="R1068" s="174">
        <v>2057</v>
      </c>
      <c r="S1068" s="179"/>
      <c r="T1068" s="162" t="s">
        <v>28</v>
      </c>
      <c r="U1068" s="161" t="s">
        <v>19</v>
      </c>
      <c r="V1068" s="174">
        <v>2030</v>
      </c>
      <c r="W1068" s="180" t="s">
        <v>3984</v>
      </c>
      <c r="X1068" s="185">
        <v>45069</v>
      </c>
      <c r="Y1068" s="187">
        <v>45097.592199074075</v>
      </c>
    </row>
    <row r="1069" spans="1:25">
      <c r="A1069" s="167" t="s">
        <v>45</v>
      </c>
      <c r="B1069" s="162" t="s">
        <v>1555</v>
      </c>
      <c r="C1069" s="163" t="s">
        <v>1034</v>
      </c>
      <c r="D1069" s="162" t="s">
        <v>3197</v>
      </c>
      <c r="E1069" s="161" t="s">
        <v>1625</v>
      </c>
      <c r="F1069" s="164" t="s">
        <v>1609</v>
      </c>
      <c r="G1069" s="161" t="s">
        <v>3198</v>
      </c>
      <c r="H1069" s="215">
        <v>58</v>
      </c>
      <c r="I1069" s="171"/>
      <c r="J1069" s="173">
        <v>3.43</v>
      </c>
      <c r="K1069" s="172"/>
      <c r="L1069" s="173">
        <v>198.94</v>
      </c>
      <c r="M1069" s="171">
        <v>198.94</v>
      </c>
      <c r="N1069" s="170"/>
      <c r="O1069" s="177" t="s">
        <v>76</v>
      </c>
      <c r="P1069" s="162" t="s">
        <v>1620</v>
      </c>
      <c r="Q1069" s="176">
        <v>44166</v>
      </c>
      <c r="R1069" s="175">
        <v>2043</v>
      </c>
      <c r="S1069" s="179"/>
      <c r="T1069" s="164" t="s">
        <v>24</v>
      </c>
      <c r="U1069" s="161" t="s">
        <v>16</v>
      </c>
      <c r="V1069" s="175">
        <v>1178</v>
      </c>
      <c r="W1069" s="181"/>
      <c r="X1069" s="186">
        <v>45017</v>
      </c>
      <c r="Y1069" s="187">
        <v>45015.65353009259</v>
      </c>
    </row>
    <row r="1070" spans="1:25">
      <c r="A1070" s="167" t="s">
        <v>77</v>
      </c>
      <c r="B1070" s="162" t="s">
        <v>1555</v>
      </c>
      <c r="C1070" s="163" t="s">
        <v>3199</v>
      </c>
      <c r="D1070" s="162" t="s">
        <v>1604</v>
      </c>
      <c r="E1070" s="161" t="s">
        <v>1613</v>
      </c>
      <c r="F1070" s="164" t="s">
        <v>1614</v>
      </c>
      <c r="G1070" s="161"/>
      <c r="H1070" s="215">
        <v>1</v>
      </c>
      <c r="I1070" s="171"/>
      <c r="J1070" s="173">
        <v>0.15</v>
      </c>
      <c r="K1070" s="172"/>
      <c r="L1070" s="173">
        <v>0.15</v>
      </c>
      <c r="M1070" s="171">
        <v>0.15</v>
      </c>
      <c r="N1070" s="170"/>
      <c r="O1070" s="177" t="s">
        <v>76</v>
      </c>
      <c r="P1070" s="162" t="s">
        <v>1591</v>
      </c>
      <c r="Q1070" s="176"/>
      <c r="R1070" s="175"/>
      <c r="S1070" s="179"/>
      <c r="T1070" s="164" t="s">
        <v>24</v>
      </c>
      <c r="U1070" s="161" t="s">
        <v>1615</v>
      </c>
      <c r="V1070" s="175">
        <v>2121</v>
      </c>
      <c r="W1070" s="181"/>
      <c r="X1070" s="186" t="s">
        <v>259</v>
      </c>
      <c r="Y1070" s="187">
        <v>44831.469814814816</v>
      </c>
    </row>
    <row r="1071" spans="1:25">
      <c r="A1071" s="167" t="s">
        <v>45</v>
      </c>
      <c r="B1071" s="162" t="s">
        <v>1555</v>
      </c>
      <c r="C1071" s="163" t="s">
        <v>800</v>
      </c>
      <c r="D1071" s="162" t="s">
        <v>801</v>
      </c>
      <c r="E1071" s="161" t="s">
        <v>1673</v>
      </c>
      <c r="F1071" s="164" t="s">
        <v>1592</v>
      </c>
      <c r="G1071" s="161" t="s">
        <v>3200</v>
      </c>
      <c r="H1071" s="215">
        <v>2</v>
      </c>
      <c r="I1071" s="171">
        <v>41.74</v>
      </c>
      <c r="J1071" s="173">
        <v>41.74</v>
      </c>
      <c r="K1071" s="172">
        <v>83.48</v>
      </c>
      <c r="L1071" s="173">
        <v>83.48</v>
      </c>
      <c r="M1071" s="171">
        <v>83.48</v>
      </c>
      <c r="N1071" s="170"/>
      <c r="O1071" s="177" t="s">
        <v>76</v>
      </c>
      <c r="P1071" s="162" t="s">
        <v>1619</v>
      </c>
      <c r="Q1071" s="176"/>
      <c r="R1071" s="175">
        <v>2044</v>
      </c>
      <c r="S1071" s="179"/>
      <c r="T1071" s="164" t="s">
        <v>24</v>
      </c>
      <c r="U1071" s="161" t="s">
        <v>13</v>
      </c>
      <c r="V1071" s="175">
        <v>1179</v>
      </c>
      <c r="W1071" s="181"/>
      <c r="X1071" s="186">
        <v>45017</v>
      </c>
      <c r="Y1071" s="187">
        <v>45015.656354166669</v>
      </c>
    </row>
    <row r="1072" spans="1:25">
      <c r="A1072" s="167" t="s">
        <v>45</v>
      </c>
      <c r="B1072" s="162" t="s">
        <v>1555</v>
      </c>
      <c r="C1072" s="163" t="s">
        <v>800</v>
      </c>
      <c r="D1072" s="162" t="s">
        <v>801</v>
      </c>
      <c r="E1072" s="161" t="s">
        <v>1673</v>
      </c>
      <c r="F1072" s="164" t="s">
        <v>1592</v>
      </c>
      <c r="G1072" s="161" t="s">
        <v>3200</v>
      </c>
      <c r="H1072" s="215">
        <v>1</v>
      </c>
      <c r="I1072" s="171">
        <v>39.75</v>
      </c>
      <c r="J1072" s="173">
        <v>39.75</v>
      </c>
      <c r="K1072" s="172">
        <v>39.75</v>
      </c>
      <c r="L1072" s="173">
        <v>39.75</v>
      </c>
      <c r="M1072" s="171">
        <v>39.75</v>
      </c>
      <c r="N1072" s="170"/>
      <c r="O1072" s="177" t="s">
        <v>76</v>
      </c>
      <c r="P1072" s="162" t="s">
        <v>1619</v>
      </c>
      <c r="Q1072" s="176"/>
      <c r="R1072" s="175">
        <v>2044</v>
      </c>
      <c r="S1072" s="179"/>
      <c r="T1072" s="164" t="s">
        <v>24</v>
      </c>
      <c r="U1072" s="161" t="s">
        <v>13</v>
      </c>
      <c r="V1072" s="175">
        <v>1179</v>
      </c>
      <c r="W1072" s="181"/>
      <c r="X1072" s="186">
        <v>45017</v>
      </c>
      <c r="Y1072" s="187">
        <v>45015.656354166669</v>
      </c>
    </row>
    <row r="1073" spans="1:25">
      <c r="A1073" s="167" t="s">
        <v>45</v>
      </c>
      <c r="B1073" s="162" t="s">
        <v>1555</v>
      </c>
      <c r="C1073" s="163" t="s">
        <v>800</v>
      </c>
      <c r="D1073" s="162" t="s">
        <v>801</v>
      </c>
      <c r="E1073" s="161" t="s">
        <v>2072</v>
      </c>
      <c r="F1073" s="164" t="s">
        <v>1592</v>
      </c>
      <c r="G1073" s="161" t="s">
        <v>3201</v>
      </c>
      <c r="H1073" s="215">
        <v>1</v>
      </c>
      <c r="I1073" s="171">
        <v>61.77</v>
      </c>
      <c r="J1073" s="173">
        <v>61.77</v>
      </c>
      <c r="K1073" s="172">
        <v>61.77</v>
      </c>
      <c r="L1073" s="173">
        <v>61.77</v>
      </c>
      <c r="M1073" s="171">
        <v>61.77</v>
      </c>
      <c r="N1073" s="170"/>
      <c r="O1073" s="177" t="s">
        <v>76</v>
      </c>
      <c r="P1073" s="162" t="s">
        <v>1619</v>
      </c>
      <c r="Q1073" s="176"/>
      <c r="R1073" s="175">
        <v>2044</v>
      </c>
      <c r="S1073" s="179"/>
      <c r="T1073" s="164" t="s">
        <v>24</v>
      </c>
      <c r="U1073" s="161" t="s">
        <v>12</v>
      </c>
      <c r="V1073" s="175">
        <v>1179</v>
      </c>
      <c r="W1073" s="181"/>
      <c r="X1073" s="186">
        <v>45017</v>
      </c>
      <c r="Y1073" s="187">
        <v>45015.656354166669</v>
      </c>
    </row>
    <row r="1074" spans="1:25">
      <c r="A1074" s="167" t="s">
        <v>77</v>
      </c>
      <c r="B1074" s="162" t="s">
        <v>1599</v>
      </c>
      <c r="C1074" s="163" t="s">
        <v>3202</v>
      </c>
      <c r="D1074" s="162" t="s">
        <v>326</v>
      </c>
      <c r="E1074" s="161" t="s">
        <v>1631</v>
      </c>
      <c r="F1074" s="164" t="s">
        <v>1614</v>
      </c>
      <c r="G1074" s="161"/>
      <c r="H1074" s="215">
        <v>1</v>
      </c>
      <c r="I1074" s="171"/>
      <c r="J1074" s="173">
        <v>700</v>
      </c>
      <c r="K1074" s="172"/>
      <c r="L1074" s="173">
        <v>700</v>
      </c>
      <c r="M1074" s="171">
        <v>700</v>
      </c>
      <c r="N1074" s="170"/>
      <c r="O1074" s="177" t="s">
        <v>1523</v>
      </c>
      <c r="P1074" s="162" t="s">
        <v>1620</v>
      </c>
      <c r="Q1074" s="176"/>
      <c r="R1074" s="175"/>
      <c r="S1074" s="179"/>
      <c r="T1074" s="164" t="s">
        <v>28</v>
      </c>
      <c r="U1074" s="161" t="s">
        <v>1615</v>
      </c>
      <c r="V1074" s="175">
        <v>1708</v>
      </c>
      <c r="W1074" s="181" t="s">
        <v>3203</v>
      </c>
      <c r="X1074" s="186">
        <v>45069</v>
      </c>
      <c r="Y1074" s="187">
        <v>45035.421527777777</v>
      </c>
    </row>
    <row r="1075" spans="1:25">
      <c r="A1075" s="167" t="s">
        <v>91</v>
      </c>
      <c r="B1075" s="162" t="s">
        <v>1555</v>
      </c>
      <c r="C1075" s="163" t="s">
        <v>297</v>
      </c>
      <c r="D1075" s="162" t="s">
        <v>298</v>
      </c>
      <c r="E1075" s="161" t="s">
        <v>1673</v>
      </c>
      <c r="F1075" s="164" t="s">
        <v>1635</v>
      </c>
      <c r="G1075" s="161" t="s">
        <v>299</v>
      </c>
      <c r="H1075" s="215">
        <v>5</v>
      </c>
      <c r="I1075" s="171"/>
      <c r="J1075" s="173">
        <v>30.8</v>
      </c>
      <c r="K1075" s="172"/>
      <c r="L1075" s="173">
        <v>154</v>
      </c>
      <c r="M1075" s="171">
        <v>154</v>
      </c>
      <c r="N1075" s="170"/>
      <c r="O1075" s="177" t="s">
        <v>76</v>
      </c>
      <c r="P1075" s="162" t="s">
        <v>1619</v>
      </c>
      <c r="Q1075" s="176">
        <v>44713</v>
      </c>
      <c r="R1075" s="175">
        <v>2046</v>
      </c>
      <c r="S1075" s="179"/>
      <c r="T1075" s="164" t="s">
        <v>24</v>
      </c>
      <c r="U1075" s="161" t="s">
        <v>13</v>
      </c>
      <c r="V1075" s="175">
        <v>1532</v>
      </c>
      <c r="W1075" s="181"/>
      <c r="X1075" s="186">
        <v>45017</v>
      </c>
      <c r="Y1075" s="187">
        <v>45021.485462962963</v>
      </c>
    </row>
    <row r="1076" spans="1:25">
      <c r="A1076" s="167" t="s">
        <v>91</v>
      </c>
      <c r="B1076" s="162" t="s">
        <v>1599</v>
      </c>
      <c r="C1076" s="163" t="s">
        <v>3204</v>
      </c>
      <c r="D1076" s="162" t="s">
        <v>301</v>
      </c>
      <c r="E1076" s="161" t="s">
        <v>1613</v>
      </c>
      <c r="F1076" s="164" t="s">
        <v>1614</v>
      </c>
      <c r="G1076" s="161"/>
      <c r="H1076" s="215">
        <v>11</v>
      </c>
      <c r="I1076" s="171">
        <v>4</v>
      </c>
      <c r="J1076" s="173">
        <v>4</v>
      </c>
      <c r="K1076" s="172">
        <v>44</v>
      </c>
      <c r="L1076" s="173">
        <v>44</v>
      </c>
      <c r="M1076" s="171">
        <v>44</v>
      </c>
      <c r="N1076" s="170">
        <v>0</v>
      </c>
      <c r="O1076" s="177" t="s">
        <v>1523</v>
      </c>
      <c r="P1076" s="162" t="s">
        <v>1620</v>
      </c>
      <c r="Q1076" s="176"/>
      <c r="R1076" s="175"/>
      <c r="S1076" s="179"/>
      <c r="T1076" s="164" t="s">
        <v>28</v>
      </c>
      <c r="U1076" s="161" t="s">
        <v>1615</v>
      </c>
      <c r="V1076" s="175">
        <v>1486</v>
      </c>
      <c r="W1076" s="181"/>
      <c r="X1076" s="186">
        <v>45017</v>
      </c>
      <c r="Y1076" s="187">
        <v>44679.622812499998</v>
      </c>
    </row>
    <row r="1077" spans="1:25">
      <c r="A1077" s="167" t="s">
        <v>91</v>
      </c>
      <c r="B1077" s="162" t="s">
        <v>1599</v>
      </c>
      <c r="C1077" s="163" t="s">
        <v>3205</v>
      </c>
      <c r="D1077" s="162" t="s">
        <v>301</v>
      </c>
      <c r="E1077" s="161" t="s">
        <v>1602</v>
      </c>
      <c r="F1077" s="164" t="s">
        <v>1603</v>
      </c>
      <c r="G1077" s="161"/>
      <c r="H1077" s="215">
        <v>1</v>
      </c>
      <c r="I1077" s="171">
        <v>0</v>
      </c>
      <c r="J1077" s="173">
        <v>20</v>
      </c>
      <c r="K1077" s="172">
        <v>0</v>
      </c>
      <c r="L1077" s="173">
        <v>20</v>
      </c>
      <c r="M1077" s="171">
        <v>20</v>
      </c>
      <c r="N1077" s="170">
        <v>40</v>
      </c>
      <c r="O1077" s="177" t="s">
        <v>1523</v>
      </c>
      <c r="P1077" s="162" t="s">
        <v>1619</v>
      </c>
      <c r="Q1077" s="176"/>
      <c r="R1077" s="175"/>
      <c r="S1077" s="179"/>
      <c r="T1077" s="164" t="s">
        <v>28</v>
      </c>
      <c r="U1077" s="161" t="s">
        <v>19</v>
      </c>
      <c r="V1077" s="175">
        <v>1600</v>
      </c>
      <c r="W1077" s="181"/>
      <c r="X1077" s="186">
        <v>45017</v>
      </c>
      <c r="Y1077" s="187">
        <v>44981.415648148148</v>
      </c>
    </row>
    <row r="1078" spans="1:25">
      <c r="A1078" s="167" t="s">
        <v>91</v>
      </c>
      <c r="B1078" s="162" t="s">
        <v>1555</v>
      </c>
      <c r="C1078" s="163" t="s">
        <v>3206</v>
      </c>
      <c r="D1078" s="162" t="s">
        <v>3207</v>
      </c>
      <c r="E1078" s="161" t="s">
        <v>1625</v>
      </c>
      <c r="F1078" s="164" t="s">
        <v>1609</v>
      </c>
      <c r="G1078" s="161" t="s">
        <v>3208</v>
      </c>
      <c r="H1078" s="215">
        <v>48</v>
      </c>
      <c r="I1078" s="171"/>
      <c r="J1078" s="173">
        <v>3</v>
      </c>
      <c r="K1078" s="172"/>
      <c r="L1078" s="173">
        <v>144</v>
      </c>
      <c r="M1078" s="171">
        <v>144</v>
      </c>
      <c r="N1078" s="170"/>
      <c r="O1078" s="177" t="s">
        <v>76</v>
      </c>
      <c r="P1078" s="162" t="s">
        <v>1620</v>
      </c>
      <c r="Q1078" s="176"/>
      <c r="R1078" s="175">
        <v>2039</v>
      </c>
      <c r="S1078" s="179"/>
      <c r="T1078" s="164" t="s">
        <v>24</v>
      </c>
      <c r="U1078" s="161" t="s">
        <v>16</v>
      </c>
      <c r="V1078" s="175">
        <v>1181</v>
      </c>
      <c r="W1078" s="181"/>
      <c r="X1078" s="186">
        <v>45069</v>
      </c>
      <c r="Y1078" s="187">
        <v>45097.351689814815</v>
      </c>
    </row>
    <row r="1079" spans="1:25">
      <c r="A1079" s="167" t="s">
        <v>91</v>
      </c>
      <c r="B1079" s="162" t="s">
        <v>1555</v>
      </c>
      <c r="C1079" s="163" t="s">
        <v>3206</v>
      </c>
      <c r="D1079" s="162" t="s">
        <v>3207</v>
      </c>
      <c r="E1079" s="161" t="s">
        <v>1625</v>
      </c>
      <c r="F1079" s="164" t="s">
        <v>1609</v>
      </c>
      <c r="G1079" s="161" t="s">
        <v>3209</v>
      </c>
      <c r="H1079" s="215">
        <v>42</v>
      </c>
      <c r="I1079" s="171"/>
      <c r="J1079" s="173">
        <v>3</v>
      </c>
      <c r="K1079" s="172"/>
      <c r="L1079" s="173">
        <v>126</v>
      </c>
      <c r="M1079" s="171">
        <v>126</v>
      </c>
      <c r="N1079" s="170"/>
      <c r="O1079" s="177" t="s">
        <v>76</v>
      </c>
      <c r="P1079" s="162" t="s">
        <v>1620</v>
      </c>
      <c r="Q1079" s="176"/>
      <c r="R1079" s="175">
        <v>2039</v>
      </c>
      <c r="S1079" s="179"/>
      <c r="T1079" s="164" t="s">
        <v>24</v>
      </c>
      <c r="U1079" s="161" t="s">
        <v>16</v>
      </c>
      <c r="V1079" s="175">
        <v>1181</v>
      </c>
      <c r="W1079" s="181"/>
      <c r="X1079" s="186">
        <v>45069</v>
      </c>
      <c r="Y1079" s="187">
        <v>45097.351689814815</v>
      </c>
    </row>
    <row r="1080" spans="1:25">
      <c r="A1080" s="167" t="s">
        <v>91</v>
      </c>
      <c r="B1080" s="162" t="s">
        <v>1555</v>
      </c>
      <c r="C1080" s="163" t="s">
        <v>3210</v>
      </c>
      <c r="D1080" s="162" t="s">
        <v>3211</v>
      </c>
      <c r="E1080" s="161" t="s">
        <v>1625</v>
      </c>
      <c r="F1080" s="164" t="s">
        <v>1609</v>
      </c>
      <c r="G1080" s="161" t="s">
        <v>3212</v>
      </c>
      <c r="H1080" s="215">
        <v>47</v>
      </c>
      <c r="I1080" s="171"/>
      <c r="J1080" s="173">
        <v>2.1</v>
      </c>
      <c r="K1080" s="172"/>
      <c r="L1080" s="173">
        <v>98.7</v>
      </c>
      <c r="M1080" s="171">
        <v>98.7</v>
      </c>
      <c r="N1080" s="170"/>
      <c r="O1080" s="177" t="s">
        <v>76</v>
      </c>
      <c r="P1080" s="162" t="s">
        <v>1620</v>
      </c>
      <c r="Q1080" s="176"/>
      <c r="R1080" s="175">
        <v>2033</v>
      </c>
      <c r="S1080" s="179"/>
      <c r="T1080" s="164" t="s">
        <v>24</v>
      </c>
      <c r="U1080" s="161" t="s">
        <v>16</v>
      </c>
      <c r="V1080" s="175">
        <v>1180</v>
      </c>
      <c r="W1080" s="181"/>
      <c r="X1080" s="186">
        <v>45017</v>
      </c>
      <c r="Y1080" s="187">
        <v>45077.544293981482</v>
      </c>
    </row>
    <row r="1081" spans="1:25">
      <c r="A1081" s="167" t="s">
        <v>45</v>
      </c>
      <c r="B1081" s="162" t="s">
        <v>1599</v>
      </c>
      <c r="C1081" s="163" t="s">
        <v>3213</v>
      </c>
      <c r="D1081" s="162" t="s">
        <v>805</v>
      </c>
      <c r="E1081" s="161" t="s">
        <v>1657</v>
      </c>
      <c r="F1081" s="164" t="s">
        <v>1658</v>
      </c>
      <c r="G1081" s="161"/>
      <c r="H1081" s="215">
        <v>6</v>
      </c>
      <c r="I1081" s="171"/>
      <c r="J1081" s="173">
        <v>340</v>
      </c>
      <c r="K1081" s="172"/>
      <c r="L1081" s="173">
        <v>2040</v>
      </c>
      <c r="M1081" s="171">
        <v>2040</v>
      </c>
      <c r="N1081" s="170">
        <v>58330</v>
      </c>
      <c r="O1081" s="177" t="s">
        <v>2606</v>
      </c>
      <c r="P1081" s="162" t="s">
        <v>1619</v>
      </c>
      <c r="Q1081" s="176">
        <v>47453</v>
      </c>
      <c r="R1081" s="175">
        <v>2129</v>
      </c>
      <c r="S1081" s="179"/>
      <c r="T1081" s="164" t="s">
        <v>26</v>
      </c>
      <c r="U1081" s="161" t="s">
        <v>17</v>
      </c>
      <c r="V1081" s="175">
        <v>1752</v>
      </c>
      <c r="W1081" s="181"/>
      <c r="X1081" s="186">
        <v>45069</v>
      </c>
      <c r="Y1081" s="187">
        <v>45098.476747685185</v>
      </c>
    </row>
    <row r="1082" spans="1:25">
      <c r="A1082" s="167" t="s">
        <v>91</v>
      </c>
      <c r="B1082" s="162" t="s">
        <v>1555</v>
      </c>
      <c r="C1082" s="163" t="s">
        <v>3214</v>
      </c>
      <c r="D1082" s="162" t="s">
        <v>2167</v>
      </c>
      <c r="E1082" s="161" t="s">
        <v>1673</v>
      </c>
      <c r="F1082" s="164" t="s">
        <v>1635</v>
      </c>
      <c r="G1082" s="161" t="s">
        <v>3215</v>
      </c>
      <c r="H1082" s="215">
        <v>3</v>
      </c>
      <c r="I1082" s="171"/>
      <c r="J1082" s="173">
        <v>21</v>
      </c>
      <c r="K1082" s="172"/>
      <c r="L1082" s="173">
        <v>63</v>
      </c>
      <c r="M1082" s="171">
        <v>63</v>
      </c>
      <c r="N1082" s="170"/>
      <c r="O1082" s="177" t="s">
        <v>76</v>
      </c>
      <c r="P1082" s="162" t="s">
        <v>1619</v>
      </c>
      <c r="Q1082" s="176"/>
      <c r="R1082" s="175">
        <v>2030</v>
      </c>
      <c r="S1082" s="179"/>
      <c r="T1082" s="164" t="s">
        <v>24</v>
      </c>
      <c r="U1082" s="161" t="s">
        <v>13</v>
      </c>
      <c r="V1082" s="175">
        <v>1182</v>
      </c>
      <c r="W1082" s="181"/>
      <c r="X1082" s="186">
        <v>45017</v>
      </c>
      <c r="Y1082" s="187">
        <v>45020.498229166667</v>
      </c>
    </row>
    <row r="1083" spans="1:25">
      <c r="A1083" s="167" t="s">
        <v>91</v>
      </c>
      <c r="B1083" s="162" t="s">
        <v>1555</v>
      </c>
      <c r="C1083" s="163" t="s">
        <v>3214</v>
      </c>
      <c r="D1083" s="162" t="s">
        <v>2167</v>
      </c>
      <c r="E1083" s="161" t="s">
        <v>1673</v>
      </c>
      <c r="F1083" s="164" t="s">
        <v>1635</v>
      </c>
      <c r="G1083" s="161" t="s">
        <v>3216</v>
      </c>
      <c r="H1083" s="215">
        <v>1</v>
      </c>
      <c r="I1083" s="171"/>
      <c r="J1083" s="173">
        <v>21</v>
      </c>
      <c r="K1083" s="172"/>
      <c r="L1083" s="173">
        <v>21</v>
      </c>
      <c r="M1083" s="171">
        <v>21</v>
      </c>
      <c r="N1083" s="170"/>
      <c r="O1083" s="177" t="s">
        <v>76</v>
      </c>
      <c r="P1083" s="162" t="s">
        <v>1591</v>
      </c>
      <c r="Q1083" s="176"/>
      <c r="R1083" s="175">
        <v>2030</v>
      </c>
      <c r="S1083" s="179"/>
      <c r="T1083" s="164" t="s">
        <v>24</v>
      </c>
      <c r="U1083" s="161" t="s">
        <v>13</v>
      </c>
      <c r="V1083" s="175">
        <v>1182</v>
      </c>
      <c r="W1083" s="181"/>
      <c r="X1083" s="186">
        <v>45017</v>
      </c>
      <c r="Y1083" s="187">
        <v>45020.498229166667</v>
      </c>
    </row>
    <row r="1084" spans="1:25">
      <c r="A1084" s="220" t="s">
        <v>91</v>
      </c>
      <c r="B1084" s="221" t="s">
        <v>1599</v>
      </c>
      <c r="C1084" s="222" t="s">
        <v>3884</v>
      </c>
      <c r="D1084" s="221" t="s">
        <v>3885</v>
      </c>
      <c r="E1084" s="223" t="s">
        <v>1613</v>
      </c>
      <c r="F1084" s="224" t="s">
        <v>1615</v>
      </c>
      <c r="G1084" s="223"/>
      <c r="H1084" s="225">
        <v>1</v>
      </c>
      <c r="I1084" s="226"/>
      <c r="J1084" s="227">
        <v>256</v>
      </c>
      <c r="K1084" s="228"/>
      <c r="L1084" s="227">
        <v>256</v>
      </c>
      <c r="M1084" s="226">
        <v>256</v>
      </c>
      <c r="N1084" s="229"/>
      <c r="O1084" s="230" t="s">
        <v>1523</v>
      </c>
      <c r="P1084" s="221" t="s">
        <v>1604</v>
      </c>
      <c r="Q1084" s="231"/>
      <c r="R1084" s="232"/>
      <c r="S1084" s="233"/>
      <c r="T1084" s="224" t="s">
        <v>28</v>
      </c>
      <c r="U1084" s="223" t="s">
        <v>1615</v>
      </c>
      <c r="V1084" s="232">
        <v>2550</v>
      </c>
      <c r="W1084" s="234" t="s">
        <v>3941</v>
      </c>
      <c r="X1084" s="235"/>
      <c r="Y1084" s="236">
        <v>45111.517500000002</v>
      </c>
    </row>
    <row r="1085" spans="1:25">
      <c r="A1085" s="167" t="s">
        <v>77</v>
      </c>
      <c r="B1085" s="162" t="s">
        <v>1555</v>
      </c>
      <c r="C1085" s="163" t="s">
        <v>3217</v>
      </c>
      <c r="D1085" s="162" t="s">
        <v>2622</v>
      </c>
      <c r="E1085" s="161" t="s">
        <v>1613</v>
      </c>
      <c r="F1085" s="164" t="s">
        <v>1614</v>
      </c>
      <c r="G1085" s="161"/>
      <c r="H1085" s="215">
        <v>1</v>
      </c>
      <c r="I1085" s="171"/>
      <c r="J1085" s="173">
        <v>3.2</v>
      </c>
      <c r="K1085" s="172"/>
      <c r="L1085" s="173">
        <v>3.2</v>
      </c>
      <c r="M1085" s="171">
        <v>3.2</v>
      </c>
      <c r="N1085" s="170"/>
      <c r="O1085" s="177" t="s">
        <v>76</v>
      </c>
      <c r="P1085" s="162" t="s">
        <v>1591</v>
      </c>
      <c r="Q1085" s="176"/>
      <c r="R1085" s="175"/>
      <c r="S1085" s="179"/>
      <c r="T1085" s="164" t="s">
        <v>24</v>
      </c>
      <c r="U1085" s="161" t="s">
        <v>1615</v>
      </c>
      <c r="V1085" s="175">
        <v>2122</v>
      </c>
      <c r="W1085" s="181"/>
      <c r="X1085" s="186" t="s">
        <v>259</v>
      </c>
      <c r="Y1085" s="187">
        <v>44831.479988425926</v>
      </c>
    </row>
    <row r="1086" spans="1:25">
      <c r="A1086" s="167" t="s">
        <v>110</v>
      </c>
      <c r="B1086" s="162" t="s">
        <v>1555</v>
      </c>
      <c r="C1086" s="163" t="s">
        <v>890</v>
      </c>
      <c r="D1086" s="162" t="s">
        <v>891</v>
      </c>
      <c r="E1086" s="161" t="s">
        <v>1673</v>
      </c>
      <c r="F1086" s="164" t="s">
        <v>1592</v>
      </c>
      <c r="G1086" s="161" t="s">
        <v>3218</v>
      </c>
      <c r="H1086" s="215">
        <v>4</v>
      </c>
      <c r="I1086" s="171">
        <v>0</v>
      </c>
      <c r="J1086" s="173">
        <v>42.5</v>
      </c>
      <c r="K1086" s="172">
        <v>0</v>
      </c>
      <c r="L1086" s="173">
        <v>170</v>
      </c>
      <c r="M1086" s="171">
        <v>170</v>
      </c>
      <c r="N1086" s="170"/>
      <c r="O1086" s="177" t="s">
        <v>76</v>
      </c>
      <c r="P1086" s="162" t="s">
        <v>1619</v>
      </c>
      <c r="Q1086" s="176"/>
      <c r="R1086" s="175">
        <v>2033</v>
      </c>
      <c r="S1086" s="179"/>
      <c r="T1086" s="164" t="s">
        <v>24</v>
      </c>
      <c r="U1086" s="161" t="s">
        <v>13</v>
      </c>
      <c r="V1086" s="175">
        <v>1183</v>
      </c>
      <c r="W1086" s="181"/>
      <c r="X1086" s="186">
        <v>45017</v>
      </c>
      <c r="Y1086" s="187">
        <v>45016.396539351852</v>
      </c>
    </row>
    <row r="1087" spans="1:25">
      <c r="A1087" s="167" t="s">
        <v>91</v>
      </c>
      <c r="B1087" s="162" t="s">
        <v>1599</v>
      </c>
      <c r="C1087" s="163" t="s">
        <v>3219</v>
      </c>
      <c r="D1087" s="162" t="s">
        <v>3220</v>
      </c>
      <c r="E1087" s="161" t="s">
        <v>1602</v>
      </c>
      <c r="F1087" s="164" t="s">
        <v>1603</v>
      </c>
      <c r="G1087" s="161"/>
      <c r="H1087" s="215">
        <v>1</v>
      </c>
      <c r="I1087" s="171">
        <v>200</v>
      </c>
      <c r="J1087" s="173">
        <v>200</v>
      </c>
      <c r="K1087" s="172">
        <v>200</v>
      </c>
      <c r="L1087" s="173">
        <v>200</v>
      </c>
      <c r="M1087" s="171">
        <v>200</v>
      </c>
      <c r="N1087" s="170">
        <v>400</v>
      </c>
      <c r="O1087" s="177" t="s">
        <v>1523</v>
      </c>
      <c r="P1087" s="162" t="s">
        <v>1619</v>
      </c>
      <c r="Q1087" s="176"/>
      <c r="R1087" s="175"/>
      <c r="S1087" s="179"/>
      <c r="T1087" s="164" t="s">
        <v>28</v>
      </c>
      <c r="U1087" s="161" t="s">
        <v>19</v>
      </c>
      <c r="V1087" s="175">
        <v>2387</v>
      </c>
      <c r="W1087" s="181" t="s">
        <v>3221</v>
      </c>
      <c r="X1087" s="186">
        <v>45017</v>
      </c>
      <c r="Y1087" s="187">
        <v>45027.643159722225</v>
      </c>
    </row>
    <row r="1088" spans="1:25">
      <c r="A1088" s="167" t="s">
        <v>77</v>
      </c>
      <c r="B1088" s="162" t="s">
        <v>1555</v>
      </c>
      <c r="C1088" s="163" t="s">
        <v>762</v>
      </c>
      <c r="D1088" s="162" t="s">
        <v>763</v>
      </c>
      <c r="E1088" s="161" t="s">
        <v>1739</v>
      </c>
      <c r="F1088" s="164" t="s">
        <v>1986</v>
      </c>
      <c r="G1088" s="161"/>
      <c r="H1088" s="215">
        <v>1</v>
      </c>
      <c r="I1088" s="171"/>
      <c r="J1088" s="173">
        <v>9.5</v>
      </c>
      <c r="K1088" s="172"/>
      <c r="L1088" s="173">
        <v>9.5</v>
      </c>
      <c r="M1088" s="171">
        <v>9.5</v>
      </c>
      <c r="N1088" s="170"/>
      <c r="O1088" s="177" t="s">
        <v>76</v>
      </c>
      <c r="P1088" s="162" t="s">
        <v>1591</v>
      </c>
      <c r="Q1088" s="176"/>
      <c r="R1088" s="175">
        <v>2040</v>
      </c>
      <c r="S1088" s="179"/>
      <c r="T1088" s="164" t="s">
        <v>24</v>
      </c>
      <c r="U1088" s="161" t="s">
        <v>18</v>
      </c>
      <c r="V1088" s="175">
        <v>1307</v>
      </c>
      <c r="W1088" s="181"/>
      <c r="X1088" s="186">
        <v>44805</v>
      </c>
      <c r="Y1088" s="187">
        <v>45022.407546296294</v>
      </c>
    </row>
    <row r="1089" spans="1:25">
      <c r="A1089" s="167" t="s">
        <v>77</v>
      </c>
      <c r="B1089" s="162" t="s">
        <v>1555</v>
      </c>
      <c r="C1089" s="163" t="s">
        <v>762</v>
      </c>
      <c r="D1089" s="162" t="s">
        <v>763</v>
      </c>
      <c r="E1089" s="161" t="s">
        <v>1739</v>
      </c>
      <c r="F1089" s="164" t="s">
        <v>1986</v>
      </c>
      <c r="G1089" s="161"/>
      <c r="H1089" s="215">
        <v>1</v>
      </c>
      <c r="I1089" s="171"/>
      <c r="J1089" s="173">
        <v>7.8</v>
      </c>
      <c r="K1089" s="172"/>
      <c r="L1089" s="173">
        <v>7.8</v>
      </c>
      <c r="M1089" s="171">
        <v>7.8</v>
      </c>
      <c r="N1089" s="170"/>
      <c r="O1089" s="177" t="s">
        <v>76</v>
      </c>
      <c r="P1089" s="162" t="s">
        <v>1591</v>
      </c>
      <c r="Q1089" s="176"/>
      <c r="R1089" s="175"/>
      <c r="S1089" s="179"/>
      <c r="T1089" s="164" t="s">
        <v>24</v>
      </c>
      <c r="U1089" s="161" t="s">
        <v>18</v>
      </c>
      <c r="V1089" s="175">
        <v>1307</v>
      </c>
      <c r="W1089" s="181"/>
      <c r="X1089" s="186">
        <v>44805</v>
      </c>
      <c r="Y1089" s="187">
        <v>45022.407546296294</v>
      </c>
    </row>
    <row r="1090" spans="1:25">
      <c r="A1090" s="167" t="s">
        <v>77</v>
      </c>
      <c r="B1090" s="162" t="s">
        <v>1555</v>
      </c>
      <c r="C1090" s="163" t="s">
        <v>762</v>
      </c>
      <c r="D1090" s="162" t="s">
        <v>763</v>
      </c>
      <c r="E1090" s="161" t="s">
        <v>1739</v>
      </c>
      <c r="F1090" s="164" t="s">
        <v>1986</v>
      </c>
      <c r="G1090" s="161"/>
      <c r="H1090" s="215">
        <v>1</v>
      </c>
      <c r="I1090" s="171"/>
      <c r="J1090" s="173">
        <v>2</v>
      </c>
      <c r="K1090" s="172"/>
      <c r="L1090" s="173">
        <v>2</v>
      </c>
      <c r="M1090" s="171">
        <v>2</v>
      </c>
      <c r="N1090" s="170"/>
      <c r="O1090" s="177" t="s">
        <v>76</v>
      </c>
      <c r="P1090" s="162" t="s">
        <v>1591</v>
      </c>
      <c r="Q1090" s="176"/>
      <c r="R1090" s="175"/>
      <c r="S1090" s="179"/>
      <c r="T1090" s="164" t="s">
        <v>24</v>
      </c>
      <c r="U1090" s="161" t="s">
        <v>18</v>
      </c>
      <c r="V1090" s="175">
        <v>1307</v>
      </c>
      <c r="W1090" s="181"/>
      <c r="X1090" s="186">
        <v>44805</v>
      </c>
      <c r="Y1090" s="187">
        <v>45022.407546296294</v>
      </c>
    </row>
    <row r="1091" spans="1:25">
      <c r="A1091" s="167" t="s">
        <v>77</v>
      </c>
      <c r="B1091" s="162" t="s">
        <v>1599</v>
      </c>
      <c r="C1091" s="163" t="s">
        <v>3222</v>
      </c>
      <c r="D1091" s="162" t="s">
        <v>763</v>
      </c>
      <c r="E1091" s="161" t="s">
        <v>1739</v>
      </c>
      <c r="F1091" s="162" t="s">
        <v>1986</v>
      </c>
      <c r="G1091" s="161"/>
      <c r="H1091" s="214">
        <v>1</v>
      </c>
      <c r="I1091" s="171"/>
      <c r="J1091" s="170">
        <v>32</v>
      </c>
      <c r="K1091" s="172"/>
      <c r="L1091" s="170">
        <v>32</v>
      </c>
      <c r="M1091" s="171">
        <v>32</v>
      </c>
      <c r="N1091" s="170"/>
      <c r="O1091" s="177" t="s">
        <v>1523</v>
      </c>
      <c r="P1091" s="162" t="s">
        <v>1591</v>
      </c>
      <c r="Q1091" s="176"/>
      <c r="R1091" s="174"/>
      <c r="S1091" s="179"/>
      <c r="T1091" s="162" t="s">
        <v>28</v>
      </c>
      <c r="U1091" s="161" t="s">
        <v>18</v>
      </c>
      <c r="V1091" s="174">
        <v>2045</v>
      </c>
      <c r="W1091" s="180"/>
      <c r="X1091" s="185">
        <v>45017</v>
      </c>
      <c r="Y1091" s="187">
        <v>45027.69158564815</v>
      </c>
    </row>
    <row r="1092" spans="1:25">
      <c r="A1092" s="167" t="s">
        <v>45</v>
      </c>
      <c r="B1092" s="162" t="s">
        <v>1555</v>
      </c>
      <c r="C1092" s="163" t="s">
        <v>3223</v>
      </c>
      <c r="D1092" s="162" t="s">
        <v>2908</v>
      </c>
      <c r="E1092" s="161" t="s">
        <v>1631</v>
      </c>
      <c r="F1092" s="164" t="s">
        <v>1614</v>
      </c>
      <c r="G1092" s="161" t="s">
        <v>3224</v>
      </c>
      <c r="H1092" s="215">
        <v>1</v>
      </c>
      <c r="I1092" s="171">
        <v>0</v>
      </c>
      <c r="J1092" s="173">
        <v>15</v>
      </c>
      <c r="K1092" s="172">
        <v>0</v>
      </c>
      <c r="L1092" s="173">
        <v>15</v>
      </c>
      <c r="M1092" s="171">
        <v>15</v>
      </c>
      <c r="N1092" s="170"/>
      <c r="O1092" s="177" t="s">
        <v>76</v>
      </c>
      <c r="P1092" s="162" t="s">
        <v>1591</v>
      </c>
      <c r="Q1092" s="176"/>
      <c r="R1092" s="175">
        <v>2058</v>
      </c>
      <c r="S1092" s="179"/>
      <c r="T1092" s="164" t="s">
        <v>24</v>
      </c>
      <c r="U1092" s="161" t="s">
        <v>1615</v>
      </c>
      <c r="V1092" s="175">
        <v>1377</v>
      </c>
      <c r="W1092" s="181"/>
      <c r="X1092" s="186">
        <v>44621</v>
      </c>
      <c r="Y1092" s="187">
        <v>44981.399976851855</v>
      </c>
    </row>
    <row r="1093" spans="1:25">
      <c r="A1093" s="167" t="s">
        <v>110</v>
      </c>
      <c r="B1093" s="162" t="s">
        <v>1599</v>
      </c>
      <c r="C1093" s="163" t="s">
        <v>3225</v>
      </c>
      <c r="D1093" s="162" t="s">
        <v>2098</v>
      </c>
      <c r="E1093" s="161" t="s">
        <v>1625</v>
      </c>
      <c r="F1093" s="164" t="s">
        <v>1609</v>
      </c>
      <c r="G1093" s="161"/>
      <c r="H1093" s="215">
        <v>1</v>
      </c>
      <c r="I1093" s="171"/>
      <c r="J1093" s="173">
        <v>156</v>
      </c>
      <c r="K1093" s="172"/>
      <c r="L1093" s="173">
        <v>156</v>
      </c>
      <c r="M1093" s="171">
        <v>156</v>
      </c>
      <c r="N1093" s="170"/>
      <c r="O1093" s="177" t="s">
        <v>1523</v>
      </c>
      <c r="P1093" s="162" t="s">
        <v>1604</v>
      </c>
      <c r="Q1093" s="176"/>
      <c r="R1093" s="175"/>
      <c r="S1093" s="179"/>
      <c r="T1093" s="164" t="s">
        <v>28</v>
      </c>
      <c r="U1093" s="161" t="s">
        <v>16</v>
      </c>
      <c r="V1093" s="175">
        <v>2260</v>
      </c>
      <c r="W1093" s="181" t="s">
        <v>3226</v>
      </c>
      <c r="X1093" s="186">
        <v>45017</v>
      </c>
      <c r="Y1093" s="187">
        <v>44903.394363425927</v>
      </c>
    </row>
    <row r="1094" spans="1:25">
      <c r="A1094" s="167" t="s">
        <v>45</v>
      </c>
      <c r="B1094" s="162" t="s">
        <v>1599</v>
      </c>
      <c r="C1094" s="163" t="s">
        <v>3227</v>
      </c>
      <c r="D1094" s="162" t="s">
        <v>3228</v>
      </c>
      <c r="E1094" s="161" t="s">
        <v>1608</v>
      </c>
      <c r="F1094" s="162" t="s">
        <v>1609</v>
      </c>
      <c r="G1094" s="161"/>
      <c r="H1094" s="214">
        <v>105</v>
      </c>
      <c r="I1094" s="171">
        <v>15</v>
      </c>
      <c r="J1094" s="170">
        <v>15.25</v>
      </c>
      <c r="K1094" s="172">
        <v>1575</v>
      </c>
      <c r="L1094" s="170">
        <v>1601.25</v>
      </c>
      <c r="M1094" s="171" t="s">
        <v>3229</v>
      </c>
      <c r="N1094" s="170"/>
      <c r="O1094" s="177" t="s">
        <v>1523</v>
      </c>
      <c r="P1094" s="162" t="s">
        <v>1620</v>
      </c>
      <c r="Q1094" s="176">
        <v>47818</v>
      </c>
      <c r="R1094" s="174"/>
      <c r="S1094" s="179"/>
      <c r="T1094" s="162" t="s">
        <v>28</v>
      </c>
      <c r="U1094" s="161" t="s">
        <v>16</v>
      </c>
      <c r="V1094" s="174">
        <v>2028</v>
      </c>
      <c r="W1094" s="180" t="s">
        <v>3230</v>
      </c>
      <c r="X1094" s="185">
        <v>45017</v>
      </c>
      <c r="Y1094" s="187">
        <v>45027.705590277779</v>
      </c>
    </row>
    <row r="1095" spans="1:25">
      <c r="A1095" s="167" t="s">
        <v>77</v>
      </c>
      <c r="B1095" s="162" t="s">
        <v>1599</v>
      </c>
      <c r="C1095" s="163" t="s">
        <v>3231</v>
      </c>
      <c r="D1095" s="162" t="s">
        <v>3232</v>
      </c>
      <c r="E1095" s="161" t="s">
        <v>1602</v>
      </c>
      <c r="F1095" s="164" t="s">
        <v>1603</v>
      </c>
      <c r="G1095" s="161"/>
      <c r="H1095" s="215">
        <v>1</v>
      </c>
      <c r="I1095" s="171">
        <v>300</v>
      </c>
      <c r="J1095" s="173">
        <v>300</v>
      </c>
      <c r="K1095" s="172">
        <v>300</v>
      </c>
      <c r="L1095" s="173">
        <v>300</v>
      </c>
      <c r="M1095" s="171">
        <v>300</v>
      </c>
      <c r="N1095" s="170">
        <v>0</v>
      </c>
      <c r="O1095" s="177" t="s">
        <v>1523</v>
      </c>
      <c r="P1095" s="162" t="s">
        <v>1604</v>
      </c>
      <c r="Q1095" s="176"/>
      <c r="R1095" s="175"/>
      <c r="S1095" s="179"/>
      <c r="T1095" s="164" t="s">
        <v>28</v>
      </c>
      <c r="U1095" s="161" t="s">
        <v>19</v>
      </c>
      <c r="V1095" s="175">
        <v>2367</v>
      </c>
      <c r="W1095" s="181" t="s">
        <v>3233</v>
      </c>
      <c r="X1095" s="186">
        <v>45017</v>
      </c>
      <c r="Y1095" s="187">
        <v>44945.295937499999</v>
      </c>
    </row>
    <row r="1096" spans="1:25">
      <c r="A1096" s="167" t="s">
        <v>77</v>
      </c>
      <c r="B1096" s="162" t="s">
        <v>1555</v>
      </c>
      <c r="C1096" s="163" t="s">
        <v>3234</v>
      </c>
      <c r="D1096" s="162" t="s">
        <v>3235</v>
      </c>
      <c r="E1096" s="161" t="s">
        <v>1589</v>
      </c>
      <c r="F1096" s="164" t="s">
        <v>1635</v>
      </c>
      <c r="G1096" s="161" t="s">
        <v>3236</v>
      </c>
      <c r="H1096" s="215">
        <v>1</v>
      </c>
      <c r="I1096" s="171">
        <v>1</v>
      </c>
      <c r="J1096" s="173">
        <v>1</v>
      </c>
      <c r="K1096" s="172">
        <v>1</v>
      </c>
      <c r="L1096" s="173">
        <v>1</v>
      </c>
      <c r="M1096" s="171">
        <v>1</v>
      </c>
      <c r="N1096" s="170"/>
      <c r="O1096" s="177" t="s">
        <v>76</v>
      </c>
      <c r="P1096" s="162" t="s">
        <v>1591</v>
      </c>
      <c r="Q1096" s="176"/>
      <c r="R1096" s="175"/>
      <c r="S1096" s="179"/>
      <c r="T1096" s="164" t="s">
        <v>24</v>
      </c>
      <c r="U1096" s="161" t="s">
        <v>20</v>
      </c>
      <c r="V1096" s="175">
        <v>1251</v>
      </c>
      <c r="W1096" s="181"/>
      <c r="X1096" s="186" t="s">
        <v>259</v>
      </c>
      <c r="Y1096" s="187">
        <v>43204.291180555556</v>
      </c>
    </row>
    <row r="1097" spans="1:25">
      <c r="A1097" s="167" t="s">
        <v>77</v>
      </c>
      <c r="B1097" s="162" t="s">
        <v>1599</v>
      </c>
      <c r="C1097" s="163" t="s">
        <v>3237</v>
      </c>
      <c r="D1097" s="162" t="s">
        <v>208</v>
      </c>
      <c r="E1097" s="161" t="s">
        <v>1602</v>
      </c>
      <c r="F1097" s="164" t="s">
        <v>1603</v>
      </c>
      <c r="G1097" s="161"/>
      <c r="H1097" s="215">
        <v>1</v>
      </c>
      <c r="I1097" s="171"/>
      <c r="J1097" s="173">
        <v>150</v>
      </c>
      <c r="K1097" s="172"/>
      <c r="L1097" s="173">
        <v>150</v>
      </c>
      <c r="M1097" s="171">
        <v>150</v>
      </c>
      <c r="N1097" s="170">
        <v>300</v>
      </c>
      <c r="O1097" s="177" t="s">
        <v>27</v>
      </c>
      <c r="P1097" s="162" t="s">
        <v>1619</v>
      </c>
      <c r="Q1097" s="176">
        <v>45536</v>
      </c>
      <c r="R1097" s="175">
        <v>2044</v>
      </c>
      <c r="S1097" s="179"/>
      <c r="T1097" s="164" t="s">
        <v>27</v>
      </c>
      <c r="U1097" s="161" t="s">
        <v>19</v>
      </c>
      <c r="V1097" s="175">
        <v>2434</v>
      </c>
      <c r="W1097" s="181"/>
      <c r="X1097" s="186">
        <v>45069</v>
      </c>
      <c r="Y1097" s="187">
        <v>45103.868252314816</v>
      </c>
    </row>
    <row r="1098" spans="1:25">
      <c r="A1098" s="167" t="s">
        <v>110</v>
      </c>
      <c r="B1098" s="162" t="s">
        <v>1599</v>
      </c>
      <c r="C1098" s="163" t="s">
        <v>3238</v>
      </c>
      <c r="D1098" s="162" t="s">
        <v>3239</v>
      </c>
      <c r="E1098" s="161" t="s">
        <v>1608</v>
      </c>
      <c r="F1098" s="164" t="s">
        <v>1609</v>
      </c>
      <c r="G1098" s="161"/>
      <c r="H1098" s="215">
        <v>80</v>
      </c>
      <c r="I1098" s="171">
        <v>15</v>
      </c>
      <c r="J1098" s="173">
        <v>15</v>
      </c>
      <c r="K1098" s="172">
        <v>1200</v>
      </c>
      <c r="L1098" s="173">
        <v>1200</v>
      </c>
      <c r="M1098" s="171">
        <v>1200</v>
      </c>
      <c r="N1098" s="170"/>
      <c r="O1098" s="177" t="s">
        <v>1523</v>
      </c>
      <c r="P1098" s="162" t="s">
        <v>1620</v>
      </c>
      <c r="Q1098" s="176">
        <v>48000</v>
      </c>
      <c r="R1098" s="175"/>
      <c r="S1098" s="179"/>
      <c r="T1098" s="164" t="s">
        <v>28</v>
      </c>
      <c r="U1098" s="161" t="s">
        <v>16</v>
      </c>
      <c r="V1098" s="175">
        <v>2039</v>
      </c>
      <c r="W1098" s="181" t="s">
        <v>3240</v>
      </c>
      <c r="X1098" s="186">
        <v>45017</v>
      </c>
      <c r="Y1098" s="187">
        <v>45027.693020833336</v>
      </c>
    </row>
    <row r="1099" spans="1:25">
      <c r="A1099" s="167" t="s">
        <v>77</v>
      </c>
      <c r="B1099" s="162" t="s">
        <v>1599</v>
      </c>
      <c r="C1099" s="163" t="s">
        <v>3241</v>
      </c>
      <c r="D1099" s="162" t="s">
        <v>1845</v>
      </c>
      <c r="E1099" s="161" t="s">
        <v>1602</v>
      </c>
      <c r="F1099" s="164" t="s">
        <v>1603</v>
      </c>
      <c r="G1099" s="161"/>
      <c r="H1099" s="215">
        <v>1</v>
      </c>
      <c r="I1099" s="171">
        <v>100</v>
      </c>
      <c r="J1099" s="173">
        <v>100</v>
      </c>
      <c r="K1099" s="172">
        <v>100</v>
      </c>
      <c r="L1099" s="173">
        <v>100</v>
      </c>
      <c r="M1099" s="171">
        <v>100</v>
      </c>
      <c r="N1099" s="170">
        <v>0</v>
      </c>
      <c r="O1099" s="177" t="s">
        <v>1523</v>
      </c>
      <c r="P1099" s="162" t="s">
        <v>1604</v>
      </c>
      <c r="Q1099" s="176"/>
      <c r="R1099" s="175"/>
      <c r="S1099" s="179"/>
      <c r="T1099" s="164" t="s">
        <v>28</v>
      </c>
      <c r="U1099" s="161" t="s">
        <v>19</v>
      </c>
      <c r="V1099" s="175">
        <v>2382</v>
      </c>
      <c r="W1099" s="181" t="s">
        <v>3242</v>
      </c>
      <c r="X1099" s="186">
        <v>45017</v>
      </c>
      <c r="Y1099" s="187">
        <v>44931.567314814813</v>
      </c>
    </row>
    <row r="1100" spans="1:25">
      <c r="A1100" s="167" t="s">
        <v>77</v>
      </c>
      <c r="B1100" s="162" t="s">
        <v>1599</v>
      </c>
      <c r="C1100" s="163" t="s">
        <v>3243</v>
      </c>
      <c r="D1100" s="162" t="s">
        <v>1845</v>
      </c>
      <c r="E1100" s="161" t="s">
        <v>1625</v>
      </c>
      <c r="F1100" s="164" t="s">
        <v>1609</v>
      </c>
      <c r="G1100" s="161"/>
      <c r="H1100" s="215">
        <v>56</v>
      </c>
      <c r="I1100" s="171"/>
      <c r="J1100" s="173">
        <v>6</v>
      </c>
      <c r="K1100" s="172"/>
      <c r="L1100" s="173">
        <v>336</v>
      </c>
      <c r="M1100" s="171">
        <v>336</v>
      </c>
      <c r="N1100" s="170"/>
      <c r="O1100" s="177" t="s">
        <v>1523</v>
      </c>
      <c r="P1100" s="162" t="s">
        <v>1604</v>
      </c>
      <c r="Q1100" s="176"/>
      <c r="R1100" s="175"/>
      <c r="S1100" s="179"/>
      <c r="T1100" s="164" t="s">
        <v>28</v>
      </c>
      <c r="U1100" s="161" t="s">
        <v>16</v>
      </c>
      <c r="V1100" s="175">
        <v>2004</v>
      </c>
      <c r="W1100" s="181" t="s">
        <v>3985</v>
      </c>
      <c r="X1100" s="186">
        <v>45017</v>
      </c>
      <c r="Y1100" s="187">
        <v>45099.699444444443</v>
      </c>
    </row>
    <row r="1101" spans="1:25">
      <c r="A1101" s="167" t="s">
        <v>45</v>
      </c>
      <c r="B1101" s="162" t="s">
        <v>1599</v>
      </c>
      <c r="C1101" s="163" t="s">
        <v>3244</v>
      </c>
      <c r="D1101" s="162" t="s">
        <v>3245</v>
      </c>
      <c r="E1101" s="161" t="s">
        <v>1631</v>
      </c>
      <c r="F1101" s="164" t="s">
        <v>1614</v>
      </c>
      <c r="G1101" s="161"/>
      <c r="H1101" s="215">
        <v>1</v>
      </c>
      <c r="I1101" s="171">
        <v>120</v>
      </c>
      <c r="J1101" s="173">
        <v>120</v>
      </c>
      <c r="K1101" s="172">
        <v>120</v>
      </c>
      <c r="L1101" s="173">
        <v>120</v>
      </c>
      <c r="M1101" s="171">
        <v>120</v>
      </c>
      <c r="N1101" s="170"/>
      <c r="O1101" s="177" t="s">
        <v>1523</v>
      </c>
      <c r="P1101" s="162" t="s">
        <v>1591</v>
      </c>
      <c r="Q1101" s="176"/>
      <c r="R1101" s="175"/>
      <c r="S1101" s="179"/>
      <c r="T1101" s="164" t="s">
        <v>28</v>
      </c>
      <c r="U1101" s="161" t="s">
        <v>1615</v>
      </c>
      <c r="V1101" s="175">
        <v>1560</v>
      </c>
      <c r="W1101" s="181"/>
      <c r="X1101" s="186">
        <v>45017</v>
      </c>
      <c r="Y1101" s="187">
        <v>43248.246921296297</v>
      </c>
    </row>
    <row r="1102" spans="1:25">
      <c r="A1102" s="167" t="s">
        <v>77</v>
      </c>
      <c r="B1102" s="162" t="s">
        <v>1599</v>
      </c>
      <c r="C1102" s="163" t="s">
        <v>3246</v>
      </c>
      <c r="D1102" s="162" t="s">
        <v>3247</v>
      </c>
      <c r="E1102" s="161" t="s">
        <v>1625</v>
      </c>
      <c r="F1102" s="164" t="s">
        <v>1609</v>
      </c>
      <c r="G1102" s="161"/>
      <c r="H1102" s="215">
        <v>73</v>
      </c>
      <c r="I1102" s="171">
        <v>6.6</v>
      </c>
      <c r="J1102" s="173">
        <v>6.6</v>
      </c>
      <c r="K1102" s="172">
        <v>481.8</v>
      </c>
      <c r="L1102" s="173">
        <v>481.8</v>
      </c>
      <c r="M1102" s="171">
        <v>481.8</v>
      </c>
      <c r="N1102" s="170"/>
      <c r="O1102" s="177" t="s">
        <v>1523</v>
      </c>
      <c r="P1102" s="162" t="s">
        <v>1620</v>
      </c>
      <c r="Q1102" s="176"/>
      <c r="R1102" s="175"/>
      <c r="S1102" s="179"/>
      <c r="T1102" s="164" t="s">
        <v>28</v>
      </c>
      <c r="U1102" s="161" t="s">
        <v>16</v>
      </c>
      <c r="V1102" s="175">
        <v>2301</v>
      </c>
      <c r="W1102" s="181" t="s">
        <v>3248</v>
      </c>
      <c r="X1102" s="186">
        <v>45017</v>
      </c>
      <c r="Y1102" s="187">
        <v>45027.658125000002</v>
      </c>
    </row>
    <row r="1103" spans="1:25">
      <c r="A1103" s="167" t="s">
        <v>110</v>
      </c>
      <c r="B1103" s="162" t="s">
        <v>1555</v>
      </c>
      <c r="C1103" s="163" t="s">
        <v>3249</v>
      </c>
      <c r="D1103" s="162" t="s">
        <v>241</v>
      </c>
      <c r="E1103" s="161" t="s">
        <v>1596</v>
      </c>
      <c r="F1103" s="164" t="s">
        <v>1627</v>
      </c>
      <c r="G1103" s="161"/>
      <c r="H1103" s="215">
        <v>4</v>
      </c>
      <c r="I1103" s="171"/>
      <c r="J1103" s="173">
        <v>1.05</v>
      </c>
      <c r="K1103" s="172"/>
      <c r="L1103" s="173">
        <v>4.2</v>
      </c>
      <c r="M1103" s="171">
        <v>4.2</v>
      </c>
      <c r="N1103" s="170"/>
      <c r="O1103" s="177" t="s">
        <v>76</v>
      </c>
      <c r="P1103" s="162" t="s">
        <v>1591</v>
      </c>
      <c r="Q1103" s="176"/>
      <c r="R1103" s="175">
        <v>2025</v>
      </c>
      <c r="S1103" s="179"/>
      <c r="T1103" s="164" t="s">
        <v>24</v>
      </c>
      <c r="U1103" s="161" t="s">
        <v>18</v>
      </c>
      <c r="V1103" s="175">
        <v>1184</v>
      </c>
      <c r="W1103" s="181"/>
      <c r="X1103" s="186">
        <v>44621</v>
      </c>
      <c r="Y1103" s="187">
        <v>44981.431157407409</v>
      </c>
    </row>
    <row r="1104" spans="1:25">
      <c r="A1104" s="167" t="s">
        <v>77</v>
      </c>
      <c r="B1104" s="162" t="s">
        <v>1599</v>
      </c>
      <c r="C1104" s="163" t="s">
        <v>3250</v>
      </c>
      <c r="D1104" s="162" t="s">
        <v>3251</v>
      </c>
      <c r="E1104" s="161" t="s">
        <v>1602</v>
      </c>
      <c r="F1104" s="162" t="s">
        <v>1603</v>
      </c>
      <c r="G1104" s="161"/>
      <c r="H1104" s="214">
        <v>1</v>
      </c>
      <c r="I1104" s="171">
        <v>500</v>
      </c>
      <c r="J1104" s="170">
        <v>500</v>
      </c>
      <c r="K1104" s="172">
        <v>500</v>
      </c>
      <c r="L1104" s="170">
        <v>500</v>
      </c>
      <c r="M1104" s="171">
        <v>500</v>
      </c>
      <c r="N1104" s="170">
        <v>0</v>
      </c>
      <c r="O1104" s="177" t="s">
        <v>1523</v>
      </c>
      <c r="P1104" s="162" t="s">
        <v>1604</v>
      </c>
      <c r="Q1104" s="176"/>
      <c r="R1104" s="174"/>
      <c r="S1104" s="179"/>
      <c r="T1104" s="162" t="s">
        <v>28</v>
      </c>
      <c r="U1104" s="161" t="s">
        <v>19</v>
      </c>
      <c r="V1104" s="174">
        <v>2302</v>
      </c>
      <c r="W1104" s="180" t="s">
        <v>3252</v>
      </c>
      <c r="X1104" s="185">
        <v>45017</v>
      </c>
      <c r="Y1104" s="187">
        <v>44945.296782407408</v>
      </c>
    </row>
    <row r="1105" spans="1:25">
      <c r="A1105" s="167" t="s">
        <v>91</v>
      </c>
      <c r="B1105" s="162" t="s">
        <v>1599</v>
      </c>
      <c r="C1105" s="163" t="s">
        <v>3253</v>
      </c>
      <c r="D1105" s="162" t="s">
        <v>3254</v>
      </c>
      <c r="E1105" s="161" t="s">
        <v>1631</v>
      </c>
      <c r="F1105" s="164" t="s">
        <v>1614</v>
      </c>
      <c r="G1105" s="161"/>
      <c r="H1105" s="215">
        <v>180</v>
      </c>
      <c r="I1105" s="171">
        <v>0.03</v>
      </c>
      <c r="J1105" s="173">
        <v>0.03</v>
      </c>
      <c r="K1105" s="172">
        <v>5.4</v>
      </c>
      <c r="L1105" s="173">
        <v>5.4</v>
      </c>
      <c r="M1105" s="171">
        <v>5.4</v>
      </c>
      <c r="N1105" s="170">
        <v>0</v>
      </c>
      <c r="O1105" s="177" t="s">
        <v>1523</v>
      </c>
      <c r="P1105" s="162" t="s">
        <v>1591</v>
      </c>
      <c r="Q1105" s="176"/>
      <c r="R1105" s="175"/>
      <c r="S1105" s="179"/>
      <c r="T1105" s="164" t="s">
        <v>28</v>
      </c>
      <c r="U1105" s="161" t="s">
        <v>1615</v>
      </c>
      <c r="V1105" s="175">
        <v>1558</v>
      </c>
      <c r="W1105" s="181"/>
      <c r="X1105" s="186">
        <v>44805</v>
      </c>
      <c r="Y1105" s="187">
        <v>44679.664490740739</v>
      </c>
    </row>
    <row r="1106" spans="1:25">
      <c r="A1106" s="167" t="s">
        <v>45</v>
      </c>
      <c r="B1106" s="162" t="s">
        <v>1555</v>
      </c>
      <c r="C1106" s="163" t="s">
        <v>3255</v>
      </c>
      <c r="D1106" s="162" t="s">
        <v>3256</v>
      </c>
      <c r="E1106" s="161" t="s">
        <v>1589</v>
      </c>
      <c r="F1106" s="164" t="s">
        <v>1635</v>
      </c>
      <c r="G1106" s="161"/>
      <c r="H1106" s="215">
        <v>1</v>
      </c>
      <c r="I1106" s="171">
        <v>0.8</v>
      </c>
      <c r="J1106" s="173">
        <v>1.48</v>
      </c>
      <c r="K1106" s="172">
        <v>0.8</v>
      </c>
      <c r="L1106" s="173">
        <v>1.48</v>
      </c>
      <c r="M1106" s="171">
        <v>1.48</v>
      </c>
      <c r="N1106" s="170">
        <v>0</v>
      </c>
      <c r="O1106" s="177" t="s">
        <v>76</v>
      </c>
      <c r="P1106" s="162" t="s">
        <v>1591</v>
      </c>
      <c r="Q1106" s="176"/>
      <c r="R1106" s="175"/>
      <c r="S1106" s="179"/>
      <c r="T1106" s="164" t="s">
        <v>24</v>
      </c>
      <c r="U1106" s="161" t="s">
        <v>20</v>
      </c>
      <c r="V1106" s="175">
        <v>1294</v>
      </c>
      <c r="W1106" s="181"/>
      <c r="X1106" s="186">
        <v>44287</v>
      </c>
      <c r="Y1106" s="187">
        <v>44981.404363425929</v>
      </c>
    </row>
    <row r="1107" spans="1:25">
      <c r="A1107" s="167" t="s">
        <v>105</v>
      </c>
      <c r="B1107" s="162" t="s">
        <v>1555</v>
      </c>
      <c r="C1107" s="163" t="s">
        <v>3257</v>
      </c>
      <c r="D1107" s="162" t="s">
        <v>1604</v>
      </c>
      <c r="E1107" s="161" t="s">
        <v>1613</v>
      </c>
      <c r="F1107" s="164" t="s">
        <v>1614</v>
      </c>
      <c r="G1107" s="161"/>
      <c r="H1107" s="215">
        <v>1</v>
      </c>
      <c r="I1107" s="171"/>
      <c r="J1107" s="173">
        <v>0.27</v>
      </c>
      <c r="K1107" s="172"/>
      <c r="L1107" s="173">
        <v>0.27</v>
      </c>
      <c r="M1107" s="171">
        <v>0.27</v>
      </c>
      <c r="N1107" s="170"/>
      <c r="O1107" s="177" t="s">
        <v>76</v>
      </c>
      <c r="P1107" s="162" t="s">
        <v>1591</v>
      </c>
      <c r="Q1107" s="176"/>
      <c r="R1107" s="175"/>
      <c r="S1107" s="179"/>
      <c r="T1107" s="164" t="s">
        <v>24</v>
      </c>
      <c r="U1107" s="161" t="s">
        <v>1615</v>
      </c>
      <c r="V1107" s="175">
        <v>2123</v>
      </c>
      <c r="W1107" s="181"/>
      <c r="X1107" s="186" t="s">
        <v>259</v>
      </c>
      <c r="Y1107" s="187">
        <v>44831.482951388891</v>
      </c>
    </row>
    <row r="1108" spans="1:25">
      <c r="A1108" s="167" t="s">
        <v>105</v>
      </c>
      <c r="B1108" s="162" t="s">
        <v>1599</v>
      </c>
      <c r="C1108" s="163" t="s">
        <v>3258</v>
      </c>
      <c r="D1108" s="162" t="s">
        <v>1845</v>
      </c>
      <c r="E1108" s="161" t="s">
        <v>1625</v>
      </c>
      <c r="F1108" s="164" t="s">
        <v>1609</v>
      </c>
      <c r="G1108" s="161"/>
      <c r="H1108" s="215">
        <v>47</v>
      </c>
      <c r="I1108" s="171"/>
      <c r="J1108" s="173">
        <v>6.2</v>
      </c>
      <c r="K1108" s="172"/>
      <c r="L1108" s="173">
        <v>291.39999999999998</v>
      </c>
      <c r="M1108" s="171">
        <v>291.39999999999998</v>
      </c>
      <c r="N1108" s="170"/>
      <c r="O1108" s="177" t="s">
        <v>1523</v>
      </c>
      <c r="P1108" s="162" t="s">
        <v>1620</v>
      </c>
      <c r="Q1108" s="176"/>
      <c r="R1108" s="175"/>
      <c r="S1108" s="179"/>
      <c r="T1108" s="164" t="s">
        <v>28</v>
      </c>
      <c r="U1108" s="161" t="s">
        <v>16</v>
      </c>
      <c r="V1108" s="175">
        <v>2063</v>
      </c>
      <c r="W1108" s="181" t="s">
        <v>3986</v>
      </c>
      <c r="X1108" s="186">
        <v>45017</v>
      </c>
      <c r="Y1108" s="187">
        <v>45099.699976851851</v>
      </c>
    </row>
    <row r="1109" spans="1:25">
      <c r="A1109" s="167" t="s">
        <v>77</v>
      </c>
      <c r="B1109" s="162" t="s">
        <v>1555</v>
      </c>
      <c r="C1109" s="163" t="s">
        <v>3259</v>
      </c>
      <c r="D1109" s="162" t="s">
        <v>1604</v>
      </c>
      <c r="E1109" s="161" t="s">
        <v>1613</v>
      </c>
      <c r="F1109" s="164" t="s">
        <v>1614</v>
      </c>
      <c r="G1109" s="161"/>
      <c r="H1109" s="215">
        <v>1</v>
      </c>
      <c r="I1109" s="171"/>
      <c r="J1109" s="173">
        <v>0.17</v>
      </c>
      <c r="K1109" s="172"/>
      <c r="L1109" s="173">
        <v>0.17</v>
      </c>
      <c r="M1109" s="171">
        <v>0.17</v>
      </c>
      <c r="N1109" s="170"/>
      <c r="O1109" s="177" t="s">
        <v>76</v>
      </c>
      <c r="P1109" s="162" t="s">
        <v>1591</v>
      </c>
      <c r="Q1109" s="176"/>
      <c r="R1109" s="175"/>
      <c r="S1109" s="179"/>
      <c r="T1109" s="164" t="s">
        <v>24</v>
      </c>
      <c r="U1109" s="161" t="s">
        <v>1615</v>
      </c>
      <c r="V1109" s="175">
        <v>2124</v>
      </c>
      <c r="W1109" s="181"/>
      <c r="X1109" s="185" t="s">
        <v>259</v>
      </c>
      <c r="Y1109" s="187">
        <v>44831.556018518517</v>
      </c>
    </row>
    <row r="1110" spans="1:25">
      <c r="A1110" s="167" t="s">
        <v>110</v>
      </c>
      <c r="B1110" s="162" t="s">
        <v>1599</v>
      </c>
      <c r="C1110" s="163" t="s">
        <v>3260</v>
      </c>
      <c r="D1110" s="162" t="s">
        <v>3261</v>
      </c>
      <c r="E1110" s="161" t="s">
        <v>1602</v>
      </c>
      <c r="F1110" s="164" t="s">
        <v>1603</v>
      </c>
      <c r="G1110" s="161"/>
      <c r="H1110" s="215">
        <v>1</v>
      </c>
      <c r="I1110" s="171">
        <v>0</v>
      </c>
      <c r="J1110" s="173">
        <v>30</v>
      </c>
      <c r="K1110" s="172">
        <v>0</v>
      </c>
      <c r="L1110" s="173">
        <v>30</v>
      </c>
      <c r="M1110" s="171">
        <v>30</v>
      </c>
      <c r="N1110" s="170">
        <v>30</v>
      </c>
      <c r="O1110" s="177" t="s">
        <v>1523</v>
      </c>
      <c r="P1110" s="162" t="s">
        <v>1619</v>
      </c>
      <c r="Q1110" s="176"/>
      <c r="R1110" s="175">
        <v>2046</v>
      </c>
      <c r="S1110" s="179"/>
      <c r="T1110" s="164" t="s">
        <v>28</v>
      </c>
      <c r="U1110" s="161" t="s">
        <v>19</v>
      </c>
      <c r="V1110" s="175">
        <v>1970</v>
      </c>
      <c r="W1110" s="181"/>
      <c r="X1110" s="186">
        <v>45069</v>
      </c>
      <c r="Y1110" s="187">
        <v>45097.558159722219</v>
      </c>
    </row>
    <row r="1111" spans="1:25">
      <c r="A1111" s="167" t="s">
        <v>77</v>
      </c>
      <c r="B1111" s="162" t="s">
        <v>1555</v>
      </c>
      <c r="C1111" s="163" t="s">
        <v>3262</v>
      </c>
      <c r="D1111" s="162" t="s">
        <v>208</v>
      </c>
      <c r="E1111" s="161" t="s">
        <v>1739</v>
      </c>
      <c r="F1111" s="164" t="s">
        <v>1740</v>
      </c>
      <c r="G1111" s="161" t="s">
        <v>3263</v>
      </c>
      <c r="H1111" s="215">
        <v>1</v>
      </c>
      <c r="I1111" s="171"/>
      <c r="J1111" s="173">
        <v>365</v>
      </c>
      <c r="K1111" s="172"/>
      <c r="L1111" s="173">
        <v>365</v>
      </c>
      <c r="M1111" s="171">
        <v>365</v>
      </c>
      <c r="N1111" s="170"/>
      <c r="O1111" s="177" t="s">
        <v>76</v>
      </c>
      <c r="P1111" s="162" t="s">
        <v>1619</v>
      </c>
      <c r="Q1111" s="176"/>
      <c r="R1111" s="175">
        <v>2043</v>
      </c>
      <c r="S1111" s="179"/>
      <c r="T1111" s="164" t="s">
        <v>24</v>
      </c>
      <c r="U1111" s="161" t="s">
        <v>11</v>
      </c>
      <c r="V1111" s="175">
        <v>1185</v>
      </c>
      <c r="W1111" s="181"/>
      <c r="X1111" s="186">
        <v>45017</v>
      </c>
      <c r="Y1111" s="187">
        <v>45016.426562499997</v>
      </c>
    </row>
    <row r="1112" spans="1:25">
      <c r="A1112" s="167" t="s">
        <v>77</v>
      </c>
      <c r="B1112" s="162" t="s">
        <v>1555</v>
      </c>
      <c r="C1112" s="163" t="s">
        <v>3262</v>
      </c>
      <c r="D1112" s="162" t="s">
        <v>208</v>
      </c>
      <c r="E1112" s="161" t="s">
        <v>1739</v>
      </c>
      <c r="F1112" s="162" t="s">
        <v>1740</v>
      </c>
      <c r="G1112" s="161" t="s">
        <v>3264</v>
      </c>
      <c r="H1112" s="214">
        <v>1</v>
      </c>
      <c r="I1112" s="171"/>
      <c r="J1112" s="170">
        <v>365</v>
      </c>
      <c r="K1112" s="172"/>
      <c r="L1112" s="170">
        <v>365</v>
      </c>
      <c r="M1112" s="171">
        <v>365</v>
      </c>
      <c r="N1112" s="170"/>
      <c r="O1112" s="177" t="s">
        <v>76</v>
      </c>
      <c r="P1112" s="162" t="s">
        <v>1619</v>
      </c>
      <c r="Q1112" s="176"/>
      <c r="R1112" s="174">
        <v>2044</v>
      </c>
      <c r="S1112" s="179"/>
      <c r="T1112" s="162" t="s">
        <v>24</v>
      </c>
      <c r="U1112" s="161" t="s">
        <v>11</v>
      </c>
      <c r="V1112" s="174">
        <v>1185</v>
      </c>
      <c r="W1112" s="180"/>
      <c r="X1112" s="185">
        <v>45017</v>
      </c>
      <c r="Y1112" s="187">
        <v>45016.426562499997</v>
      </c>
    </row>
    <row r="1113" spans="1:25">
      <c r="A1113" s="167" t="s">
        <v>77</v>
      </c>
      <c r="B1113" s="162" t="s">
        <v>1555</v>
      </c>
      <c r="C1113" s="163" t="s">
        <v>3262</v>
      </c>
      <c r="D1113" s="162" t="s">
        <v>208</v>
      </c>
      <c r="E1113" s="161" t="s">
        <v>1739</v>
      </c>
      <c r="F1113" s="164" t="s">
        <v>1740</v>
      </c>
      <c r="G1113" s="161" t="s">
        <v>3265</v>
      </c>
      <c r="H1113" s="215">
        <v>1</v>
      </c>
      <c r="I1113" s="171"/>
      <c r="J1113" s="173">
        <v>365</v>
      </c>
      <c r="K1113" s="172"/>
      <c r="L1113" s="173">
        <v>365</v>
      </c>
      <c r="M1113" s="171">
        <v>365</v>
      </c>
      <c r="N1113" s="170"/>
      <c r="O1113" s="177" t="s">
        <v>76</v>
      </c>
      <c r="P1113" s="162" t="s">
        <v>1619</v>
      </c>
      <c r="Q1113" s="176"/>
      <c r="R1113" s="175">
        <v>2045</v>
      </c>
      <c r="S1113" s="179"/>
      <c r="T1113" s="164" t="s">
        <v>24</v>
      </c>
      <c r="U1113" s="161" t="s">
        <v>11</v>
      </c>
      <c r="V1113" s="175">
        <v>1185</v>
      </c>
      <c r="W1113" s="181"/>
      <c r="X1113" s="186">
        <v>45017</v>
      </c>
      <c r="Y1113" s="187">
        <v>45016.426562499997</v>
      </c>
    </row>
    <row r="1114" spans="1:25">
      <c r="A1114" s="167" t="s">
        <v>77</v>
      </c>
      <c r="B1114" s="162" t="s">
        <v>1555</v>
      </c>
      <c r="C1114" s="163" t="s">
        <v>3262</v>
      </c>
      <c r="D1114" s="162" t="s">
        <v>208</v>
      </c>
      <c r="E1114" s="161" t="s">
        <v>1739</v>
      </c>
      <c r="F1114" s="164" t="s">
        <v>1740</v>
      </c>
      <c r="G1114" s="161" t="s">
        <v>3266</v>
      </c>
      <c r="H1114" s="215">
        <v>1</v>
      </c>
      <c r="I1114" s="171"/>
      <c r="J1114" s="173">
        <v>365</v>
      </c>
      <c r="K1114" s="172"/>
      <c r="L1114" s="173">
        <v>365</v>
      </c>
      <c r="M1114" s="171">
        <v>365</v>
      </c>
      <c r="N1114" s="170"/>
      <c r="O1114" s="177" t="s">
        <v>76</v>
      </c>
      <c r="P1114" s="162" t="s">
        <v>1619</v>
      </c>
      <c r="Q1114" s="176"/>
      <c r="R1114" s="175">
        <v>2046</v>
      </c>
      <c r="S1114" s="179"/>
      <c r="T1114" s="164" t="s">
        <v>24</v>
      </c>
      <c r="U1114" s="161" t="s">
        <v>11</v>
      </c>
      <c r="V1114" s="175">
        <v>1185</v>
      </c>
      <c r="W1114" s="181"/>
      <c r="X1114" s="186">
        <v>45017</v>
      </c>
      <c r="Y1114" s="187">
        <v>45016.426562499997</v>
      </c>
    </row>
    <row r="1115" spans="1:25">
      <c r="A1115" s="167" t="s">
        <v>77</v>
      </c>
      <c r="B1115" s="162" t="s">
        <v>1599</v>
      </c>
      <c r="C1115" s="163" t="s">
        <v>3267</v>
      </c>
      <c r="D1115" s="162" t="s">
        <v>208</v>
      </c>
      <c r="E1115" s="161" t="s">
        <v>1602</v>
      </c>
      <c r="F1115" s="164" t="s">
        <v>1603</v>
      </c>
      <c r="G1115" s="161"/>
      <c r="H1115" s="215">
        <v>1</v>
      </c>
      <c r="I1115" s="171">
        <v>150</v>
      </c>
      <c r="J1115" s="173">
        <v>150</v>
      </c>
      <c r="K1115" s="172">
        <v>150</v>
      </c>
      <c r="L1115" s="173">
        <v>150</v>
      </c>
      <c r="M1115" s="171">
        <v>150</v>
      </c>
      <c r="N1115" s="170">
        <v>0</v>
      </c>
      <c r="O1115" s="177" t="s">
        <v>1523</v>
      </c>
      <c r="P1115" s="162" t="s">
        <v>1604</v>
      </c>
      <c r="Q1115" s="176"/>
      <c r="R1115" s="175"/>
      <c r="S1115" s="179"/>
      <c r="T1115" s="164" t="s">
        <v>28</v>
      </c>
      <c r="U1115" s="161" t="s">
        <v>19</v>
      </c>
      <c r="V1115" s="175">
        <v>2481</v>
      </c>
      <c r="W1115" s="181" t="s">
        <v>3268</v>
      </c>
      <c r="X1115" s="186">
        <v>45017</v>
      </c>
      <c r="Y1115" s="187">
        <v>45035.683321759258</v>
      </c>
    </row>
    <row r="1116" spans="1:25">
      <c r="A1116" s="167" t="s">
        <v>77</v>
      </c>
      <c r="B1116" s="162" t="s">
        <v>1555</v>
      </c>
      <c r="C1116" s="163" t="s">
        <v>3269</v>
      </c>
      <c r="D1116" s="162" t="s">
        <v>403</v>
      </c>
      <c r="E1116" s="161" t="s">
        <v>1596</v>
      </c>
      <c r="F1116" s="164" t="s">
        <v>1627</v>
      </c>
      <c r="G1116" s="161"/>
      <c r="H1116" s="215">
        <v>4</v>
      </c>
      <c r="I1116" s="171"/>
      <c r="J1116" s="173">
        <v>1.06</v>
      </c>
      <c r="K1116" s="172"/>
      <c r="L1116" s="173">
        <v>4.24</v>
      </c>
      <c r="M1116" s="171">
        <v>4.24</v>
      </c>
      <c r="N1116" s="170"/>
      <c r="O1116" s="177" t="s">
        <v>76</v>
      </c>
      <c r="P1116" s="162" t="s">
        <v>1591</v>
      </c>
      <c r="Q1116" s="176"/>
      <c r="R1116" s="175">
        <v>2042</v>
      </c>
      <c r="S1116" s="179"/>
      <c r="T1116" s="164" t="s">
        <v>24</v>
      </c>
      <c r="U1116" s="161" t="s">
        <v>18</v>
      </c>
      <c r="V1116" s="175">
        <v>1358</v>
      </c>
      <c r="W1116" s="181"/>
      <c r="X1116" s="186">
        <v>44287</v>
      </c>
      <c r="Y1116" s="187">
        <v>44677.670347222222</v>
      </c>
    </row>
    <row r="1117" spans="1:25">
      <c r="A1117" s="167" t="s">
        <v>110</v>
      </c>
      <c r="B1117" s="162" t="s">
        <v>1599</v>
      </c>
      <c r="C1117" s="163" t="s">
        <v>3270</v>
      </c>
      <c r="D1117" s="162" t="s">
        <v>3271</v>
      </c>
      <c r="E1117" s="161" t="s">
        <v>1608</v>
      </c>
      <c r="F1117" s="164" t="s">
        <v>1609</v>
      </c>
      <c r="G1117" s="161" t="s">
        <v>3272</v>
      </c>
      <c r="H1117" s="215">
        <v>147</v>
      </c>
      <c r="I1117" s="171"/>
      <c r="J1117" s="173">
        <v>15</v>
      </c>
      <c r="K1117" s="172"/>
      <c r="L1117" s="173">
        <v>2205</v>
      </c>
      <c r="M1117" s="171">
        <v>2205</v>
      </c>
      <c r="N1117" s="170"/>
      <c r="O1117" s="177" t="s">
        <v>1523</v>
      </c>
      <c r="P1117" s="162" t="s">
        <v>1620</v>
      </c>
      <c r="Q1117" s="176">
        <v>48274</v>
      </c>
      <c r="R1117" s="175"/>
      <c r="S1117" s="179"/>
      <c r="T1117" s="164" t="s">
        <v>28</v>
      </c>
      <c r="U1117" s="161" t="s">
        <v>16</v>
      </c>
      <c r="V1117" s="175">
        <v>1613</v>
      </c>
      <c r="W1117" s="181" t="s">
        <v>3273</v>
      </c>
      <c r="X1117" s="186">
        <v>45069</v>
      </c>
      <c r="Y1117" s="187">
        <v>45085.450428240743</v>
      </c>
    </row>
    <row r="1118" spans="1:25">
      <c r="A1118" s="167" t="s">
        <v>91</v>
      </c>
      <c r="B1118" s="162" t="s">
        <v>1555</v>
      </c>
      <c r="C1118" s="163" t="s">
        <v>3274</v>
      </c>
      <c r="D1118" s="162" t="s">
        <v>442</v>
      </c>
      <c r="E1118" s="161" t="s">
        <v>1625</v>
      </c>
      <c r="F1118" s="164" t="s">
        <v>1609</v>
      </c>
      <c r="G1118" s="161" t="s">
        <v>3275</v>
      </c>
      <c r="H1118" s="215">
        <v>22</v>
      </c>
      <c r="I1118" s="171"/>
      <c r="J1118" s="173">
        <v>1.5</v>
      </c>
      <c r="K1118" s="172"/>
      <c r="L1118" s="173">
        <v>33</v>
      </c>
      <c r="M1118" s="171">
        <v>33</v>
      </c>
      <c r="N1118" s="170"/>
      <c r="O1118" s="177" t="s">
        <v>76</v>
      </c>
      <c r="P1118" s="162" t="s">
        <v>1591</v>
      </c>
      <c r="Q1118" s="176"/>
      <c r="R1118" s="175">
        <v>2027</v>
      </c>
      <c r="S1118" s="179"/>
      <c r="T1118" s="164" t="s">
        <v>24</v>
      </c>
      <c r="U1118" s="161" t="s">
        <v>16</v>
      </c>
      <c r="V1118" s="175">
        <v>1186</v>
      </c>
      <c r="W1118" s="181"/>
      <c r="X1118" s="185">
        <v>45017</v>
      </c>
      <c r="Y1118" s="187">
        <v>45034.757141203707</v>
      </c>
    </row>
    <row r="1119" spans="1:25">
      <c r="A1119" s="167" t="s">
        <v>45</v>
      </c>
      <c r="B1119" s="162" t="s">
        <v>1555</v>
      </c>
      <c r="C1119" s="163" t="s">
        <v>3276</v>
      </c>
      <c r="D1119" s="162" t="s">
        <v>1604</v>
      </c>
      <c r="E1119" s="161" t="s">
        <v>1613</v>
      </c>
      <c r="F1119" s="164" t="s">
        <v>1614</v>
      </c>
      <c r="G1119" s="161"/>
      <c r="H1119" s="215">
        <v>1</v>
      </c>
      <c r="I1119" s="171"/>
      <c r="J1119" s="173">
        <v>0.93</v>
      </c>
      <c r="K1119" s="172"/>
      <c r="L1119" s="173">
        <v>0.93</v>
      </c>
      <c r="M1119" s="171">
        <v>0.93</v>
      </c>
      <c r="N1119" s="170"/>
      <c r="O1119" s="177" t="s">
        <v>76</v>
      </c>
      <c r="P1119" s="162" t="s">
        <v>1591</v>
      </c>
      <c r="Q1119" s="176"/>
      <c r="R1119" s="175"/>
      <c r="S1119" s="179"/>
      <c r="T1119" s="164" t="s">
        <v>24</v>
      </c>
      <c r="U1119" s="161" t="s">
        <v>1615</v>
      </c>
      <c r="V1119" s="175">
        <v>2126</v>
      </c>
      <c r="W1119" s="181"/>
      <c r="X1119" s="185" t="s">
        <v>259</v>
      </c>
      <c r="Y1119" s="187">
        <v>44831.579050925924</v>
      </c>
    </row>
    <row r="1120" spans="1:25">
      <c r="A1120" s="167" t="s">
        <v>110</v>
      </c>
      <c r="B1120" s="162" t="s">
        <v>1555</v>
      </c>
      <c r="C1120" s="163" t="s">
        <v>387</v>
      </c>
      <c r="D1120" s="162" t="s">
        <v>388</v>
      </c>
      <c r="E1120" s="161" t="s">
        <v>1625</v>
      </c>
      <c r="F1120" s="164" t="s">
        <v>1609</v>
      </c>
      <c r="G1120" s="161" t="s">
        <v>389</v>
      </c>
      <c r="H1120" s="215">
        <v>128</v>
      </c>
      <c r="I1120" s="171">
        <v>3.57</v>
      </c>
      <c r="J1120" s="173">
        <v>3.57</v>
      </c>
      <c r="K1120" s="172">
        <v>456.96</v>
      </c>
      <c r="L1120" s="173">
        <v>456.96</v>
      </c>
      <c r="M1120" s="171">
        <v>456.96</v>
      </c>
      <c r="N1120" s="170">
        <v>0</v>
      </c>
      <c r="O1120" s="177" t="s">
        <v>76</v>
      </c>
      <c r="P1120" s="162" t="s">
        <v>1620</v>
      </c>
      <c r="Q1120" s="176">
        <v>44682</v>
      </c>
      <c r="R1120" s="175">
        <v>2045</v>
      </c>
      <c r="S1120" s="179"/>
      <c r="T1120" s="164" t="s">
        <v>24</v>
      </c>
      <c r="U1120" s="161" t="s">
        <v>16</v>
      </c>
      <c r="V1120" s="175">
        <v>1187</v>
      </c>
      <c r="W1120" s="181"/>
      <c r="X1120" s="186">
        <v>45069</v>
      </c>
      <c r="Y1120" s="187">
        <v>45103.794270833336</v>
      </c>
    </row>
    <row r="1121" spans="1:25">
      <c r="A1121" s="167" t="s">
        <v>110</v>
      </c>
      <c r="B1121" s="162" t="s">
        <v>1555</v>
      </c>
      <c r="C1121" s="163" t="s">
        <v>387</v>
      </c>
      <c r="D1121" s="162" t="s">
        <v>388</v>
      </c>
      <c r="E1121" s="161" t="s">
        <v>1625</v>
      </c>
      <c r="F1121" s="164" t="s">
        <v>1609</v>
      </c>
      <c r="G1121" s="161" t="s">
        <v>389</v>
      </c>
      <c r="H1121" s="215">
        <v>19</v>
      </c>
      <c r="I1121" s="171">
        <v>3.4</v>
      </c>
      <c r="J1121" s="173">
        <v>3.4</v>
      </c>
      <c r="K1121" s="172">
        <v>64.599999999999994</v>
      </c>
      <c r="L1121" s="173">
        <v>64.599999999999994</v>
      </c>
      <c r="M1121" s="171">
        <v>64.599999999999994</v>
      </c>
      <c r="N1121" s="170"/>
      <c r="O1121" s="177" t="s">
        <v>76</v>
      </c>
      <c r="P1121" s="162" t="s">
        <v>1620</v>
      </c>
      <c r="Q1121" s="176">
        <v>44682</v>
      </c>
      <c r="R1121" s="175">
        <v>2045</v>
      </c>
      <c r="S1121" s="179"/>
      <c r="T1121" s="164" t="s">
        <v>24</v>
      </c>
      <c r="U1121" s="161" t="s">
        <v>16</v>
      </c>
      <c r="V1121" s="175">
        <v>1187</v>
      </c>
      <c r="W1121" s="181"/>
      <c r="X1121" s="186">
        <v>45069</v>
      </c>
      <c r="Y1121" s="187">
        <v>45103.794270833336</v>
      </c>
    </row>
    <row r="1122" spans="1:25">
      <c r="A1122" s="167" t="s">
        <v>110</v>
      </c>
      <c r="B1122" s="162" t="s">
        <v>1555</v>
      </c>
      <c r="C1122" s="163" t="s">
        <v>387</v>
      </c>
      <c r="D1122" s="162" t="s">
        <v>388</v>
      </c>
      <c r="E1122" s="161" t="s">
        <v>1625</v>
      </c>
      <c r="F1122" s="162" t="s">
        <v>1609</v>
      </c>
      <c r="G1122" s="161" t="s">
        <v>389</v>
      </c>
      <c r="H1122" s="214">
        <v>2</v>
      </c>
      <c r="I1122" s="171">
        <v>3</v>
      </c>
      <c r="J1122" s="170">
        <v>3</v>
      </c>
      <c r="K1122" s="172">
        <v>6</v>
      </c>
      <c r="L1122" s="170">
        <v>6</v>
      </c>
      <c r="M1122" s="171">
        <v>6</v>
      </c>
      <c r="N1122" s="170"/>
      <c r="O1122" s="177" t="s">
        <v>76</v>
      </c>
      <c r="P1122" s="162" t="s">
        <v>1620</v>
      </c>
      <c r="Q1122" s="176">
        <v>44682</v>
      </c>
      <c r="R1122" s="174">
        <v>2045</v>
      </c>
      <c r="S1122" s="179"/>
      <c r="T1122" s="162" t="s">
        <v>24</v>
      </c>
      <c r="U1122" s="161" t="s">
        <v>16</v>
      </c>
      <c r="V1122" s="174">
        <v>1187</v>
      </c>
      <c r="W1122" s="180"/>
      <c r="X1122" s="185">
        <v>45069</v>
      </c>
      <c r="Y1122" s="187">
        <v>45103.794270833336</v>
      </c>
    </row>
    <row r="1123" spans="1:25">
      <c r="A1123" s="167" t="s">
        <v>110</v>
      </c>
      <c r="B1123" s="162" t="s">
        <v>1599</v>
      </c>
      <c r="C1123" s="163" t="s">
        <v>3277</v>
      </c>
      <c r="D1123" s="162" t="s">
        <v>3278</v>
      </c>
      <c r="E1123" s="161" t="s">
        <v>1673</v>
      </c>
      <c r="F1123" s="164" t="s">
        <v>1603</v>
      </c>
      <c r="G1123" s="161"/>
      <c r="H1123" s="215">
        <v>1</v>
      </c>
      <c r="I1123" s="171">
        <v>220</v>
      </c>
      <c r="J1123" s="173">
        <v>220</v>
      </c>
      <c r="K1123" s="172">
        <v>220</v>
      </c>
      <c r="L1123" s="173">
        <v>220</v>
      </c>
      <c r="M1123" s="171">
        <v>220</v>
      </c>
      <c r="N1123" s="170"/>
      <c r="O1123" s="177" t="s">
        <v>1523</v>
      </c>
      <c r="P1123" s="162" t="s">
        <v>1604</v>
      </c>
      <c r="Q1123" s="176"/>
      <c r="R1123" s="175"/>
      <c r="S1123" s="179"/>
      <c r="T1123" s="164" t="s">
        <v>28</v>
      </c>
      <c r="U1123" s="161" t="s">
        <v>13</v>
      </c>
      <c r="V1123" s="175">
        <v>2349</v>
      </c>
      <c r="W1123" s="181" t="s">
        <v>3279</v>
      </c>
      <c r="X1123" s="186">
        <v>45017</v>
      </c>
      <c r="Y1123" s="187">
        <v>44945.297754629632</v>
      </c>
    </row>
    <row r="1124" spans="1:25">
      <c r="A1124" s="167" t="s">
        <v>45</v>
      </c>
      <c r="B1124" s="162" t="s">
        <v>1599</v>
      </c>
      <c r="C1124" s="163" t="s">
        <v>3280</v>
      </c>
      <c r="D1124" s="162" t="s">
        <v>2338</v>
      </c>
      <c r="E1124" s="161" t="s">
        <v>1602</v>
      </c>
      <c r="F1124" s="162" t="s">
        <v>1603</v>
      </c>
      <c r="G1124" s="161"/>
      <c r="H1124" s="214">
        <v>65</v>
      </c>
      <c r="I1124" s="171">
        <v>4</v>
      </c>
      <c r="J1124" s="170">
        <v>4</v>
      </c>
      <c r="K1124" s="172">
        <v>260</v>
      </c>
      <c r="L1124" s="170">
        <v>260</v>
      </c>
      <c r="M1124" s="171">
        <v>260</v>
      </c>
      <c r="N1124" s="170">
        <v>0</v>
      </c>
      <c r="O1124" s="177" t="s">
        <v>1523</v>
      </c>
      <c r="P1124" s="162" t="s">
        <v>1604</v>
      </c>
      <c r="Q1124" s="176"/>
      <c r="R1124" s="174"/>
      <c r="S1124" s="179"/>
      <c r="T1124" s="162" t="s">
        <v>28</v>
      </c>
      <c r="U1124" s="161" t="s">
        <v>19</v>
      </c>
      <c r="V1124" s="174">
        <v>2474</v>
      </c>
      <c r="W1124" s="180" t="s">
        <v>3281</v>
      </c>
      <c r="X1124" s="185">
        <v>45017</v>
      </c>
      <c r="Y1124" s="187">
        <v>45035.536180555559</v>
      </c>
    </row>
    <row r="1125" spans="1:25">
      <c r="A1125" s="167" t="s">
        <v>77</v>
      </c>
      <c r="B1125" s="162" t="s">
        <v>1599</v>
      </c>
      <c r="C1125" s="163" t="s">
        <v>3282</v>
      </c>
      <c r="D1125" s="162" t="s">
        <v>3283</v>
      </c>
      <c r="E1125" s="161" t="s">
        <v>1625</v>
      </c>
      <c r="F1125" s="164" t="s">
        <v>1609</v>
      </c>
      <c r="G1125" s="161"/>
      <c r="H1125" s="215">
        <v>1</v>
      </c>
      <c r="I1125" s="171">
        <v>400</v>
      </c>
      <c r="J1125" s="170">
        <v>400</v>
      </c>
      <c r="K1125" s="172">
        <v>400</v>
      </c>
      <c r="L1125" s="170">
        <v>400</v>
      </c>
      <c r="M1125" s="171">
        <v>400</v>
      </c>
      <c r="N1125" s="170"/>
      <c r="O1125" s="177" t="s">
        <v>1523</v>
      </c>
      <c r="P1125" s="162" t="s">
        <v>1604</v>
      </c>
      <c r="Q1125" s="176"/>
      <c r="R1125" s="175"/>
      <c r="S1125" s="179"/>
      <c r="T1125" s="164" t="s">
        <v>28</v>
      </c>
      <c r="U1125" s="161" t="s">
        <v>16</v>
      </c>
      <c r="V1125" s="175">
        <v>2492</v>
      </c>
      <c r="W1125" s="181" t="s">
        <v>3284</v>
      </c>
      <c r="X1125" s="186">
        <v>45017</v>
      </c>
      <c r="Y1125" s="187">
        <v>45035.835949074077</v>
      </c>
    </row>
    <row r="1126" spans="1:25">
      <c r="A1126" s="167" t="s">
        <v>45</v>
      </c>
      <c r="B1126" s="162" t="s">
        <v>1599</v>
      </c>
      <c r="C1126" s="163" t="s">
        <v>64</v>
      </c>
      <c r="D1126" s="162" t="s">
        <v>65</v>
      </c>
      <c r="E1126" s="161" t="s">
        <v>1631</v>
      </c>
      <c r="F1126" s="164" t="s">
        <v>1614</v>
      </c>
      <c r="G1126" s="161"/>
      <c r="H1126" s="215">
        <v>2</v>
      </c>
      <c r="I1126" s="171">
        <v>200</v>
      </c>
      <c r="J1126" s="173">
        <v>200</v>
      </c>
      <c r="K1126" s="172">
        <v>400</v>
      </c>
      <c r="L1126" s="173">
        <v>400</v>
      </c>
      <c r="M1126" s="171">
        <v>400</v>
      </c>
      <c r="N1126" s="170"/>
      <c r="O1126" s="177" t="s">
        <v>26</v>
      </c>
      <c r="P1126" s="162" t="s">
        <v>1620</v>
      </c>
      <c r="Q1126" s="176">
        <v>45474</v>
      </c>
      <c r="R1126" s="175">
        <v>2073</v>
      </c>
      <c r="S1126" s="179"/>
      <c r="T1126" s="164" t="s">
        <v>26</v>
      </c>
      <c r="U1126" s="161" t="s">
        <v>1615</v>
      </c>
      <c r="V1126" s="175">
        <v>1894</v>
      </c>
      <c r="W1126" s="181" t="s">
        <v>3285</v>
      </c>
      <c r="X1126" s="186">
        <v>45069</v>
      </c>
      <c r="Y1126" s="187">
        <v>45100.304247685184</v>
      </c>
    </row>
    <row r="1127" spans="1:25">
      <c r="A1127" s="167" t="s">
        <v>91</v>
      </c>
      <c r="B1127" s="162" t="s">
        <v>1599</v>
      </c>
      <c r="C1127" s="163" t="s">
        <v>3286</v>
      </c>
      <c r="D1127" s="162" t="s">
        <v>3287</v>
      </c>
      <c r="E1127" s="161" t="s">
        <v>1602</v>
      </c>
      <c r="F1127" s="164" t="s">
        <v>1603</v>
      </c>
      <c r="G1127" s="161"/>
      <c r="H1127" s="215">
        <v>1</v>
      </c>
      <c r="I1127" s="171">
        <v>120</v>
      </c>
      <c r="J1127" s="173">
        <v>150</v>
      </c>
      <c r="K1127" s="172">
        <v>120</v>
      </c>
      <c r="L1127" s="173">
        <v>150</v>
      </c>
      <c r="M1127" s="171">
        <v>150</v>
      </c>
      <c r="N1127" s="170">
        <v>0</v>
      </c>
      <c r="O1127" s="177" t="s">
        <v>1523</v>
      </c>
      <c r="P1127" s="162" t="s">
        <v>1604</v>
      </c>
      <c r="Q1127" s="176"/>
      <c r="R1127" s="175"/>
      <c r="S1127" s="179"/>
      <c r="T1127" s="164" t="s">
        <v>28</v>
      </c>
      <c r="U1127" s="161" t="s">
        <v>19</v>
      </c>
      <c r="V1127" s="175">
        <v>2310</v>
      </c>
      <c r="W1127" s="181" t="s">
        <v>3288</v>
      </c>
      <c r="X1127" s="186">
        <v>45017</v>
      </c>
      <c r="Y1127" s="187">
        <v>44945.298078703701</v>
      </c>
    </row>
    <row r="1128" spans="1:25">
      <c r="A1128" s="167" t="s">
        <v>45</v>
      </c>
      <c r="B1128" s="162" t="s">
        <v>1555</v>
      </c>
      <c r="C1128" s="163" t="s">
        <v>3289</v>
      </c>
      <c r="D1128" s="162" t="s">
        <v>403</v>
      </c>
      <c r="E1128" s="161" t="s">
        <v>1596</v>
      </c>
      <c r="F1128" s="164" t="s">
        <v>1627</v>
      </c>
      <c r="G1128" s="161"/>
      <c r="H1128" s="215">
        <v>2</v>
      </c>
      <c r="I1128" s="171">
        <v>1.1200000000000001</v>
      </c>
      <c r="J1128" s="173">
        <v>1.1200000000000001</v>
      </c>
      <c r="K1128" s="172">
        <v>2.25</v>
      </c>
      <c r="L1128" s="173">
        <v>2.25</v>
      </c>
      <c r="M1128" s="171">
        <v>2.25</v>
      </c>
      <c r="N1128" s="170"/>
      <c r="O1128" s="177" t="s">
        <v>76</v>
      </c>
      <c r="P1128" s="162" t="s">
        <v>1591</v>
      </c>
      <c r="Q1128" s="176"/>
      <c r="R1128" s="175">
        <v>2042</v>
      </c>
      <c r="S1128" s="179"/>
      <c r="T1128" s="164" t="s">
        <v>24</v>
      </c>
      <c r="U1128" s="161" t="s">
        <v>18</v>
      </c>
      <c r="V1128" s="175">
        <v>1189</v>
      </c>
      <c r="W1128" s="181"/>
      <c r="X1128" s="186">
        <v>44805</v>
      </c>
      <c r="Y1128" s="187">
        <v>44981.432592592595</v>
      </c>
    </row>
    <row r="1129" spans="1:25">
      <c r="A1129" s="167" t="s">
        <v>45</v>
      </c>
      <c r="B1129" s="162" t="s">
        <v>1599</v>
      </c>
      <c r="C1129" s="163" t="s">
        <v>3290</v>
      </c>
      <c r="D1129" s="162" t="s">
        <v>3291</v>
      </c>
      <c r="E1129" s="161" t="s">
        <v>1613</v>
      </c>
      <c r="F1129" s="164" t="s">
        <v>1614</v>
      </c>
      <c r="G1129" s="161"/>
      <c r="H1129" s="215">
        <v>1</v>
      </c>
      <c r="I1129" s="171">
        <v>5</v>
      </c>
      <c r="J1129" s="173">
        <v>5</v>
      </c>
      <c r="K1129" s="172">
        <v>5</v>
      </c>
      <c r="L1129" s="173">
        <v>5</v>
      </c>
      <c r="M1129" s="171">
        <v>5</v>
      </c>
      <c r="N1129" s="170"/>
      <c r="O1129" s="177" t="s">
        <v>1523</v>
      </c>
      <c r="P1129" s="162" t="s">
        <v>1591</v>
      </c>
      <c r="Q1129" s="176"/>
      <c r="R1129" s="175"/>
      <c r="S1129" s="179"/>
      <c r="T1129" s="164" t="s">
        <v>28</v>
      </c>
      <c r="U1129" s="161" t="s">
        <v>1615</v>
      </c>
      <c r="V1129" s="175">
        <v>1651</v>
      </c>
      <c r="W1129" s="181"/>
      <c r="X1129" s="186">
        <v>44805</v>
      </c>
      <c r="Y1129" s="187">
        <v>43283.976770833331</v>
      </c>
    </row>
    <row r="1130" spans="1:25">
      <c r="A1130" s="167" t="s">
        <v>45</v>
      </c>
      <c r="B1130" s="162" t="s">
        <v>1599</v>
      </c>
      <c r="C1130" s="163" t="s">
        <v>3292</v>
      </c>
      <c r="D1130" s="162" t="s">
        <v>3293</v>
      </c>
      <c r="E1130" s="161" t="s">
        <v>1613</v>
      </c>
      <c r="F1130" s="164" t="s">
        <v>1614</v>
      </c>
      <c r="G1130" s="161"/>
      <c r="H1130" s="215">
        <v>1</v>
      </c>
      <c r="I1130" s="171">
        <v>4.2</v>
      </c>
      <c r="J1130" s="173">
        <v>90</v>
      </c>
      <c r="K1130" s="172">
        <v>4.2</v>
      </c>
      <c r="L1130" s="173">
        <v>90</v>
      </c>
      <c r="M1130" s="171" t="s">
        <v>3294</v>
      </c>
      <c r="N1130" s="170"/>
      <c r="O1130" s="177" t="s">
        <v>1523</v>
      </c>
      <c r="P1130" s="162" t="s">
        <v>1620</v>
      </c>
      <c r="Q1130" s="176"/>
      <c r="R1130" s="175"/>
      <c r="S1130" s="179"/>
      <c r="T1130" s="164" t="s">
        <v>28</v>
      </c>
      <c r="U1130" s="161" t="s">
        <v>1615</v>
      </c>
      <c r="V1130" s="175">
        <v>1989</v>
      </c>
      <c r="W1130" s="181" t="s">
        <v>3295</v>
      </c>
      <c r="X1130" s="186">
        <v>45069</v>
      </c>
      <c r="Y1130" s="187">
        <v>45028.44259259259</v>
      </c>
    </row>
    <row r="1131" spans="1:25">
      <c r="A1131" s="167" t="s">
        <v>77</v>
      </c>
      <c r="B1131" s="162" t="s">
        <v>1555</v>
      </c>
      <c r="C1131" s="163" t="s">
        <v>3296</v>
      </c>
      <c r="D1131" s="162" t="s">
        <v>3297</v>
      </c>
      <c r="E1131" s="161" t="s">
        <v>1613</v>
      </c>
      <c r="F1131" s="164" t="s">
        <v>1614</v>
      </c>
      <c r="G1131" s="161" t="s">
        <v>3298</v>
      </c>
      <c r="H1131" s="215">
        <v>52</v>
      </c>
      <c r="I1131" s="171"/>
      <c r="J1131" s="173">
        <v>2.75</v>
      </c>
      <c r="K1131" s="172"/>
      <c r="L1131" s="173">
        <v>143</v>
      </c>
      <c r="M1131" s="171">
        <v>143</v>
      </c>
      <c r="N1131" s="170"/>
      <c r="O1131" s="177" t="s">
        <v>76</v>
      </c>
      <c r="P1131" s="162" t="s">
        <v>1620</v>
      </c>
      <c r="Q1131" s="176"/>
      <c r="R1131" s="175">
        <v>2042</v>
      </c>
      <c r="S1131" s="179"/>
      <c r="T1131" s="164" t="s">
        <v>24</v>
      </c>
      <c r="U1131" s="161" t="s">
        <v>1615</v>
      </c>
      <c r="V1131" s="175">
        <v>1437</v>
      </c>
      <c r="W1131" s="181"/>
      <c r="X1131" s="186">
        <v>45017</v>
      </c>
      <c r="Y1131" s="187">
        <v>45027.661909722221</v>
      </c>
    </row>
    <row r="1132" spans="1:25">
      <c r="A1132" s="167" t="s">
        <v>45</v>
      </c>
      <c r="B1132" s="162" t="s">
        <v>1599</v>
      </c>
      <c r="C1132" s="163" t="s">
        <v>3299</v>
      </c>
      <c r="D1132" s="162" t="s">
        <v>2406</v>
      </c>
      <c r="E1132" s="161" t="s">
        <v>1613</v>
      </c>
      <c r="F1132" s="162" t="s">
        <v>1614</v>
      </c>
      <c r="G1132" s="161"/>
      <c r="H1132" s="214">
        <v>1</v>
      </c>
      <c r="I1132" s="171">
        <v>360</v>
      </c>
      <c r="J1132" s="170">
        <v>360</v>
      </c>
      <c r="K1132" s="172">
        <v>360</v>
      </c>
      <c r="L1132" s="170">
        <v>360</v>
      </c>
      <c r="M1132" s="171">
        <v>360</v>
      </c>
      <c r="N1132" s="170"/>
      <c r="O1132" s="177" t="s">
        <v>1523</v>
      </c>
      <c r="P1132" s="162" t="s">
        <v>1604</v>
      </c>
      <c r="Q1132" s="176"/>
      <c r="R1132" s="174"/>
      <c r="S1132" s="179"/>
      <c r="T1132" s="162" t="s">
        <v>28</v>
      </c>
      <c r="U1132" s="161" t="s">
        <v>1615</v>
      </c>
      <c r="V1132" s="174">
        <v>2187</v>
      </c>
      <c r="W1132" s="180" t="s">
        <v>3300</v>
      </c>
      <c r="X1132" s="185">
        <v>45017</v>
      </c>
      <c r="Y1132" s="187">
        <v>44985.416458333333</v>
      </c>
    </row>
    <row r="1133" spans="1:25">
      <c r="A1133" s="167" t="s">
        <v>45</v>
      </c>
      <c r="B1133" s="162" t="s">
        <v>1599</v>
      </c>
      <c r="C1133" s="163" t="s">
        <v>3301</v>
      </c>
      <c r="D1133" s="162" t="s">
        <v>3302</v>
      </c>
      <c r="E1133" s="161" t="s">
        <v>1613</v>
      </c>
      <c r="F1133" s="164" t="s">
        <v>1614</v>
      </c>
      <c r="G1133" s="161"/>
      <c r="H1133" s="215">
        <v>600</v>
      </c>
      <c r="I1133" s="171">
        <v>1</v>
      </c>
      <c r="J1133" s="173">
        <v>1</v>
      </c>
      <c r="K1133" s="172">
        <v>600</v>
      </c>
      <c r="L1133" s="173">
        <v>600</v>
      </c>
      <c r="M1133" s="171">
        <v>600</v>
      </c>
      <c r="N1133" s="170"/>
      <c r="O1133" s="177" t="s">
        <v>1523</v>
      </c>
      <c r="P1133" s="162" t="s">
        <v>1620</v>
      </c>
      <c r="Q1133" s="176"/>
      <c r="R1133" s="175"/>
      <c r="S1133" s="179"/>
      <c r="T1133" s="164" t="s">
        <v>28</v>
      </c>
      <c r="U1133" s="161" t="s">
        <v>1615</v>
      </c>
      <c r="V1133" s="175">
        <v>1616</v>
      </c>
      <c r="W1133" s="181"/>
      <c r="X1133" s="186">
        <v>45017</v>
      </c>
      <c r="Y1133" s="187">
        <v>44755.583402777775</v>
      </c>
    </row>
    <row r="1134" spans="1:25">
      <c r="A1134" s="167" t="s">
        <v>45</v>
      </c>
      <c r="B1134" s="162" t="s">
        <v>1599</v>
      </c>
      <c r="C1134" s="163" t="s">
        <v>3303</v>
      </c>
      <c r="D1134" s="162" t="s">
        <v>307</v>
      </c>
      <c r="E1134" s="161" t="s">
        <v>1602</v>
      </c>
      <c r="F1134" s="164" t="s">
        <v>1603</v>
      </c>
      <c r="G1134" s="161"/>
      <c r="H1134" s="215">
        <v>1</v>
      </c>
      <c r="I1134" s="171">
        <v>50</v>
      </c>
      <c r="J1134" s="173">
        <v>50</v>
      </c>
      <c r="K1134" s="172">
        <v>50</v>
      </c>
      <c r="L1134" s="173">
        <v>50</v>
      </c>
      <c r="M1134" s="171">
        <v>50</v>
      </c>
      <c r="N1134" s="170">
        <v>100</v>
      </c>
      <c r="O1134" s="177" t="s">
        <v>1523</v>
      </c>
      <c r="P1134" s="162" t="s">
        <v>1604</v>
      </c>
      <c r="Q1134" s="176"/>
      <c r="R1134" s="175"/>
      <c r="S1134" s="179"/>
      <c r="T1134" s="164" t="s">
        <v>28</v>
      </c>
      <c r="U1134" s="161" t="s">
        <v>19</v>
      </c>
      <c r="V1134" s="175">
        <v>2514</v>
      </c>
      <c r="W1134" s="181"/>
      <c r="X1134" s="186">
        <v>45069</v>
      </c>
      <c r="Y1134" s="187">
        <v>45060.800219907411</v>
      </c>
    </row>
    <row r="1135" spans="1:25">
      <c r="A1135" s="167" t="s">
        <v>45</v>
      </c>
      <c r="B1135" s="162" t="s">
        <v>1555</v>
      </c>
      <c r="C1135" s="163" t="s">
        <v>448</v>
      </c>
      <c r="D1135" s="162" t="s">
        <v>449</v>
      </c>
      <c r="E1135" s="161" t="s">
        <v>1631</v>
      </c>
      <c r="F1135" s="164" t="s">
        <v>1614</v>
      </c>
      <c r="G1135" s="161" t="s">
        <v>450</v>
      </c>
      <c r="H1135" s="215">
        <v>104</v>
      </c>
      <c r="I1135" s="171"/>
      <c r="J1135" s="173">
        <v>2.2000000000000002</v>
      </c>
      <c r="K1135" s="172"/>
      <c r="L1135" s="173">
        <v>228.8</v>
      </c>
      <c r="M1135" s="171">
        <v>228.8</v>
      </c>
      <c r="N1135" s="170"/>
      <c r="O1135" s="177" t="s">
        <v>76</v>
      </c>
      <c r="P1135" s="162" t="s">
        <v>1620</v>
      </c>
      <c r="Q1135" s="176">
        <v>44531</v>
      </c>
      <c r="R1135" s="175">
        <v>2049</v>
      </c>
      <c r="S1135" s="179"/>
      <c r="T1135" s="164" t="s">
        <v>24</v>
      </c>
      <c r="U1135" s="161" t="s">
        <v>1615</v>
      </c>
      <c r="V1135" s="175">
        <v>1447</v>
      </c>
      <c r="W1135" s="181"/>
      <c r="X1135" s="186">
        <v>45017</v>
      </c>
      <c r="Y1135" s="187">
        <v>45086.732476851852</v>
      </c>
    </row>
    <row r="1136" spans="1:25">
      <c r="A1136" s="167" t="s">
        <v>77</v>
      </c>
      <c r="B1136" s="162" t="s">
        <v>1555</v>
      </c>
      <c r="C1136" s="163" t="s">
        <v>1068</v>
      </c>
      <c r="D1136" s="162" t="s">
        <v>3304</v>
      </c>
      <c r="E1136" s="161" t="s">
        <v>1613</v>
      </c>
      <c r="F1136" s="164" t="s">
        <v>1614</v>
      </c>
      <c r="G1136" s="161"/>
      <c r="H1136" s="215">
        <v>1</v>
      </c>
      <c r="I1136" s="171"/>
      <c r="J1136" s="173">
        <v>15</v>
      </c>
      <c r="K1136" s="172"/>
      <c r="L1136" s="173">
        <v>15</v>
      </c>
      <c r="M1136" s="171">
        <v>15</v>
      </c>
      <c r="N1136" s="170"/>
      <c r="O1136" s="177" t="s">
        <v>76</v>
      </c>
      <c r="P1136" s="162" t="s">
        <v>1591</v>
      </c>
      <c r="Q1136" s="176"/>
      <c r="R1136" s="175"/>
      <c r="S1136" s="179"/>
      <c r="T1136" s="164" t="s">
        <v>24</v>
      </c>
      <c r="U1136" s="161" t="s">
        <v>1615</v>
      </c>
      <c r="V1136" s="175">
        <v>1512</v>
      </c>
      <c r="W1136" s="181"/>
      <c r="X1136" s="186">
        <v>44287</v>
      </c>
      <c r="Y1136" s="187">
        <v>44981.403263888889</v>
      </c>
    </row>
    <row r="1137" spans="1:25">
      <c r="A1137" s="167" t="s">
        <v>77</v>
      </c>
      <c r="B1137" s="162" t="s">
        <v>1599</v>
      </c>
      <c r="C1137" s="163" t="s">
        <v>3305</v>
      </c>
      <c r="D1137" s="162" t="s">
        <v>3306</v>
      </c>
      <c r="E1137" s="161" t="s">
        <v>1631</v>
      </c>
      <c r="F1137" s="162" t="s">
        <v>1614</v>
      </c>
      <c r="G1137" s="161"/>
      <c r="H1137" s="214">
        <v>1</v>
      </c>
      <c r="I1137" s="171"/>
      <c r="J1137" s="170">
        <v>1500</v>
      </c>
      <c r="K1137" s="172"/>
      <c r="L1137" s="170">
        <v>1500</v>
      </c>
      <c r="M1137" s="171">
        <v>1500</v>
      </c>
      <c r="N1137" s="170"/>
      <c r="O1137" s="177" t="s">
        <v>1523</v>
      </c>
      <c r="P1137" s="162" t="s">
        <v>1604</v>
      </c>
      <c r="Q1137" s="176"/>
      <c r="R1137" s="174"/>
      <c r="S1137" s="179"/>
      <c r="T1137" s="162" t="s">
        <v>28</v>
      </c>
      <c r="U1137" s="161" t="s">
        <v>1615</v>
      </c>
      <c r="V1137" s="174">
        <v>1703</v>
      </c>
      <c r="W1137" s="180"/>
      <c r="X1137" s="185">
        <v>45017</v>
      </c>
      <c r="Y1137" s="187">
        <v>43559.424664351849</v>
      </c>
    </row>
    <row r="1138" spans="1:25">
      <c r="A1138" s="167" t="s">
        <v>77</v>
      </c>
      <c r="B1138" s="162" t="s">
        <v>1599</v>
      </c>
      <c r="C1138" s="163" t="s">
        <v>3307</v>
      </c>
      <c r="D1138" s="162" t="s">
        <v>2159</v>
      </c>
      <c r="E1138" s="161" t="s">
        <v>1613</v>
      </c>
      <c r="F1138" s="162" t="s">
        <v>1614</v>
      </c>
      <c r="G1138" s="161"/>
      <c r="H1138" s="214">
        <v>1</v>
      </c>
      <c r="I1138" s="171">
        <v>110</v>
      </c>
      <c r="J1138" s="170">
        <v>110</v>
      </c>
      <c r="K1138" s="172">
        <v>110</v>
      </c>
      <c r="L1138" s="170">
        <v>110</v>
      </c>
      <c r="M1138" s="171">
        <v>110</v>
      </c>
      <c r="N1138" s="170"/>
      <c r="O1138" s="177" t="s">
        <v>1523</v>
      </c>
      <c r="P1138" s="162" t="s">
        <v>1620</v>
      </c>
      <c r="Q1138" s="176"/>
      <c r="R1138" s="174"/>
      <c r="S1138" s="179"/>
      <c r="T1138" s="162" t="s">
        <v>28</v>
      </c>
      <c r="U1138" s="161" t="s">
        <v>1615</v>
      </c>
      <c r="V1138" s="174">
        <v>1442</v>
      </c>
      <c r="W1138" s="180"/>
      <c r="X1138" s="185">
        <v>45017</v>
      </c>
      <c r="Y1138" s="187">
        <v>45020.682581018518</v>
      </c>
    </row>
    <row r="1139" spans="1:25">
      <c r="A1139" s="220" t="s">
        <v>77</v>
      </c>
      <c r="B1139" s="221" t="s">
        <v>1599</v>
      </c>
      <c r="C1139" s="222" t="s">
        <v>3901</v>
      </c>
      <c r="D1139" s="221" t="s">
        <v>3902</v>
      </c>
      <c r="E1139" s="223" t="s">
        <v>1613</v>
      </c>
      <c r="F1139" s="224" t="s">
        <v>1615</v>
      </c>
      <c r="G1139" s="223"/>
      <c r="H1139" s="225">
        <v>1</v>
      </c>
      <c r="I1139" s="226"/>
      <c r="J1139" s="227">
        <v>500</v>
      </c>
      <c r="K1139" s="228"/>
      <c r="L1139" s="227">
        <v>500</v>
      </c>
      <c r="M1139" s="226">
        <v>500</v>
      </c>
      <c r="N1139" s="229"/>
      <c r="O1139" s="230" t="s">
        <v>1523</v>
      </c>
      <c r="P1139" s="221" t="s">
        <v>1604</v>
      </c>
      <c r="Q1139" s="231"/>
      <c r="R1139" s="232"/>
      <c r="S1139" s="233"/>
      <c r="T1139" s="224" t="s">
        <v>28</v>
      </c>
      <c r="U1139" s="223" t="s">
        <v>1615</v>
      </c>
      <c r="V1139" s="232">
        <v>2557</v>
      </c>
      <c r="W1139" s="234" t="s">
        <v>3995</v>
      </c>
      <c r="X1139" s="235"/>
      <c r="Y1139" s="236">
        <v>45111.598634259259</v>
      </c>
    </row>
    <row r="1140" spans="1:25">
      <c r="A1140" s="167" t="s">
        <v>45</v>
      </c>
      <c r="B1140" s="162" t="s">
        <v>1555</v>
      </c>
      <c r="C1140" s="163" t="s">
        <v>572</v>
      </c>
      <c r="D1140" s="162" t="s">
        <v>3308</v>
      </c>
      <c r="E1140" s="161" t="s">
        <v>1631</v>
      </c>
      <c r="F1140" s="162" t="s">
        <v>1614</v>
      </c>
      <c r="G1140" s="161" t="s">
        <v>3309</v>
      </c>
      <c r="H1140" s="214">
        <v>1</v>
      </c>
      <c r="I1140" s="171">
        <v>0</v>
      </c>
      <c r="J1140" s="170">
        <v>150</v>
      </c>
      <c r="K1140" s="172">
        <v>0</v>
      </c>
      <c r="L1140" s="170">
        <v>150</v>
      </c>
      <c r="M1140" s="171">
        <v>150</v>
      </c>
      <c r="N1140" s="170"/>
      <c r="O1140" s="177" t="s">
        <v>76</v>
      </c>
      <c r="P1140" s="162" t="s">
        <v>1620</v>
      </c>
      <c r="Q1140" s="176">
        <v>44531</v>
      </c>
      <c r="R1140" s="174">
        <v>2056</v>
      </c>
      <c r="S1140" s="179"/>
      <c r="T1140" s="162" t="s">
        <v>24</v>
      </c>
      <c r="U1140" s="161" t="s">
        <v>1615</v>
      </c>
      <c r="V1140" s="174">
        <v>1586</v>
      </c>
      <c r="W1140" s="180"/>
      <c r="X1140" s="185">
        <v>44896</v>
      </c>
      <c r="Y1140" s="187">
        <v>45034.438935185186</v>
      </c>
    </row>
    <row r="1141" spans="1:25">
      <c r="A1141" s="167" t="s">
        <v>77</v>
      </c>
      <c r="B1141" s="162" t="s">
        <v>1599</v>
      </c>
      <c r="C1141" s="163" t="s">
        <v>3310</v>
      </c>
      <c r="D1141" s="162" t="s">
        <v>3311</v>
      </c>
      <c r="E1141" s="161" t="s">
        <v>1602</v>
      </c>
      <c r="F1141" s="164" t="s">
        <v>1614</v>
      </c>
      <c r="G1141" s="161"/>
      <c r="H1141" s="215">
        <v>1</v>
      </c>
      <c r="I1141" s="171">
        <v>250</v>
      </c>
      <c r="J1141" s="173">
        <v>250</v>
      </c>
      <c r="K1141" s="172">
        <v>250</v>
      </c>
      <c r="L1141" s="173">
        <v>250</v>
      </c>
      <c r="M1141" s="171">
        <v>250</v>
      </c>
      <c r="N1141" s="170">
        <v>500</v>
      </c>
      <c r="O1141" s="177" t="s">
        <v>1523</v>
      </c>
      <c r="P1141" s="162" t="s">
        <v>1619</v>
      </c>
      <c r="Q1141" s="176"/>
      <c r="R1141" s="175"/>
      <c r="S1141" s="179"/>
      <c r="T1141" s="164" t="s">
        <v>28</v>
      </c>
      <c r="U1141" s="161" t="s">
        <v>19</v>
      </c>
      <c r="V1141" s="175">
        <v>2431</v>
      </c>
      <c r="W1141" s="181"/>
      <c r="X1141" s="186">
        <v>45069</v>
      </c>
      <c r="Y1141" s="187">
        <v>45097.652939814812</v>
      </c>
    </row>
    <row r="1142" spans="1:25">
      <c r="A1142" s="167" t="s">
        <v>77</v>
      </c>
      <c r="B1142" s="162" t="s">
        <v>1599</v>
      </c>
      <c r="C1142" s="163" t="s">
        <v>3310</v>
      </c>
      <c r="D1142" s="162" t="s">
        <v>3311</v>
      </c>
      <c r="E1142" s="161" t="s">
        <v>1602</v>
      </c>
      <c r="F1142" s="164" t="s">
        <v>1614</v>
      </c>
      <c r="G1142" s="161"/>
      <c r="H1142" s="215">
        <v>1</v>
      </c>
      <c r="I1142" s="171">
        <v>250</v>
      </c>
      <c r="J1142" s="173">
        <v>250</v>
      </c>
      <c r="K1142" s="172">
        <v>250</v>
      </c>
      <c r="L1142" s="173">
        <v>250</v>
      </c>
      <c r="M1142" s="171">
        <v>250</v>
      </c>
      <c r="N1142" s="170">
        <v>500</v>
      </c>
      <c r="O1142" s="177" t="s">
        <v>1523</v>
      </c>
      <c r="P1142" s="162" t="s">
        <v>1619</v>
      </c>
      <c r="Q1142" s="176"/>
      <c r="R1142" s="175"/>
      <c r="S1142" s="179"/>
      <c r="T1142" s="164" t="s">
        <v>28</v>
      </c>
      <c r="U1142" s="161" t="s">
        <v>19</v>
      </c>
      <c r="V1142" s="175">
        <v>2431</v>
      </c>
      <c r="W1142" s="181"/>
      <c r="X1142" s="186">
        <v>45069</v>
      </c>
      <c r="Y1142" s="187">
        <v>45097.652939814812</v>
      </c>
    </row>
    <row r="1143" spans="1:25">
      <c r="A1143" s="167" t="s">
        <v>77</v>
      </c>
      <c r="B1143" s="162" t="s">
        <v>1599</v>
      </c>
      <c r="C1143" s="163" t="s">
        <v>3310</v>
      </c>
      <c r="D1143" s="162" t="s">
        <v>3311</v>
      </c>
      <c r="E1143" s="161" t="s">
        <v>1602</v>
      </c>
      <c r="F1143" s="164" t="s">
        <v>1614</v>
      </c>
      <c r="G1143" s="161"/>
      <c r="H1143" s="215">
        <v>1</v>
      </c>
      <c r="I1143" s="171">
        <v>250</v>
      </c>
      <c r="J1143" s="173">
        <v>250</v>
      </c>
      <c r="K1143" s="172">
        <v>250</v>
      </c>
      <c r="L1143" s="173">
        <v>250</v>
      </c>
      <c r="M1143" s="171">
        <v>250</v>
      </c>
      <c r="N1143" s="170">
        <v>500</v>
      </c>
      <c r="O1143" s="177" t="s">
        <v>1523</v>
      </c>
      <c r="P1143" s="162" t="s">
        <v>1619</v>
      </c>
      <c r="Q1143" s="176"/>
      <c r="R1143" s="175"/>
      <c r="S1143" s="179"/>
      <c r="T1143" s="164" t="s">
        <v>28</v>
      </c>
      <c r="U1143" s="161" t="s">
        <v>19</v>
      </c>
      <c r="V1143" s="175">
        <v>2431</v>
      </c>
      <c r="W1143" s="181"/>
      <c r="X1143" s="186">
        <v>45069</v>
      </c>
      <c r="Y1143" s="187">
        <v>45097.652939814812</v>
      </c>
    </row>
    <row r="1144" spans="1:25">
      <c r="A1144" s="167" t="s">
        <v>77</v>
      </c>
      <c r="B1144" s="162" t="s">
        <v>1555</v>
      </c>
      <c r="C1144" s="163" t="s">
        <v>845</v>
      </c>
      <c r="D1144" s="162" t="s">
        <v>3312</v>
      </c>
      <c r="E1144" s="161" t="s">
        <v>1631</v>
      </c>
      <c r="F1144" s="164" t="s">
        <v>1614</v>
      </c>
      <c r="G1144" s="161" t="s">
        <v>847</v>
      </c>
      <c r="H1144" s="215">
        <v>49</v>
      </c>
      <c r="I1144" s="171">
        <v>1.74</v>
      </c>
      <c r="J1144" s="173">
        <v>1.74</v>
      </c>
      <c r="K1144" s="172">
        <v>85.26</v>
      </c>
      <c r="L1144" s="173">
        <v>85.26</v>
      </c>
      <c r="M1144" s="171">
        <v>85.26</v>
      </c>
      <c r="N1144" s="170"/>
      <c r="O1144" s="177" t="s">
        <v>76</v>
      </c>
      <c r="P1144" s="162" t="s">
        <v>1620</v>
      </c>
      <c r="Q1144" s="176">
        <v>43800</v>
      </c>
      <c r="R1144" s="175">
        <v>2049</v>
      </c>
      <c r="S1144" s="179"/>
      <c r="T1144" s="164" t="s">
        <v>24</v>
      </c>
      <c r="U1144" s="161" t="s">
        <v>1615</v>
      </c>
      <c r="V1144" s="175">
        <v>1444</v>
      </c>
      <c r="W1144" s="181"/>
      <c r="X1144" s="186">
        <v>45017</v>
      </c>
      <c r="Y1144" s="187">
        <v>45085.414490740739</v>
      </c>
    </row>
    <row r="1145" spans="1:25">
      <c r="A1145" s="167" t="s">
        <v>110</v>
      </c>
      <c r="B1145" s="162" t="s">
        <v>1555</v>
      </c>
      <c r="C1145" s="163" t="s">
        <v>3313</v>
      </c>
      <c r="D1145" s="162" t="s">
        <v>3314</v>
      </c>
      <c r="E1145" s="161" t="s">
        <v>1631</v>
      </c>
      <c r="F1145" s="162" t="s">
        <v>1614</v>
      </c>
      <c r="G1145" s="161"/>
      <c r="H1145" s="214">
        <v>1</v>
      </c>
      <c r="I1145" s="171"/>
      <c r="J1145" s="170">
        <v>7.2</v>
      </c>
      <c r="K1145" s="172"/>
      <c r="L1145" s="170">
        <v>7.2</v>
      </c>
      <c r="M1145" s="171">
        <v>7.2</v>
      </c>
      <c r="N1145" s="170"/>
      <c r="O1145" s="177" t="s">
        <v>76</v>
      </c>
      <c r="P1145" s="162" t="s">
        <v>1591</v>
      </c>
      <c r="Q1145" s="176"/>
      <c r="R1145" s="174">
        <v>2048</v>
      </c>
      <c r="S1145" s="179"/>
      <c r="T1145" s="162" t="s">
        <v>24</v>
      </c>
      <c r="U1145" s="161" t="s">
        <v>1615</v>
      </c>
      <c r="V1145" s="174">
        <v>1583</v>
      </c>
      <c r="W1145" s="180"/>
      <c r="X1145" s="185">
        <v>44805</v>
      </c>
      <c r="Y1145" s="187">
        <v>45029.470694444448</v>
      </c>
    </row>
    <row r="1146" spans="1:25">
      <c r="A1146" s="167" t="s">
        <v>110</v>
      </c>
      <c r="B1146" s="162" t="s">
        <v>1555</v>
      </c>
      <c r="C1146" s="163" t="s">
        <v>3315</v>
      </c>
      <c r="D1146" s="162" t="s">
        <v>3314</v>
      </c>
      <c r="E1146" s="161" t="s">
        <v>1631</v>
      </c>
      <c r="F1146" s="164" t="s">
        <v>1614</v>
      </c>
      <c r="G1146" s="161"/>
      <c r="H1146" s="215">
        <v>1</v>
      </c>
      <c r="I1146" s="171"/>
      <c r="J1146" s="173">
        <v>7.2</v>
      </c>
      <c r="K1146" s="172"/>
      <c r="L1146" s="173">
        <v>7.2</v>
      </c>
      <c r="M1146" s="171">
        <v>7.2</v>
      </c>
      <c r="N1146" s="170"/>
      <c r="O1146" s="177" t="s">
        <v>76</v>
      </c>
      <c r="P1146" s="162" t="s">
        <v>1591</v>
      </c>
      <c r="Q1146" s="176"/>
      <c r="R1146" s="175">
        <v>2043</v>
      </c>
      <c r="S1146" s="179"/>
      <c r="T1146" s="164" t="s">
        <v>24</v>
      </c>
      <c r="U1146" s="161" t="s">
        <v>1615</v>
      </c>
      <c r="V1146" s="175">
        <v>1611</v>
      </c>
      <c r="W1146" s="181"/>
      <c r="X1146" s="185">
        <v>44805</v>
      </c>
      <c r="Y1146" s="187">
        <v>45029.649074074077</v>
      </c>
    </row>
    <row r="1147" spans="1:25">
      <c r="A1147" s="167" t="s">
        <v>77</v>
      </c>
      <c r="B1147" s="162" t="s">
        <v>1599</v>
      </c>
      <c r="C1147" s="163" t="s">
        <v>3316</v>
      </c>
      <c r="D1147" s="162" t="s">
        <v>199</v>
      </c>
      <c r="E1147" s="161" t="s">
        <v>1602</v>
      </c>
      <c r="F1147" s="164" t="s">
        <v>1603</v>
      </c>
      <c r="G1147" s="161"/>
      <c r="H1147" s="215">
        <v>1</v>
      </c>
      <c r="I1147" s="171">
        <v>250</v>
      </c>
      <c r="J1147" s="173">
        <v>250</v>
      </c>
      <c r="K1147" s="172">
        <v>250</v>
      </c>
      <c r="L1147" s="173">
        <v>250</v>
      </c>
      <c r="M1147" s="171">
        <v>250</v>
      </c>
      <c r="N1147" s="170">
        <v>500</v>
      </c>
      <c r="O1147" s="177" t="s">
        <v>27</v>
      </c>
      <c r="P1147" s="162" t="s">
        <v>1619</v>
      </c>
      <c r="Q1147" s="176">
        <v>46023</v>
      </c>
      <c r="R1147" s="175"/>
      <c r="S1147" s="179"/>
      <c r="T1147" s="164" t="s">
        <v>27</v>
      </c>
      <c r="U1147" s="161" t="s">
        <v>19</v>
      </c>
      <c r="V1147" s="175">
        <v>2407</v>
      </c>
      <c r="W1147" s="181" t="s">
        <v>3317</v>
      </c>
      <c r="X1147" s="185">
        <v>45069</v>
      </c>
      <c r="Y1147" s="187">
        <v>45100.50377314815</v>
      </c>
    </row>
    <row r="1148" spans="1:25">
      <c r="A1148" s="167" t="s">
        <v>77</v>
      </c>
      <c r="B1148" s="162" t="s">
        <v>1555</v>
      </c>
      <c r="C1148" s="163" t="s">
        <v>1070</v>
      </c>
      <c r="D1148" s="162" t="s">
        <v>1715</v>
      </c>
      <c r="E1148" s="161" t="s">
        <v>2072</v>
      </c>
      <c r="F1148" s="164" t="s">
        <v>1857</v>
      </c>
      <c r="G1148" s="161" t="s">
        <v>3318</v>
      </c>
      <c r="H1148" s="215">
        <v>1</v>
      </c>
      <c r="I1148" s="171"/>
      <c r="J1148" s="173">
        <v>385</v>
      </c>
      <c r="K1148" s="172"/>
      <c r="L1148" s="173">
        <v>385</v>
      </c>
      <c r="M1148" s="171">
        <v>385</v>
      </c>
      <c r="N1148" s="170"/>
      <c r="O1148" s="177" t="s">
        <v>76</v>
      </c>
      <c r="P1148" s="162" t="s">
        <v>1619</v>
      </c>
      <c r="Q1148" s="176"/>
      <c r="R1148" s="175">
        <v>2036</v>
      </c>
      <c r="S1148" s="179"/>
      <c r="T1148" s="164" t="s">
        <v>24</v>
      </c>
      <c r="U1148" s="161" t="s">
        <v>12</v>
      </c>
      <c r="V1148" s="175">
        <v>1190</v>
      </c>
      <c r="W1148" s="181"/>
      <c r="X1148" s="186">
        <v>45017</v>
      </c>
      <c r="Y1148" s="187">
        <v>45085.460532407407</v>
      </c>
    </row>
    <row r="1149" spans="1:25">
      <c r="A1149" s="167" t="s">
        <v>77</v>
      </c>
      <c r="B1149" s="162" t="s">
        <v>1555</v>
      </c>
      <c r="C1149" s="163" t="s">
        <v>3319</v>
      </c>
      <c r="D1149" s="162" t="s">
        <v>185</v>
      </c>
      <c r="E1149" s="161" t="s">
        <v>1596</v>
      </c>
      <c r="F1149" s="164" t="s">
        <v>1627</v>
      </c>
      <c r="G1149" s="161"/>
      <c r="H1149" s="215">
        <v>1</v>
      </c>
      <c r="I1149" s="171"/>
      <c r="J1149" s="173">
        <v>1.1200000000000001</v>
      </c>
      <c r="K1149" s="172"/>
      <c r="L1149" s="173">
        <v>1.1200000000000001</v>
      </c>
      <c r="M1149" s="171">
        <v>1.1200000000000001</v>
      </c>
      <c r="N1149" s="170"/>
      <c r="O1149" s="177" t="s">
        <v>76</v>
      </c>
      <c r="P1149" s="162" t="s">
        <v>1591</v>
      </c>
      <c r="Q1149" s="176"/>
      <c r="R1149" s="175">
        <v>2042</v>
      </c>
      <c r="S1149" s="179"/>
      <c r="T1149" s="164" t="s">
        <v>24</v>
      </c>
      <c r="U1149" s="161" t="s">
        <v>18</v>
      </c>
      <c r="V1149" s="175">
        <v>1344</v>
      </c>
      <c r="W1149" s="181"/>
      <c r="X1149" s="186">
        <v>44805</v>
      </c>
      <c r="Y1149" s="187">
        <v>44981.413587962961</v>
      </c>
    </row>
    <row r="1150" spans="1:25">
      <c r="A1150" s="167" t="s">
        <v>77</v>
      </c>
      <c r="B1150" s="162" t="s">
        <v>1555</v>
      </c>
      <c r="C1150" s="163" t="s">
        <v>3319</v>
      </c>
      <c r="D1150" s="162" t="s">
        <v>185</v>
      </c>
      <c r="E1150" s="161" t="s">
        <v>1596</v>
      </c>
      <c r="F1150" s="164" t="s">
        <v>1627</v>
      </c>
      <c r="G1150" s="161"/>
      <c r="H1150" s="215">
        <v>1</v>
      </c>
      <c r="I1150" s="171"/>
      <c r="J1150" s="173">
        <v>0.39</v>
      </c>
      <c r="K1150" s="172"/>
      <c r="L1150" s="173">
        <v>0.39</v>
      </c>
      <c r="M1150" s="171">
        <v>0.39</v>
      </c>
      <c r="N1150" s="170"/>
      <c r="O1150" s="177" t="s">
        <v>76</v>
      </c>
      <c r="P1150" s="162" t="s">
        <v>1591</v>
      </c>
      <c r="Q1150" s="176"/>
      <c r="R1150" s="175">
        <v>2042</v>
      </c>
      <c r="S1150" s="179"/>
      <c r="T1150" s="164" t="s">
        <v>24</v>
      </c>
      <c r="U1150" s="161" t="s">
        <v>18</v>
      </c>
      <c r="V1150" s="175">
        <v>1344</v>
      </c>
      <c r="W1150" s="181"/>
      <c r="X1150" s="186">
        <v>44805</v>
      </c>
      <c r="Y1150" s="187">
        <v>44981.413587962961</v>
      </c>
    </row>
    <row r="1151" spans="1:25">
      <c r="A1151" s="167" t="s">
        <v>110</v>
      </c>
      <c r="B1151" s="162" t="s">
        <v>1555</v>
      </c>
      <c r="C1151" s="163" t="s">
        <v>3320</v>
      </c>
      <c r="D1151" s="162" t="s">
        <v>3321</v>
      </c>
      <c r="E1151" s="161" t="s">
        <v>1673</v>
      </c>
      <c r="F1151" s="164" t="s">
        <v>1592</v>
      </c>
      <c r="G1151" s="161"/>
      <c r="H1151" s="215">
        <v>1</v>
      </c>
      <c r="I1151" s="171"/>
      <c r="J1151" s="173"/>
      <c r="K1151" s="172"/>
      <c r="L1151" s="173"/>
      <c r="M1151" s="171"/>
      <c r="N1151" s="170"/>
      <c r="O1151" s="177" t="s">
        <v>76</v>
      </c>
      <c r="P1151" s="162" t="s">
        <v>1591</v>
      </c>
      <c r="Q1151" s="176"/>
      <c r="R1151" s="175"/>
      <c r="S1151" s="179"/>
      <c r="T1151" s="162" t="s">
        <v>24</v>
      </c>
      <c r="U1151" s="161" t="s">
        <v>13</v>
      </c>
      <c r="V1151" s="175">
        <v>1191</v>
      </c>
      <c r="W1151" s="181"/>
      <c r="X1151" s="186" t="s">
        <v>259</v>
      </c>
      <c r="Y1151" s="187">
        <v>43227.19740740741</v>
      </c>
    </row>
    <row r="1152" spans="1:25">
      <c r="A1152" s="167" t="s">
        <v>77</v>
      </c>
      <c r="B1152" s="162" t="s">
        <v>1555</v>
      </c>
      <c r="C1152" s="163" t="s">
        <v>1072</v>
      </c>
      <c r="D1152" s="162" t="s">
        <v>763</v>
      </c>
      <c r="E1152" s="161" t="s">
        <v>1739</v>
      </c>
      <c r="F1152" s="164" t="s">
        <v>1603</v>
      </c>
      <c r="G1152" s="161"/>
      <c r="H1152" s="215">
        <v>1</v>
      </c>
      <c r="I1152" s="171">
        <v>0</v>
      </c>
      <c r="J1152" s="173">
        <v>24</v>
      </c>
      <c r="K1152" s="172">
        <v>0</v>
      </c>
      <c r="L1152" s="173">
        <v>24</v>
      </c>
      <c r="M1152" s="171">
        <v>24</v>
      </c>
      <c r="N1152" s="170"/>
      <c r="O1152" s="177" t="s">
        <v>76</v>
      </c>
      <c r="P1152" s="162" t="s">
        <v>1591</v>
      </c>
      <c r="Q1152" s="176"/>
      <c r="R1152" s="175">
        <v>2040</v>
      </c>
      <c r="S1152" s="179"/>
      <c r="T1152" s="164" t="s">
        <v>24</v>
      </c>
      <c r="U1152" s="161" t="s">
        <v>14</v>
      </c>
      <c r="V1152" s="175">
        <v>1298</v>
      </c>
      <c r="W1152" s="181"/>
      <c r="X1152" s="186">
        <v>44713</v>
      </c>
      <c r="Y1152" s="187">
        <v>45029.642233796294</v>
      </c>
    </row>
    <row r="1153" spans="1:25">
      <c r="A1153" s="167" t="s">
        <v>45</v>
      </c>
      <c r="B1153" s="162" t="s">
        <v>1599</v>
      </c>
      <c r="C1153" s="163" t="s">
        <v>3322</v>
      </c>
      <c r="D1153" s="162" t="s">
        <v>3323</v>
      </c>
      <c r="E1153" s="161" t="s">
        <v>1602</v>
      </c>
      <c r="F1153" s="164" t="s">
        <v>1603</v>
      </c>
      <c r="G1153" s="161"/>
      <c r="H1153" s="215">
        <v>30</v>
      </c>
      <c r="I1153" s="171">
        <v>4</v>
      </c>
      <c r="J1153" s="173">
        <v>4</v>
      </c>
      <c r="K1153" s="172">
        <v>120</v>
      </c>
      <c r="L1153" s="173">
        <v>120</v>
      </c>
      <c r="M1153" s="171">
        <v>120</v>
      </c>
      <c r="N1153" s="170">
        <v>0</v>
      </c>
      <c r="O1153" s="177" t="s">
        <v>1523</v>
      </c>
      <c r="P1153" s="162" t="s">
        <v>1604</v>
      </c>
      <c r="Q1153" s="176"/>
      <c r="R1153" s="175"/>
      <c r="S1153" s="179"/>
      <c r="T1153" s="164" t="s">
        <v>28</v>
      </c>
      <c r="U1153" s="161" t="s">
        <v>19</v>
      </c>
      <c r="V1153" s="175">
        <v>2480</v>
      </c>
      <c r="W1153" s="181" t="s">
        <v>3324</v>
      </c>
      <c r="X1153" s="186">
        <v>45017</v>
      </c>
      <c r="Y1153" s="187">
        <v>45035.62128472222</v>
      </c>
    </row>
    <row r="1154" spans="1:25">
      <c r="A1154" s="167" t="s">
        <v>45</v>
      </c>
      <c r="B1154" s="162" t="s">
        <v>1599</v>
      </c>
      <c r="C1154" s="163" t="s">
        <v>3325</v>
      </c>
      <c r="D1154" s="162" t="s">
        <v>3323</v>
      </c>
      <c r="E1154" s="161" t="s">
        <v>1613</v>
      </c>
      <c r="F1154" s="164" t="s">
        <v>1614</v>
      </c>
      <c r="G1154" s="161"/>
      <c r="H1154" s="215">
        <v>30</v>
      </c>
      <c r="I1154" s="171">
        <v>4</v>
      </c>
      <c r="J1154" s="173">
        <v>4</v>
      </c>
      <c r="K1154" s="172">
        <v>120</v>
      </c>
      <c r="L1154" s="173">
        <v>120</v>
      </c>
      <c r="M1154" s="171">
        <v>120</v>
      </c>
      <c r="N1154" s="170"/>
      <c r="O1154" s="177" t="s">
        <v>1523</v>
      </c>
      <c r="P1154" s="162" t="s">
        <v>1604</v>
      </c>
      <c r="Q1154" s="176"/>
      <c r="R1154" s="175"/>
      <c r="S1154" s="179"/>
      <c r="T1154" s="164" t="s">
        <v>28</v>
      </c>
      <c r="U1154" s="161" t="s">
        <v>1615</v>
      </c>
      <c r="V1154" s="175">
        <v>2479</v>
      </c>
      <c r="W1154" s="181" t="s">
        <v>3324</v>
      </c>
      <c r="X1154" s="186">
        <v>45017</v>
      </c>
      <c r="Y1154" s="187">
        <v>45035.616990740738</v>
      </c>
    </row>
    <row r="1155" spans="1:25">
      <c r="A1155" s="167" t="s">
        <v>45</v>
      </c>
      <c r="B1155" s="162" t="s">
        <v>1555</v>
      </c>
      <c r="C1155" s="163" t="s">
        <v>3326</v>
      </c>
      <c r="D1155" s="162" t="s">
        <v>3327</v>
      </c>
      <c r="E1155" s="161" t="s">
        <v>1596</v>
      </c>
      <c r="F1155" s="164" t="s">
        <v>1639</v>
      </c>
      <c r="G1155" s="161" t="s">
        <v>3328</v>
      </c>
      <c r="H1155" s="215">
        <v>7</v>
      </c>
      <c r="I1155" s="171"/>
      <c r="J1155" s="173">
        <v>1.07</v>
      </c>
      <c r="K1155" s="172"/>
      <c r="L1155" s="173">
        <v>7.46</v>
      </c>
      <c r="M1155" s="171">
        <v>7.46</v>
      </c>
      <c r="N1155" s="170"/>
      <c r="O1155" s="177" t="s">
        <v>76</v>
      </c>
      <c r="P1155" s="162" t="s">
        <v>1591</v>
      </c>
      <c r="Q1155" s="176"/>
      <c r="R1155" s="175">
        <v>2035</v>
      </c>
      <c r="S1155" s="179"/>
      <c r="T1155" s="164" t="s">
        <v>24</v>
      </c>
      <c r="U1155" s="161" t="s">
        <v>14</v>
      </c>
      <c r="V1155" s="175">
        <v>1361</v>
      </c>
      <c r="W1155" s="181"/>
      <c r="X1155" s="186">
        <v>44621</v>
      </c>
      <c r="Y1155" s="187">
        <v>44981.396481481483</v>
      </c>
    </row>
    <row r="1156" spans="1:25">
      <c r="A1156" s="167" t="s">
        <v>91</v>
      </c>
      <c r="B1156" s="162" t="s">
        <v>1555</v>
      </c>
      <c r="C1156" s="163" t="s">
        <v>906</v>
      </c>
      <c r="D1156" s="162" t="s">
        <v>155</v>
      </c>
      <c r="E1156" s="161" t="s">
        <v>1613</v>
      </c>
      <c r="F1156" s="164" t="s">
        <v>1614</v>
      </c>
      <c r="G1156" s="161" t="s">
        <v>3329</v>
      </c>
      <c r="H1156" s="215">
        <v>1</v>
      </c>
      <c r="I1156" s="171">
        <v>108</v>
      </c>
      <c r="J1156" s="173">
        <v>108</v>
      </c>
      <c r="K1156" s="172">
        <v>108</v>
      </c>
      <c r="L1156" s="173">
        <v>108</v>
      </c>
      <c r="M1156" s="171">
        <v>108</v>
      </c>
      <c r="N1156" s="170"/>
      <c r="O1156" s="177" t="s">
        <v>76</v>
      </c>
      <c r="P1156" s="162" t="s">
        <v>1620</v>
      </c>
      <c r="Q1156" s="176">
        <v>43556</v>
      </c>
      <c r="R1156" s="175">
        <v>2049</v>
      </c>
      <c r="S1156" s="179"/>
      <c r="T1156" s="164" t="s">
        <v>24</v>
      </c>
      <c r="U1156" s="161" t="s">
        <v>1615</v>
      </c>
      <c r="V1156" s="175">
        <v>1397</v>
      </c>
      <c r="W1156" s="181"/>
      <c r="X1156" s="186">
        <v>45017</v>
      </c>
      <c r="Y1156" s="187">
        <v>45016.645405092589</v>
      </c>
    </row>
    <row r="1157" spans="1:25">
      <c r="A1157" s="167" t="s">
        <v>91</v>
      </c>
      <c r="B1157" s="162" t="s">
        <v>1599</v>
      </c>
      <c r="C1157" s="163" t="s">
        <v>369</v>
      </c>
      <c r="D1157" s="162" t="s">
        <v>155</v>
      </c>
      <c r="E1157" s="161" t="s">
        <v>1602</v>
      </c>
      <c r="F1157" s="164" t="s">
        <v>1603</v>
      </c>
      <c r="G1157" s="161" t="s">
        <v>3330</v>
      </c>
      <c r="H1157" s="215">
        <v>1</v>
      </c>
      <c r="I1157" s="171"/>
      <c r="J1157" s="173">
        <v>41.5</v>
      </c>
      <c r="K1157" s="172"/>
      <c r="L1157" s="173">
        <v>41.5</v>
      </c>
      <c r="M1157" s="171">
        <v>41.5</v>
      </c>
      <c r="N1157" s="170">
        <v>84</v>
      </c>
      <c r="O1157" s="177" t="s">
        <v>26</v>
      </c>
      <c r="P1157" s="162" t="s">
        <v>1619</v>
      </c>
      <c r="Q1157" s="176">
        <v>45292</v>
      </c>
      <c r="R1157" s="175">
        <v>2048</v>
      </c>
      <c r="S1157" s="179"/>
      <c r="T1157" s="164" t="s">
        <v>26</v>
      </c>
      <c r="U1157" s="161" t="s">
        <v>19</v>
      </c>
      <c r="V1157" s="175">
        <v>1735</v>
      </c>
      <c r="W1157" s="181" t="s">
        <v>3331</v>
      </c>
      <c r="X1157" s="186">
        <v>45069</v>
      </c>
      <c r="Y1157" s="187">
        <v>45103.807187500002</v>
      </c>
    </row>
    <row r="1158" spans="1:25">
      <c r="A1158" s="167" t="s">
        <v>91</v>
      </c>
      <c r="B1158" s="162" t="s">
        <v>1555</v>
      </c>
      <c r="C1158" s="163" t="s">
        <v>464</v>
      </c>
      <c r="D1158" s="162" t="s">
        <v>155</v>
      </c>
      <c r="E1158" s="161" t="s">
        <v>1631</v>
      </c>
      <c r="F1158" s="164" t="s">
        <v>1614</v>
      </c>
      <c r="G1158" s="161" t="s">
        <v>3332</v>
      </c>
      <c r="H1158" s="215">
        <v>1</v>
      </c>
      <c r="I1158" s="171"/>
      <c r="J1158" s="173">
        <v>105</v>
      </c>
      <c r="K1158" s="172"/>
      <c r="L1158" s="173">
        <v>105</v>
      </c>
      <c r="M1158" s="171">
        <v>105</v>
      </c>
      <c r="N1158" s="170"/>
      <c r="O1158" s="177" t="s">
        <v>401</v>
      </c>
      <c r="P1158" s="162" t="s">
        <v>1620</v>
      </c>
      <c r="Q1158" s="176">
        <v>45170</v>
      </c>
      <c r="R1158" s="175">
        <v>2053</v>
      </c>
      <c r="S1158" s="179"/>
      <c r="T1158" s="162" t="s">
        <v>24</v>
      </c>
      <c r="U1158" s="161" t="s">
        <v>1615</v>
      </c>
      <c r="V1158" s="175">
        <v>1575</v>
      </c>
      <c r="W1158" s="181"/>
      <c r="X1158" s="186">
        <v>45069</v>
      </c>
      <c r="Y1158" s="187">
        <v>45103.796122685184</v>
      </c>
    </row>
    <row r="1159" spans="1:25">
      <c r="A1159" s="167" t="s">
        <v>91</v>
      </c>
      <c r="B1159" s="162" t="s">
        <v>1599</v>
      </c>
      <c r="C1159" s="163" t="s">
        <v>3333</v>
      </c>
      <c r="D1159" s="162" t="s">
        <v>197</v>
      </c>
      <c r="E1159" s="161" t="s">
        <v>1602</v>
      </c>
      <c r="F1159" s="164" t="s">
        <v>1603</v>
      </c>
      <c r="G1159" s="161"/>
      <c r="H1159" s="215">
        <v>1</v>
      </c>
      <c r="I1159" s="171"/>
      <c r="J1159" s="173">
        <v>204</v>
      </c>
      <c r="K1159" s="172"/>
      <c r="L1159" s="173">
        <v>204</v>
      </c>
      <c r="M1159" s="171">
        <v>204</v>
      </c>
      <c r="N1159" s="170">
        <v>408</v>
      </c>
      <c r="O1159" s="177" t="s">
        <v>1523</v>
      </c>
      <c r="P1159" s="162" t="s">
        <v>1619</v>
      </c>
      <c r="Q1159" s="176"/>
      <c r="R1159" s="175"/>
      <c r="S1159" s="179"/>
      <c r="T1159" s="164" t="s">
        <v>28</v>
      </c>
      <c r="U1159" s="161" t="s">
        <v>19</v>
      </c>
      <c r="V1159" s="175">
        <v>2436</v>
      </c>
      <c r="W1159" s="181"/>
      <c r="X1159" s="186">
        <v>45069</v>
      </c>
      <c r="Y1159" s="187">
        <v>45033.420185185183</v>
      </c>
    </row>
    <row r="1160" spans="1:25">
      <c r="A1160" s="167" t="s">
        <v>45</v>
      </c>
      <c r="B1160" s="162" t="s">
        <v>1555</v>
      </c>
      <c r="C1160" s="163" t="s">
        <v>808</v>
      </c>
      <c r="D1160" s="162" t="s">
        <v>481</v>
      </c>
      <c r="E1160" s="161" t="s">
        <v>2072</v>
      </c>
      <c r="F1160" s="164" t="s">
        <v>1592</v>
      </c>
      <c r="G1160" s="161" t="s">
        <v>3334</v>
      </c>
      <c r="H1160" s="215">
        <v>1</v>
      </c>
      <c r="I1160" s="171"/>
      <c r="J1160" s="173">
        <v>440</v>
      </c>
      <c r="K1160" s="172"/>
      <c r="L1160" s="173">
        <v>440</v>
      </c>
      <c r="M1160" s="171">
        <v>440</v>
      </c>
      <c r="N1160" s="170"/>
      <c r="O1160" s="177" t="s">
        <v>76</v>
      </c>
      <c r="P1160" s="162" t="s">
        <v>1619</v>
      </c>
      <c r="Q1160" s="176"/>
      <c r="R1160" s="175">
        <v>2043</v>
      </c>
      <c r="S1160" s="179"/>
      <c r="T1160" s="164" t="s">
        <v>24</v>
      </c>
      <c r="U1160" s="161" t="s">
        <v>12</v>
      </c>
      <c r="V1160" s="175">
        <v>1192</v>
      </c>
      <c r="W1160" s="181"/>
      <c r="X1160" s="186">
        <v>45017</v>
      </c>
      <c r="Y1160" s="187">
        <v>45016.429236111115</v>
      </c>
    </row>
    <row r="1161" spans="1:25">
      <c r="A1161" s="167" t="s">
        <v>45</v>
      </c>
      <c r="B1161" s="162" t="s">
        <v>1599</v>
      </c>
      <c r="C1161" s="163" t="s">
        <v>3335</v>
      </c>
      <c r="D1161" s="162" t="s">
        <v>3336</v>
      </c>
      <c r="E1161" s="161" t="s">
        <v>1673</v>
      </c>
      <c r="F1161" s="164" t="s">
        <v>1592</v>
      </c>
      <c r="G1161" s="161" t="s">
        <v>3337</v>
      </c>
      <c r="H1161" s="215">
        <v>1</v>
      </c>
      <c r="I1161" s="171">
        <v>320</v>
      </c>
      <c r="J1161" s="173">
        <v>320</v>
      </c>
      <c r="K1161" s="172">
        <v>320</v>
      </c>
      <c r="L1161" s="173">
        <v>320</v>
      </c>
      <c r="M1161" s="171">
        <v>320</v>
      </c>
      <c r="N1161" s="170"/>
      <c r="O1161" s="177" t="s">
        <v>317</v>
      </c>
      <c r="P1161" s="162" t="s">
        <v>1619</v>
      </c>
      <c r="Q1161" s="176">
        <v>45231</v>
      </c>
      <c r="R1161" s="175">
        <v>2053</v>
      </c>
      <c r="S1161" s="179"/>
      <c r="T1161" s="164" t="s">
        <v>26</v>
      </c>
      <c r="U1161" s="161" t="s">
        <v>13</v>
      </c>
      <c r="V1161" s="175">
        <v>1193</v>
      </c>
      <c r="W1161" s="181"/>
      <c r="X1161" s="186">
        <v>45069</v>
      </c>
      <c r="Y1161" s="187">
        <v>45097.36277777778</v>
      </c>
    </row>
    <row r="1162" spans="1:25">
      <c r="A1162" s="167" t="s">
        <v>105</v>
      </c>
      <c r="B1162" s="162" t="s">
        <v>1555</v>
      </c>
      <c r="C1162" s="163" t="s">
        <v>437</v>
      </c>
      <c r="D1162" s="162" t="s">
        <v>438</v>
      </c>
      <c r="E1162" s="161" t="s">
        <v>2072</v>
      </c>
      <c r="F1162" s="164" t="s">
        <v>1592</v>
      </c>
      <c r="G1162" s="161" t="s">
        <v>439</v>
      </c>
      <c r="H1162" s="215">
        <v>1</v>
      </c>
      <c r="I1162" s="171"/>
      <c r="J1162" s="173">
        <v>140</v>
      </c>
      <c r="K1162" s="172"/>
      <c r="L1162" s="173">
        <v>140</v>
      </c>
      <c r="M1162" s="171">
        <v>140</v>
      </c>
      <c r="N1162" s="170"/>
      <c r="O1162" s="177" t="s">
        <v>76</v>
      </c>
      <c r="P1162" s="162" t="s">
        <v>1619</v>
      </c>
      <c r="Q1162" s="176"/>
      <c r="R1162" s="175">
        <v>2050</v>
      </c>
      <c r="S1162" s="179"/>
      <c r="T1162" s="164" t="s">
        <v>24</v>
      </c>
      <c r="U1162" s="161" t="s">
        <v>12</v>
      </c>
      <c r="V1162" s="175">
        <v>1194</v>
      </c>
      <c r="W1162" s="181"/>
      <c r="X1162" s="186">
        <v>45017</v>
      </c>
      <c r="Y1162" s="187">
        <v>45086.831956018519</v>
      </c>
    </row>
    <row r="1163" spans="1:25">
      <c r="A1163" s="167" t="s">
        <v>105</v>
      </c>
      <c r="B1163" s="162" t="s">
        <v>1555</v>
      </c>
      <c r="C1163" s="163" t="s">
        <v>437</v>
      </c>
      <c r="D1163" s="162" t="s">
        <v>438</v>
      </c>
      <c r="E1163" s="161" t="s">
        <v>2072</v>
      </c>
      <c r="F1163" s="164" t="s">
        <v>1592</v>
      </c>
      <c r="G1163" s="161" t="s">
        <v>439</v>
      </c>
      <c r="H1163" s="215">
        <v>1</v>
      </c>
      <c r="I1163" s="171"/>
      <c r="J1163" s="173">
        <v>68</v>
      </c>
      <c r="K1163" s="172"/>
      <c r="L1163" s="173">
        <v>68</v>
      </c>
      <c r="M1163" s="171">
        <v>68</v>
      </c>
      <c r="N1163" s="170"/>
      <c r="O1163" s="177" t="s">
        <v>76</v>
      </c>
      <c r="P1163" s="162" t="s">
        <v>1619</v>
      </c>
      <c r="Q1163" s="176"/>
      <c r="R1163" s="175">
        <v>2050</v>
      </c>
      <c r="S1163" s="179"/>
      <c r="T1163" s="164" t="s">
        <v>24</v>
      </c>
      <c r="U1163" s="161" t="s">
        <v>12</v>
      </c>
      <c r="V1163" s="175">
        <v>1194</v>
      </c>
      <c r="W1163" s="181"/>
      <c r="X1163" s="186">
        <v>45017</v>
      </c>
      <c r="Y1163" s="187">
        <v>45086.831956018519</v>
      </c>
    </row>
    <row r="1164" spans="1:25">
      <c r="A1164" s="167" t="s">
        <v>105</v>
      </c>
      <c r="B1164" s="162" t="s">
        <v>1555</v>
      </c>
      <c r="C1164" s="163" t="s">
        <v>1252</v>
      </c>
      <c r="D1164" s="162" t="s">
        <v>438</v>
      </c>
      <c r="E1164" s="161" t="s">
        <v>1673</v>
      </c>
      <c r="F1164" s="164" t="s">
        <v>1592</v>
      </c>
      <c r="G1164" s="161" t="s">
        <v>3338</v>
      </c>
      <c r="H1164" s="215">
        <v>1</v>
      </c>
      <c r="I1164" s="171">
        <v>58</v>
      </c>
      <c r="J1164" s="173">
        <v>58</v>
      </c>
      <c r="K1164" s="172">
        <v>58</v>
      </c>
      <c r="L1164" s="173">
        <v>58</v>
      </c>
      <c r="M1164" s="171">
        <v>58</v>
      </c>
      <c r="N1164" s="170"/>
      <c r="O1164" s="177" t="s">
        <v>76</v>
      </c>
      <c r="P1164" s="162" t="s">
        <v>1619</v>
      </c>
      <c r="Q1164" s="176"/>
      <c r="R1164" s="175">
        <v>2050</v>
      </c>
      <c r="S1164" s="179"/>
      <c r="T1164" s="164" t="s">
        <v>24</v>
      </c>
      <c r="U1164" s="161" t="s">
        <v>13</v>
      </c>
      <c r="V1164" s="175">
        <v>1195</v>
      </c>
      <c r="W1164" s="181"/>
      <c r="X1164" s="186">
        <v>45017</v>
      </c>
      <c r="Y1164" s="187">
        <v>45086.836238425924</v>
      </c>
    </row>
    <row r="1165" spans="1:25">
      <c r="A1165" s="167" t="s">
        <v>45</v>
      </c>
      <c r="B1165" s="162" t="s">
        <v>1599</v>
      </c>
      <c r="C1165" s="163" t="s">
        <v>3339</v>
      </c>
      <c r="D1165" s="162" t="s">
        <v>3340</v>
      </c>
      <c r="E1165" s="161" t="s">
        <v>1602</v>
      </c>
      <c r="F1165" s="164" t="s">
        <v>1603</v>
      </c>
      <c r="G1165" s="161"/>
      <c r="H1165" s="215">
        <v>1</v>
      </c>
      <c r="I1165" s="171">
        <v>300</v>
      </c>
      <c r="J1165" s="173">
        <v>300</v>
      </c>
      <c r="K1165" s="172">
        <v>300</v>
      </c>
      <c r="L1165" s="173">
        <v>300</v>
      </c>
      <c r="M1165" s="171">
        <v>300</v>
      </c>
      <c r="N1165" s="170">
        <v>600</v>
      </c>
      <c r="O1165" s="177" t="s">
        <v>1523</v>
      </c>
      <c r="P1165" s="162" t="s">
        <v>1619</v>
      </c>
      <c r="Q1165" s="176"/>
      <c r="R1165" s="175"/>
      <c r="S1165" s="179"/>
      <c r="T1165" s="164" t="s">
        <v>28</v>
      </c>
      <c r="U1165" s="161" t="s">
        <v>19</v>
      </c>
      <c r="V1165" s="175">
        <v>2196</v>
      </c>
      <c r="W1165" s="181" t="s">
        <v>3341</v>
      </c>
      <c r="X1165" s="186">
        <v>45017</v>
      </c>
      <c r="Y1165" s="187">
        <v>45027.684525462966</v>
      </c>
    </row>
    <row r="1166" spans="1:25">
      <c r="A1166" s="167" t="s">
        <v>45</v>
      </c>
      <c r="B1166" s="162" t="s">
        <v>1599</v>
      </c>
      <c r="C1166" s="163" t="s">
        <v>3342</v>
      </c>
      <c r="D1166" s="162" t="s">
        <v>1654</v>
      </c>
      <c r="E1166" s="161" t="s">
        <v>1602</v>
      </c>
      <c r="F1166" s="164" t="s">
        <v>1603</v>
      </c>
      <c r="G1166" s="161"/>
      <c r="H1166" s="215">
        <v>1</v>
      </c>
      <c r="I1166" s="171"/>
      <c r="J1166" s="173">
        <v>200</v>
      </c>
      <c r="K1166" s="172"/>
      <c r="L1166" s="173">
        <v>200</v>
      </c>
      <c r="M1166" s="171">
        <v>200</v>
      </c>
      <c r="N1166" s="170">
        <v>400</v>
      </c>
      <c r="O1166" s="177" t="s">
        <v>1523</v>
      </c>
      <c r="P1166" s="162" t="s">
        <v>1619</v>
      </c>
      <c r="Q1166" s="176"/>
      <c r="R1166" s="175"/>
      <c r="S1166" s="179"/>
      <c r="T1166" s="164" t="s">
        <v>28</v>
      </c>
      <c r="U1166" s="161" t="s">
        <v>19</v>
      </c>
      <c r="V1166" s="175">
        <v>2517</v>
      </c>
      <c r="W1166" s="181"/>
      <c r="X1166" s="186"/>
      <c r="Y1166" s="187">
        <v>45077.683287037034</v>
      </c>
    </row>
    <row r="1167" spans="1:25">
      <c r="A1167" s="167" t="s">
        <v>45</v>
      </c>
      <c r="B1167" s="162" t="s">
        <v>1599</v>
      </c>
      <c r="C1167" s="163" t="s">
        <v>257</v>
      </c>
      <c r="D1167" s="162" t="s">
        <v>258</v>
      </c>
      <c r="E1167" s="161" t="s">
        <v>1631</v>
      </c>
      <c r="F1167" s="164" t="s">
        <v>1614</v>
      </c>
      <c r="G1167" s="161"/>
      <c r="H1167" s="215">
        <v>1</v>
      </c>
      <c r="I1167" s="171">
        <v>0</v>
      </c>
      <c r="J1167" s="173">
        <v>65</v>
      </c>
      <c r="K1167" s="172">
        <v>0</v>
      </c>
      <c r="L1167" s="173">
        <v>65</v>
      </c>
      <c r="M1167" s="171">
        <v>65</v>
      </c>
      <c r="N1167" s="170"/>
      <c r="O1167" s="177" t="s">
        <v>27</v>
      </c>
      <c r="P1167" s="162" t="s">
        <v>1620</v>
      </c>
      <c r="Q1167" s="176"/>
      <c r="R1167" s="175">
        <v>2053</v>
      </c>
      <c r="S1167" s="179"/>
      <c r="T1167" s="164" t="s">
        <v>27</v>
      </c>
      <c r="U1167" s="161" t="s">
        <v>1615</v>
      </c>
      <c r="V1167" s="175">
        <v>1881</v>
      </c>
      <c r="W1167" s="181" t="s">
        <v>3343</v>
      </c>
      <c r="X1167" s="186">
        <v>45069</v>
      </c>
      <c r="Y1167" s="187">
        <v>45027.647418981483</v>
      </c>
    </row>
    <row r="1168" spans="1:25">
      <c r="A1168" s="167" t="s">
        <v>77</v>
      </c>
      <c r="B1168" s="162" t="s">
        <v>1599</v>
      </c>
      <c r="C1168" s="163" t="s">
        <v>3344</v>
      </c>
      <c r="D1168" s="162" t="s">
        <v>3345</v>
      </c>
      <c r="E1168" s="161" t="s">
        <v>1602</v>
      </c>
      <c r="F1168" s="164" t="s">
        <v>1603</v>
      </c>
      <c r="G1168" s="161"/>
      <c r="H1168" s="215">
        <v>1</v>
      </c>
      <c r="I1168" s="171">
        <v>100</v>
      </c>
      <c r="J1168" s="173">
        <v>100</v>
      </c>
      <c r="K1168" s="172">
        <v>100</v>
      </c>
      <c r="L1168" s="173">
        <v>100</v>
      </c>
      <c r="M1168" s="171">
        <v>100</v>
      </c>
      <c r="N1168" s="170">
        <v>0</v>
      </c>
      <c r="O1168" s="177" t="s">
        <v>1523</v>
      </c>
      <c r="P1168" s="162" t="s">
        <v>1604</v>
      </c>
      <c r="Q1168" s="176"/>
      <c r="R1168" s="175"/>
      <c r="S1168" s="179"/>
      <c r="T1168" s="164" t="s">
        <v>28</v>
      </c>
      <c r="U1168" s="161" t="s">
        <v>19</v>
      </c>
      <c r="V1168" s="175">
        <v>2303</v>
      </c>
      <c r="W1168" s="181" t="s">
        <v>3346</v>
      </c>
      <c r="X1168" s="186">
        <v>45017</v>
      </c>
      <c r="Y1168" s="187">
        <v>44945.299571759257</v>
      </c>
    </row>
    <row r="1169" spans="1:25">
      <c r="A1169" s="167" t="s">
        <v>45</v>
      </c>
      <c r="B1169" s="162" t="s">
        <v>1599</v>
      </c>
      <c r="C1169" s="163" t="s">
        <v>3347</v>
      </c>
      <c r="D1169" s="162" t="s">
        <v>2578</v>
      </c>
      <c r="E1169" s="161" t="s">
        <v>1625</v>
      </c>
      <c r="F1169" s="164" t="s">
        <v>1609</v>
      </c>
      <c r="G1169" s="161"/>
      <c r="H1169" s="215">
        <v>1</v>
      </c>
      <c r="I1169" s="171">
        <v>268</v>
      </c>
      <c r="J1169" s="173">
        <v>402</v>
      </c>
      <c r="K1169" s="172">
        <v>268</v>
      </c>
      <c r="L1169" s="173">
        <v>402</v>
      </c>
      <c r="M1169" s="171">
        <v>402</v>
      </c>
      <c r="N1169" s="170"/>
      <c r="O1169" s="177" t="s">
        <v>1523</v>
      </c>
      <c r="P1169" s="162" t="s">
        <v>1604</v>
      </c>
      <c r="Q1169" s="176"/>
      <c r="R1169" s="175"/>
      <c r="S1169" s="179"/>
      <c r="T1169" s="164" t="s">
        <v>28</v>
      </c>
      <c r="U1169" s="161" t="s">
        <v>16</v>
      </c>
      <c r="V1169" s="175">
        <v>2175</v>
      </c>
      <c r="W1169" s="181" t="s">
        <v>3348</v>
      </c>
      <c r="X1169" s="186">
        <v>45017</v>
      </c>
      <c r="Y1169" s="187">
        <v>44986.406956018516</v>
      </c>
    </row>
    <row r="1170" spans="1:25">
      <c r="A1170" s="167" t="s">
        <v>45</v>
      </c>
      <c r="B1170" s="162" t="s">
        <v>1555</v>
      </c>
      <c r="C1170" s="163" t="s">
        <v>1243</v>
      </c>
      <c r="D1170" s="162" t="s">
        <v>227</v>
      </c>
      <c r="E1170" s="161" t="s">
        <v>1625</v>
      </c>
      <c r="F1170" s="162" t="s">
        <v>1609</v>
      </c>
      <c r="G1170" s="161" t="s">
        <v>3349</v>
      </c>
      <c r="H1170" s="214">
        <v>21</v>
      </c>
      <c r="I1170" s="171"/>
      <c r="J1170" s="170">
        <v>2</v>
      </c>
      <c r="K1170" s="172"/>
      <c r="L1170" s="170">
        <v>42</v>
      </c>
      <c r="M1170" s="171">
        <v>42</v>
      </c>
      <c r="N1170" s="170"/>
      <c r="O1170" s="177" t="s">
        <v>76</v>
      </c>
      <c r="P1170" s="162" t="s">
        <v>1620</v>
      </c>
      <c r="Q1170" s="176"/>
      <c r="R1170" s="174">
        <v>2040</v>
      </c>
      <c r="S1170" s="179"/>
      <c r="T1170" s="162" t="s">
        <v>24</v>
      </c>
      <c r="U1170" s="161" t="s">
        <v>16</v>
      </c>
      <c r="V1170" s="174">
        <v>1196</v>
      </c>
      <c r="W1170" s="180"/>
      <c r="X1170" s="185">
        <v>45017</v>
      </c>
      <c r="Y1170" s="187">
        <v>45016.436967592592</v>
      </c>
    </row>
    <row r="1171" spans="1:25">
      <c r="A1171" s="167" t="s">
        <v>45</v>
      </c>
      <c r="B1171" s="162" t="s">
        <v>1555</v>
      </c>
      <c r="C1171" s="163" t="s">
        <v>1243</v>
      </c>
      <c r="D1171" s="162" t="s">
        <v>227</v>
      </c>
      <c r="E1171" s="161" t="s">
        <v>1625</v>
      </c>
      <c r="F1171" s="164" t="s">
        <v>1609</v>
      </c>
      <c r="G1171" s="161" t="s">
        <v>3349</v>
      </c>
      <c r="H1171" s="215">
        <v>21</v>
      </c>
      <c r="I1171" s="171"/>
      <c r="J1171" s="173">
        <v>1.8</v>
      </c>
      <c r="K1171" s="172"/>
      <c r="L1171" s="173">
        <v>37.799999999999997</v>
      </c>
      <c r="M1171" s="171">
        <v>37.799999999999997</v>
      </c>
      <c r="N1171" s="170"/>
      <c r="O1171" s="177" t="s">
        <v>76</v>
      </c>
      <c r="P1171" s="162" t="s">
        <v>1620</v>
      </c>
      <c r="Q1171" s="176"/>
      <c r="R1171" s="175">
        <v>2040</v>
      </c>
      <c r="S1171" s="179"/>
      <c r="T1171" s="164" t="s">
        <v>24</v>
      </c>
      <c r="U1171" s="161" t="s">
        <v>16</v>
      </c>
      <c r="V1171" s="175">
        <v>1196</v>
      </c>
      <c r="W1171" s="181"/>
      <c r="X1171" s="186">
        <v>45017</v>
      </c>
      <c r="Y1171" s="187">
        <v>45016.436967592592</v>
      </c>
    </row>
    <row r="1172" spans="1:25">
      <c r="A1172" s="167" t="s">
        <v>45</v>
      </c>
      <c r="B1172" s="162" t="s">
        <v>1555</v>
      </c>
      <c r="C1172" s="163" t="s">
        <v>1243</v>
      </c>
      <c r="D1172" s="162" t="s">
        <v>227</v>
      </c>
      <c r="E1172" s="161" t="s">
        <v>1625</v>
      </c>
      <c r="F1172" s="164" t="s">
        <v>1609</v>
      </c>
      <c r="G1172" s="161" t="s">
        <v>3349</v>
      </c>
      <c r="H1172" s="215">
        <v>9</v>
      </c>
      <c r="I1172" s="171"/>
      <c r="J1172" s="173">
        <v>3</v>
      </c>
      <c r="K1172" s="172"/>
      <c r="L1172" s="173">
        <v>27</v>
      </c>
      <c r="M1172" s="171">
        <v>27</v>
      </c>
      <c r="N1172" s="170"/>
      <c r="O1172" s="177" t="s">
        <v>76</v>
      </c>
      <c r="P1172" s="162" t="s">
        <v>1620</v>
      </c>
      <c r="Q1172" s="176"/>
      <c r="R1172" s="175">
        <v>2040</v>
      </c>
      <c r="S1172" s="179"/>
      <c r="T1172" s="164" t="s">
        <v>24</v>
      </c>
      <c r="U1172" s="161" t="s">
        <v>16</v>
      </c>
      <c r="V1172" s="175">
        <v>1196</v>
      </c>
      <c r="W1172" s="181"/>
      <c r="X1172" s="186">
        <v>45017</v>
      </c>
      <c r="Y1172" s="187">
        <v>45016.436967592592</v>
      </c>
    </row>
    <row r="1173" spans="1:25">
      <c r="A1173" s="167" t="s">
        <v>77</v>
      </c>
      <c r="B1173" s="162" t="s">
        <v>1555</v>
      </c>
      <c r="C1173" s="163" t="s">
        <v>3350</v>
      </c>
      <c r="D1173" s="162" t="s">
        <v>208</v>
      </c>
      <c r="E1173" s="161" t="s">
        <v>1739</v>
      </c>
      <c r="F1173" s="164" t="s">
        <v>1740</v>
      </c>
      <c r="G1173" s="161" t="s">
        <v>3351</v>
      </c>
      <c r="H1173" s="215">
        <v>1</v>
      </c>
      <c r="I1173" s="171"/>
      <c r="J1173" s="173">
        <v>350</v>
      </c>
      <c r="K1173" s="172"/>
      <c r="L1173" s="173">
        <v>350</v>
      </c>
      <c r="M1173" s="171">
        <v>350</v>
      </c>
      <c r="N1173" s="170"/>
      <c r="O1173" s="177" t="s">
        <v>76</v>
      </c>
      <c r="P1173" s="162" t="s">
        <v>1619</v>
      </c>
      <c r="Q1173" s="176"/>
      <c r="R1173" s="175">
        <v>2036</v>
      </c>
      <c r="S1173" s="179"/>
      <c r="T1173" s="164" t="s">
        <v>24</v>
      </c>
      <c r="U1173" s="161" t="s">
        <v>11</v>
      </c>
      <c r="V1173" s="175">
        <v>1197</v>
      </c>
      <c r="W1173" s="181"/>
      <c r="X1173" s="186">
        <v>45017</v>
      </c>
      <c r="Y1173" s="187">
        <v>45016.438275462962</v>
      </c>
    </row>
    <row r="1174" spans="1:25">
      <c r="A1174" s="167" t="s">
        <v>77</v>
      </c>
      <c r="B1174" s="162" t="s">
        <v>1555</v>
      </c>
      <c r="C1174" s="163" t="s">
        <v>3350</v>
      </c>
      <c r="D1174" s="162" t="s">
        <v>208</v>
      </c>
      <c r="E1174" s="161" t="s">
        <v>1739</v>
      </c>
      <c r="F1174" s="164" t="s">
        <v>1740</v>
      </c>
      <c r="G1174" s="161" t="s">
        <v>3352</v>
      </c>
      <c r="H1174" s="215">
        <v>1</v>
      </c>
      <c r="I1174" s="171"/>
      <c r="J1174" s="173">
        <v>350</v>
      </c>
      <c r="K1174" s="172"/>
      <c r="L1174" s="173">
        <v>350</v>
      </c>
      <c r="M1174" s="171">
        <v>350</v>
      </c>
      <c r="N1174" s="170"/>
      <c r="O1174" s="177" t="s">
        <v>76</v>
      </c>
      <c r="P1174" s="162" t="s">
        <v>1619</v>
      </c>
      <c r="Q1174" s="176"/>
      <c r="R1174" s="175">
        <v>2036</v>
      </c>
      <c r="S1174" s="179"/>
      <c r="T1174" s="164" t="s">
        <v>24</v>
      </c>
      <c r="U1174" s="161" t="s">
        <v>11</v>
      </c>
      <c r="V1174" s="175">
        <v>1197</v>
      </c>
      <c r="W1174" s="181"/>
      <c r="X1174" s="186">
        <v>45017</v>
      </c>
      <c r="Y1174" s="187">
        <v>45016.438275462962</v>
      </c>
    </row>
    <row r="1175" spans="1:25">
      <c r="A1175" s="167" t="s">
        <v>77</v>
      </c>
      <c r="B1175" s="162" t="s">
        <v>1555</v>
      </c>
      <c r="C1175" s="163" t="s">
        <v>3350</v>
      </c>
      <c r="D1175" s="162" t="s">
        <v>208</v>
      </c>
      <c r="E1175" s="161" t="s">
        <v>1739</v>
      </c>
      <c r="F1175" s="162" t="s">
        <v>1740</v>
      </c>
      <c r="G1175" s="161" t="s">
        <v>3353</v>
      </c>
      <c r="H1175" s="214">
        <v>1</v>
      </c>
      <c r="I1175" s="171"/>
      <c r="J1175" s="170">
        <v>350</v>
      </c>
      <c r="K1175" s="172"/>
      <c r="L1175" s="170">
        <v>350</v>
      </c>
      <c r="M1175" s="171">
        <v>350</v>
      </c>
      <c r="N1175" s="170"/>
      <c r="O1175" s="177" t="s">
        <v>76</v>
      </c>
      <c r="P1175" s="162" t="s">
        <v>1619</v>
      </c>
      <c r="Q1175" s="176"/>
      <c r="R1175" s="174">
        <v>2037</v>
      </c>
      <c r="S1175" s="179"/>
      <c r="T1175" s="162" t="s">
        <v>24</v>
      </c>
      <c r="U1175" s="161" t="s">
        <v>11</v>
      </c>
      <c r="V1175" s="174">
        <v>1197</v>
      </c>
      <c r="W1175" s="180"/>
      <c r="X1175" s="185">
        <v>45017</v>
      </c>
      <c r="Y1175" s="187">
        <v>45016.438275462962</v>
      </c>
    </row>
    <row r="1176" spans="1:25">
      <c r="A1176" s="167" t="s">
        <v>77</v>
      </c>
      <c r="B1176" s="162" t="s">
        <v>1555</v>
      </c>
      <c r="C1176" s="163" t="s">
        <v>3350</v>
      </c>
      <c r="D1176" s="162" t="s">
        <v>208</v>
      </c>
      <c r="E1176" s="161" t="s">
        <v>1739</v>
      </c>
      <c r="F1176" s="164" t="s">
        <v>1740</v>
      </c>
      <c r="G1176" s="161" t="s">
        <v>3354</v>
      </c>
      <c r="H1176" s="215">
        <v>1</v>
      </c>
      <c r="I1176" s="171"/>
      <c r="J1176" s="173">
        <v>350</v>
      </c>
      <c r="K1176" s="172"/>
      <c r="L1176" s="173">
        <v>350</v>
      </c>
      <c r="M1176" s="171">
        <v>350</v>
      </c>
      <c r="N1176" s="170"/>
      <c r="O1176" s="177" t="s">
        <v>76</v>
      </c>
      <c r="P1176" s="162" t="s">
        <v>1619</v>
      </c>
      <c r="Q1176" s="176"/>
      <c r="R1176" s="175">
        <v>2037</v>
      </c>
      <c r="S1176" s="179"/>
      <c r="T1176" s="164" t="s">
        <v>24</v>
      </c>
      <c r="U1176" s="161" t="s">
        <v>11</v>
      </c>
      <c r="V1176" s="175">
        <v>1197</v>
      </c>
      <c r="W1176" s="181"/>
      <c r="X1176" s="186">
        <v>45017</v>
      </c>
      <c r="Y1176" s="187">
        <v>45016.438275462962</v>
      </c>
    </row>
    <row r="1177" spans="1:25">
      <c r="A1177" s="167" t="s">
        <v>110</v>
      </c>
      <c r="B1177" s="162" t="s">
        <v>1599</v>
      </c>
      <c r="C1177" s="163" t="s">
        <v>3355</v>
      </c>
      <c r="D1177" s="162" t="s">
        <v>208</v>
      </c>
      <c r="E1177" s="161" t="s">
        <v>1625</v>
      </c>
      <c r="F1177" s="164" t="s">
        <v>1609</v>
      </c>
      <c r="G1177" s="161"/>
      <c r="H1177" s="215">
        <v>1</v>
      </c>
      <c r="I1177" s="171">
        <v>150</v>
      </c>
      <c r="J1177" s="173">
        <v>150</v>
      </c>
      <c r="K1177" s="172">
        <v>150</v>
      </c>
      <c r="L1177" s="173">
        <v>150</v>
      </c>
      <c r="M1177" s="171">
        <v>150</v>
      </c>
      <c r="N1177" s="170"/>
      <c r="O1177" s="177" t="s">
        <v>1523</v>
      </c>
      <c r="P1177" s="162" t="s">
        <v>1604</v>
      </c>
      <c r="Q1177" s="176"/>
      <c r="R1177" s="175"/>
      <c r="S1177" s="179"/>
      <c r="T1177" s="164" t="s">
        <v>28</v>
      </c>
      <c r="U1177" s="161" t="s">
        <v>16</v>
      </c>
      <c r="V1177" s="175">
        <v>2421</v>
      </c>
      <c r="W1177" s="181" t="s">
        <v>3356</v>
      </c>
      <c r="X1177" s="186">
        <v>45017</v>
      </c>
      <c r="Y1177" s="187">
        <v>45035.765069444446</v>
      </c>
    </row>
    <row r="1178" spans="1:25">
      <c r="A1178" s="167" t="s">
        <v>77</v>
      </c>
      <c r="B1178" s="162" t="s">
        <v>1555</v>
      </c>
      <c r="C1178" s="163" t="s">
        <v>3357</v>
      </c>
      <c r="D1178" s="162" t="s">
        <v>208</v>
      </c>
      <c r="E1178" s="161" t="s">
        <v>1673</v>
      </c>
      <c r="F1178" s="164" t="s">
        <v>3358</v>
      </c>
      <c r="G1178" s="161"/>
      <c r="H1178" s="215">
        <v>1</v>
      </c>
      <c r="I1178" s="171">
        <v>15</v>
      </c>
      <c r="J1178" s="173">
        <v>15</v>
      </c>
      <c r="K1178" s="172">
        <v>15</v>
      </c>
      <c r="L1178" s="173">
        <v>15</v>
      </c>
      <c r="M1178" s="171">
        <v>15</v>
      </c>
      <c r="N1178" s="170"/>
      <c r="O1178" s="177" t="s">
        <v>76</v>
      </c>
      <c r="P1178" s="162" t="s">
        <v>1591</v>
      </c>
      <c r="Q1178" s="176"/>
      <c r="R1178" s="175">
        <v>2037</v>
      </c>
      <c r="S1178" s="179"/>
      <c r="T1178" s="164" t="s">
        <v>24</v>
      </c>
      <c r="U1178" s="161" t="s">
        <v>13</v>
      </c>
      <c r="V1178" s="175">
        <v>1198</v>
      </c>
      <c r="W1178" s="181"/>
      <c r="X1178" s="186">
        <v>44621</v>
      </c>
      <c r="Y1178" s="187">
        <v>45021.758796296293</v>
      </c>
    </row>
    <row r="1179" spans="1:25">
      <c r="A1179" s="167" t="s">
        <v>77</v>
      </c>
      <c r="B1179" s="162" t="s">
        <v>1555</v>
      </c>
      <c r="C1179" s="163" t="s">
        <v>3359</v>
      </c>
      <c r="D1179" s="162" t="s">
        <v>208</v>
      </c>
      <c r="E1179" s="161" t="s">
        <v>1946</v>
      </c>
      <c r="F1179" s="164" t="s">
        <v>1740</v>
      </c>
      <c r="G1179" s="161" t="s">
        <v>3360</v>
      </c>
      <c r="H1179" s="215">
        <v>1</v>
      </c>
      <c r="I1179" s="171">
        <v>450</v>
      </c>
      <c r="J1179" s="173">
        <v>450</v>
      </c>
      <c r="K1179" s="172">
        <v>450</v>
      </c>
      <c r="L1179" s="173">
        <v>450</v>
      </c>
      <c r="M1179" s="171">
        <v>450</v>
      </c>
      <c r="N1179" s="170"/>
      <c r="O1179" s="177" t="s">
        <v>76</v>
      </c>
      <c r="P1179" s="162" t="s">
        <v>1619</v>
      </c>
      <c r="Q1179" s="176"/>
      <c r="R1179" s="175">
        <v>2037</v>
      </c>
      <c r="S1179" s="179"/>
      <c r="T1179" s="164" t="s">
        <v>24</v>
      </c>
      <c r="U1179" s="161" t="s">
        <v>11</v>
      </c>
      <c r="V1179" s="175">
        <v>1199</v>
      </c>
      <c r="W1179" s="181"/>
      <c r="X1179" s="186">
        <v>45017</v>
      </c>
      <c r="Y1179" s="187">
        <v>45016.439675925925</v>
      </c>
    </row>
    <row r="1180" spans="1:25">
      <c r="A1180" s="167" t="s">
        <v>77</v>
      </c>
      <c r="B1180" s="162" t="s">
        <v>1599</v>
      </c>
      <c r="C1180" s="163" t="s">
        <v>3361</v>
      </c>
      <c r="D1180" s="162" t="s">
        <v>3362</v>
      </c>
      <c r="E1180" s="161" t="s">
        <v>1625</v>
      </c>
      <c r="F1180" s="164" t="s">
        <v>1609</v>
      </c>
      <c r="G1180" s="161"/>
      <c r="H1180" s="215">
        <v>1</v>
      </c>
      <c r="I1180" s="171"/>
      <c r="J1180" s="173">
        <v>900</v>
      </c>
      <c r="K1180" s="172"/>
      <c r="L1180" s="173">
        <v>900</v>
      </c>
      <c r="M1180" s="171">
        <v>900</v>
      </c>
      <c r="N1180" s="170"/>
      <c r="O1180" s="177" t="s">
        <v>1523</v>
      </c>
      <c r="P1180" s="162" t="s">
        <v>1604</v>
      </c>
      <c r="Q1180" s="176"/>
      <c r="R1180" s="175"/>
      <c r="S1180" s="179"/>
      <c r="T1180" s="164" t="s">
        <v>28</v>
      </c>
      <c r="U1180" s="161" t="s">
        <v>16</v>
      </c>
      <c r="V1180" s="175">
        <v>2252</v>
      </c>
      <c r="W1180" s="181" t="s">
        <v>3363</v>
      </c>
      <c r="X1180" s="186">
        <v>45017</v>
      </c>
      <c r="Y1180" s="187">
        <v>45047.605717592596</v>
      </c>
    </row>
    <row r="1181" spans="1:25">
      <c r="A1181" s="167" t="s">
        <v>45</v>
      </c>
      <c r="B1181" s="162" t="s">
        <v>1555</v>
      </c>
      <c r="C1181" s="163" t="s">
        <v>3364</v>
      </c>
      <c r="D1181" s="162" t="s">
        <v>1604</v>
      </c>
      <c r="E1181" s="161" t="s">
        <v>1613</v>
      </c>
      <c r="F1181" s="164" t="s">
        <v>1614</v>
      </c>
      <c r="G1181" s="161"/>
      <c r="H1181" s="215">
        <v>1</v>
      </c>
      <c r="I1181" s="171"/>
      <c r="J1181" s="173">
        <v>1</v>
      </c>
      <c r="K1181" s="172"/>
      <c r="L1181" s="173">
        <v>1</v>
      </c>
      <c r="M1181" s="171">
        <v>1</v>
      </c>
      <c r="N1181" s="170"/>
      <c r="O1181" s="177" t="s">
        <v>76</v>
      </c>
      <c r="P1181" s="162" t="s">
        <v>1591</v>
      </c>
      <c r="Q1181" s="176"/>
      <c r="R1181" s="175"/>
      <c r="S1181" s="179"/>
      <c r="T1181" s="164" t="s">
        <v>24</v>
      </c>
      <c r="U1181" s="161" t="s">
        <v>1615</v>
      </c>
      <c r="V1181" s="175">
        <v>2127</v>
      </c>
      <c r="W1181" s="181"/>
      <c r="X1181" s="186" t="s">
        <v>259</v>
      </c>
      <c r="Y1181" s="187">
        <v>44831.588472222225</v>
      </c>
    </row>
    <row r="1182" spans="1:25">
      <c r="A1182" s="167" t="s">
        <v>105</v>
      </c>
      <c r="B1182" s="162" t="s">
        <v>1555</v>
      </c>
      <c r="C1182" s="163" t="s">
        <v>3365</v>
      </c>
      <c r="D1182" s="162" t="s">
        <v>1735</v>
      </c>
      <c r="E1182" s="161" t="s">
        <v>1700</v>
      </c>
      <c r="F1182" s="164" t="s">
        <v>1658</v>
      </c>
      <c r="G1182" s="161" t="s">
        <v>3366</v>
      </c>
      <c r="H1182" s="215">
        <v>6</v>
      </c>
      <c r="I1182" s="171">
        <v>15</v>
      </c>
      <c r="J1182" s="173">
        <v>15</v>
      </c>
      <c r="K1182" s="172">
        <v>90</v>
      </c>
      <c r="L1182" s="173">
        <v>90</v>
      </c>
      <c r="M1182" s="171">
        <v>90</v>
      </c>
      <c r="N1182" s="170"/>
      <c r="O1182" s="177" t="s">
        <v>76</v>
      </c>
      <c r="P1182" s="162" t="s">
        <v>1619</v>
      </c>
      <c r="Q1182" s="176"/>
      <c r="R1182" s="175">
        <v>2100</v>
      </c>
      <c r="S1182" s="179"/>
      <c r="T1182" s="164" t="s">
        <v>24</v>
      </c>
      <c r="U1182" s="161" t="s">
        <v>17</v>
      </c>
      <c r="V1182" s="175">
        <v>1200</v>
      </c>
      <c r="W1182" s="181"/>
      <c r="X1182" s="186">
        <v>45017</v>
      </c>
      <c r="Y1182" s="187">
        <v>45086.836724537039</v>
      </c>
    </row>
    <row r="1183" spans="1:25">
      <c r="A1183" s="167" t="s">
        <v>105</v>
      </c>
      <c r="B1183" s="162" t="s">
        <v>1599</v>
      </c>
      <c r="C1183" s="163" t="s">
        <v>3367</v>
      </c>
      <c r="D1183" s="162" t="s">
        <v>237</v>
      </c>
      <c r="E1183" s="161" t="s">
        <v>1700</v>
      </c>
      <c r="F1183" s="162" t="s">
        <v>1658</v>
      </c>
      <c r="G1183" s="161"/>
      <c r="H1183" s="214">
        <v>2</v>
      </c>
      <c r="I1183" s="171"/>
      <c r="J1183" s="170">
        <v>100</v>
      </c>
      <c r="K1183" s="172"/>
      <c r="L1183" s="170">
        <v>200</v>
      </c>
      <c r="M1183" s="171">
        <v>200</v>
      </c>
      <c r="N1183" s="170"/>
      <c r="O1183" s="177" t="s">
        <v>1523</v>
      </c>
      <c r="P1183" s="162" t="s">
        <v>1619</v>
      </c>
      <c r="Q1183" s="176"/>
      <c r="R1183" s="174"/>
      <c r="S1183" s="179"/>
      <c r="T1183" s="162" t="s">
        <v>28</v>
      </c>
      <c r="U1183" s="161" t="s">
        <v>17</v>
      </c>
      <c r="V1183" s="174">
        <v>2014</v>
      </c>
      <c r="W1183" s="180" t="s">
        <v>3368</v>
      </c>
      <c r="X1183" s="185">
        <v>45069</v>
      </c>
      <c r="Y1183" s="187">
        <v>45097.586053240739</v>
      </c>
    </row>
    <row r="1184" spans="1:25">
      <c r="A1184" s="167" t="s">
        <v>110</v>
      </c>
      <c r="B1184" s="162" t="s">
        <v>1599</v>
      </c>
      <c r="C1184" s="163" t="s">
        <v>3369</v>
      </c>
      <c r="D1184" s="162" t="s">
        <v>334</v>
      </c>
      <c r="E1184" s="161" t="s">
        <v>1602</v>
      </c>
      <c r="F1184" s="162" t="s">
        <v>1603</v>
      </c>
      <c r="G1184" s="161"/>
      <c r="H1184" s="214">
        <v>1</v>
      </c>
      <c r="I1184" s="171">
        <v>200</v>
      </c>
      <c r="J1184" s="170">
        <v>200</v>
      </c>
      <c r="K1184" s="172">
        <v>200</v>
      </c>
      <c r="L1184" s="170">
        <v>200</v>
      </c>
      <c r="M1184" s="171">
        <v>200</v>
      </c>
      <c r="N1184" s="170">
        <v>0</v>
      </c>
      <c r="O1184" s="177" t="s">
        <v>1523</v>
      </c>
      <c r="P1184" s="162" t="s">
        <v>1604</v>
      </c>
      <c r="Q1184" s="176"/>
      <c r="R1184" s="174"/>
      <c r="S1184" s="179"/>
      <c r="T1184" s="162" t="s">
        <v>28</v>
      </c>
      <c r="U1184" s="161" t="s">
        <v>19</v>
      </c>
      <c r="V1184" s="174">
        <v>2394</v>
      </c>
      <c r="W1184" s="180" t="s">
        <v>3370</v>
      </c>
      <c r="X1184" s="185">
        <v>45017</v>
      </c>
      <c r="Y1184" s="187">
        <v>44986.418009259258</v>
      </c>
    </row>
    <row r="1185" spans="1:25">
      <c r="A1185" s="167" t="s">
        <v>110</v>
      </c>
      <c r="B1185" s="162" t="s">
        <v>1599</v>
      </c>
      <c r="C1185" s="163" t="s">
        <v>3371</v>
      </c>
      <c r="D1185" s="162" t="s">
        <v>721</v>
      </c>
      <c r="E1185" s="161" t="s">
        <v>1673</v>
      </c>
      <c r="F1185" s="164" t="s">
        <v>1592</v>
      </c>
      <c r="G1185" s="161"/>
      <c r="H1185" s="215">
        <v>1</v>
      </c>
      <c r="I1185" s="171">
        <v>500</v>
      </c>
      <c r="J1185" s="173">
        <v>600</v>
      </c>
      <c r="K1185" s="172">
        <v>500</v>
      </c>
      <c r="L1185" s="173">
        <v>600</v>
      </c>
      <c r="M1185" s="171" t="s">
        <v>3372</v>
      </c>
      <c r="N1185" s="170"/>
      <c r="O1185" s="177" t="s">
        <v>1523</v>
      </c>
      <c r="P1185" s="162" t="s">
        <v>1619</v>
      </c>
      <c r="Q1185" s="176"/>
      <c r="R1185" s="175"/>
      <c r="S1185" s="179"/>
      <c r="T1185" s="164" t="s">
        <v>28</v>
      </c>
      <c r="U1185" s="161" t="s">
        <v>13</v>
      </c>
      <c r="V1185" s="175">
        <v>1201</v>
      </c>
      <c r="W1185" s="181"/>
      <c r="X1185" s="186">
        <v>45069</v>
      </c>
      <c r="Y1185" s="187">
        <v>45016.442812499998</v>
      </c>
    </row>
    <row r="1186" spans="1:25">
      <c r="A1186" s="167" t="s">
        <v>110</v>
      </c>
      <c r="B1186" s="162" t="s">
        <v>1599</v>
      </c>
      <c r="C1186" s="163" t="s">
        <v>3373</v>
      </c>
      <c r="D1186" s="162" t="s">
        <v>334</v>
      </c>
      <c r="E1186" s="161" t="s">
        <v>1625</v>
      </c>
      <c r="F1186" s="162" t="s">
        <v>1603</v>
      </c>
      <c r="G1186" s="161"/>
      <c r="H1186" s="214">
        <v>17</v>
      </c>
      <c r="I1186" s="171"/>
      <c r="J1186" s="170"/>
      <c r="K1186" s="172"/>
      <c r="L1186" s="170"/>
      <c r="M1186" s="171"/>
      <c r="N1186" s="170"/>
      <c r="O1186" s="177" t="s">
        <v>1523</v>
      </c>
      <c r="P1186" s="162" t="s">
        <v>1620</v>
      </c>
      <c r="Q1186" s="176"/>
      <c r="R1186" s="174"/>
      <c r="S1186" s="179"/>
      <c r="T1186" s="162" t="s">
        <v>28</v>
      </c>
      <c r="U1186" s="161" t="s">
        <v>16</v>
      </c>
      <c r="V1186" s="174">
        <v>1202</v>
      </c>
      <c r="W1186" s="180"/>
      <c r="X1186" s="185">
        <v>45017</v>
      </c>
      <c r="Y1186" s="187">
        <v>43231.033587962964</v>
      </c>
    </row>
    <row r="1187" spans="1:25">
      <c r="A1187" s="167" t="s">
        <v>91</v>
      </c>
      <c r="B1187" s="162" t="s">
        <v>1555</v>
      </c>
      <c r="C1187" s="163" t="s">
        <v>3374</v>
      </c>
      <c r="D1187" s="162" t="s">
        <v>1821</v>
      </c>
      <c r="E1187" s="161" t="s">
        <v>1589</v>
      </c>
      <c r="F1187" s="164" t="s">
        <v>1635</v>
      </c>
      <c r="G1187" s="161" t="s">
        <v>3375</v>
      </c>
      <c r="H1187" s="215">
        <v>1</v>
      </c>
      <c r="I1187" s="171">
        <v>0.5</v>
      </c>
      <c r="J1187" s="173">
        <v>0.5</v>
      </c>
      <c r="K1187" s="172">
        <v>0.5</v>
      </c>
      <c r="L1187" s="173">
        <v>0.5</v>
      </c>
      <c r="M1187" s="171">
        <v>0.5</v>
      </c>
      <c r="N1187" s="170"/>
      <c r="O1187" s="177" t="s">
        <v>76</v>
      </c>
      <c r="P1187" s="162" t="s">
        <v>1591</v>
      </c>
      <c r="Q1187" s="176"/>
      <c r="R1187" s="175"/>
      <c r="S1187" s="179"/>
      <c r="T1187" s="164" t="s">
        <v>24</v>
      </c>
      <c r="U1187" s="161" t="s">
        <v>20</v>
      </c>
      <c r="V1187" s="175">
        <v>1295</v>
      </c>
      <c r="W1187" s="181"/>
      <c r="X1187" s="186">
        <v>44621</v>
      </c>
      <c r="Y1187" s="187">
        <v>44981.404594907406</v>
      </c>
    </row>
    <row r="1188" spans="1:25">
      <c r="A1188" s="167" t="s">
        <v>110</v>
      </c>
      <c r="B1188" s="162" t="s">
        <v>1555</v>
      </c>
      <c r="C1188" s="163" t="s">
        <v>3376</v>
      </c>
      <c r="D1188" s="162" t="s">
        <v>3188</v>
      </c>
      <c r="E1188" s="161" t="s">
        <v>1596</v>
      </c>
      <c r="F1188" s="164" t="s">
        <v>1836</v>
      </c>
      <c r="G1188" s="161"/>
      <c r="H1188" s="215">
        <v>1</v>
      </c>
      <c r="I1188" s="171">
        <v>1.1000000000000001</v>
      </c>
      <c r="J1188" s="173">
        <v>1.1000000000000001</v>
      </c>
      <c r="K1188" s="172">
        <v>1.1000000000000001</v>
      </c>
      <c r="L1188" s="173">
        <v>1.1000000000000001</v>
      </c>
      <c r="M1188" s="171">
        <v>1.1000000000000001</v>
      </c>
      <c r="N1188" s="170"/>
      <c r="O1188" s="177" t="s">
        <v>76</v>
      </c>
      <c r="P1188" s="162" t="s">
        <v>1591</v>
      </c>
      <c r="Q1188" s="176"/>
      <c r="R1188" s="175">
        <v>2038</v>
      </c>
      <c r="S1188" s="179"/>
      <c r="T1188" s="164" t="s">
        <v>24</v>
      </c>
      <c r="U1188" s="161" t="s">
        <v>18</v>
      </c>
      <c r="V1188" s="175">
        <v>1313</v>
      </c>
      <c r="W1188" s="181"/>
      <c r="X1188" s="186">
        <v>44621</v>
      </c>
      <c r="Y1188" s="187">
        <v>44981.407881944448</v>
      </c>
    </row>
    <row r="1189" spans="1:25">
      <c r="A1189" s="167" t="s">
        <v>91</v>
      </c>
      <c r="B1189" s="162" t="s">
        <v>1599</v>
      </c>
      <c r="C1189" s="163" t="s">
        <v>99</v>
      </c>
      <c r="D1189" s="162" t="s">
        <v>100</v>
      </c>
      <c r="E1189" s="161" t="s">
        <v>1602</v>
      </c>
      <c r="F1189" s="164" t="s">
        <v>1603</v>
      </c>
      <c r="G1189" s="161"/>
      <c r="H1189" s="215">
        <v>1</v>
      </c>
      <c r="I1189" s="171">
        <v>111</v>
      </c>
      <c r="J1189" s="173">
        <v>111</v>
      </c>
      <c r="K1189" s="172">
        <v>111</v>
      </c>
      <c r="L1189" s="173">
        <v>111</v>
      </c>
      <c r="M1189" s="171">
        <v>111</v>
      </c>
      <c r="N1189" s="170">
        <v>291</v>
      </c>
      <c r="O1189" s="177" t="s">
        <v>27</v>
      </c>
      <c r="P1189" s="162" t="s">
        <v>1619</v>
      </c>
      <c r="Q1189" s="176"/>
      <c r="R1189" s="175"/>
      <c r="S1189" s="179"/>
      <c r="T1189" s="164" t="s">
        <v>27</v>
      </c>
      <c r="U1189" s="161" t="s">
        <v>19</v>
      </c>
      <c r="V1189" s="175">
        <v>1911</v>
      </c>
      <c r="W1189" s="181" t="s">
        <v>3377</v>
      </c>
      <c r="X1189" s="186">
        <v>45069</v>
      </c>
      <c r="Y1189" s="187">
        <v>45107.639756944445</v>
      </c>
    </row>
    <row r="1190" spans="1:25">
      <c r="A1190" s="167" t="s">
        <v>45</v>
      </c>
      <c r="B1190" s="162" t="s">
        <v>1599</v>
      </c>
      <c r="C1190" s="163" t="s">
        <v>172</v>
      </c>
      <c r="D1190" s="162" t="s">
        <v>173</v>
      </c>
      <c r="E1190" s="161" t="s">
        <v>1613</v>
      </c>
      <c r="F1190" s="164" t="s">
        <v>1614</v>
      </c>
      <c r="G1190" s="161"/>
      <c r="H1190" s="215">
        <v>7</v>
      </c>
      <c r="I1190" s="171">
        <v>4.2</v>
      </c>
      <c r="J1190" s="173">
        <v>4.2</v>
      </c>
      <c r="K1190" s="172">
        <v>29.4</v>
      </c>
      <c r="L1190" s="173">
        <v>29.4</v>
      </c>
      <c r="M1190" s="171">
        <v>29.4</v>
      </c>
      <c r="N1190" s="170"/>
      <c r="O1190" s="177" t="s">
        <v>1523</v>
      </c>
      <c r="P1190" s="162" t="s">
        <v>1591</v>
      </c>
      <c r="Q1190" s="176">
        <v>45962</v>
      </c>
      <c r="R1190" s="175">
        <v>2055</v>
      </c>
      <c r="S1190" s="179"/>
      <c r="T1190" s="164" t="s">
        <v>28</v>
      </c>
      <c r="U1190" s="161" t="s">
        <v>1615</v>
      </c>
      <c r="V1190" s="175">
        <v>1714</v>
      </c>
      <c r="W1190" s="181" t="s">
        <v>3378</v>
      </c>
      <c r="X1190" s="186">
        <v>44713</v>
      </c>
      <c r="Y1190" s="187">
        <v>45036.452905092592</v>
      </c>
    </row>
    <row r="1191" spans="1:25">
      <c r="A1191" s="167" t="s">
        <v>110</v>
      </c>
      <c r="B1191" s="162" t="s">
        <v>1599</v>
      </c>
      <c r="C1191" s="163" t="s">
        <v>3379</v>
      </c>
      <c r="D1191" s="162" t="s">
        <v>3380</v>
      </c>
      <c r="E1191" s="161" t="s">
        <v>1602</v>
      </c>
      <c r="F1191" s="164" t="s">
        <v>1603</v>
      </c>
      <c r="G1191" s="161"/>
      <c r="H1191" s="215">
        <v>44</v>
      </c>
      <c r="I1191" s="171">
        <v>2.9</v>
      </c>
      <c r="J1191" s="173">
        <v>2.9</v>
      </c>
      <c r="K1191" s="172">
        <v>127.6</v>
      </c>
      <c r="L1191" s="173">
        <v>127.6</v>
      </c>
      <c r="M1191" s="171">
        <v>127.6</v>
      </c>
      <c r="N1191" s="170">
        <v>220</v>
      </c>
      <c r="O1191" s="177" t="s">
        <v>1523</v>
      </c>
      <c r="P1191" s="162" t="s">
        <v>1619</v>
      </c>
      <c r="Q1191" s="176"/>
      <c r="R1191" s="175"/>
      <c r="S1191" s="179"/>
      <c r="T1191" s="164" t="s">
        <v>28</v>
      </c>
      <c r="U1191" s="161" t="s">
        <v>19</v>
      </c>
      <c r="V1191" s="175">
        <v>1913</v>
      </c>
      <c r="W1191" s="181" t="s">
        <v>3381</v>
      </c>
      <c r="X1191" s="186">
        <v>45069</v>
      </c>
      <c r="Y1191" s="187">
        <v>45028.42931712963</v>
      </c>
    </row>
    <row r="1192" spans="1:25">
      <c r="A1192" s="167" t="s">
        <v>110</v>
      </c>
      <c r="B1192" s="162" t="s">
        <v>1599</v>
      </c>
      <c r="C1192" s="163" t="s">
        <v>3382</v>
      </c>
      <c r="D1192" s="162" t="s">
        <v>3383</v>
      </c>
      <c r="E1192" s="161" t="s">
        <v>1602</v>
      </c>
      <c r="F1192" s="164" t="s">
        <v>1603</v>
      </c>
      <c r="G1192" s="161" t="s">
        <v>3384</v>
      </c>
      <c r="H1192" s="215">
        <v>29</v>
      </c>
      <c r="I1192" s="171">
        <v>3.5</v>
      </c>
      <c r="J1192" s="173">
        <v>3.5</v>
      </c>
      <c r="K1192" s="172">
        <v>101.5</v>
      </c>
      <c r="L1192" s="173">
        <v>101.5</v>
      </c>
      <c r="M1192" s="171">
        <v>101.5</v>
      </c>
      <c r="N1192" s="170">
        <v>200</v>
      </c>
      <c r="O1192" s="177" t="s">
        <v>1523</v>
      </c>
      <c r="P1192" s="162" t="s">
        <v>1619</v>
      </c>
      <c r="Q1192" s="176"/>
      <c r="R1192" s="175"/>
      <c r="S1192" s="179"/>
      <c r="T1192" s="164" t="s">
        <v>28</v>
      </c>
      <c r="U1192" s="161" t="s">
        <v>19</v>
      </c>
      <c r="V1192" s="175">
        <v>2168</v>
      </c>
      <c r="W1192" s="181"/>
      <c r="X1192" s="186">
        <v>45017</v>
      </c>
      <c r="Y1192" s="187">
        <v>45027.688622685186</v>
      </c>
    </row>
    <row r="1193" spans="1:25">
      <c r="A1193" s="167" t="s">
        <v>91</v>
      </c>
      <c r="B1193" s="162" t="s">
        <v>1555</v>
      </c>
      <c r="C1193" s="163" t="s">
        <v>3385</v>
      </c>
      <c r="D1193" s="162" t="s">
        <v>347</v>
      </c>
      <c r="E1193" s="161" t="s">
        <v>3176</v>
      </c>
      <c r="F1193" s="164" t="s">
        <v>1658</v>
      </c>
      <c r="G1193" s="161" t="s">
        <v>3386</v>
      </c>
      <c r="H1193" s="215">
        <v>1</v>
      </c>
      <c r="I1193" s="171">
        <v>1.86</v>
      </c>
      <c r="J1193" s="173">
        <v>1.86</v>
      </c>
      <c r="K1193" s="172">
        <v>1.86</v>
      </c>
      <c r="L1193" s="173">
        <v>1.86</v>
      </c>
      <c r="M1193" s="171">
        <v>1.86</v>
      </c>
      <c r="N1193" s="170"/>
      <c r="O1193" s="177" t="s">
        <v>76</v>
      </c>
      <c r="P1193" s="162" t="s">
        <v>1591</v>
      </c>
      <c r="Q1193" s="176"/>
      <c r="R1193" s="175">
        <v>2043</v>
      </c>
      <c r="S1193" s="179"/>
      <c r="T1193" s="164" t="s">
        <v>24</v>
      </c>
      <c r="U1193" s="161" t="s">
        <v>17</v>
      </c>
      <c r="V1193" s="175">
        <v>1204</v>
      </c>
      <c r="W1193" s="181"/>
      <c r="X1193" s="186">
        <v>44805</v>
      </c>
      <c r="Y1193" s="187">
        <v>45029.430844907409</v>
      </c>
    </row>
    <row r="1194" spans="1:25">
      <c r="A1194" s="167" t="s">
        <v>45</v>
      </c>
      <c r="B1194" s="162" t="s">
        <v>1599</v>
      </c>
      <c r="C1194" s="163" t="s">
        <v>3387</v>
      </c>
      <c r="D1194" s="162" t="s">
        <v>3388</v>
      </c>
      <c r="E1194" s="161" t="s">
        <v>1602</v>
      </c>
      <c r="F1194" s="164" t="s">
        <v>1603</v>
      </c>
      <c r="G1194" s="161"/>
      <c r="H1194" s="215">
        <v>1</v>
      </c>
      <c r="I1194" s="171">
        <v>0.5</v>
      </c>
      <c r="J1194" s="173">
        <v>200</v>
      </c>
      <c r="K1194" s="172">
        <v>0.5</v>
      </c>
      <c r="L1194" s="173">
        <v>200</v>
      </c>
      <c r="M1194" s="171" t="s">
        <v>3389</v>
      </c>
      <c r="N1194" s="170">
        <v>400</v>
      </c>
      <c r="O1194" s="177" t="s">
        <v>1523</v>
      </c>
      <c r="P1194" s="162" t="s">
        <v>1619</v>
      </c>
      <c r="Q1194" s="176"/>
      <c r="R1194" s="175"/>
      <c r="S1194" s="179"/>
      <c r="T1194" s="164" t="s">
        <v>28</v>
      </c>
      <c r="U1194" s="161" t="s">
        <v>19</v>
      </c>
      <c r="V1194" s="175">
        <v>2215</v>
      </c>
      <c r="W1194" s="181" t="s">
        <v>3390</v>
      </c>
      <c r="X1194" s="186">
        <v>45069</v>
      </c>
      <c r="Y1194" s="187">
        <v>45097.616840277777</v>
      </c>
    </row>
    <row r="1195" spans="1:25">
      <c r="A1195" s="167" t="s">
        <v>45</v>
      </c>
      <c r="B1195" s="162" t="s">
        <v>1555</v>
      </c>
      <c r="C1195" s="163" t="s">
        <v>3391</v>
      </c>
      <c r="D1195" s="162" t="s">
        <v>2206</v>
      </c>
      <c r="E1195" s="161" t="s">
        <v>1716</v>
      </c>
      <c r="F1195" s="164" t="s">
        <v>1658</v>
      </c>
      <c r="G1195" s="161" t="s">
        <v>3392</v>
      </c>
      <c r="H1195" s="215">
        <v>1</v>
      </c>
      <c r="I1195" s="171">
        <v>2.5</v>
      </c>
      <c r="J1195" s="173">
        <v>2.5</v>
      </c>
      <c r="K1195" s="172">
        <v>2.5</v>
      </c>
      <c r="L1195" s="173">
        <v>2.5</v>
      </c>
      <c r="M1195" s="171">
        <v>2.5</v>
      </c>
      <c r="N1195" s="170">
        <v>0</v>
      </c>
      <c r="O1195" s="177" t="s">
        <v>76</v>
      </c>
      <c r="P1195" s="162" t="s">
        <v>1591</v>
      </c>
      <c r="Q1195" s="176"/>
      <c r="R1195" s="175"/>
      <c r="S1195" s="179"/>
      <c r="T1195" s="164" t="s">
        <v>24</v>
      </c>
      <c r="U1195" s="161" t="s">
        <v>17</v>
      </c>
      <c r="V1195" s="175">
        <v>1205</v>
      </c>
      <c r="W1195" s="181"/>
      <c r="X1195" s="186">
        <v>44805</v>
      </c>
      <c r="Y1195" s="187">
        <v>45021.764687499999</v>
      </c>
    </row>
    <row r="1196" spans="1:25">
      <c r="A1196" s="167" t="s">
        <v>91</v>
      </c>
      <c r="B1196" s="162" t="s">
        <v>1599</v>
      </c>
      <c r="C1196" s="163" t="s">
        <v>3393</v>
      </c>
      <c r="D1196" s="162" t="s">
        <v>3394</v>
      </c>
      <c r="E1196" s="161" t="s">
        <v>1613</v>
      </c>
      <c r="F1196" s="164" t="s">
        <v>1614</v>
      </c>
      <c r="G1196" s="161"/>
      <c r="H1196" s="215">
        <v>1</v>
      </c>
      <c r="I1196" s="171"/>
      <c r="J1196" s="173">
        <v>200</v>
      </c>
      <c r="K1196" s="172"/>
      <c r="L1196" s="173">
        <v>200</v>
      </c>
      <c r="M1196" s="171">
        <v>200</v>
      </c>
      <c r="N1196" s="170"/>
      <c r="O1196" s="177" t="s">
        <v>1523</v>
      </c>
      <c r="P1196" s="162" t="s">
        <v>1620</v>
      </c>
      <c r="Q1196" s="176"/>
      <c r="R1196" s="175"/>
      <c r="S1196" s="179"/>
      <c r="T1196" s="164" t="s">
        <v>28</v>
      </c>
      <c r="U1196" s="161" t="s">
        <v>1615</v>
      </c>
      <c r="V1196" s="175">
        <v>2054</v>
      </c>
      <c r="W1196" s="181"/>
      <c r="X1196" s="186">
        <v>45017</v>
      </c>
      <c r="Y1196" s="187">
        <v>44824.647719907407</v>
      </c>
    </row>
    <row r="1197" spans="1:25">
      <c r="A1197" s="167" t="s">
        <v>91</v>
      </c>
      <c r="B1197" s="162" t="s">
        <v>1599</v>
      </c>
      <c r="C1197" s="163" t="s">
        <v>3395</v>
      </c>
      <c r="D1197" s="162" t="s">
        <v>3394</v>
      </c>
      <c r="E1197" s="161" t="s">
        <v>1613</v>
      </c>
      <c r="F1197" s="164" t="s">
        <v>1614</v>
      </c>
      <c r="G1197" s="161"/>
      <c r="H1197" s="215">
        <v>1</v>
      </c>
      <c r="I1197" s="171"/>
      <c r="J1197" s="173">
        <v>200</v>
      </c>
      <c r="K1197" s="172"/>
      <c r="L1197" s="173">
        <v>200</v>
      </c>
      <c r="M1197" s="171">
        <v>200</v>
      </c>
      <c r="N1197" s="170"/>
      <c r="O1197" s="177" t="s">
        <v>1523</v>
      </c>
      <c r="P1197" s="162" t="s">
        <v>1620</v>
      </c>
      <c r="Q1197" s="176"/>
      <c r="R1197" s="175"/>
      <c r="S1197" s="179"/>
      <c r="T1197" s="164" t="s">
        <v>28</v>
      </c>
      <c r="U1197" s="161" t="s">
        <v>1615</v>
      </c>
      <c r="V1197" s="175">
        <v>2055</v>
      </c>
      <c r="W1197" s="181"/>
      <c r="X1197" s="186">
        <v>45017</v>
      </c>
      <c r="Y1197" s="187">
        <v>44824.651828703703</v>
      </c>
    </row>
    <row r="1198" spans="1:25">
      <c r="A1198" s="167" t="s">
        <v>77</v>
      </c>
      <c r="B1198" s="162" t="s">
        <v>1599</v>
      </c>
      <c r="C1198" s="163" t="s">
        <v>3396</v>
      </c>
      <c r="D1198" s="162" t="s">
        <v>447</v>
      </c>
      <c r="E1198" s="161" t="s">
        <v>1631</v>
      </c>
      <c r="F1198" s="164" t="s">
        <v>1614</v>
      </c>
      <c r="G1198" s="161"/>
      <c r="H1198" s="215">
        <v>28</v>
      </c>
      <c r="I1198" s="171">
        <v>2.5</v>
      </c>
      <c r="J1198" s="173">
        <v>2.5</v>
      </c>
      <c r="K1198" s="172">
        <v>70</v>
      </c>
      <c r="L1198" s="173">
        <v>70</v>
      </c>
      <c r="M1198" s="171">
        <v>70</v>
      </c>
      <c r="N1198" s="170"/>
      <c r="O1198" s="177" t="s">
        <v>1523</v>
      </c>
      <c r="P1198" s="162" t="s">
        <v>1620</v>
      </c>
      <c r="Q1198" s="176"/>
      <c r="R1198" s="175"/>
      <c r="S1198" s="179"/>
      <c r="T1198" s="164" t="s">
        <v>28</v>
      </c>
      <c r="U1198" s="161" t="s">
        <v>1615</v>
      </c>
      <c r="V1198" s="175">
        <v>1704</v>
      </c>
      <c r="W1198" s="181"/>
      <c r="X1198" s="186">
        <v>45069</v>
      </c>
      <c r="Y1198" s="187">
        <v>45084.624641203707</v>
      </c>
    </row>
    <row r="1199" spans="1:25">
      <c r="A1199" s="167" t="s">
        <v>110</v>
      </c>
      <c r="B1199" s="162" t="s">
        <v>1599</v>
      </c>
      <c r="C1199" s="163" t="s">
        <v>3397</v>
      </c>
      <c r="D1199" s="162" t="s">
        <v>3398</v>
      </c>
      <c r="E1199" s="161" t="s">
        <v>1602</v>
      </c>
      <c r="F1199" s="164" t="s">
        <v>1603</v>
      </c>
      <c r="G1199" s="161"/>
      <c r="H1199" s="215">
        <v>1</v>
      </c>
      <c r="I1199" s="171">
        <v>320</v>
      </c>
      <c r="J1199" s="173">
        <v>320</v>
      </c>
      <c r="K1199" s="172">
        <v>320</v>
      </c>
      <c r="L1199" s="173">
        <v>320</v>
      </c>
      <c r="M1199" s="171">
        <v>320</v>
      </c>
      <c r="N1199" s="170">
        <v>0</v>
      </c>
      <c r="O1199" s="177" t="s">
        <v>1523</v>
      </c>
      <c r="P1199" s="162" t="s">
        <v>1604</v>
      </c>
      <c r="Q1199" s="176"/>
      <c r="R1199" s="175"/>
      <c r="S1199" s="179"/>
      <c r="T1199" s="164" t="s">
        <v>28</v>
      </c>
      <c r="U1199" s="161" t="s">
        <v>19</v>
      </c>
      <c r="V1199" s="175">
        <v>2350</v>
      </c>
      <c r="W1199" s="181" t="s">
        <v>3399</v>
      </c>
      <c r="X1199" s="186">
        <v>45017</v>
      </c>
      <c r="Y1199" s="187">
        <v>44945.301886574074</v>
      </c>
    </row>
    <row r="1200" spans="1:25">
      <c r="A1200" s="167" t="s">
        <v>45</v>
      </c>
      <c r="B1200" s="162" t="s">
        <v>1599</v>
      </c>
      <c r="C1200" s="163" t="s">
        <v>3400</v>
      </c>
      <c r="D1200" s="162" t="s">
        <v>3388</v>
      </c>
      <c r="E1200" s="161" t="s">
        <v>1625</v>
      </c>
      <c r="F1200" s="164" t="s">
        <v>1609</v>
      </c>
      <c r="G1200" s="161"/>
      <c r="H1200" s="215">
        <v>1</v>
      </c>
      <c r="I1200" s="171">
        <v>5</v>
      </c>
      <c r="J1200" s="173">
        <v>192</v>
      </c>
      <c r="K1200" s="172">
        <v>5</v>
      </c>
      <c r="L1200" s="173">
        <v>192</v>
      </c>
      <c r="M1200" s="171" t="s">
        <v>3401</v>
      </c>
      <c r="N1200" s="170"/>
      <c r="O1200" s="177" t="s">
        <v>1523</v>
      </c>
      <c r="P1200" s="162" t="s">
        <v>1620</v>
      </c>
      <c r="Q1200" s="176"/>
      <c r="R1200" s="175"/>
      <c r="S1200" s="179"/>
      <c r="T1200" s="164" t="s">
        <v>28</v>
      </c>
      <c r="U1200" s="161" t="s">
        <v>16</v>
      </c>
      <c r="V1200" s="175">
        <v>2201</v>
      </c>
      <c r="W1200" s="181" t="s">
        <v>3402</v>
      </c>
      <c r="X1200" s="186">
        <v>45017</v>
      </c>
      <c r="Y1200" s="187">
        <v>45027.681122685186</v>
      </c>
    </row>
    <row r="1201" spans="1:25">
      <c r="A1201" s="167" t="s">
        <v>77</v>
      </c>
      <c r="B1201" s="162" t="s">
        <v>1555</v>
      </c>
      <c r="C1201" s="163" t="s">
        <v>3403</v>
      </c>
      <c r="D1201" s="162" t="s">
        <v>3403</v>
      </c>
      <c r="E1201" s="161" t="s">
        <v>1589</v>
      </c>
      <c r="F1201" s="164" t="s">
        <v>1627</v>
      </c>
      <c r="G1201" s="161" t="s">
        <v>3404</v>
      </c>
      <c r="H1201" s="215">
        <v>3</v>
      </c>
      <c r="I1201" s="171"/>
      <c r="J1201" s="173">
        <v>1.1000000000000001</v>
      </c>
      <c r="K1201" s="172"/>
      <c r="L1201" s="173">
        <v>3.3</v>
      </c>
      <c r="M1201" s="171">
        <v>3.3</v>
      </c>
      <c r="N1201" s="170"/>
      <c r="O1201" s="177" t="s">
        <v>76</v>
      </c>
      <c r="P1201" s="162" t="s">
        <v>1591</v>
      </c>
      <c r="Q1201" s="176"/>
      <c r="R1201" s="175">
        <v>2072</v>
      </c>
      <c r="S1201" s="179"/>
      <c r="T1201" s="164" t="s">
        <v>24</v>
      </c>
      <c r="U1201" s="161" t="s">
        <v>18</v>
      </c>
      <c r="V1201" s="175">
        <v>1321</v>
      </c>
      <c r="W1201" s="181"/>
      <c r="X1201" s="186">
        <v>44805</v>
      </c>
      <c r="Y1201" s="187">
        <v>44981.409050925926</v>
      </c>
    </row>
    <row r="1202" spans="1:25">
      <c r="A1202" s="167" t="s">
        <v>77</v>
      </c>
      <c r="B1202" s="162" t="s">
        <v>1599</v>
      </c>
      <c r="C1202" s="163" t="s">
        <v>3405</v>
      </c>
      <c r="D1202" s="162" t="s">
        <v>3406</v>
      </c>
      <c r="E1202" s="161" t="s">
        <v>1602</v>
      </c>
      <c r="F1202" s="164" t="s">
        <v>1603</v>
      </c>
      <c r="G1202" s="161" t="s">
        <v>3407</v>
      </c>
      <c r="H1202" s="215">
        <v>7</v>
      </c>
      <c r="I1202" s="171"/>
      <c r="J1202" s="173">
        <v>4.3</v>
      </c>
      <c r="K1202" s="172"/>
      <c r="L1202" s="173">
        <v>30.1</v>
      </c>
      <c r="M1202" s="171">
        <v>30.1</v>
      </c>
      <c r="N1202" s="170">
        <v>60</v>
      </c>
      <c r="O1202" s="177" t="s">
        <v>1523</v>
      </c>
      <c r="P1202" s="162" t="s">
        <v>1619</v>
      </c>
      <c r="Q1202" s="176"/>
      <c r="R1202" s="175"/>
      <c r="S1202" s="179"/>
      <c r="T1202" s="164" t="s">
        <v>28</v>
      </c>
      <c r="U1202" s="161" t="s">
        <v>19</v>
      </c>
      <c r="V1202" s="175">
        <v>1539</v>
      </c>
      <c r="W1202" s="181"/>
      <c r="X1202" s="186">
        <v>45069</v>
      </c>
      <c r="Y1202" s="187">
        <v>45069.492974537039</v>
      </c>
    </row>
    <row r="1203" spans="1:25">
      <c r="A1203" s="167" t="s">
        <v>77</v>
      </c>
      <c r="B1203" s="162" t="s">
        <v>1599</v>
      </c>
      <c r="C1203" s="163" t="s">
        <v>3405</v>
      </c>
      <c r="D1203" s="162" t="s">
        <v>3406</v>
      </c>
      <c r="E1203" s="161" t="s">
        <v>1631</v>
      </c>
      <c r="F1203" s="164" t="s">
        <v>1614</v>
      </c>
      <c r="G1203" s="161" t="s">
        <v>3408</v>
      </c>
      <c r="H1203" s="215">
        <v>17</v>
      </c>
      <c r="I1203" s="171">
        <v>4.4000000000000004</v>
      </c>
      <c r="J1203" s="173">
        <v>4.4000000000000004</v>
      </c>
      <c r="K1203" s="172">
        <v>74.8</v>
      </c>
      <c r="L1203" s="173">
        <v>74.8</v>
      </c>
      <c r="M1203" s="171">
        <v>74.8</v>
      </c>
      <c r="N1203" s="170"/>
      <c r="O1203" s="177" t="s">
        <v>1523</v>
      </c>
      <c r="P1203" s="162" t="s">
        <v>1620</v>
      </c>
      <c r="Q1203" s="176"/>
      <c r="R1203" s="175"/>
      <c r="S1203" s="179"/>
      <c r="T1203" s="164" t="s">
        <v>28</v>
      </c>
      <c r="U1203" s="161" t="s">
        <v>1615</v>
      </c>
      <c r="V1203" s="175">
        <v>1539</v>
      </c>
      <c r="W1203" s="181"/>
      <c r="X1203" s="186">
        <v>45069</v>
      </c>
      <c r="Y1203" s="187">
        <v>45069.492974537039</v>
      </c>
    </row>
    <row r="1204" spans="1:25">
      <c r="A1204" s="167" t="s">
        <v>45</v>
      </c>
      <c r="B1204" s="162" t="s">
        <v>1599</v>
      </c>
      <c r="C1204" s="163" t="s">
        <v>3409</v>
      </c>
      <c r="D1204" s="162" t="s">
        <v>173</v>
      </c>
      <c r="E1204" s="161" t="s">
        <v>1613</v>
      </c>
      <c r="F1204" s="164" t="s">
        <v>1614</v>
      </c>
      <c r="G1204" s="161"/>
      <c r="H1204" s="215">
        <v>152</v>
      </c>
      <c r="I1204" s="171"/>
      <c r="J1204" s="173">
        <v>1.64</v>
      </c>
      <c r="K1204" s="172"/>
      <c r="L1204" s="173">
        <v>248.82</v>
      </c>
      <c r="M1204" s="171">
        <v>248.82</v>
      </c>
      <c r="N1204" s="170"/>
      <c r="O1204" s="177" t="s">
        <v>1523</v>
      </c>
      <c r="P1204" s="162" t="s">
        <v>1620</v>
      </c>
      <c r="Q1204" s="176">
        <v>46082</v>
      </c>
      <c r="R1204" s="175">
        <v>2054</v>
      </c>
      <c r="S1204" s="179"/>
      <c r="T1204" s="164" t="s">
        <v>28</v>
      </c>
      <c r="U1204" s="161" t="s">
        <v>1615</v>
      </c>
      <c r="V1204" s="175">
        <v>1683</v>
      </c>
      <c r="W1204" s="181" t="s">
        <v>3410</v>
      </c>
      <c r="X1204" s="186">
        <v>45069</v>
      </c>
      <c r="Y1204" s="187">
        <v>45021.63585648148</v>
      </c>
    </row>
    <row r="1205" spans="1:25">
      <c r="A1205" s="167" t="s">
        <v>110</v>
      </c>
      <c r="B1205" s="162" t="s">
        <v>1555</v>
      </c>
      <c r="C1205" s="163" t="s">
        <v>3411</v>
      </c>
      <c r="D1205" s="162" t="s">
        <v>3412</v>
      </c>
      <c r="E1205" s="161" t="s">
        <v>1625</v>
      </c>
      <c r="F1205" s="164" t="s">
        <v>1609</v>
      </c>
      <c r="G1205" s="161" t="s">
        <v>3413</v>
      </c>
      <c r="H1205" s="215">
        <v>2</v>
      </c>
      <c r="I1205" s="171">
        <v>3.6</v>
      </c>
      <c r="J1205" s="173">
        <v>3.6</v>
      </c>
      <c r="K1205" s="172">
        <v>7.2</v>
      </c>
      <c r="L1205" s="173">
        <v>7.2</v>
      </c>
      <c r="M1205" s="171">
        <v>7.2</v>
      </c>
      <c r="N1205" s="170"/>
      <c r="O1205" s="177" t="s">
        <v>76</v>
      </c>
      <c r="P1205" s="162" t="s">
        <v>1591</v>
      </c>
      <c r="Q1205" s="176">
        <v>43435</v>
      </c>
      <c r="R1205" s="175">
        <v>2048</v>
      </c>
      <c r="S1205" s="179"/>
      <c r="T1205" s="164" t="s">
        <v>24</v>
      </c>
      <c r="U1205" s="161" t="s">
        <v>16</v>
      </c>
      <c r="V1205" s="175">
        <v>1494</v>
      </c>
      <c r="W1205" s="181"/>
      <c r="X1205" s="186">
        <v>44805</v>
      </c>
      <c r="Y1205" s="187">
        <v>44981.401076388887</v>
      </c>
    </row>
    <row r="1206" spans="1:25">
      <c r="A1206" s="167" t="s">
        <v>77</v>
      </c>
      <c r="B1206" s="162" t="s">
        <v>1555</v>
      </c>
      <c r="C1206" s="163" t="s">
        <v>3414</v>
      </c>
      <c r="D1206" s="162" t="s">
        <v>1604</v>
      </c>
      <c r="E1206" s="161" t="s">
        <v>1613</v>
      </c>
      <c r="F1206" s="164" t="s">
        <v>1614</v>
      </c>
      <c r="G1206" s="161"/>
      <c r="H1206" s="215">
        <v>1</v>
      </c>
      <c r="I1206" s="171"/>
      <c r="J1206" s="173">
        <v>0.95</v>
      </c>
      <c r="K1206" s="172"/>
      <c r="L1206" s="173">
        <v>0.95</v>
      </c>
      <c r="M1206" s="171">
        <v>0.95</v>
      </c>
      <c r="N1206" s="170"/>
      <c r="O1206" s="177" t="s">
        <v>76</v>
      </c>
      <c r="P1206" s="162" t="s">
        <v>1591</v>
      </c>
      <c r="Q1206" s="176"/>
      <c r="R1206" s="175"/>
      <c r="S1206" s="179"/>
      <c r="T1206" s="164" t="s">
        <v>24</v>
      </c>
      <c r="U1206" s="161" t="s">
        <v>1615</v>
      </c>
      <c r="V1206" s="175">
        <v>2128</v>
      </c>
      <c r="W1206" s="181"/>
      <c r="X1206" s="186" t="s">
        <v>259</v>
      </c>
      <c r="Y1206" s="187">
        <v>44831.597974537035</v>
      </c>
    </row>
    <row r="1207" spans="1:25">
      <c r="A1207" s="167" t="s">
        <v>110</v>
      </c>
      <c r="B1207" s="162" t="s">
        <v>1555</v>
      </c>
      <c r="C1207" s="163" t="s">
        <v>3415</v>
      </c>
      <c r="D1207" s="162" t="s">
        <v>1604</v>
      </c>
      <c r="E1207" s="161" t="s">
        <v>1613</v>
      </c>
      <c r="F1207" s="164" t="s">
        <v>1614</v>
      </c>
      <c r="G1207" s="161"/>
      <c r="H1207" s="215">
        <v>1</v>
      </c>
      <c r="I1207" s="171"/>
      <c r="J1207" s="173">
        <v>0.35</v>
      </c>
      <c r="K1207" s="172"/>
      <c r="L1207" s="173">
        <v>0.35</v>
      </c>
      <c r="M1207" s="171">
        <v>0.35</v>
      </c>
      <c r="N1207" s="170"/>
      <c r="O1207" s="177" t="s">
        <v>76</v>
      </c>
      <c r="P1207" s="162" t="s">
        <v>1591</v>
      </c>
      <c r="Q1207" s="176"/>
      <c r="R1207" s="175"/>
      <c r="S1207" s="179"/>
      <c r="T1207" s="164" t="s">
        <v>24</v>
      </c>
      <c r="U1207" s="161" t="s">
        <v>1615</v>
      </c>
      <c r="V1207" s="175">
        <v>2129</v>
      </c>
      <c r="W1207" s="181"/>
      <c r="X1207" s="186" t="s">
        <v>259</v>
      </c>
      <c r="Y1207" s="187">
        <v>44831.602222222224</v>
      </c>
    </row>
    <row r="1208" spans="1:25">
      <c r="A1208" s="167" t="s">
        <v>110</v>
      </c>
      <c r="B1208" s="162" t="s">
        <v>1555</v>
      </c>
      <c r="C1208" s="163" t="s">
        <v>3416</v>
      </c>
      <c r="D1208" s="162" t="s">
        <v>1604</v>
      </c>
      <c r="E1208" s="161" t="s">
        <v>1613</v>
      </c>
      <c r="F1208" s="164" t="s">
        <v>1614</v>
      </c>
      <c r="G1208" s="161"/>
      <c r="H1208" s="215">
        <v>1</v>
      </c>
      <c r="I1208" s="171"/>
      <c r="J1208" s="173">
        <v>0.22</v>
      </c>
      <c r="K1208" s="172"/>
      <c r="L1208" s="173">
        <v>0.22</v>
      </c>
      <c r="M1208" s="171">
        <v>0.22</v>
      </c>
      <c r="N1208" s="170"/>
      <c r="O1208" s="177" t="s">
        <v>76</v>
      </c>
      <c r="P1208" s="162" t="s">
        <v>1591</v>
      </c>
      <c r="Q1208" s="176"/>
      <c r="R1208" s="175"/>
      <c r="S1208" s="179"/>
      <c r="T1208" s="164" t="s">
        <v>24</v>
      </c>
      <c r="U1208" s="161" t="s">
        <v>1615</v>
      </c>
      <c r="V1208" s="175">
        <v>2130</v>
      </c>
      <c r="W1208" s="181"/>
      <c r="X1208" s="186" t="s">
        <v>259</v>
      </c>
      <c r="Y1208" s="187">
        <v>44831.618668981479</v>
      </c>
    </row>
    <row r="1209" spans="1:25">
      <c r="A1209" s="167" t="s">
        <v>110</v>
      </c>
      <c r="B1209" s="162" t="s">
        <v>1555</v>
      </c>
      <c r="C1209" s="163" t="s">
        <v>3417</v>
      </c>
      <c r="D1209" s="162" t="s">
        <v>1604</v>
      </c>
      <c r="E1209" s="161" t="s">
        <v>1613</v>
      </c>
      <c r="F1209" s="164" t="s">
        <v>1614</v>
      </c>
      <c r="G1209" s="161"/>
      <c r="H1209" s="215">
        <v>1</v>
      </c>
      <c r="I1209" s="171"/>
      <c r="J1209" s="173">
        <v>0.13</v>
      </c>
      <c r="K1209" s="172"/>
      <c r="L1209" s="173">
        <v>0.13</v>
      </c>
      <c r="M1209" s="171">
        <v>0.13</v>
      </c>
      <c r="N1209" s="170"/>
      <c r="O1209" s="177" t="s">
        <v>76</v>
      </c>
      <c r="P1209" s="162" t="s">
        <v>1591</v>
      </c>
      <c r="Q1209" s="176"/>
      <c r="R1209" s="175"/>
      <c r="S1209" s="179"/>
      <c r="T1209" s="164" t="s">
        <v>24</v>
      </c>
      <c r="U1209" s="161" t="s">
        <v>1615</v>
      </c>
      <c r="V1209" s="175">
        <v>2131</v>
      </c>
      <c r="W1209" s="181"/>
      <c r="X1209" s="186" t="s">
        <v>259</v>
      </c>
      <c r="Y1209" s="187">
        <v>44831.638761574075</v>
      </c>
    </row>
    <row r="1210" spans="1:25">
      <c r="A1210" s="167" t="s">
        <v>45</v>
      </c>
      <c r="B1210" s="162" t="s">
        <v>1555</v>
      </c>
      <c r="C1210" s="163" t="s">
        <v>3418</v>
      </c>
      <c r="D1210" s="162" t="s">
        <v>1604</v>
      </c>
      <c r="E1210" s="161" t="s">
        <v>1613</v>
      </c>
      <c r="F1210" s="164" t="s">
        <v>1614</v>
      </c>
      <c r="G1210" s="161"/>
      <c r="H1210" s="215">
        <v>1</v>
      </c>
      <c r="I1210" s="171"/>
      <c r="J1210" s="173">
        <v>1.77</v>
      </c>
      <c r="K1210" s="172"/>
      <c r="L1210" s="173">
        <v>1.77</v>
      </c>
      <c r="M1210" s="171">
        <v>1.77</v>
      </c>
      <c r="N1210" s="170"/>
      <c r="O1210" s="177" t="s">
        <v>76</v>
      </c>
      <c r="P1210" s="162" t="s">
        <v>1591</v>
      </c>
      <c r="Q1210" s="176"/>
      <c r="R1210" s="175"/>
      <c r="S1210" s="179"/>
      <c r="T1210" s="164" t="s">
        <v>24</v>
      </c>
      <c r="U1210" s="161" t="s">
        <v>1615</v>
      </c>
      <c r="V1210" s="175">
        <v>2132</v>
      </c>
      <c r="W1210" s="181"/>
      <c r="X1210" s="186" t="s">
        <v>259</v>
      </c>
      <c r="Y1210" s="187">
        <v>44831.664537037039</v>
      </c>
    </row>
    <row r="1211" spans="1:25">
      <c r="A1211" s="167" t="s">
        <v>45</v>
      </c>
      <c r="B1211" s="162" t="s">
        <v>1555</v>
      </c>
      <c r="C1211" s="163" t="s">
        <v>3419</v>
      </c>
      <c r="D1211" s="162" t="s">
        <v>1604</v>
      </c>
      <c r="E1211" s="161" t="s">
        <v>1613</v>
      </c>
      <c r="F1211" s="164" t="s">
        <v>1614</v>
      </c>
      <c r="G1211" s="161"/>
      <c r="H1211" s="215">
        <v>1</v>
      </c>
      <c r="I1211" s="171"/>
      <c r="J1211" s="173">
        <v>0.8</v>
      </c>
      <c r="K1211" s="172"/>
      <c r="L1211" s="173">
        <v>0.8</v>
      </c>
      <c r="M1211" s="171">
        <v>0.8</v>
      </c>
      <c r="N1211" s="170"/>
      <c r="O1211" s="177" t="s">
        <v>76</v>
      </c>
      <c r="P1211" s="162" t="s">
        <v>1591</v>
      </c>
      <c r="Q1211" s="176"/>
      <c r="R1211" s="175"/>
      <c r="S1211" s="179"/>
      <c r="T1211" s="164" t="s">
        <v>24</v>
      </c>
      <c r="U1211" s="161" t="s">
        <v>1615</v>
      </c>
      <c r="V1211" s="175">
        <v>2133</v>
      </c>
      <c r="W1211" s="181"/>
      <c r="X1211" s="186" t="s">
        <v>259</v>
      </c>
      <c r="Y1211" s="187">
        <v>44831.668043981481</v>
      </c>
    </row>
    <row r="1212" spans="1:25">
      <c r="A1212" s="167" t="s">
        <v>45</v>
      </c>
      <c r="B1212" s="162" t="s">
        <v>1555</v>
      </c>
      <c r="C1212" s="163" t="s">
        <v>3420</v>
      </c>
      <c r="D1212" s="162" t="s">
        <v>1604</v>
      </c>
      <c r="E1212" s="161" t="s">
        <v>1613</v>
      </c>
      <c r="F1212" s="164" t="s">
        <v>1614</v>
      </c>
      <c r="G1212" s="161"/>
      <c r="H1212" s="215">
        <v>1</v>
      </c>
      <c r="I1212" s="171"/>
      <c r="J1212" s="173">
        <v>0.32</v>
      </c>
      <c r="K1212" s="172"/>
      <c r="L1212" s="173">
        <v>0.32</v>
      </c>
      <c r="M1212" s="171">
        <v>0.32</v>
      </c>
      <c r="N1212" s="170"/>
      <c r="O1212" s="177" t="s">
        <v>76</v>
      </c>
      <c r="P1212" s="162" t="s">
        <v>1591</v>
      </c>
      <c r="Q1212" s="176"/>
      <c r="R1212" s="175"/>
      <c r="S1212" s="179"/>
      <c r="T1212" s="164" t="s">
        <v>24</v>
      </c>
      <c r="U1212" s="161" t="s">
        <v>1615</v>
      </c>
      <c r="V1212" s="175">
        <v>2134</v>
      </c>
      <c r="W1212" s="181"/>
      <c r="X1212" s="186" t="s">
        <v>259</v>
      </c>
      <c r="Y1212" s="187">
        <v>44831.671666666669</v>
      </c>
    </row>
    <row r="1213" spans="1:25">
      <c r="A1213" s="167" t="s">
        <v>110</v>
      </c>
      <c r="B1213" s="162" t="s">
        <v>1555</v>
      </c>
      <c r="C1213" s="163" t="s">
        <v>3421</v>
      </c>
      <c r="D1213" s="162" t="s">
        <v>1604</v>
      </c>
      <c r="E1213" s="161" t="s">
        <v>1613</v>
      </c>
      <c r="F1213" s="164" t="s">
        <v>1614</v>
      </c>
      <c r="G1213" s="161"/>
      <c r="H1213" s="215">
        <v>1</v>
      </c>
      <c r="I1213" s="171"/>
      <c r="J1213" s="173">
        <v>0.18</v>
      </c>
      <c r="K1213" s="172"/>
      <c r="L1213" s="173">
        <v>0.18</v>
      </c>
      <c r="M1213" s="171">
        <v>0.18</v>
      </c>
      <c r="N1213" s="170"/>
      <c r="O1213" s="177" t="s">
        <v>76</v>
      </c>
      <c r="P1213" s="162" t="s">
        <v>1591</v>
      </c>
      <c r="Q1213" s="176"/>
      <c r="R1213" s="175"/>
      <c r="S1213" s="179"/>
      <c r="T1213" s="164" t="s">
        <v>24</v>
      </c>
      <c r="U1213" s="161" t="s">
        <v>1615</v>
      </c>
      <c r="V1213" s="175">
        <v>2135</v>
      </c>
      <c r="W1213" s="181"/>
      <c r="X1213" s="186" t="s">
        <v>259</v>
      </c>
      <c r="Y1213" s="187">
        <v>44831.683854166666</v>
      </c>
    </row>
    <row r="1214" spans="1:25">
      <c r="A1214" s="167" t="s">
        <v>77</v>
      </c>
      <c r="B1214" s="162" t="s">
        <v>1555</v>
      </c>
      <c r="C1214" s="163" t="s">
        <v>3422</v>
      </c>
      <c r="D1214" s="162" t="s">
        <v>1604</v>
      </c>
      <c r="E1214" s="161" t="s">
        <v>1613</v>
      </c>
      <c r="F1214" s="162" t="s">
        <v>1614</v>
      </c>
      <c r="G1214" s="161"/>
      <c r="H1214" s="214">
        <v>1</v>
      </c>
      <c r="I1214" s="171"/>
      <c r="J1214" s="170">
        <v>0.39</v>
      </c>
      <c r="K1214" s="172"/>
      <c r="L1214" s="170">
        <v>0.39</v>
      </c>
      <c r="M1214" s="171">
        <v>0.39</v>
      </c>
      <c r="N1214" s="170"/>
      <c r="O1214" s="177" t="s">
        <v>76</v>
      </c>
      <c r="P1214" s="162" t="s">
        <v>1591</v>
      </c>
      <c r="Q1214" s="176"/>
      <c r="R1214" s="174"/>
      <c r="S1214" s="179"/>
      <c r="T1214" s="162" t="s">
        <v>24</v>
      </c>
      <c r="U1214" s="161" t="s">
        <v>1615</v>
      </c>
      <c r="V1214" s="174">
        <v>2136</v>
      </c>
      <c r="W1214" s="180"/>
      <c r="X1214" s="185" t="s">
        <v>259</v>
      </c>
      <c r="Y1214" s="187">
        <v>44831.687881944446</v>
      </c>
    </row>
    <row r="1215" spans="1:25">
      <c r="A1215" s="167" t="s">
        <v>45</v>
      </c>
      <c r="B1215" s="162" t="s">
        <v>1555</v>
      </c>
      <c r="C1215" s="163" t="s">
        <v>3423</v>
      </c>
      <c r="D1215" s="162" t="s">
        <v>1604</v>
      </c>
      <c r="E1215" s="161" t="s">
        <v>1613</v>
      </c>
      <c r="F1215" s="164" t="s">
        <v>1614</v>
      </c>
      <c r="G1215" s="161"/>
      <c r="H1215" s="215">
        <v>1</v>
      </c>
      <c r="I1215" s="171"/>
      <c r="J1215" s="173">
        <v>0.13</v>
      </c>
      <c r="K1215" s="172"/>
      <c r="L1215" s="173">
        <v>0.13</v>
      </c>
      <c r="M1215" s="171">
        <v>0.13</v>
      </c>
      <c r="N1215" s="170"/>
      <c r="O1215" s="177" t="s">
        <v>76</v>
      </c>
      <c r="P1215" s="162" t="s">
        <v>1591</v>
      </c>
      <c r="Q1215" s="176"/>
      <c r="R1215" s="175"/>
      <c r="S1215" s="179"/>
      <c r="T1215" s="164" t="s">
        <v>24</v>
      </c>
      <c r="U1215" s="161" t="s">
        <v>1615</v>
      </c>
      <c r="V1215" s="175">
        <v>2137</v>
      </c>
      <c r="W1215" s="181"/>
      <c r="X1215" s="186" t="s">
        <v>259</v>
      </c>
      <c r="Y1215" s="187">
        <v>44831.691805555558</v>
      </c>
    </row>
    <row r="1216" spans="1:25">
      <c r="A1216" s="167" t="s">
        <v>45</v>
      </c>
      <c r="B1216" s="162" t="s">
        <v>1555</v>
      </c>
      <c r="C1216" s="163" t="s">
        <v>3424</v>
      </c>
      <c r="D1216" s="162" t="s">
        <v>1604</v>
      </c>
      <c r="E1216" s="161" t="s">
        <v>1613</v>
      </c>
      <c r="F1216" s="162" t="s">
        <v>1614</v>
      </c>
      <c r="G1216" s="161"/>
      <c r="H1216" s="214">
        <v>1</v>
      </c>
      <c r="I1216" s="171"/>
      <c r="J1216" s="170">
        <v>0.28000000000000003</v>
      </c>
      <c r="K1216" s="172"/>
      <c r="L1216" s="170">
        <v>0.28000000000000003</v>
      </c>
      <c r="M1216" s="171">
        <v>0.28000000000000003</v>
      </c>
      <c r="N1216" s="170"/>
      <c r="O1216" s="177" t="s">
        <v>76</v>
      </c>
      <c r="P1216" s="162" t="s">
        <v>1591</v>
      </c>
      <c r="Q1216" s="176"/>
      <c r="R1216" s="174"/>
      <c r="S1216" s="179"/>
      <c r="T1216" s="162" t="s">
        <v>24</v>
      </c>
      <c r="U1216" s="161" t="s">
        <v>1615</v>
      </c>
      <c r="V1216" s="174">
        <v>2138</v>
      </c>
      <c r="W1216" s="180"/>
      <c r="X1216" s="185" t="s">
        <v>259</v>
      </c>
      <c r="Y1216" s="187">
        <v>44831.695092592592</v>
      </c>
    </row>
    <row r="1217" spans="1:25">
      <c r="A1217" s="167" t="s">
        <v>77</v>
      </c>
      <c r="B1217" s="162" t="s">
        <v>1555</v>
      </c>
      <c r="C1217" s="163" t="s">
        <v>3425</v>
      </c>
      <c r="D1217" s="162" t="s">
        <v>1604</v>
      </c>
      <c r="E1217" s="161" t="s">
        <v>1613</v>
      </c>
      <c r="F1217" s="164" t="s">
        <v>1614</v>
      </c>
      <c r="G1217" s="161"/>
      <c r="H1217" s="215">
        <v>1</v>
      </c>
      <c r="I1217" s="171"/>
      <c r="J1217" s="173">
        <v>0.18</v>
      </c>
      <c r="K1217" s="172"/>
      <c r="L1217" s="173">
        <v>0.18</v>
      </c>
      <c r="M1217" s="171">
        <v>0.18</v>
      </c>
      <c r="N1217" s="170"/>
      <c r="O1217" s="177" t="s">
        <v>76</v>
      </c>
      <c r="P1217" s="162" t="s">
        <v>1591</v>
      </c>
      <c r="Q1217" s="176"/>
      <c r="R1217" s="175"/>
      <c r="S1217" s="179"/>
      <c r="T1217" s="164" t="s">
        <v>24</v>
      </c>
      <c r="U1217" s="161" t="s">
        <v>1615</v>
      </c>
      <c r="V1217" s="175">
        <v>2139</v>
      </c>
      <c r="W1217" s="181"/>
      <c r="X1217" s="185" t="s">
        <v>259</v>
      </c>
      <c r="Y1217" s="187">
        <v>44831.699571759258</v>
      </c>
    </row>
    <row r="1218" spans="1:25">
      <c r="A1218" s="167" t="s">
        <v>77</v>
      </c>
      <c r="B1218" s="162" t="s">
        <v>1555</v>
      </c>
      <c r="C1218" s="163" t="s">
        <v>3426</v>
      </c>
      <c r="D1218" s="162" t="s">
        <v>1604</v>
      </c>
      <c r="E1218" s="161" t="s">
        <v>1613</v>
      </c>
      <c r="F1218" s="162" t="s">
        <v>1614</v>
      </c>
      <c r="G1218" s="161"/>
      <c r="H1218" s="214">
        <v>1</v>
      </c>
      <c r="I1218" s="171"/>
      <c r="J1218" s="170">
        <v>0.17</v>
      </c>
      <c r="K1218" s="172"/>
      <c r="L1218" s="170">
        <v>0.17</v>
      </c>
      <c r="M1218" s="171">
        <v>0.17</v>
      </c>
      <c r="N1218" s="170"/>
      <c r="O1218" s="177" t="s">
        <v>76</v>
      </c>
      <c r="P1218" s="162" t="s">
        <v>1591</v>
      </c>
      <c r="Q1218" s="176"/>
      <c r="R1218" s="174"/>
      <c r="S1218" s="179"/>
      <c r="T1218" s="162" t="s">
        <v>24</v>
      </c>
      <c r="U1218" s="161" t="s">
        <v>1615</v>
      </c>
      <c r="V1218" s="174">
        <v>2140</v>
      </c>
      <c r="W1218" s="180"/>
      <c r="X1218" s="185" t="s">
        <v>259</v>
      </c>
      <c r="Y1218" s="187">
        <v>44831.704097222224</v>
      </c>
    </row>
    <row r="1219" spans="1:25">
      <c r="A1219" s="167" t="s">
        <v>77</v>
      </c>
      <c r="B1219" s="162" t="s">
        <v>1555</v>
      </c>
      <c r="C1219" s="163" t="s">
        <v>3427</v>
      </c>
      <c r="D1219" s="162" t="s">
        <v>1604</v>
      </c>
      <c r="E1219" s="161" t="s">
        <v>1613</v>
      </c>
      <c r="F1219" s="164" t="s">
        <v>1614</v>
      </c>
      <c r="G1219" s="161"/>
      <c r="H1219" s="215">
        <v>1</v>
      </c>
      <c r="I1219" s="171"/>
      <c r="J1219" s="173">
        <v>0.26</v>
      </c>
      <c r="K1219" s="172"/>
      <c r="L1219" s="173">
        <v>0.26</v>
      </c>
      <c r="M1219" s="171">
        <v>0.26</v>
      </c>
      <c r="N1219" s="170"/>
      <c r="O1219" s="177" t="s">
        <v>76</v>
      </c>
      <c r="P1219" s="162" t="s">
        <v>1591</v>
      </c>
      <c r="Q1219" s="176"/>
      <c r="R1219" s="175"/>
      <c r="S1219" s="179"/>
      <c r="T1219" s="164" t="s">
        <v>24</v>
      </c>
      <c r="U1219" s="161" t="s">
        <v>1615</v>
      </c>
      <c r="V1219" s="175">
        <v>2141</v>
      </c>
      <c r="W1219" s="181"/>
      <c r="X1219" s="186" t="s">
        <v>259</v>
      </c>
      <c r="Y1219" s="187">
        <v>44831.713796296295</v>
      </c>
    </row>
    <row r="1220" spans="1:25">
      <c r="A1220" s="167" t="s">
        <v>77</v>
      </c>
      <c r="B1220" s="162" t="s">
        <v>1555</v>
      </c>
      <c r="C1220" s="163" t="s">
        <v>3428</v>
      </c>
      <c r="D1220" s="162" t="s">
        <v>1604</v>
      </c>
      <c r="E1220" s="161" t="s">
        <v>1613</v>
      </c>
      <c r="F1220" s="164" t="s">
        <v>1614</v>
      </c>
      <c r="G1220" s="161"/>
      <c r="H1220" s="215">
        <v>1</v>
      </c>
      <c r="I1220" s="171"/>
      <c r="J1220" s="173">
        <v>0.26</v>
      </c>
      <c r="K1220" s="172"/>
      <c r="L1220" s="173">
        <v>0.26</v>
      </c>
      <c r="M1220" s="171">
        <v>0.26</v>
      </c>
      <c r="N1220" s="170"/>
      <c r="O1220" s="177" t="s">
        <v>76</v>
      </c>
      <c r="P1220" s="162" t="s">
        <v>1591</v>
      </c>
      <c r="Q1220" s="176"/>
      <c r="R1220" s="175"/>
      <c r="S1220" s="179"/>
      <c r="T1220" s="164" t="s">
        <v>24</v>
      </c>
      <c r="U1220" s="161" t="s">
        <v>1615</v>
      </c>
      <c r="V1220" s="175">
        <v>2142</v>
      </c>
      <c r="W1220" s="181"/>
      <c r="X1220" s="186" t="s">
        <v>259</v>
      </c>
      <c r="Y1220" s="187">
        <v>44831.718518518515</v>
      </c>
    </row>
    <row r="1221" spans="1:25">
      <c r="A1221" s="167" t="s">
        <v>105</v>
      </c>
      <c r="B1221" s="162" t="s">
        <v>1555</v>
      </c>
      <c r="C1221" s="163" t="s">
        <v>3429</v>
      </c>
      <c r="D1221" s="162" t="s">
        <v>1735</v>
      </c>
      <c r="E1221" s="161" t="s">
        <v>1657</v>
      </c>
      <c r="F1221" s="164" t="s">
        <v>1658</v>
      </c>
      <c r="G1221" s="161"/>
      <c r="H1221" s="215">
        <v>1</v>
      </c>
      <c r="I1221" s="171">
        <v>1.2</v>
      </c>
      <c r="J1221" s="173">
        <v>1.2</v>
      </c>
      <c r="K1221" s="172">
        <v>1.2</v>
      </c>
      <c r="L1221" s="173">
        <v>1.2</v>
      </c>
      <c r="M1221" s="171">
        <v>1.2</v>
      </c>
      <c r="N1221" s="170">
        <v>0</v>
      </c>
      <c r="O1221" s="177" t="s">
        <v>76</v>
      </c>
      <c r="P1221" s="162" t="s">
        <v>1591</v>
      </c>
      <c r="Q1221" s="176"/>
      <c r="R1221" s="175">
        <v>2100</v>
      </c>
      <c r="S1221" s="179"/>
      <c r="T1221" s="164" t="s">
        <v>24</v>
      </c>
      <c r="U1221" s="161" t="s">
        <v>17</v>
      </c>
      <c r="V1221" s="175">
        <v>1206</v>
      </c>
      <c r="W1221" s="181"/>
      <c r="X1221" s="186">
        <v>44621</v>
      </c>
      <c r="Y1221" s="187">
        <v>44981.438101851854</v>
      </c>
    </row>
    <row r="1222" spans="1:25">
      <c r="A1222" s="167" t="s">
        <v>45</v>
      </c>
      <c r="B1222" s="162" t="s">
        <v>1599</v>
      </c>
      <c r="C1222" s="163" t="s">
        <v>3430</v>
      </c>
      <c r="D1222" s="162" t="s">
        <v>772</v>
      </c>
      <c r="E1222" s="161" t="s">
        <v>1602</v>
      </c>
      <c r="F1222" s="164" t="s">
        <v>1603</v>
      </c>
      <c r="G1222" s="161"/>
      <c r="H1222" s="215">
        <v>1</v>
      </c>
      <c r="I1222" s="171"/>
      <c r="J1222" s="173">
        <v>500</v>
      </c>
      <c r="K1222" s="172"/>
      <c r="L1222" s="173">
        <v>500</v>
      </c>
      <c r="M1222" s="171">
        <v>500</v>
      </c>
      <c r="N1222" s="170">
        <v>2000</v>
      </c>
      <c r="O1222" s="177" t="s">
        <v>1523</v>
      </c>
      <c r="P1222" s="162" t="s">
        <v>1619</v>
      </c>
      <c r="Q1222" s="176"/>
      <c r="R1222" s="175"/>
      <c r="S1222" s="179"/>
      <c r="T1222" s="164" t="s">
        <v>28</v>
      </c>
      <c r="U1222" s="161" t="s">
        <v>19</v>
      </c>
      <c r="V1222" s="175">
        <v>2463</v>
      </c>
      <c r="W1222" s="181" t="s">
        <v>3431</v>
      </c>
      <c r="X1222" s="186">
        <v>45017</v>
      </c>
      <c r="Y1222" s="187">
        <v>45086.414918981478</v>
      </c>
    </row>
    <row r="1223" spans="1:25">
      <c r="A1223" s="167" t="s">
        <v>77</v>
      </c>
      <c r="B1223" s="162" t="s">
        <v>1555</v>
      </c>
      <c r="C1223" s="163" t="s">
        <v>3432</v>
      </c>
      <c r="D1223" s="162" t="s">
        <v>1604</v>
      </c>
      <c r="E1223" s="161" t="s">
        <v>1603</v>
      </c>
      <c r="F1223" s="164" t="s">
        <v>1986</v>
      </c>
      <c r="G1223" s="161"/>
      <c r="H1223" s="215">
        <v>1</v>
      </c>
      <c r="I1223" s="171"/>
      <c r="J1223" s="173">
        <v>1.23</v>
      </c>
      <c r="K1223" s="172"/>
      <c r="L1223" s="173">
        <v>1.23</v>
      </c>
      <c r="M1223" s="171">
        <v>1.23</v>
      </c>
      <c r="N1223" s="170"/>
      <c r="O1223" s="177" t="s">
        <v>76</v>
      </c>
      <c r="P1223" s="162" t="s">
        <v>1591</v>
      </c>
      <c r="Q1223" s="176"/>
      <c r="R1223" s="175"/>
      <c r="S1223" s="179"/>
      <c r="T1223" s="164" t="s">
        <v>24</v>
      </c>
      <c r="U1223" s="161" t="s">
        <v>18</v>
      </c>
      <c r="V1223" s="175">
        <v>2143</v>
      </c>
      <c r="W1223" s="181"/>
      <c r="X1223" s="186" t="s">
        <v>259</v>
      </c>
      <c r="Y1223" s="187">
        <v>44831.724502314813</v>
      </c>
    </row>
    <row r="1224" spans="1:25">
      <c r="A1224" s="167" t="s">
        <v>110</v>
      </c>
      <c r="B1224" s="162" t="s">
        <v>1555</v>
      </c>
      <c r="C1224" s="163" t="s">
        <v>3433</v>
      </c>
      <c r="D1224" s="162" t="s">
        <v>442</v>
      </c>
      <c r="E1224" s="161" t="s">
        <v>1625</v>
      </c>
      <c r="F1224" s="162" t="s">
        <v>1609</v>
      </c>
      <c r="G1224" s="161" t="s">
        <v>3434</v>
      </c>
      <c r="H1224" s="214">
        <v>12</v>
      </c>
      <c r="I1224" s="171">
        <v>1.75</v>
      </c>
      <c r="J1224" s="170">
        <v>1.75</v>
      </c>
      <c r="K1224" s="172">
        <v>21</v>
      </c>
      <c r="L1224" s="170">
        <v>21</v>
      </c>
      <c r="M1224" s="171">
        <v>21</v>
      </c>
      <c r="N1224" s="170"/>
      <c r="O1224" s="177" t="s">
        <v>76</v>
      </c>
      <c r="P1224" s="162" t="s">
        <v>1591</v>
      </c>
      <c r="Q1224" s="176"/>
      <c r="R1224" s="174">
        <v>2032</v>
      </c>
      <c r="S1224" s="179"/>
      <c r="T1224" s="162" t="s">
        <v>24</v>
      </c>
      <c r="U1224" s="161" t="s">
        <v>16</v>
      </c>
      <c r="V1224" s="174">
        <v>1208</v>
      </c>
      <c r="W1224" s="180"/>
      <c r="X1224" s="185">
        <v>44621</v>
      </c>
      <c r="Y1224" s="187">
        <v>45029.432511574072</v>
      </c>
    </row>
    <row r="1225" spans="1:25">
      <c r="A1225" s="167" t="s">
        <v>77</v>
      </c>
      <c r="B1225" s="162" t="s">
        <v>1599</v>
      </c>
      <c r="C1225" s="163" t="s">
        <v>3435</v>
      </c>
      <c r="D1225" s="162" t="s">
        <v>1784</v>
      </c>
      <c r="E1225" s="161" t="s">
        <v>1602</v>
      </c>
      <c r="F1225" s="164" t="s">
        <v>1603</v>
      </c>
      <c r="G1225" s="161"/>
      <c r="H1225" s="215">
        <v>1</v>
      </c>
      <c r="I1225" s="171">
        <v>400</v>
      </c>
      <c r="J1225" s="173">
        <v>400</v>
      </c>
      <c r="K1225" s="172">
        <v>400</v>
      </c>
      <c r="L1225" s="173">
        <v>400</v>
      </c>
      <c r="M1225" s="171">
        <v>400</v>
      </c>
      <c r="N1225" s="170">
        <v>0</v>
      </c>
      <c r="O1225" s="177" t="s">
        <v>1523</v>
      </c>
      <c r="P1225" s="162" t="s">
        <v>1604</v>
      </c>
      <c r="Q1225" s="176"/>
      <c r="R1225" s="175"/>
      <c r="S1225" s="179"/>
      <c r="T1225" s="164" t="s">
        <v>28</v>
      </c>
      <c r="U1225" s="161" t="s">
        <v>19</v>
      </c>
      <c r="V1225" s="175">
        <v>2485</v>
      </c>
      <c r="W1225" s="181" t="s">
        <v>3436</v>
      </c>
      <c r="X1225" s="186">
        <v>45017</v>
      </c>
      <c r="Y1225" s="187">
        <v>45035.70144675926</v>
      </c>
    </row>
    <row r="1226" spans="1:25">
      <c r="A1226" s="167" t="s">
        <v>91</v>
      </c>
      <c r="B1226" s="162" t="s">
        <v>1555</v>
      </c>
      <c r="C1226" s="163" t="s">
        <v>556</v>
      </c>
      <c r="D1226" s="162" t="s">
        <v>312</v>
      </c>
      <c r="E1226" s="161" t="s">
        <v>1739</v>
      </c>
      <c r="F1226" s="164" t="s">
        <v>1592</v>
      </c>
      <c r="G1226" s="161" t="s">
        <v>3437</v>
      </c>
      <c r="H1226" s="215">
        <v>1</v>
      </c>
      <c r="I1226" s="171">
        <v>0</v>
      </c>
      <c r="J1226" s="173">
        <v>120</v>
      </c>
      <c r="K1226" s="172">
        <v>0</v>
      </c>
      <c r="L1226" s="173">
        <v>120</v>
      </c>
      <c r="M1226" s="171">
        <v>120</v>
      </c>
      <c r="N1226" s="170"/>
      <c r="O1226" s="177" t="s">
        <v>584</v>
      </c>
      <c r="P1226" s="162" t="s">
        <v>1619</v>
      </c>
      <c r="Q1226" s="176"/>
      <c r="R1226" s="175">
        <v>2022</v>
      </c>
      <c r="S1226" s="179">
        <v>44834</v>
      </c>
      <c r="T1226" s="164" t="s">
        <v>29</v>
      </c>
      <c r="U1226" s="161" t="s">
        <v>14</v>
      </c>
      <c r="V1226" s="175">
        <v>1209</v>
      </c>
      <c r="W1226" s="181"/>
      <c r="X1226" s="186">
        <v>44621</v>
      </c>
      <c r="Y1226" s="187">
        <v>45029.64702546296</v>
      </c>
    </row>
    <row r="1227" spans="1:25" ht="20">
      <c r="A1227" s="167" t="s">
        <v>91</v>
      </c>
      <c r="B1227" s="162" t="s">
        <v>1555</v>
      </c>
      <c r="C1227" s="163" t="s">
        <v>311</v>
      </c>
      <c r="D1227" s="162" t="s">
        <v>312</v>
      </c>
      <c r="E1227" s="161" t="s">
        <v>1739</v>
      </c>
      <c r="F1227" s="164" t="s">
        <v>1592</v>
      </c>
      <c r="G1227" s="161" t="s">
        <v>588</v>
      </c>
      <c r="H1227" s="215">
        <v>1</v>
      </c>
      <c r="I1227" s="171">
        <v>0</v>
      </c>
      <c r="J1227" s="173">
        <v>200</v>
      </c>
      <c r="K1227" s="172">
        <v>0</v>
      </c>
      <c r="L1227" s="173">
        <v>200</v>
      </c>
      <c r="M1227" s="171">
        <v>200</v>
      </c>
      <c r="N1227" s="170"/>
      <c r="O1227" s="177" t="s">
        <v>2219</v>
      </c>
      <c r="P1227" s="162" t="s">
        <v>1619</v>
      </c>
      <c r="Q1227" s="176"/>
      <c r="R1227" s="175">
        <v>2026</v>
      </c>
      <c r="S1227" s="179"/>
      <c r="T1227" s="164" t="s">
        <v>23</v>
      </c>
      <c r="U1227" s="161" t="s">
        <v>14</v>
      </c>
      <c r="V1227" s="175">
        <v>1210</v>
      </c>
      <c r="W1227" s="181"/>
      <c r="X1227" s="186">
        <v>45017</v>
      </c>
      <c r="Y1227" s="187">
        <v>45022.398912037039</v>
      </c>
    </row>
    <row r="1228" spans="1:25" ht="20">
      <c r="A1228" s="167" t="s">
        <v>91</v>
      </c>
      <c r="B1228" s="162" t="s">
        <v>1555</v>
      </c>
      <c r="C1228" s="163" t="s">
        <v>311</v>
      </c>
      <c r="D1228" s="162" t="s">
        <v>312</v>
      </c>
      <c r="E1228" s="161" t="s">
        <v>1739</v>
      </c>
      <c r="F1228" s="164" t="s">
        <v>1592</v>
      </c>
      <c r="G1228" s="161" t="s">
        <v>3438</v>
      </c>
      <c r="H1228" s="215">
        <v>1</v>
      </c>
      <c r="I1228" s="171">
        <v>0</v>
      </c>
      <c r="J1228" s="173">
        <v>200</v>
      </c>
      <c r="K1228" s="172">
        <v>0</v>
      </c>
      <c r="L1228" s="173">
        <v>200</v>
      </c>
      <c r="M1228" s="171">
        <v>200</v>
      </c>
      <c r="N1228" s="170"/>
      <c r="O1228" s="177" t="s">
        <v>2219</v>
      </c>
      <c r="P1228" s="162" t="s">
        <v>1619</v>
      </c>
      <c r="Q1228" s="176"/>
      <c r="R1228" s="175">
        <v>2026</v>
      </c>
      <c r="S1228" s="179"/>
      <c r="T1228" s="164" t="s">
        <v>23</v>
      </c>
      <c r="U1228" s="161" t="s">
        <v>14</v>
      </c>
      <c r="V1228" s="175">
        <v>1210</v>
      </c>
      <c r="W1228" s="181"/>
      <c r="X1228" s="186">
        <v>45017</v>
      </c>
      <c r="Y1228" s="187">
        <v>45022.398912037039</v>
      </c>
    </row>
    <row r="1229" spans="1:25" ht="20">
      <c r="A1229" s="167" t="s">
        <v>91</v>
      </c>
      <c r="B1229" s="162" t="s">
        <v>1555</v>
      </c>
      <c r="C1229" s="163" t="s">
        <v>311</v>
      </c>
      <c r="D1229" s="162" t="s">
        <v>312</v>
      </c>
      <c r="E1229" s="161" t="s">
        <v>1739</v>
      </c>
      <c r="F1229" s="164" t="s">
        <v>1592</v>
      </c>
      <c r="G1229" s="161" t="s">
        <v>3439</v>
      </c>
      <c r="H1229" s="215">
        <v>1</v>
      </c>
      <c r="I1229" s="171">
        <v>0</v>
      </c>
      <c r="J1229" s="173">
        <v>200</v>
      </c>
      <c r="K1229" s="172">
        <v>0</v>
      </c>
      <c r="L1229" s="173">
        <v>200</v>
      </c>
      <c r="M1229" s="171">
        <v>200</v>
      </c>
      <c r="N1229" s="170"/>
      <c r="O1229" s="177" t="s">
        <v>2219</v>
      </c>
      <c r="P1229" s="162" t="s">
        <v>1619</v>
      </c>
      <c r="Q1229" s="176"/>
      <c r="R1229" s="175">
        <v>2026</v>
      </c>
      <c r="S1229" s="179"/>
      <c r="T1229" s="164" t="s">
        <v>23</v>
      </c>
      <c r="U1229" s="161" t="s">
        <v>14</v>
      </c>
      <c r="V1229" s="175">
        <v>1210</v>
      </c>
      <c r="W1229" s="181"/>
      <c r="X1229" s="186">
        <v>45017</v>
      </c>
      <c r="Y1229" s="187">
        <v>45022.398912037039</v>
      </c>
    </row>
    <row r="1230" spans="1:25" ht="20">
      <c r="A1230" s="167" t="s">
        <v>91</v>
      </c>
      <c r="B1230" s="162" t="s">
        <v>1555</v>
      </c>
      <c r="C1230" s="163" t="s">
        <v>311</v>
      </c>
      <c r="D1230" s="162" t="s">
        <v>312</v>
      </c>
      <c r="E1230" s="161" t="s">
        <v>1739</v>
      </c>
      <c r="F1230" s="164" t="s">
        <v>1592</v>
      </c>
      <c r="G1230" s="161" t="s">
        <v>3440</v>
      </c>
      <c r="H1230" s="215">
        <v>1</v>
      </c>
      <c r="I1230" s="171">
        <v>0</v>
      </c>
      <c r="J1230" s="173">
        <v>200</v>
      </c>
      <c r="K1230" s="172">
        <v>0</v>
      </c>
      <c r="L1230" s="173">
        <v>200</v>
      </c>
      <c r="M1230" s="171">
        <v>200</v>
      </c>
      <c r="N1230" s="170"/>
      <c r="O1230" s="177" t="s">
        <v>2219</v>
      </c>
      <c r="P1230" s="162" t="s">
        <v>1619</v>
      </c>
      <c r="Q1230" s="176"/>
      <c r="R1230" s="175">
        <v>2026</v>
      </c>
      <c r="S1230" s="179"/>
      <c r="T1230" s="164" t="s">
        <v>23</v>
      </c>
      <c r="U1230" s="161" t="s">
        <v>14</v>
      </c>
      <c r="V1230" s="175">
        <v>1210</v>
      </c>
      <c r="W1230" s="181"/>
      <c r="X1230" s="186">
        <v>45017</v>
      </c>
      <c r="Y1230" s="187">
        <v>45022.398912037039</v>
      </c>
    </row>
    <row r="1231" spans="1:25">
      <c r="A1231" s="167" t="s">
        <v>91</v>
      </c>
      <c r="B1231" s="162" t="s">
        <v>1555</v>
      </c>
      <c r="C1231" s="163" t="s">
        <v>101</v>
      </c>
      <c r="D1231" s="162" t="s">
        <v>102</v>
      </c>
      <c r="E1231" s="161" t="s">
        <v>1602</v>
      </c>
      <c r="F1231" s="164" t="s">
        <v>1603</v>
      </c>
      <c r="G1231" s="161" t="s">
        <v>3441</v>
      </c>
      <c r="H1231" s="215">
        <v>109</v>
      </c>
      <c r="I1231" s="171"/>
      <c r="J1231" s="173">
        <v>2.2999999999999998</v>
      </c>
      <c r="K1231" s="172"/>
      <c r="L1231" s="173">
        <v>250.7</v>
      </c>
      <c r="M1231" s="171">
        <v>250.7</v>
      </c>
      <c r="N1231" s="170">
        <v>250</v>
      </c>
      <c r="O1231" s="177" t="s">
        <v>401</v>
      </c>
      <c r="P1231" s="162" t="s">
        <v>1619</v>
      </c>
      <c r="Q1231" s="176">
        <v>45139</v>
      </c>
      <c r="R1231" s="175">
        <v>2043</v>
      </c>
      <c r="S1231" s="179"/>
      <c r="T1231" s="164" t="s">
        <v>24</v>
      </c>
      <c r="U1231" s="161" t="s">
        <v>19</v>
      </c>
      <c r="V1231" s="175">
        <v>1866</v>
      </c>
      <c r="W1231" s="181" t="s">
        <v>3442</v>
      </c>
      <c r="X1231" s="186">
        <v>45069</v>
      </c>
      <c r="Y1231" s="187">
        <v>45098.359953703701</v>
      </c>
    </row>
    <row r="1232" spans="1:25">
      <c r="A1232" s="167" t="s">
        <v>45</v>
      </c>
      <c r="B1232" s="162" t="s">
        <v>1555</v>
      </c>
      <c r="C1232" s="163" t="s">
        <v>3443</v>
      </c>
      <c r="D1232" s="162" t="s">
        <v>1638</v>
      </c>
      <c r="E1232" s="161" t="s">
        <v>1596</v>
      </c>
      <c r="F1232" s="164" t="s">
        <v>1639</v>
      </c>
      <c r="G1232" s="161" t="s">
        <v>3444</v>
      </c>
      <c r="H1232" s="215">
        <v>40</v>
      </c>
      <c r="I1232" s="171"/>
      <c r="J1232" s="173">
        <v>1.03</v>
      </c>
      <c r="K1232" s="172"/>
      <c r="L1232" s="173">
        <v>41.2</v>
      </c>
      <c r="M1232" s="171">
        <v>41.2</v>
      </c>
      <c r="N1232" s="170"/>
      <c r="O1232" s="177" t="s">
        <v>76</v>
      </c>
      <c r="P1232" s="162" t="s">
        <v>1591</v>
      </c>
      <c r="Q1232" s="176"/>
      <c r="R1232" s="175">
        <v>2036</v>
      </c>
      <c r="S1232" s="179"/>
      <c r="T1232" s="164" t="s">
        <v>24</v>
      </c>
      <c r="U1232" s="161" t="s">
        <v>14</v>
      </c>
      <c r="V1232" s="175">
        <v>1211</v>
      </c>
      <c r="W1232" s="181"/>
      <c r="X1232" s="186">
        <v>45017</v>
      </c>
      <c r="Y1232" s="187">
        <v>45077.566006944442</v>
      </c>
    </row>
    <row r="1233" spans="1:25">
      <c r="A1233" s="167" t="s">
        <v>77</v>
      </c>
      <c r="B1233" s="162" t="s">
        <v>1555</v>
      </c>
      <c r="C1233" s="163" t="s">
        <v>3445</v>
      </c>
      <c r="D1233" s="162" t="s">
        <v>3446</v>
      </c>
      <c r="E1233" s="161" t="s">
        <v>2072</v>
      </c>
      <c r="F1233" s="164" t="s">
        <v>1592</v>
      </c>
      <c r="G1233" s="161" t="s">
        <v>3447</v>
      </c>
      <c r="H1233" s="215">
        <v>1</v>
      </c>
      <c r="I1233" s="171"/>
      <c r="J1233" s="173">
        <v>160</v>
      </c>
      <c r="K1233" s="172"/>
      <c r="L1233" s="173">
        <v>160</v>
      </c>
      <c r="M1233" s="171">
        <v>160</v>
      </c>
      <c r="N1233" s="170"/>
      <c r="O1233" s="177" t="s">
        <v>76</v>
      </c>
      <c r="P1233" s="162" t="s">
        <v>1619</v>
      </c>
      <c r="Q1233" s="176"/>
      <c r="R1233" s="175">
        <v>2046</v>
      </c>
      <c r="S1233" s="179"/>
      <c r="T1233" s="164" t="s">
        <v>24</v>
      </c>
      <c r="U1233" s="161" t="s">
        <v>12</v>
      </c>
      <c r="V1233" s="175">
        <v>1724</v>
      </c>
      <c r="W1233" s="181"/>
      <c r="X1233" s="185">
        <v>45017</v>
      </c>
      <c r="Y1233" s="187">
        <v>45086.418865740743</v>
      </c>
    </row>
    <row r="1234" spans="1:25">
      <c r="A1234" s="167" t="s">
        <v>77</v>
      </c>
      <c r="B1234" s="162" t="s">
        <v>1555</v>
      </c>
      <c r="C1234" s="163" t="s">
        <v>3445</v>
      </c>
      <c r="D1234" s="162" t="s">
        <v>3446</v>
      </c>
      <c r="E1234" s="161" t="s">
        <v>2072</v>
      </c>
      <c r="F1234" s="164" t="s">
        <v>1592</v>
      </c>
      <c r="G1234" s="161" t="s">
        <v>3448</v>
      </c>
      <c r="H1234" s="215">
        <v>1</v>
      </c>
      <c r="I1234" s="171"/>
      <c r="J1234" s="173">
        <v>84</v>
      </c>
      <c r="K1234" s="172"/>
      <c r="L1234" s="173">
        <v>84</v>
      </c>
      <c r="M1234" s="171">
        <v>84</v>
      </c>
      <c r="N1234" s="170"/>
      <c r="O1234" s="177" t="s">
        <v>76</v>
      </c>
      <c r="P1234" s="162" t="s">
        <v>1619</v>
      </c>
      <c r="Q1234" s="176"/>
      <c r="R1234" s="175">
        <v>2046</v>
      </c>
      <c r="S1234" s="179"/>
      <c r="T1234" s="164" t="s">
        <v>24</v>
      </c>
      <c r="U1234" s="161" t="s">
        <v>12</v>
      </c>
      <c r="V1234" s="175">
        <v>1724</v>
      </c>
      <c r="W1234" s="181"/>
      <c r="X1234" s="185">
        <v>45017</v>
      </c>
      <c r="Y1234" s="187">
        <v>45086.418865740743</v>
      </c>
    </row>
    <row r="1235" spans="1:25">
      <c r="A1235" s="167" t="s">
        <v>105</v>
      </c>
      <c r="B1235" s="162" t="s">
        <v>1555</v>
      </c>
      <c r="C1235" s="163" t="s">
        <v>3449</v>
      </c>
      <c r="D1235" s="162" t="s">
        <v>1735</v>
      </c>
      <c r="E1235" s="161" t="s">
        <v>1700</v>
      </c>
      <c r="F1235" s="164" t="s">
        <v>1658</v>
      </c>
      <c r="G1235" s="161" t="s">
        <v>3450</v>
      </c>
      <c r="H1235" s="215">
        <v>2</v>
      </c>
      <c r="I1235" s="171">
        <v>26.5</v>
      </c>
      <c r="J1235" s="173">
        <v>26.5</v>
      </c>
      <c r="K1235" s="172">
        <v>53</v>
      </c>
      <c r="L1235" s="173">
        <v>53</v>
      </c>
      <c r="M1235" s="171">
        <v>53</v>
      </c>
      <c r="N1235" s="170"/>
      <c r="O1235" s="177" t="s">
        <v>76</v>
      </c>
      <c r="P1235" s="162" t="s">
        <v>1619</v>
      </c>
      <c r="Q1235" s="176"/>
      <c r="R1235" s="175">
        <v>2100</v>
      </c>
      <c r="S1235" s="179"/>
      <c r="T1235" s="164" t="s">
        <v>24</v>
      </c>
      <c r="U1235" s="161" t="s">
        <v>17</v>
      </c>
      <c r="V1235" s="175">
        <v>1213</v>
      </c>
      <c r="W1235" s="181"/>
      <c r="X1235" s="186">
        <v>45017</v>
      </c>
      <c r="Y1235" s="187">
        <v>45086.835902777777</v>
      </c>
    </row>
    <row r="1236" spans="1:25">
      <c r="A1236" s="167" t="s">
        <v>105</v>
      </c>
      <c r="B1236" s="162" t="s">
        <v>1555</v>
      </c>
      <c r="C1236" s="163" t="s">
        <v>3449</v>
      </c>
      <c r="D1236" s="162" t="s">
        <v>1735</v>
      </c>
      <c r="E1236" s="161" t="s">
        <v>1700</v>
      </c>
      <c r="F1236" s="164" t="s">
        <v>1658</v>
      </c>
      <c r="G1236" s="161" t="s">
        <v>3450</v>
      </c>
      <c r="H1236" s="215">
        <v>2</v>
      </c>
      <c r="I1236" s="171">
        <v>20</v>
      </c>
      <c r="J1236" s="173">
        <v>20</v>
      </c>
      <c r="K1236" s="172">
        <v>40</v>
      </c>
      <c r="L1236" s="173">
        <v>40</v>
      </c>
      <c r="M1236" s="171">
        <v>40</v>
      </c>
      <c r="N1236" s="170"/>
      <c r="O1236" s="177" t="s">
        <v>76</v>
      </c>
      <c r="P1236" s="162" t="s">
        <v>1619</v>
      </c>
      <c r="Q1236" s="176"/>
      <c r="R1236" s="175">
        <v>2100</v>
      </c>
      <c r="S1236" s="179"/>
      <c r="T1236" s="164" t="s">
        <v>24</v>
      </c>
      <c r="U1236" s="161" t="s">
        <v>17</v>
      </c>
      <c r="V1236" s="175">
        <v>1213</v>
      </c>
      <c r="W1236" s="181"/>
      <c r="X1236" s="186">
        <v>45017</v>
      </c>
      <c r="Y1236" s="187">
        <v>45086.835902777777</v>
      </c>
    </row>
    <row r="1237" spans="1:25">
      <c r="A1237" s="167" t="s">
        <v>105</v>
      </c>
      <c r="B1237" s="162" t="s">
        <v>1599</v>
      </c>
      <c r="C1237" s="163" t="s">
        <v>3451</v>
      </c>
      <c r="D1237" s="162" t="s">
        <v>3183</v>
      </c>
      <c r="E1237" s="161" t="s">
        <v>1625</v>
      </c>
      <c r="F1237" s="164" t="s">
        <v>1609</v>
      </c>
      <c r="G1237" s="161"/>
      <c r="H1237" s="215">
        <v>1</v>
      </c>
      <c r="I1237" s="171">
        <v>30</v>
      </c>
      <c r="J1237" s="173">
        <v>30</v>
      </c>
      <c r="K1237" s="172">
        <v>30</v>
      </c>
      <c r="L1237" s="173">
        <v>30</v>
      </c>
      <c r="M1237" s="171">
        <v>30</v>
      </c>
      <c r="N1237" s="170"/>
      <c r="O1237" s="177" t="s">
        <v>1523</v>
      </c>
      <c r="P1237" s="162" t="s">
        <v>1604</v>
      </c>
      <c r="Q1237" s="176"/>
      <c r="R1237" s="175"/>
      <c r="S1237" s="179"/>
      <c r="T1237" s="164" t="s">
        <v>28</v>
      </c>
      <c r="U1237" s="161" t="s">
        <v>16</v>
      </c>
      <c r="V1237" s="175">
        <v>2228</v>
      </c>
      <c r="W1237" s="181" t="s">
        <v>3452</v>
      </c>
      <c r="X1237" s="186">
        <v>45017</v>
      </c>
      <c r="Y1237" s="187">
        <v>44945.302465277775</v>
      </c>
    </row>
    <row r="1238" spans="1:25">
      <c r="A1238" s="167" t="s">
        <v>105</v>
      </c>
      <c r="B1238" s="162" t="s">
        <v>1555</v>
      </c>
      <c r="C1238" s="163" t="s">
        <v>3453</v>
      </c>
      <c r="D1238" s="162" t="s">
        <v>1735</v>
      </c>
      <c r="E1238" s="161" t="s">
        <v>1700</v>
      </c>
      <c r="F1238" s="164" t="s">
        <v>1658</v>
      </c>
      <c r="G1238" s="161" t="s">
        <v>3454</v>
      </c>
      <c r="H1238" s="215">
        <v>1</v>
      </c>
      <c r="I1238" s="171">
        <v>82.8</v>
      </c>
      <c r="J1238" s="173">
        <v>82.8</v>
      </c>
      <c r="K1238" s="172">
        <v>82.8</v>
      </c>
      <c r="L1238" s="173">
        <v>82.8</v>
      </c>
      <c r="M1238" s="171">
        <v>82.8</v>
      </c>
      <c r="N1238" s="170"/>
      <c r="O1238" s="177" t="s">
        <v>76</v>
      </c>
      <c r="P1238" s="162" t="s">
        <v>1619</v>
      </c>
      <c r="Q1238" s="176"/>
      <c r="R1238" s="175">
        <v>2100</v>
      </c>
      <c r="S1238" s="179"/>
      <c r="T1238" s="164" t="s">
        <v>24</v>
      </c>
      <c r="U1238" s="161" t="s">
        <v>17</v>
      </c>
      <c r="V1238" s="175">
        <v>1214</v>
      </c>
      <c r="W1238" s="181"/>
      <c r="X1238" s="186">
        <v>45017</v>
      </c>
      <c r="Y1238" s="187">
        <v>45086.834108796298</v>
      </c>
    </row>
    <row r="1239" spans="1:25">
      <c r="A1239" s="167" t="s">
        <v>105</v>
      </c>
      <c r="B1239" s="162" t="s">
        <v>1599</v>
      </c>
      <c r="C1239" s="163" t="s">
        <v>3455</v>
      </c>
      <c r="D1239" s="162" t="s">
        <v>1735</v>
      </c>
      <c r="E1239" s="161" t="s">
        <v>1657</v>
      </c>
      <c r="F1239" s="162" t="s">
        <v>1658</v>
      </c>
      <c r="G1239" s="161"/>
      <c r="H1239" s="215">
        <v>4</v>
      </c>
      <c r="I1239" s="171"/>
      <c r="J1239" s="173">
        <v>187.5</v>
      </c>
      <c r="K1239" s="172"/>
      <c r="L1239" s="173">
        <v>750</v>
      </c>
      <c r="M1239" s="171">
        <v>750</v>
      </c>
      <c r="N1239" s="170">
        <v>18750</v>
      </c>
      <c r="O1239" s="177" t="s">
        <v>1523</v>
      </c>
      <c r="P1239" s="162" t="s">
        <v>1619</v>
      </c>
      <c r="Q1239" s="176"/>
      <c r="R1239" s="174"/>
      <c r="S1239" s="179"/>
      <c r="T1239" s="162" t="s">
        <v>28</v>
      </c>
      <c r="U1239" s="161" t="s">
        <v>17</v>
      </c>
      <c r="V1239" s="174">
        <v>2226</v>
      </c>
      <c r="W1239" s="180" t="s">
        <v>3456</v>
      </c>
      <c r="X1239" s="185">
        <v>45017</v>
      </c>
      <c r="Y1239" s="187">
        <v>45086.83048611111</v>
      </c>
    </row>
    <row r="1240" spans="1:25">
      <c r="A1240" s="167" t="s">
        <v>77</v>
      </c>
      <c r="B1240" s="162" t="s">
        <v>1599</v>
      </c>
      <c r="C1240" s="163" t="s">
        <v>3457</v>
      </c>
      <c r="D1240" s="162" t="s">
        <v>3458</v>
      </c>
      <c r="E1240" s="161" t="s">
        <v>1602</v>
      </c>
      <c r="F1240" s="164" t="s">
        <v>1603</v>
      </c>
      <c r="G1240" s="161"/>
      <c r="H1240" s="215">
        <v>1</v>
      </c>
      <c r="I1240" s="171">
        <v>295</v>
      </c>
      <c r="J1240" s="173">
        <v>295</v>
      </c>
      <c r="K1240" s="172">
        <v>295</v>
      </c>
      <c r="L1240" s="173">
        <v>295</v>
      </c>
      <c r="M1240" s="171">
        <v>295</v>
      </c>
      <c r="N1240" s="170">
        <v>0</v>
      </c>
      <c r="O1240" s="177" t="s">
        <v>1523</v>
      </c>
      <c r="P1240" s="162" t="s">
        <v>1604</v>
      </c>
      <c r="Q1240" s="176"/>
      <c r="R1240" s="175"/>
      <c r="S1240" s="179"/>
      <c r="T1240" s="164" t="s">
        <v>28</v>
      </c>
      <c r="U1240" s="161" t="s">
        <v>19</v>
      </c>
      <c r="V1240" s="175">
        <v>2496</v>
      </c>
      <c r="W1240" s="181" t="s">
        <v>3459</v>
      </c>
      <c r="X1240" s="186">
        <v>45017</v>
      </c>
      <c r="Y1240" s="187">
        <v>45035.854363425926</v>
      </c>
    </row>
    <row r="1241" spans="1:25">
      <c r="A1241" s="167" t="s">
        <v>77</v>
      </c>
      <c r="B1241" s="162" t="s">
        <v>1599</v>
      </c>
      <c r="C1241" s="163" t="s">
        <v>3460</v>
      </c>
      <c r="D1241" s="162" t="s">
        <v>3458</v>
      </c>
      <c r="E1241" s="161" t="s">
        <v>1613</v>
      </c>
      <c r="F1241" s="164" t="s">
        <v>1614</v>
      </c>
      <c r="G1241" s="161"/>
      <c r="H1241" s="215">
        <v>1</v>
      </c>
      <c r="I1241" s="171">
        <v>295</v>
      </c>
      <c r="J1241" s="173">
        <v>295</v>
      </c>
      <c r="K1241" s="172">
        <v>295</v>
      </c>
      <c r="L1241" s="173">
        <v>295</v>
      </c>
      <c r="M1241" s="171">
        <v>295</v>
      </c>
      <c r="N1241" s="170"/>
      <c r="O1241" s="177" t="s">
        <v>1523</v>
      </c>
      <c r="P1241" s="162" t="s">
        <v>1604</v>
      </c>
      <c r="Q1241" s="176"/>
      <c r="R1241" s="175"/>
      <c r="S1241" s="179"/>
      <c r="T1241" s="164" t="s">
        <v>28</v>
      </c>
      <c r="U1241" s="161" t="s">
        <v>1615</v>
      </c>
      <c r="V1241" s="175">
        <v>2495</v>
      </c>
      <c r="W1241" s="181" t="s">
        <v>3459</v>
      </c>
      <c r="X1241" s="186">
        <v>45017</v>
      </c>
      <c r="Y1241" s="187">
        <v>45035.850277777776</v>
      </c>
    </row>
    <row r="1242" spans="1:25">
      <c r="A1242" s="167" t="s">
        <v>45</v>
      </c>
      <c r="B1242" s="162" t="s">
        <v>1555</v>
      </c>
      <c r="C1242" s="163" t="s">
        <v>3461</v>
      </c>
      <c r="D1242" s="162" t="s">
        <v>805</v>
      </c>
      <c r="E1242" s="161" t="s">
        <v>1700</v>
      </c>
      <c r="F1242" s="164" t="s">
        <v>1658</v>
      </c>
      <c r="G1242" s="161" t="s">
        <v>3462</v>
      </c>
      <c r="H1242" s="215">
        <v>6</v>
      </c>
      <c r="I1242" s="171"/>
      <c r="J1242" s="173">
        <v>250</v>
      </c>
      <c r="K1242" s="172"/>
      <c r="L1242" s="173">
        <v>1500</v>
      </c>
      <c r="M1242" s="171">
        <v>1500</v>
      </c>
      <c r="N1242" s="170"/>
      <c r="O1242" s="177" t="s">
        <v>76</v>
      </c>
      <c r="P1242" s="162" t="s">
        <v>1619</v>
      </c>
      <c r="Q1242" s="176"/>
      <c r="R1242" s="175">
        <v>2070</v>
      </c>
      <c r="S1242" s="179"/>
      <c r="T1242" s="164" t="s">
        <v>24</v>
      </c>
      <c r="U1242" s="161" t="s">
        <v>17</v>
      </c>
      <c r="V1242" s="175">
        <v>1215</v>
      </c>
      <c r="W1242" s="181"/>
      <c r="X1242" s="186">
        <v>45017</v>
      </c>
      <c r="Y1242" s="187">
        <v>45020.502442129633</v>
      </c>
    </row>
    <row r="1243" spans="1:25">
      <c r="A1243" s="167" t="s">
        <v>45</v>
      </c>
      <c r="B1243" s="162" t="s">
        <v>1599</v>
      </c>
      <c r="C1243" s="163" t="s">
        <v>3463</v>
      </c>
      <c r="D1243" s="162" t="s">
        <v>3464</v>
      </c>
      <c r="E1243" s="161" t="s">
        <v>1596</v>
      </c>
      <c r="F1243" s="164" t="s">
        <v>1603</v>
      </c>
      <c r="G1243" s="161"/>
      <c r="H1243" s="215">
        <v>1</v>
      </c>
      <c r="I1243" s="171">
        <v>32</v>
      </c>
      <c r="J1243" s="173">
        <v>32</v>
      </c>
      <c r="K1243" s="172">
        <v>32</v>
      </c>
      <c r="L1243" s="173">
        <v>32</v>
      </c>
      <c r="M1243" s="171">
        <v>32</v>
      </c>
      <c r="N1243" s="170"/>
      <c r="O1243" s="177" t="s">
        <v>1523</v>
      </c>
      <c r="P1243" s="162" t="s">
        <v>1619</v>
      </c>
      <c r="Q1243" s="176"/>
      <c r="R1243" s="175"/>
      <c r="S1243" s="179"/>
      <c r="T1243" s="164" t="s">
        <v>28</v>
      </c>
      <c r="U1243" s="161" t="s">
        <v>20</v>
      </c>
      <c r="V1243" s="175">
        <v>1638</v>
      </c>
      <c r="W1243" s="181"/>
      <c r="X1243" s="186">
        <v>45017</v>
      </c>
      <c r="Y1243" s="187">
        <v>45021.617465277777</v>
      </c>
    </row>
    <row r="1244" spans="1:25">
      <c r="A1244" s="167" t="s">
        <v>105</v>
      </c>
      <c r="B1244" s="162" t="s">
        <v>1555</v>
      </c>
      <c r="C1244" s="163" t="s">
        <v>3465</v>
      </c>
      <c r="D1244" s="162" t="s">
        <v>1735</v>
      </c>
      <c r="E1244" s="161" t="s">
        <v>1700</v>
      </c>
      <c r="F1244" s="164" t="s">
        <v>1658</v>
      </c>
      <c r="G1244" s="161" t="s">
        <v>3466</v>
      </c>
      <c r="H1244" s="215">
        <v>5</v>
      </c>
      <c r="I1244" s="171">
        <v>25</v>
      </c>
      <c r="J1244" s="173">
        <v>25</v>
      </c>
      <c r="K1244" s="172">
        <v>125</v>
      </c>
      <c r="L1244" s="173">
        <v>125</v>
      </c>
      <c r="M1244" s="171">
        <v>125</v>
      </c>
      <c r="N1244" s="170"/>
      <c r="O1244" s="177" t="s">
        <v>76</v>
      </c>
      <c r="P1244" s="162" t="s">
        <v>1619</v>
      </c>
      <c r="Q1244" s="176"/>
      <c r="R1244" s="175">
        <v>2100</v>
      </c>
      <c r="S1244" s="179"/>
      <c r="T1244" s="164" t="s">
        <v>24</v>
      </c>
      <c r="U1244" s="161" t="s">
        <v>17</v>
      </c>
      <c r="V1244" s="175">
        <v>1216</v>
      </c>
      <c r="W1244" s="181"/>
      <c r="X1244" s="186">
        <v>45017</v>
      </c>
      <c r="Y1244" s="187">
        <v>45086.832199074073</v>
      </c>
    </row>
    <row r="1245" spans="1:25">
      <c r="A1245" s="167" t="s">
        <v>91</v>
      </c>
      <c r="B1245" s="162" t="s">
        <v>1599</v>
      </c>
      <c r="C1245" s="163" t="s">
        <v>3467</v>
      </c>
      <c r="D1245" s="162" t="s">
        <v>324</v>
      </c>
      <c r="E1245" s="161" t="s">
        <v>1625</v>
      </c>
      <c r="F1245" s="164" t="s">
        <v>1609</v>
      </c>
      <c r="G1245" s="161"/>
      <c r="H1245" s="215">
        <v>42</v>
      </c>
      <c r="I1245" s="171">
        <v>3.6</v>
      </c>
      <c r="J1245" s="173">
        <v>6.6</v>
      </c>
      <c r="K1245" s="172">
        <v>151.19999999999999</v>
      </c>
      <c r="L1245" s="173">
        <v>277.2</v>
      </c>
      <c r="M1245" s="171" t="s">
        <v>3468</v>
      </c>
      <c r="N1245" s="170">
        <v>0</v>
      </c>
      <c r="O1245" s="177" t="s">
        <v>1523</v>
      </c>
      <c r="P1245" s="162" t="s">
        <v>1620</v>
      </c>
      <c r="Q1245" s="176"/>
      <c r="R1245" s="175"/>
      <c r="S1245" s="179"/>
      <c r="T1245" s="164" t="s">
        <v>28</v>
      </c>
      <c r="U1245" s="161" t="s">
        <v>16</v>
      </c>
      <c r="V1245" s="175">
        <v>1995</v>
      </c>
      <c r="W1245" s="181"/>
      <c r="X1245" s="186">
        <v>45069</v>
      </c>
      <c r="Y1245" s="187">
        <v>44679.628518518519</v>
      </c>
    </row>
    <row r="1246" spans="1:25">
      <c r="A1246" s="167" t="s">
        <v>77</v>
      </c>
      <c r="B1246" s="162" t="s">
        <v>1599</v>
      </c>
      <c r="C1246" s="163" t="s">
        <v>456</v>
      </c>
      <c r="D1246" s="162" t="s">
        <v>3469</v>
      </c>
      <c r="E1246" s="161" t="s">
        <v>1602</v>
      </c>
      <c r="F1246" s="164" t="s">
        <v>1603</v>
      </c>
      <c r="G1246" s="161" t="s">
        <v>3470</v>
      </c>
      <c r="H1246" s="215">
        <v>52</v>
      </c>
      <c r="I1246" s="171">
        <v>0</v>
      </c>
      <c r="J1246" s="173">
        <v>2.98</v>
      </c>
      <c r="K1246" s="172">
        <v>0</v>
      </c>
      <c r="L1246" s="173">
        <v>154.96</v>
      </c>
      <c r="M1246" s="171">
        <v>154.96</v>
      </c>
      <c r="N1246" s="170">
        <v>298</v>
      </c>
      <c r="O1246" s="177" t="s">
        <v>27</v>
      </c>
      <c r="P1246" s="162" t="s">
        <v>1619</v>
      </c>
      <c r="Q1246" s="176">
        <v>45627</v>
      </c>
      <c r="R1246" s="175">
        <v>2063</v>
      </c>
      <c r="S1246" s="179"/>
      <c r="T1246" s="164" t="s">
        <v>27</v>
      </c>
      <c r="U1246" s="161" t="s">
        <v>19</v>
      </c>
      <c r="V1246" s="175">
        <v>2016</v>
      </c>
      <c r="W1246" s="181" t="s">
        <v>3987</v>
      </c>
      <c r="X1246" s="186">
        <v>45069</v>
      </c>
      <c r="Y1246" s="187">
        <v>45098.423333333332</v>
      </c>
    </row>
    <row r="1247" spans="1:25">
      <c r="A1247" s="167" t="s">
        <v>45</v>
      </c>
      <c r="B1247" s="162" t="s">
        <v>1599</v>
      </c>
      <c r="C1247" s="163" t="s">
        <v>3471</v>
      </c>
      <c r="D1247" s="162" t="s">
        <v>2200</v>
      </c>
      <c r="E1247" s="161" t="s">
        <v>1608</v>
      </c>
      <c r="F1247" s="164" t="s">
        <v>1609</v>
      </c>
      <c r="G1247" s="161"/>
      <c r="H1247" s="215">
        <v>1</v>
      </c>
      <c r="I1247" s="171"/>
      <c r="J1247" s="173">
        <v>2000</v>
      </c>
      <c r="K1247" s="172"/>
      <c r="L1247" s="173">
        <v>2000</v>
      </c>
      <c r="M1247" s="171">
        <v>2000</v>
      </c>
      <c r="N1247" s="170"/>
      <c r="O1247" s="177" t="s">
        <v>1523</v>
      </c>
      <c r="P1247" s="162" t="s">
        <v>1620</v>
      </c>
      <c r="Q1247" s="176">
        <v>49310</v>
      </c>
      <c r="R1247" s="175"/>
      <c r="S1247" s="179"/>
      <c r="T1247" s="164" t="s">
        <v>28</v>
      </c>
      <c r="U1247" s="161" t="s">
        <v>16</v>
      </c>
      <c r="V1247" s="175">
        <v>2025</v>
      </c>
      <c r="W1247" s="181"/>
      <c r="X1247" s="186">
        <v>45017</v>
      </c>
      <c r="Y1247" s="187">
        <v>44721.365949074076</v>
      </c>
    </row>
    <row r="1248" spans="1:25">
      <c r="A1248" s="167" t="s">
        <v>91</v>
      </c>
      <c r="B1248" s="162" t="s">
        <v>1599</v>
      </c>
      <c r="C1248" s="163" t="s">
        <v>3472</v>
      </c>
      <c r="D1248" s="162" t="s">
        <v>3473</v>
      </c>
      <c r="E1248" s="161" t="s">
        <v>1613</v>
      </c>
      <c r="F1248" s="164" t="s">
        <v>1614</v>
      </c>
      <c r="G1248" s="161"/>
      <c r="H1248" s="215">
        <v>1</v>
      </c>
      <c r="I1248" s="171">
        <v>1.8</v>
      </c>
      <c r="J1248" s="173">
        <v>1.8</v>
      </c>
      <c r="K1248" s="172">
        <v>1.8</v>
      </c>
      <c r="L1248" s="173">
        <v>1.8</v>
      </c>
      <c r="M1248" s="171">
        <v>1.8</v>
      </c>
      <c r="N1248" s="170"/>
      <c r="O1248" s="177" t="s">
        <v>1523</v>
      </c>
      <c r="P1248" s="162" t="s">
        <v>1591</v>
      </c>
      <c r="Q1248" s="176"/>
      <c r="R1248" s="175"/>
      <c r="S1248" s="179"/>
      <c r="T1248" s="164" t="s">
        <v>28</v>
      </c>
      <c r="U1248" s="161" t="s">
        <v>1615</v>
      </c>
      <c r="V1248" s="175">
        <v>1666</v>
      </c>
      <c r="W1248" s="181"/>
      <c r="X1248" s="186">
        <v>44805</v>
      </c>
      <c r="Y1248" s="187">
        <v>43293.091319444444</v>
      </c>
    </row>
    <row r="1249" spans="1:25">
      <c r="A1249" s="167" t="s">
        <v>110</v>
      </c>
      <c r="B1249" s="162" t="s">
        <v>1555</v>
      </c>
      <c r="C1249" s="163" t="s">
        <v>3474</v>
      </c>
      <c r="D1249" s="162" t="s">
        <v>1604</v>
      </c>
      <c r="E1249" s="161" t="s">
        <v>1613</v>
      </c>
      <c r="F1249" s="164" t="s">
        <v>1614</v>
      </c>
      <c r="G1249" s="161"/>
      <c r="H1249" s="215">
        <v>1</v>
      </c>
      <c r="I1249" s="171"/>
      <c r="J1249" s="173">
        <v>0.09</v>
      </c>
      <c r="K1249" s="172"/>
      <c r="L1249" s="173">
        <v>0.09</v>
      </c>
      <c r="M1249" s="171">
        <v>0.09</v>
      </c>
      <c r="N1249" s="170"/>
      <c r="O1249" s="177" t="s">
        <v>76</v>
      </c>
      <c r="P1249" s="162" t="s">
        <v>1591</v>
      </c>
      <c r="Q1249" s="176"/>
      <c r="R1249" s="175"/>
      <c r="S1249" s="179"/>
      <c r="T1249" s="164" t="s">
        <v>24</v>
      </c>
      <c r="U1249" s="161" t="s">
        <v>1615</v>
      </c>
      <c r="V1249" s="175">
        <v>2144</v>
      </c>
      <c r="W1249" s="181"/>
      <c r="X1249" s="186" t="s">
        <v>259</v>
      </c>
      <c r="Y1249" s="187">
        <v>44831.742488425924</v>
      </c>
    </row>
    <row r="1250" spans="1:25">
      <c r="A1250" s="167" t="s">
        <v>110</v>
      </c>
      <c r="B1250" s="162" t="s">
        <v>1555</v>
      </c>
      <c r="C1250" s="163" t="s">
        <v>3475</v>
      </c>
      <c r="D1250" s="162" t="s">
        <v>1604</v>
      </c>
      <c r="E1250" s="161" t="s">
        <v>1613</v>
      </c>
      <c r="F1250" s="164" t="s">
        <v>1614</v>
      </c>
      <c r="G1250" s="161"/>
      <c r="H1250" s="215">
        <v>1</v>
      </c>
      <c r="I1250" s="171"/>
      <c r="J1250" s="173">
        <v>7.0000000000000007E-2</v>
      </c>
      <c r="K1250" s="172"/>
      <c r="L1250" s="173">
        <v>7.0000000000000007E-2</v>
      </c>
      <c r="M1250" s="171">
        <v>7.0000000000000007E-2</v>
      </c>
      <c r="N1250" s="170"/>
      <c r="O1250" s="177" t="s">
        <v>76</v>
      </c>
      <c r="P1250" s="162" t="s">
        <v>1591</v>
      </c>
      <c r="Q1250" s="176"/>
      <c r="R1250" s="175"/>
      <c r="S1250" s="179"/>
      <c r="T1250" s="164" t="s">
        <v>24</v>
      </c>
      <c r="U1250" s="161" t="s">
        <v>1615</v>
      </c>
      <c r="V1250" s="175">
        <v>2145</v>
      </c>
      <c r="W1250" s="181"/>
      <c r="X1250" s="186" t="s">
        <v>259</v>
      </c>
      <c r="Y1250" s="187">
        <v>44831.746469907404</v>
      </c>
    </row>
    <row r="1251" spans="1:25" ht="21">
      <c r="A1251" s="167" t="s">
        <v>110</v>
      </c>
      <c r="B1251" s="162" t="s">
        <v>1555</v>
      </c>
      <c r="C1251" s="163" t="s">
        <v>3476</v>
      </c>
      <c r="D1251" s="162" t="s">
        <v>1604</v>
      </c>
      <c r="E1251" s="161" t="s">
        <v>1613</v>
      </c>
      <c r="F1251" s="164" t="s">
        <v>1614</v>
      </c>
      <c r="G1251" s="161"/>
      <c r="H1251" s="215">
        <v>1</v>
      </c>
      <c r="I1251" s="171"/>
      <c r="J1251" s="173">
        <v>0.14000000000000001</v>
      </c>
      <c r="K1251" s="172"/>
      <c r="L1251" s="173">
        <v>0.14000000000000001</v>
      </c>
      <c r="M1251" s="171">
        <v>0.14000000000000001</v>
      </c>
      <c r="N1251" s="170"/>
      <c r="O1251" s="177" t="s">
        <v>76</v>
      </c>
      <c r="P1251" s="162" t="s">
        <v>1591</v>
      </c>
      <c r="Q1251" s="176"/>
      <c r="R1251" s="175"/>
      <c r="S1251" s="179"/>
      <c r="T1251" s="164" t="s">
        <v>24</v>
      </c>
      <c r="U1251" s="161" t="s">
        <v>1615</v>
      </c>
      <c r="V1251" s="175">
        <v>2146</v>
      </c>
      <c r="W1251" s="181"/>
      <c r="X1251" s="185" t="s">
        <v>259</v>
      </c>
      <c r="Y1251" s="187">
        <v>44832.473668981482</v>
      </c>
    </row>
    <row r="1252" spans="1:25">
      <c r="A1252" s="167" t="s">
        <v>110</v>
      </c>
      <c r="B1252" s="162" t="s">
        <v>1555</v>
      </c>
      <c r="C1252" s="163" t="s">
        <v>3477</v>
      </c>
      <c r="D1252" s="162" t="s">
        <v>1604</v>
      </c>
      <c r="E1252" s="161" t="s">
        <v>1613</v>
      </c>
      <c r="F1252" s="164" t="s">
        <v>1614</v>
      </c>
      <c r="G1252" s="161"/>
      <c r="H1252" s="215">
        <v>1</v>
      </c>
      <c r="I1252" s="171"/>
      <c r="J1252" s="173">
        <v>0.05</v>
      </c>
      <c r="K1252" s="172"/>
      <c r="L1252" s="173">
        <v>0.05</v>
      </c>
      <c r="M1252" s="171">
        <v>0.05</v>
      </c>
      <c r="N1252" s="170"/>
      <c r="O1252" s="177" t="s">
        <v>76</v>
      </c>
      <c r="P1252" s="162" t="s">
        <v>1591</v>
      </c>
      <c r="Q1252" s="176"/>
      <c r="R1252" s="175"/>
      <c r="S1252" s="179"/>
      <c r="T1252" s="164" t="s">
        <v>24</v>
      </c>
      <c r="U1252" s="161" t="s">
        <v>1615</v>
      </c>
      <c r="V1252" s="175">
        <v>2147</v>
      </c>
      <c r="W1252" s="181"/>
      <c r="X1252" s="186" t="s">
        <v>259</v>
      </c>
      <c r="Y1252" s="187">
        <v>44832.479641203703</v>
      </c>
    </row>
    <row r="1253" spans="1:25">
      <c r="A1253" s="167" t="s">
        <v>110</v>
      </c>
      <c r="B1253" s="162" t="s">
        <v>1555</v>
      </c>
      <c r="C1253" s="163" t="s">
        <v>3478</v>
      </c>
      <c r="D1253" s="162" t="s">
        <v>1604</v>
      </c>
      <c r="E1253" s="161" t="s">
        <v>1613</v>
      </c>
      <c r="F1253" s="164" t="s">
        <v>1614</v>
      </c>
      <c r="G1253" s="161"/>
      <c r="H1253" s="215">
        <v>1</v>
      </c>
      <c r="I1253" s="171"/>
      <c r="J1253" s="173">
        <v>0.16</v>
      </c>
      <c r="K1253" s="172"/>
      <c r="L1253" s="173">
        <v>0.16</v>
      </c>
      <c r="M1253" s="171">
        <v>0.16</v>
      </c>
      <c r="N1253" s="170"/>
      <c r="O1253" s="177" t="s">
        <v>76</v>
      </c>
      <c r="P1253" s="162" t="s">
        <v>1591</v>
      </c>
      <c r="Q1253" s="176"/>
      <c r="R1253" s="175"/>
      <c r="S1253" s="179"/>
      <c r="T1253" s="164" t="s">
        <v>24</v>
      </c>
      <c r="U1253" s="161" t="s">
        <v>1615</v>
      </c>
      <c r="V1253" s="175">
        <v>2148</v>
      </c>
      <c r="W1253" s="181"/>
      <c r="X1253" s="186" t="s">
        <v>259</v>
      </c>
      <c r="Y1253" s="187">
        <v>44832.492581018516</v>
      </c>
    </row>
    <row r="1254" spans="1:25">
      <c r="A1254" s="167" t="s">
        <v>110</v>
      </c>
      <c r="B1254" s="162" t="s">
        <v>1555</v>
      </c>
      <c r="C1254" s="163" t="s">
        <v>3479</v>
      </c>
      <c r="D1254" s="162" t="s">
        <v>1604</v>
      </c>
      <c r="E1254" s="161" t="s">
        <v>1613</v>
      </c>
      <c r="F1254" s="164" t="s">
        <v>1614</v>
      </c>
      <c r="G1254" s="161"/>
      <c r="H1254" s="215">
        <v>1</v>
      </c>
      <c r="I1254" s="171"/>
      <c r="J1254" s="173">
        <v>0.06</v>
      </c>
      <c r="K1254" s="172"/>
      <c r="L1254" s="173">
        <v>0.06</v>
      </c>
      <c r="M1254" s="171">
        <v>0.06</v>
      </c>
      <c r="N1254" s="170"/>
      <c r="O1254" s="177" t="s">
        <v>76</v>
      </c>
      <c r="P1254" s="162" t="s">
        <v>1591</v>
      </c>
      <c r="Q1254" s="176"/>
      <c r="R1254" s="175"/>
      <c r="S1254" s="179"/>
      <c r="T1254" s="164" t="s">
        <v>24</v>
      </c>
      <c r="U1254" s="161" t="s">
        <v>1615</v>
      </c>
      <c r="V1254" s="175">
        <v>2149</v>
      </c>
      <c r="W1254" s="181"/>
      <c r="X1254" s="186" t="s">
        <v>259</v>
      </c>
      <c r="Y1254" s="187">
        <v>44832.538518518515</v>
      </c>
    </row>
    <row r="1255" spans="1:25">
      <c r="A1255" s="167" t="s">
        <v>77</v>
      </c>
      <c r="B1255" s="162" t="s">
        <v>1555</v>
      </c>
      <c r="C1255" s="163" t="s">
        <v>3480</v>
      </c>
      <c r="D1255" s="162" t="s">
        <v>1604</v>
      </c>
      <c r="E1255" s="161" t="s">
        <v>1613</v>
      </c>
      <c r="F1255" s="164" t="s">
        <v>1614</v>
      </c>
      <c r="G1255" s="161"/>
      <c r="H1255" s="215">
        <v>1</v>
      </c>
      <c r="I1255" s="171"/>
      <c r="J1255" s="173">
        <v>1.0900000000000001</v>
      </c>
      <c r="K1255" s="172"/>
      <c r="L1255" s="173">
        <v>1.0900000000000001</v>
      </c>
      <c r="M1255" s="171">
        <v>1.0900000000000001</v>
      </c>
      <c r="N1255" s="170"/>
      <c r="O1255" s="177" t="s">
        <v>76</v>
      </c>
      <c r="P1255" s="162" t="s">
        <v>1591</v>
      </c>
      <c r="Q1255" s="176"/>
      <c r="R1255" s="175"/>
      <c r="S1255" s="179"/>
      <c r="T1255" s="164" t="s">
        <v>24</v>
      </c>
      <c r="U1255" s="161" t="s">
        <v>1615</v>
      </c>
      <c r="V1255" s="175">
        <v>2150</v>
      </c>
      <c r="W1255" s="181"/>
      <c r="X1255" s="186" t="s">
        <v>259</v>
      </c>
      <c r="Y1255" s="187">
        <v>44832.543935185182</v>
      </c>
    </row>
    <row r="1256" spans="1:25">
      <c r="A1256" s="167" t="s">
        <v>77</v>
      </c>
      <c r="B1256" s="162" t="s">
        <v>1599</v>
      </c>
      <c r="C1256" s="163" t="s">
        <v>200</v>
      </c>
      <c r="D1256" s="162" t="s">
        <v>201</v>
      </c>
      <c r="E1256" s="161" t="s">
        <v>1602</v>
      </c>
      <c r="F1256" s="164" t="s">
        <v>1603</v>
      </c>
      <c r="G1256" s="161" t="s">
        <v>202</v>
      </c>
      <c r="H1256" s="215">
        <v>4</v>
      </c>
      <c r="I1256" s="171">
        <v>26</v>
      </c>
      <c r="J1256" s="173">
        <v>26</v>
      </c>
      <c r="K1256" s="172">
        <v>104</v>
      </c>
      <c r="L1256" s="173">
        <v>104</v>
      </c>
      <c r="M1256" s="171">
        <v>104</v>
      </c>
      <c r="N1256" s="170">
        <v>208</v>
      </c>
      <c r="O1256" s="177" t="s">
        <v>1523</v>
      </c>
      <c r="P1256" s="162" t="s">
        <v>1619</v>
      </c>
      <c r="Q1256" s="176"/>
      <c r="R1256" s="175">
        <v>2049</v>
      </c>
      <c r="S1256" s="179"/>
      <c r="T1256" s="164" t="s">
        <v>28</v>
      </c>
      <c r="U1256" s="161" t="s">
        <v>19</v>
      </c>
      <c r="V1256" s="175">
        <v>2304</v>
      </c>
      <c r="W1256" s="181" t="s">
        <v>3481</v>
      </c>
      <c r="X1256" s="186">
        <v>45069</v>
      </c>
      <c r="Y1256" s="187">
        <v>45097.62400462963</v>
      </c>
    </row>
    <row r="1257" spans="1:25">
      <c r="A1257" s="167" t="s">
        <v>77</v>
      </c>
      <c r="B1257" s="162" t="s">
        <v>1599</v>
      </c>
      <c r="C1257" s="163" t="s">
        <v>200</v>
      </c>
      <c r="D1257" s="162" t="s">
        <v>201</v>
      </c>
      <c r="E1257" s="161" t="s">
        <v>1625</v>
      </c>
      <c r="F1257" s="164" t="s">
        <v>1609</v>
      </c>
      <c r="G1257" s="161" t="s">
        <v>3482</v>
      </c>
      <c r="H1257" s="215">
        <v>68</v>
      </c>
      <c r="I1257" s="171">
        <v>5</v>
      </c>
      <c r="J1257" s="173">
        <v>5</v>
      </c>
      <c r="K1257" s="172">
        <v>355</v>
      </c>
      <c r="L1257" s="173">
        <v>355</v>
      </c>
      <c r="M1257" s="171">
        <v>355</v>
      </c>
      <c r="N1257" s="170"/>
      <c r="O1257" s="177" t="s">
        <v>1523</v>
      </c>
      <c r="P1257" s="162" t="s">
        <v>1620</v>
      </c>
      <c r="Q1257" s="176"/>
      <c r="R1257" s="175">
        <v>2049</v>
      </c>
      <c r="S1257" s="179"/>
      <c r="T1257" s="164" t="s">
        <v>28</v>
      </c>
      <c r="U1257" s="161" t="s">
        <v>16</v>
      </c>
      <c r="V1257" s="175">
        <v>2304</v>
      </c>
      <c r="W1257" s="181" t="s">
        <v>3481</v>
      </c>
      <c r="X1257" s="186">
        <v>45069</v>
      </c>
      <c r="Y1257" s="187">
        <v>45097.62400462963</v>
      </c>
    </row>
    <row r="1258" spans="1:25">
      <c r="A1258" s="167" t="s">
        <v>77</v>
      </c>
      <c r="B1258" s="162" t="s">
        <v>1599</v>
      </c>
      <c r="C1258" s="163" t="s">
        <v>3483</v>
      </c>
      <c r="D1258" s="162" t="s">
        <v>3484</v>
      </c>
      <c r="E1258" s="161" t="s">
        <v>1613</v>
      </c>
      <c r="F1258" s="164" t="s">
        <v>1614</v>
      </c>
      <c r="G1258" s="161"/>
      <c r="H1258" s="215">
        <v>1</v>
      </c>
      <c r="I1258" s="171">
        <v>291</v>
      </c>
      <c r="J1258" s="173">
        <v>291</v>
      </c>
      <c r="K1258" s="172">
        <v>291</v>
      </c>
      <c r="L1258" s="173">
        <v>291</v>
      </c>
      <c r="M1258" s="171">
        <v>291</v>
      </c>
      <c r="N1258" s="170"/>
      <c r="O1258" s="177" t="s">
        <v>1523</v>
      </c>
      <c r="P1258" s="162" t="s">
        <v>1604</v>
      </c>
      <c r="Q1258" s="176"/>
      <c r="R1258" s="175"/>
      <c r="S1258" s="179"/>
      <c r="T1258" s="164" t="s">
        <v>28</v>
      </c>
      <c r="U1258" s="161" t="s">
        <v>1615</v>
      </c>
      <c r="V1258" s="175">
        <v>2494</v>
      </c>
      <c r="W1258" s="181" t="s">
        <v>3485</v>
      </c>
      <c r="X1258" s="186">
        <v>45017</v>
      </c>
      <c r="Y1258" s="187">
        <v>45035.8440625</v>
      </c>
    </row>
    <row r="1259" spans="1:25">
      <c r="A1259" s="167" t="s">
        <v>45</v>
      </c>
      <c r="B1259" s="162" t="s">
        <v>1599</v>
      </c>
      <c r="C1259" s="163" t="s">
        <v>3486</v>
      </c>
      <c r="D1259" s="162" t="s">
        <v>3487</v>
      </c>
      <c r="E1259" s="161" t="s">
        <v>1613</v>
      </c>
      <c r="F1259" s="164" t="s">
        <v>1614</v>
      </c>
      <c r="G1259" s="161"/>
      <c r="H1259" s="215">
        <v>5</v>
      </c>
      <c r="I1259" s="171"/>
      <c r="J1259" s="173">
        <v>2</v>
      </c>
      <c r="K1259" s="172"/>
      <c r="L1259" s="173">
        <v>10</v>
      </c>
      <c r="M1259" s="171">
        <v>10</v>
      </c>
      <c r="N1259" s="170"/>
      <c r="O1259" s="177" t="s">
        <v>1523</v>
      </c>
      <c r="P1259" s="162" t="s">
        <v>1620</v>
      </c>
      <c r="Q1259" s="176"/>
      <c r="R1259" s="175">
        <v>2051</v>
      </c>
      <c r="S1259" s="179"/>
      <c r="T1259" s="164" t="s">
        <v>28</v>
      </c>
      <c r="U1259" s="161" t="s">
        <v>1615</v>
      </c>
      <c r="V1259" s="175">
        <v>1660</v>
      </c>
      <c r="W1259" s="181"/>
      <c r="X1259" s="186">
        <v>45069</v>
      </c>
      <c r="Y1259" s="187">
        <v>45097.458518518521</v>
      </c>
    </row>
    <row r="1260" spans="1:25">
      <c r="A1260" s="167" t="s">
        <v>45</v>
      </c>
      <c r="B1260" s="162" t="s">
        <v>1599</v>
      </c>
      <c r="C1260" s="163" t="s">
        <v>3488</v>
      </c>
      <c r="D1260" s="162" t="s">
        <v>3487</v>
      </c>
      <c r="E1260" s="161" t="s">
        <v>1625</v>
      </c>
      <c r="F1260" s="164" t="s">
        <v>1609</v>
      </c>
      <c r="G1260" s="161"/>
      <c r="H1260" s="215">
        <v>19</v>
      </c>
      <c r="I1260" s="171"/>
      <c r="J1260" s="173">
        <v>4.2</v>
      </c>
      <c r="K1260" s="172"/>
      <c r="L1260" s="173">
        <v>79.8</v>
      </c>
      <c r="M1260" s="171">
        <v>79.8</v>
      </c>
      <c r="N1260" s="170"/>
      <c r="O1260" s="177" t="s">
        <v>1523</v>
      </c>
      <c r="P1260" s="162" t="s">
        <v>1620</v>
      </c>
      <c r="Q1260" s="176"/>
      <c r="R1260" s="175">
        <v>2051</v>
      </c>
      <c r="S1260" s="179"/>
      <c r="T1260" s="164" t="s">
        <v>28</v>
      </c>
      <c r="U1260" s="161" t="s">
        <v>16</v>
      </c>
      <c r="V1260" s="175">
        <v>1275</v>
      </c>
      <c r="W1260" s="181"/>
      <c r="X1260" s="186">
        <v>45069</v>
      </c>
      <c r="Y1260" s="187">
        <v>45097.371516203704</v>
      </c>
    </row>
    <row r="1261" spans="1:25">
      <c r="A1261" s="167" t="s">
        <v>45</v>
      </c>
      <c r="B1261" s="162" t="s">
        <v>1555</v>
      </c>
      <c r="C1261" s="163" t="s">
        <v>3489</v>
      </c>
      <c r="D1261" s="162" t="s">
        <v>805</v>
      </c>
      <c r="E1261" s="161" t="s">
        <v>1700</v>
      </c>
      <c r="F1261" s="164" t="s">
        <v>1658</v>
      </c>
      <c r="G1261" s="161" t="s">
        <v>3490</v>
      </c>
      <c r="H1261" s="215">
        <v>4</v>
      </c>
      <c r="I1261" s="171"/>
      <c r="J1261" s="173">
        <v>82</v>
      </c>
      <c r="K1261" s="172"/>
      <c r="L1261" s="173">
        <v>328</v>
      </c>
      <c r="M1261" s="171">
        <v>328</v>
      </c>
      <c r="N1261" s="170"/>
      <c r="O1261" s="177" t="s">
        <v>76</v>
      </c>
      <c r="P1261" s="162" t="s">
        <v>1619</v>
      </c>
      <c r="Q1261" s="176"/>
      <c r="R1261" s="175">
        <v>2070</v>
      </c>
      <c r="S1261" s="179"/>
      <c r="T1261" s="164" t="s">
        <v>24</v>
      </c>
      <c r="U1261" s="161" t="s">
        <v>17</v>
      </c>
      <c r="V1261" s="175">
        <v>1217</v>
      </c>
      <c r="W1261" s="181"/>
      <c r="X1261" s="186">
        <v>45017</v>
      </c>
      <c r="Y1261" s="187">
        <v>45020.505798611113</v>
      </c>
    </row>
    <row r="1262" spans="1:25">
      <c r="A1262" s="167" t="s">
        <v>45</v>
      </c>
      <c r="B1262" s="162" t="s">
        <v>1555</v>
      </c>
      <c r="C1262" s="163" t="s">
        <v>3489</v>
      </c>
      <c r="D1262" s="162" t="s">
        <v>805</v>
      </c>
      <c r="E1262" s="161" t="s">
        <v>1700</v>
      </c>
      <c r="F1262" s="164" t="s">
        <v>1658</v>
      </c>
      <c r="G1262" s="161" t="s">
        <v>3490</v>
      </c>
      <c r="H1262" s="215">
        <v>4</v>
      </c>
      <c r="I1262" s="171"/>
      <c r="J1262" s="173">
        <v>72</v>
      </c>
      <c r="K1262" s="172"/>
      <c r="L1262" s="173">
        <v>288</v>
      </c>
      <c r="M1262" s="171">
        <v>288</v>
      </c>
      <c r="N1262" s="170"/>
      <c r="O1262" s="177" t="s">
        <v>76</v>
      </c>
      <c r="P1262" s="162" t="s">
        <v>1619</v>
      </c>
      <c r="Q1262" s="176"/>
      <c r="R1262" s="175">
        <v>2070</v>
      </c>
      <c r="S1262" s="179"/>
      <c r="T1262" s="164" t="s">
        <v>24</v>
      </c>
      <c r="U1262" s="161" t="s">
        <v>17</v>
      </c>
      <c r="V1262" s="175">
        <v>1217</v>
      </c>
      <c r="W1262" s="181"/>
      <c r="X1262" s="186">
        <v>45017</v>
      </c>
      <c r="Y1262" s="187">
        <v>45020.505798611113</v>
      </c>
    </row>
    <row r="1263" spans="1:25">
      <c r="A1263" s="167" t="s">
        <v>45</v>
      </c>
      <c r="B1263" s="162" t="s">
        <v>1555</v>
      </c>
      <c r="C1263" s="163" t="s">
        <v>3491</v>
      </c>
      <c r="D1263" s="162" t="s">
        <v>3492</v>
      </c>
      <c r="E1263" s="161" t="s">
        <v>1673</v>
      </c>
      <c r="F1263" s="164" t="s">
        <v>1592</v>
      </c>
      <c r="G1263" s="161" t="s">
        <v>3493</v>
      </c>
      <c r="H1263" s="215">
        <v>1</v>
      </c>
      <c r="I1263" s="171">
        <v>173</v>
      </c>
      <c r="J1263" s="173">
        <v>173</v>
      </c>
      <c r="K1263" s="172">
        <v>173</v>
      </c>
      <c r="L1263" s="173">
        <v>173</v>
      </c>
      <c r="M1263" s="171">
        <v>173</v>
      </c>
      <c r="N1263" s="170"/>
      <c r="O1263" s="177" t="s">
        <v>76</v>
      </c>
      <c r="P1263" s="162" t="s">
        <v>1619</v>
      </c>
      <c r="Q1263" s="176"/>
      <c r="R1263" s="175">
        <v>2044</v>
      </c>
      <c r="S1263" s="179"/>
      <c r="T1263" s="164" t="s">
        <v>24</v>
      </c>
      <c r="U1263" s="161" t="s">
        <v>13</v>
      </c>
      <c r="V1263" s="175">
        <v>1218</v>
      </c>
      <c r="W1263" s="181"/>
      <c r="X1263" s="186">
        <v>45017</v>
      </c>
      <c r="Y1263" s="187">
        <v>45020.507210648146</v>
      </c>
    </row>
    <row r="1264" spans="1:25">
      <c r="A1264" s="167" t="s">
        <v>45</v>
      </c>
      <c r="B1264" s="162" t="s">
        <v>1555</v>
      </c>
      <c r="C1264" s="163" t="s">
        <v>3491</v>
      </c>
      <c r="D1264" s="162" t="s">
        <v>3492</v>
      </c>
      <c r="E1264" s="161" t="s">
        <v>1673</v>
      </c>
      <c r="F1264" s="164" t="s">
        <v>1592</v>
      </c>
      <c r="G1264" s="161" t="s">
        <v>3494</v>
      </c>
      <c r="H1264" s="215">
        <v>1</v>
      </c>
      <c r="I1264" s="171"/>
      <c r="J1264" s="173">
        <v>173</v>
      </c>
      <c r="K1264" s="172"/>
      <c r="L1264" s="173">
        <v>173</v>
      </c>
      <c r="M1264" s="171">
        <v>173</v>
      </c>
      <c r="N1264" s="170"/>
      <c r="O1264" s="177" t="s">
        <v>76</v>
      </c>
      <c r="P1264" s="162" t="s">
        <v>1619</v>
      </c>
      <c r="Q1264" s="176"/>
      <c r="R1264" s="175">
        <v>2044</v>
      </c>
      <c r="S1264" s="179"/>
      <c r="T1264" s="164" t="s">
        <v>24</v>
      </c>
      <c r="U1264" s="161" t="s">
        <v>13</v>
      </c>
      <c r="V1264" s="175">
        <v>1218</v>
      </c>
      <c r="W1264" s="181"/>
      <c r="X1264" s="186">
        <v>45017</v>
      </c>
      <c r="Y1264" s="187">
        <v>45020.507210648146</v>
      </c>
    </row>
    <row r="1265" spans="1:25">
      <c r="A1265" s="167" t="s">
        <v>45</v>
      </c>
      <c r="B1265" s="162" t="s">
        <v>1555</v>
      </c>
      <c r="C1265" s="163" t="s">
        <v>3491</v>
      </c>
      <c r="D1265" s="162" t="s">
        <v>3492</v>
      </c>
      <c r="E1265" s="161" t="s">
        <v>1673</v>
      </c>
      <c r="F1265" s="164" t="s">
        <v>1592</v>
      </c>
      <c r="G1265" s="161" t="s">
        <v>3495</v>
      </c>
      <c r="H1265" s="215">
        <v>1</v>
      </c>
      <c r="I1265" s="171"/>
      <c r="J1265" s="173">
        <v>173</v>
      </c>
      <c r="K1265" s="172"/>
      <c r="L1265" s="173">
        <v>173</v>
      </c>
      <c r="M1265" s="171">
        <v>173</v>
      </c>
      <c r="N1265" s="170"/>
      <c r="O1265" s="177" t="s">
        <v>76</v>
      </c>
      <c r="P1265" s="162" t="s">
        <v>1619</v>
      </c>
      <c r="Q1265" s="176"/>
      <c r="R1265" s="175">
        <v>2044</v>
      </c>
      <c r="S1265" s="179"/>
      <c r="T1265" s="164" t="s">
        <v>24</v>
      </c>
      <c r="U1265" s="161" t="s">
        <v>13</v>
      </c>
      <c r="V1265" s="175">
        <v>1218</v>
      </c>
      <c r="W1265" s="181"/>
      <c r="X1265" s="186">
        <v>45017</v>
      </c>
      <c r="Y1265" s="187">
        <v>45020.507210648146</v>
      </c>
    </row>
    <row r="1266" spans="1:25">
      <c r="A1266" s="167" t="s">
        <v>45</v>
      </c>
      <c r="B1266" s="162" t="s">
        <v>1555</v>
      </c>
      <c r="C1266" s="163" t="s">
        <v>3491</v>
      </c>
      <c r="D1266" s="162" t="s">
        <v>3492</v>
      </c>
      <c r="E1266" s="161" t="s">
        <v>1673</v>
      </c>
      <c r="F1266" s="164" t="s">
        <v>1592</v>
      </c>
      <c r="G1266" s="161" t="s">
        <v>3496</v>
      </c>
      <c r="H1266" s="215">
        <v>1</v>
      </c>
      <c r="I1266" s="171"/>
      <c r="J1266" s="173">
        <v>173</v>
      </c>
      <c r="K1266" s="172"/>
      <c r="L1266" s="173">
        <v>173</v>
      </c>
      <c r="M1266" s="171">
        <v>173</v>
      </c>
      <c r="N1266" s="170"/>
      <c r="O1266" s="177" t="s">
        <v>76</v>
      </c>
      <c r="P1266" s="162" t="s">
        <v>1619</v>
      </c>
      <c r="Q1266" s="176"/>
      <c r="R1266" s="175">
        <v>2044</v>
      </c>
      <c r="S1266" s="179"/>
      <c r="T1266" s="164" t="s">
        <v>24</v>
      </c>
      <c r="U1266" s="161" t="s">
        <v>13</v>
      </c>
      <c r="V1266" s="175">
        <v>1218</v>
      </c>
      <c r="W1266" s="181"/>
      <c r="X1266" s="186">
        <v>45017</v>
      </c>
      <c r="Y1266" s="187">
        <v>45020.507210648146</v>
      </c>
    </row>
    <row r="1267" spans="1:25">
      <c r="A1267" s="167" t="s">
        <v>45</v>
      </c>
      <c r="B1267" s="162" t="s">
        <v>1599</v>
      </c>
      <c r="C1267" s="163" t="s">
        <v>175</v>
      </c>
      <c r="D1267" s="162" t="s">
        <v>176</v>
      </c>
      <c r="E1267" s="161" t="s">
        <v>1625</v>
      </c>
      <c r="F1267" s="164" t="s">
        <v>1609</v>
      </c>
      <c r="G1267" s="161"/>
      <c r="H1267" s="215">
        <v>69</v>
      </c>
      <c r="I1267" s="171">
        <v>6</v>
      </c>
      <c r="J1267" s="173">
        <v>6</v>
      </c>
      <c r="K1267" s="172">
        <v>414</v>
      </c>
      <c r="L1267" s="173">
        <v>414</v>
      </c>
      <c r="M1267" s="171">
        <v>414</v>
      </c>
      <c r="N1267" s="170"/>
      <c r="O1267" s="177" t="s">
        <v>27</v>
      </c>
      <c r="P1267" s="162" t="s">
        <v>1620</v>
      </c>
      <c r="Q1267" s="176"/>
      <c r="R1267" s="175"/>
      <c r="S1267" s="179"/>
      <c r="T1267" s="164" t="s">
        <v>27</v>
      </c>
      <c r="U1267" s="161" t="s">
        <v>16</v>
      </c>
      <c r="V1267" s="175">
        <v>1283</v>
      </c>
      <c r="W1267" s="181" t="s">
        <v>3988</v>
      </c>
      <c r="X1267" s="186">
        <v>45069</v>
      </c>
      <c r="Y1267" s="187">
        <v>45104.318495370368</v>
      </c>
    </row>
    <row r="1268" spans="1:25">
      <c r="A1268" s="167" t="s">
        <v>45</v>
      </c>
      <c r="B1268" s="162" t="s">
        <v>1555</v>
      </c>
      <c r="C1268" s="163" t="s">
        <v>67</v>
      </c>
      <c r="D1268" s="162" t="s">
        <v>68</v>
      </c>
      <c r="E1268" s="161" t="s">
        <v>1739</v>
      </c>
      <c r="F1268" s="164" t="s">
        <v>1740</v>
      </c>
      <c r="G1268" s="161" t="s">
        <v>3497</v>
      </c>
      <c r="H1268" s="215">
        <v>1</v>
      </c>
      <c r="I1268" s="171">
        <v>250</v>
      </c>
      <c r="J1268" s="173">
        <v>660</v>
      </c>
      <c r="K1268" s="172">
        <v>250</v>
      </c>
      <c r="L1268" s="173">
        <v>660</v>
      </c>
      <c r="M1268" s="171">
        <v>660</v>
      </c>
      <c r="N1268" s="170"/>
      <c r="O1268" s="177" t="s">
        <v>76</v>
      </c>
      <c r="P1268" s="162" t="s">
        <v>1619</v>
      </c>
      <c r="Q1268" s="176"/>
      <c r="R1268" s="175">
        <v>2033</v>
      </c>
      <c r="S1268" s="179"/>
      <c r="T1268" s="164" t="s">
        <v>24</v>
      </c>
      <c r="U1268" s="161" t="s">
        <v>11</v>
      </c>
      <c r="V1268" s="175">
        <v>1219</v>
      </c>
      <c r="W1268" s="181"/>
      <c r="X1268" s="186">
        <v>45069</v>
      </c>
      <c r="Y1268" s="187">
        <v>45097.367314814815</v>
      </c>
    </row>
    <row r="1269" spans="1:25">
      <c r="A1269" s="167" t="s">
        <v>45</v>
      </c>
      <c r="B1269" s="162" t="s">
        <v>1555</v>
      </c>
      <c r="C1269" s="163" t="s">
        <v>67</v>
      </c>
      <c r="D1269" s="162" t="s">
        <v>68</v>
      </c>
      <c r="E1269" s="161" t="s">
        <v>1739</v>
      </c>
      <c r="F1269" s="164" t="s">
        <v>1740</v>
      </c>
      <c r="G1269" s="161" t="s">
        <v>3498</v>
      </c>
      <c r="H1269" s="215">
        <v>1</v>
      </c>
      <c r="I1269" s="171">
        <v>250</v>
      </c>
      <c r="J1269" s="173">
        <v>660</v>
      </c>
      <c r="K1269" s="172">
        <v>250</v>
      </c>
      <c r="L1269" s="173">
        <v>660</v>
      </c>
      <c r="M1269" s="171">
        <v>660</v>
      </c>
      <c r="N1269" s="170"/>
      <c r="O1269" s="177" t="s">
        <v>76</v>
      </c>
      <c r="P1269" s="162" t="s">
        <v>1619</v>
      </c>
      <c r="Q1269" s="176"/>
      <c r="R1269" s="175">
        <v>2033</v>
      </c>
      <c r="S1269" s="179"/>
      <c r="T1269" s="164" t="s">
        <v>24</v>
      </c>
      <c r="U1269" s="161" t="s">
        <v>11</v>
      </c>
      <c r="V1269" s="175">
        <v>1219</v>
      </c>
      <c r="W1269" s="181"/>
      <c r="X1269" s="186">
        <v>45069</v>
      </c>
      <c r="Y1269" s="187">
        <v>45097.367314814815</v>
      </c>
    </row>
    <row r="1270" spans="1:25">
      <c r="A1270" s="167" t="s">
        <v>45</v>
      </c>
      <c r="B1270" s="162" t="s">
        <v>1599</v>
      </c>
      <c r="C1270" s="163" t="s">
        <v>3499</v>
      </c>
      <c r="D1270" s="162" t="s">
        <v>68</v>
      </c>
      <c r="E1270" s="161" t="s">
        <v>1613</v>
      </c>
      <c r="F1270" s="164" t="s">
        <v>1614</v>
      </c>
      <c r="G1270" s="161"/>
      <c r="H1270" s="215">
        <v>1</v>
      </c>
      <c r="I1270" s="171">
        <v>55</v>
      </c>
      <c r="J1270" s="173">
        <v>55</v>
      </c>
      <c r="K1270" s="172">
        <v>55</v>
      </c>
      <c r="L1270" s="173">
        <v>55</v>
      </c>
      <c r="M1270" s="171">
        <v>55</v>
      </c>
      <c r="N1270" s="170"/>
      <c r="O1270" s="177" t="s">
        <v>1523</v>
      </c>
      <c r="P1270" s="162" t="s">
        <v>1620</v>
      </c>
      <c r="Q1270" s="176"/>
      <c r="R1270" s="175"/>
      <c r="S1270" s="179"/>
      <c r="T1270" s="164" t="s">
        <v>28</v>
      </c>
      <c r="U1270" s="161" t="s">
        <v>1615</v>
      </c>
      <c r="V1270" s="175">
        <v>1490</v>
      </c>
      <c r="W1270" s="181"/>
      <c r="X1270" s="186">
        <v>45069</v>
      </c>
      <c r="Y1270" s="187">
        <v>45097.415844907409</v>
      </c>
    </row>
    <row r="1271" spans="1:25">
      <c r="A1271" s="167" t="s">
        <v>110</v>
      </c>
      <c r="B1271" s="162" t="s">
        <v>1555</v>
      </c>
      <c r="C1271" s="163" t="s">
        <v>3500</v>
      </c>
      <c r="D1271" s="162" t="s">
        <v>805</v>
      </c>
      <c r="E1271" s="161" t="s">
        <v>1673</v>
      </c>
      <c r="F1271" s="164" t="s">
        <v>1592</v>
      </c>
      <c r="G1271" s="161" t="s">
        <v>3501</v>
      </c>
      <c r="H1271" s="215">
        <v>1</v>
      </c>
      <c r="I1271" s="171">
        <v>50</v>
      </c>
      <c r="J1271" s="173">
        <v>50</v>
      </c>
      <c r="K1271" s="172">
        <v>50</v>
      </c>
      <c r="L1271" s="173">
        <v>50</v>
      </c>
      <c r="M1271" s="171">
        <v>50</v>
      </c>
      <c r="N1271" s="170"/>
      <c r="O1271" s="177" t="s">
        <v>76</v>
      </c>
      <c r="P1271" s="162" t="s">
        <v>1619</v>
      </c>
      <c r="Q1271" s="176"/>
      <c r="R1271" s="175">
        <v>2070</v>
      </c>
      <c r="S1271" s="179"/>
      <c r="T1271" s="164" t="s">
        <v>24</v>
      </c>
      <c r="U1271" s="161" t="s">
        <v>13</v>
      </c>
      <c r="V1271" s="175">
        <v>1220</v>
      </c>
      <c r="W1271" s="181"/>
      <c r="X1271" s="186">
        <v>45017</v>
      </c>
      <c r="Y1271" s="187">
        <v>45020.517233796294</v>
      </c>
    </row>
    <row r="1272" spans="1:25">
      <c r="A1272" s="167" t="s">
        <v>110</v>
      </c>
      <c r="B1272" s="162" t="s">
        <v>1555</v>
      </c>
      <c r="C1272" s="163" t="s">
        <v>3500</v>
      </c>
      <c r="D1272" s="162" t="s">
        <v>805</v>
      </c>
      <c r="E1272" s="161" t="s">
        <v>1673</v>
      </c>
      <c r="F1272" s="164" t="s">
        <v>1592</v>
      </c>
      <c r="G1272" s="161" t="s">
        <v>3502</v>
      </c>
      <c r="H1272" s="215">
        <v>1</v>
      </c>
      <c r="I1272" s="171"/>
      <c r="J1272" s="173">
        <v>50</v>
      </c>
      <c r="K1272" s="172"/>
      <c r="L1272" s="173">
        <v>50</v>
      </c>
      <c r="M1272" s="171">
        <v>50</v>
      </c>
      <c r="N1272" s="170"/>
      <c r="O1272" s="177" t="s">
        <v>76</v>
      </c>
      <c r="P1272" s="162" t="s">
        <v>1619</v>
      </c>
      <c r="Q1272" s="176"/>
      <c r="R1272" s="175">
        <v>2070</v>
      </c>
      <c r="S1272" s="179"/>
      <c r="T1272" s="164" t="s">
        <v>24</v>
      </c>
      <c r="U1272" s="161" t="s">
        <v>13</v>
      </c>
      <c r="V1272" s="175">
        <v>1220</v>
      </c>
      <c r="W1272" s="181"/>
      <c r="X1272" s="186">
        <v>45017</v>
      </c>
      <c r="Y1272" s="187">
        <v>45020.517233796294</v>
      </c>
    </row>
    <row r="1273" spans="1:25">
      <c r="A1273" s="167" t="s">
        <v>110</v>
      </c>
      <c r="B1273" s="162" t="s">
        <v>1555</v>
      </c>
      <c r="C1273" s="163" t="s">
        <v>3500</v>
      </c>
      <c r="D1273" s="162" t="s">
        <v>805</v>
      </c>
      <c r="E1273" s="161" t="s">
        <v>1673</v>
      </c>
      <c r="F1273" s="164" t="s">
        <v>1592</v>
      </c>
      <c r="G1273" s="161" t="s">
        <v>3503</v>
      </c>
      <c r="H1273" s="215">
        <v>1</v>
      </c>
      <c r="I1273" s="171"/>
      <c r="J1273" s="173">
        <v>50</v>
      </c>
      <c r="K1273" s="172"/>
      <c r="L1273" s="173">
        <v>50</v>
      </c>
      <c r="M1273" s="171">
        <v>50</v>
      </c>
      <c r="N1273" s="170"/>
      <c r="O1273" s="177" t="s">
        <v>76</v>
      </c>
      <c r="P1273" s="162" t="s">
        <v>1619</v>
      </c>
      <c r="Q1273" s="176"/>
      <c r="R1273" s="175">
        <v>2070</v>
      </c>
      <c r="S1273" s="179"/>
      <c r="T1273" s="164" t="s">
        <v>24</v>
      </c>
      <c r="U1273" s="161" t="s">
        <v>13</v>
      </c>
      <c r="V1273" s="175">
        <v>1220</v>
      </c>
      <c r="W1273" s="181"/>
      <c r="X1273" s="186">
        <v>45017</v>
      </c>
      <c r="Y1273" s="187">
        <v>45020.517233796294</v>
      </c>
    </row>
    <row r="1274" spans="1:25">
      <c r="A1274" s="167" t="s">
        <v>110</v>
      </c>
      <c r="B1274" s="162" t="s">
        <v>1555</v>
      </c>
      <c r="C1274" s="163" t="s">
        <v>3500</v>
      </c>
      <c r="D1274" s="162" t="s">
        <v>805</v>
      </c>
      <c r="E1274" s="161" t="s">
        <v>1673</v>
      </c>
      <c r="F1274" s="164" t="s">
        <v>1592</v>
      </c>
      <c r="G1274" s="161" t="s">
        <v>3504</v>
      </c>
      <c r="H1274" s="215">
        <v>1</v>
      </c>
      <c r="I1274" s="171"/>
      <c r="J1274" s="173">
        <v>50</v>
      </c>
      <c r="K1274" s="172"/>
      <c r="L1274" s="173">
        <v>50</v>
      </c>
      <c r="M1274" s="171">
        <v>50</v>
      </c>
      <c r="N1274" s="170"/>
      <c r="O1274" s="177" t="s">
        <v>76</v>
      </c>
      <c r="P1274" s="162" t="s">
        <v>1619</v>
      </c>
      <c r="Q1274" s="176"/>
      <c r="R1274" s="175">
        <v>2070</v>
      </c>
      <c r="S1274" s="179"/>
      <c r="T1274" s="164" t="s">
        <v>24</v>
      </c>
      <c r="U1274" s="161" t="s">
        <v>13</v>
      </c>
      <c r="V1274" s="175">
        <v>1220</v>
      </c>
      <c r="W1274" s="181"/>
      <c r="X1274" s="186">
        <v>45017</v>
      </c>
      <c r="Y1274" s="187">
        <v>45020.517233796294</v>
      </c>
    </row>
    <row r="1275" spans="1:25">
      <c r="A1275" s="167" t="s">
        <v>110</v>
      </c>
      <c r="B1275" s="162" t="s">
        <v>1555</v>
      </c>
      <c r="C1275" s="163" t="s">
        <v>3500</v>
      </c>
      <c r="D1275" s="162" t="s">
        <v>805</v>
      </c>
      <c r="E1275" s="161" t="s">
        <v>1673</v>
      </c>
      <c r="F1275" s="164" t="s">
        <v>1592</v>
      </c>
      <c r="G1275" s="161" t="s">
        <v>3505</v>
      </c>
      <c r="H1275" s="215">
        <v>1</v>
      </c>
      <c r="I1275" s="171"/>
      <c r="J1275" s="173">
        <v>50</v>
      </c>
      <c r="K1275" s="172"/>
      <c r="L1275" s="173">
        <v>50</v>
      </c>
      <c r="M1275" s="171">
        <v>50</v>
      </c>
      <c r="N1275" s="170"/>
      <c r="O1275" s="177" t="s">
        <v>76</v>
      </c>
      <c r="P1275" s="162" t="s">
        <v>1619</v>
      </c>
      <c r="Q1275" s="176"/>
      <c r="R1275" s="175">
        <v>2070</v>
      </c>
      <c r="S1275" s="179"/>
      <c r="T1275" s="164" t="s">
        <v>24</v>
      </c>
      <c r="U1275" s="161" t="s">
        <v>13</v>
      </c>
      <c r="V1275" s="175">
        <v>1220</v>
      </c>
      <c r="W1275" s="181"/>
      <c r="X1275" s="186">
        <v>45017</v>
      </c>
      <c r="Y1275" s="187">
        <v>45020.517233796294</v>
      </c>
    </row>
    <row r="1276" spans="1:25">
      <c r="A1276" s="167" t="s">
        <v>110</v>
      </c>
      <c r="B1276" s="162" t="s">
        <v>1555</v>
      </c>
      <c r="C1276" s="163" t="s">
        <v>3500</v>
      </c>
      <c r="D1276" s="162" t="s">
        <v>805</v>
      </c>
      <c r="E1276" s="161" t="s">
        <v>1673</v>
      </c>
      <c r="F1276" s="162" t="s">
        <v>1592</v>
      </c>
      <c r="G1276" s="161" t="s">
        <v>3506</v>
      </c>
      <c r="H1276" s="215">
        <v>1</v>
      </c>
      <c r="I1276" s="171"/>
      <c r="J1276" s="173">
        <v>50</v>
      </c>
      <c r="K1276" s="172"/>
      <c r="L1276" s="173">
        <v>50</v>
      </c>
      <c r="M1276" s="171">
        <v>50</v>
      </c>
      <c r="N1276" s="170"/>
      <c r="O1276" s="177" t="s">
        <v>76</v>
      </c>
      <c r="P1276" s="162" t="s">
        <v>1619</v>
      </c>
      <c r="Q1276" s="176"/>
      <c r="R1276" s="174">
        <v>2070</v>
      </c>
      <c r="S1276" s="179"/>
      <c r="T1276" s="162" t="s">
        <v>24</v>
      </c>
      <c r="U1276" s="161" t="s">
        <v>13</v>
      </c>
      <c r="V1276" s="174">
        <v>1220</v>
      </c>
      <c r="W1276" s="180"/>
      <c r="X1276" s="185">
        <v>45017</v>
      </c>
      <c r="Y1276" s="187">
        <v>45020.517233796294</v>
      </c>
    </row>
    <row r="1277" spans="1:25">
      <c r="A1277" s="167" t="s">
        <v>91</v>
      </c>
      <c r="B1277" s="162" t="s">
        <v>1599</v>
      </c>
      <c r="C1277" s="163" t="s">
        <v>3507</v>
      </c>
      <c r="D1277" s="162" t="s">
        <v>3508</v>
      </c>
      <c r="E1277" s="161" t="s">
        <v>1602</v>
      </c>
      <c r="F1277" s="164" t="s">
        <v>1603</v>
      </c>
      <c r="G1277" s="161"/>
      <c r="H1277" s="215">
        <v>1</v>
      </c>
      <c r="I1277" s="171">
        <v>34</v>
      </c>
      <c r="J1277" s="173">
        <v>34</v>
      </c>
      <c r="K1277" s="172">
        <v>34</v>
      </c>
      <c r="L1277" s="173">
        <v>34</v>
      </c>
      <c r="M1277" s="171">
        <v>34</v>
      </c>
      <c r="N1277" s="170">
        <v>0</v>
      </c>
      <c r="O1277" s="177" t="s">
        <v>1523</v>
      </c>
      <c r="P1277" s="162" t="s">
        <v>1604</v>
      </c>
      <c r="Q1277" s="176"/>
      <c r="R1277" s="175"/>
      <c r="S1277" s="179"/>
      <c r="T1277" s="164" t="s">
        <v>28</v>
      </c>
      <c r="U1277" s="161" t="s">
        <v>19</v>
      </c>
      <c r="V1277" s="175">
        <v>2312</v>
      </c>
      <c r="W1277" s="181" t="s">
        <v>3509</v>
      </c>
      <c r="X1277" s="186">
        <v>45017</v>
      </c>
      <c r="Y1277" s="187">
        <v>44945.303749999999</v>
      </c>
    </row>
    <row r="1278" spans="1:25">
      <c r="A1278" s="167" t="s">
        <v>91</v>
      </c>
      <c r="B1278" s="162" t="s">
        <v>1599</v>
      </c>
      <c r="C1278" s="163" t="s">
        <v>3510</v>
      </c>
      <c r="D1278" s="162" t="s">
        <v>3508</v>
      </c>
      <c r="E1278" s="161" t="s">
        <v>2731</v>
      </c>
      <c r="F1278" s="164" t="s">
        <v>1603</v>
      </c>
      <c r="G1278" s="161"/>
      <c r="H1278" s="215">
        <v>1</v>
      </c>
      <c r="I1278" s="171">
        <v>34</v>
      </c>
      <c r="J1278" s="173">
        <v>34</v>
      </c>
      <c r="K1278" s="172">
        <v>34</v>
      </c>
      <c r="L1278" s="173">
        <v>34</v>
      </c>
      <c r="M1278" s="171">
        <v>34</v>
      </c>
      <c r="N1278" s="170"/>
      <c r="O1278" s="177" t="s">
        <v>1523</v>
      </c>
      <c r="P1278" s="162" t="s">
        <v>1604</v>
      </c>
      <c r="Q1278" s="176"/>
      <c r="R1278" s="175"/>
      <c r="S1278" s="179"/>
      <c r="T1278" s="164" t="s">
        <v>28</v>
      </c>
      <c r="U1278" s="161" t="s">
        <v>20</v>
      </c>
      <c r="V1278" s="175">
        <v>2311</v>
      </c>
      <c r="W1278" s="181" t="s">
        <v>3509</v>
      </c>
      <c r="X1278" s="186">
        <v>45017</v>
      </c>
      <c r="Y1278" s="187">
        <v>44945.303900462961</v>
      </c>
    </row>
    <row r="1279" spans="1:25">
      <c r="A1279" s="167" t="s">
        <v>110</v>
      </c>
      <c r="B1279" s="162" t="s">
        <v>1555</v>
      </c>
      <c r="C1279" s="163" t="s">
        <v>3511</v>
      </c>
      <c r="D1279" s="162" t="s">
        <v>1604</v>
      </c>
      <c r="E1279" s="161" t="s">
        <v>1613</v>
      </c>
      <c r="F1279" s="164" t="s">
        <v>1614</v>
      </c>
      <c r="G1279" s="161"/>
      <c r="H1279" s="215">
        <v>1</v>
      </c>
      <c r="I1279" s="171"/>
      <c r="J1279" s="173">
        <v>0.75</v>
      </c>
      <c r="K1279" s="172"/>
      <c r="L1279" s="173">
        <v>0.75</v>
      </c>
      <c r="M1279" s="171">
        <v>0.75</v>
      </c>
      <c r="N1279" s="170"/>
      <c r="O1279" s="177" t="s">
        <v>76</v>
      </c>
      <c r="P1279" s="162" t="s">
        <v>1591</v>
      </c>
      <c r="Q1279" s="176"/>
      <c r="R1279" s="175"/>
      <c r="S1279" s="179"/>
      <c r="T1279" s="162" t="s">
        <v>24</v>
      </c>
      <c r="U1279" s="161" t="s">
        <v>1615</v>
      </c>
      <c r="V1279" s="175">
        <v>2151</v>
      </c>
      <c r="W1279" s="181"/>
      <c r="X1279" s="186" t="s">
        <v>259</v>
      </c>
      <c r="Y1279" s="187">
        <v>44832.546990740739</v>
      </c>
    </row>
    <row r="1280" spans="1:25">
      <c r="A1280" s="167" t="s">
        <v>77</v>
      </c>
      <c r="B1280" s="162" t="s">
        <v>1555</v>
      </c>
      <c r="C1280" s="163" t="s">
        <v>3512</v>
      </c>
      <c r="D1280" s="162" t="s">
        <v>3513</v>
      </c>
      <c r="E1280" s="161" t="s">
        <v>1739</v>
      </c>
      <c r="F1280" s="164" t="s">
        <v>1986</v>
      </c>
      <c r="G1280" s="161"/>
      <c r="H1280" s="215">
        <v>1</v>
      </c>
      <c r="I1280" s="171"/>
      <c r="J1280" s="173">
        <v>19</v>
      </c>
      <c r="K1280" s="172"/>
      <c r="L1280" s="173">
        <v>19</v>
      </c>
      <c r="M1280" s="171">
        <v>19</v>
      </c>
      <c r="N1280" s="170"/>
      <c r="O1280" s="177" t="s">
        <v>76</v>
      </c>
      <c r="P1280" s="162" t="s">
        <v>1591</v>
      </c>
      <c r="Q1280" s="176"/>
      <c r="R1280" s="175">
        <v>2035</v>
      </c>
      <c r="S1280" s="179"/>
      <c r="T1280" s="164" t="s">
        <v>24</v>
      </c>
      <c r="U1280" s="161" t="s">
        <v>18</v>
      </c>
      <c r="V1280" s="175">
        <v>1221</v>
      </c>
      <c r="W1280" s="181"/>
      <c r="X1280" s="186">
        <v>44621</v>
      </c>
      <c r="Y1280" s="187">
        <v>45022.401273148149</v>
      </c>
    </row>
    <row r="1281" spans="1:25">
      <c r="A1281" s="167" t="s">
        <v>77</v>
      </c>
      <c r="B1281" s="162" t="s">
        <v>1555</v>
      </c>
      <c r="C1281" s="163" t="s">
        <v>3512</v>
      </c>
      <c r="D1281" s="162" t="s">
        <v>3513</v>
      </c>
      <c r="E1281" s="161" t="s">
        <v>1739</v>
      </c>
      <c r="F1281" s="164" t="s">
        <v>1986</v>
      </c>
      <c r="G1281" s="161"/>
      <c r="H1281" s="215">
        <v>1</v>
      </c>
      <c r="I1281" s="171"/>
      <c r="J1281" s="173">
        <v>5</v>
      </c>
      <c r="K1281" s="172"/>
      <c r="L1281" s="173">
        <v>5</v>
      </c>
      <c r="M1281" s="171">
        <v>5</v>
      </c>
      <c r="N1281" s="170"/>
      <c r="O1281" s="177" t="s">
        <v>76</v>
      </c>
      <c r="P1281" s="162" t="s">
        <v>1591</v>
      </c>
      <c r="Q1281" s="176"/>
      <c r="R1281" s="175">
        <v>2035</v>
      </c>
      <c r="S1281" s="179"/>
      <c r="T1281" s="164" t="s">
        <v>24</v>
      </c>
      <c r="U1281" s="161" t="s">
        <v>18</v>
      </c>
      <c r="V1281" s="175">
        <v>1221</v>
      </c>
      <c r="W1281" s="181"/>
      <c r="X1281" s="186">
        <v>44621</v>
      </c>
      <c r="Y1281" s="187">
        <v>45022.401273148149</v>
      </c>
    </row>
    <row r="1282" spans="1:25">
      <c r="A1282" s="167" t="s">
        <v>110</v>
      </c>
      <c r="B1282" s="162" t="s">
        <v>1555</v>
      </c>
      <c r="C1282" s="163" t="s">
        <v>485</v>
      </c>
      <c r="D1282" s="162" t="s">
        <v>486</v>
      </c>
      <c r="E1282" s="161" t="s">
        <v>1602</v>
      </c>
      <c r="F1282" s="164" t="s">
        <v>1603</v>
      </c>
      <c r="G1282" s="161" t="s">
        <v>487</v>
      </c>
      <c r="H1282" s="215">
        <v>1</v>
      </c>
      <c r="I1282" s="171"/>
      <c r="J1282" s="173">
        <v>300</v>
      </c>
      <c r="K1282" s="172"/>
      <c r="L1282" s="173">
        <v>300</v>
      </c>
      <c r="M1282" s="171">
        <v>300</v>
      </c>
      <c r="N1282" s="170">
        <v>450</v>
      </c>
      <c r="O1282" s="177" t="s">
        <v>76</v>
      </c>
      <c r="P1282" s="162" t="s">
        <v>1619</v>
      </c>
      <c r="Q1282" s="176">
        <v>44531</v>
      </c>
      <c r="R1282" s="175">
        <v>2041</v>
      </c>
      <c r="S1282" s="179"/>
      <c r="T1282" s="164" t="s">
        <v>24</v>
      </c>
      <c r="U1282" s="161" t="s">
        <v>19</v>
      </c>
      <c r="V1282" s="175">
        <v>1864</v>
      </c>
      <c r="W1282" s="181"/>
      <c r="X1282" s="186">
        <v>45017</v>
      </c>
      <c r="Y1282" s="187">
        <v>45022.584224537037</v>
      </c>
    </row>
    <row r="1283" spans="1:25">
      <c r="A1283" s="167" t="s">
        <v>110</v>
      </c>
      <c r="B1283" s="162" t="s">
        <v>1599</v>
      </c>
      <c r="C1283" s="163" t="s">
        <v>3514</v>
      </c>
      <c r="D1283" s="162" t="s">
        <v>142</v>
      </c>
      <c r="E1283" s="161" t="s">
        <v>1602</v>
      </c>
      <c r="F1283" s="164" t="s">
        <v>1603</v>
      </c>
      <c r="G1283" s="161"/>
      <c r="H1283" s="215">
        <v>1</v>
      </c>
      <c r="I1283" s="171">
        <v>0</v>
      </c>
      <c r="J1283" s="173">
        <v>300</v>
      </c>
      <c r="K1283" s="172">
        <v>0</v>
      </c>
      <c r="L1283" s="173">
        <v>300</v>
      </c>
      <c r="M1283" s="171">
        <v>300</v>
      </c>
      <c r="N1283" s="170">
        <v>1200</v>
      </c>
      <c r="O1283" s="177" t="s">
        <v>1523</v>
      </c>
      <c r="P1283" s="162" t="s">
        <v>1619</v>
      </c>
      <c r="Q1283" s="176"/>
      <c r="R1283" s="175">
        <v>2052</v>
      </c>
      <c r="S1283" s="179"/>
      <c r="T1283" s="164" t="s">
        <v>28</v>
      </c>
      <c r="U1283" s="161" t="s">
        <v>19</v>
      </c>
      <c r="V1283" s="175">
        <v>2398</v>
      </c>
      <c r="W1283" s="181" t="s">
        <v>3515</v>
      </c>
      <c r="X1283" s="186">
        <v>45069</v>
      </c>
      <c r="Y1283" s="187">
        <v>45097.632048611114</v>
      </c>
    </row>
    <row r="1284" spans="1:25">
      <c r="A1284" s="220" t="s">
        <v>45</v>
      </c>
      <c r="B1284" s="221" t="s">
        <v>1599</v>
      </c>
      <c r="C1284" s="222" t="s">
        <v>3848</v>
      </c>
      <c r="D1284" s="221" t="s">
        <v>334</v>
      </c>
      <c r="E1284" s="223" t="s">
        <v>1602</v>
      </c>
      <c r="F1284" s="224" t="s">
        <v>20</v>
      </c>
      <c r="G1284" s="223"/>
      <c r="H1284" s="215">
        <v>1</v>
      </c>
      <c r="I1284" s="171"/>
      <c r="J1284" s="173">
        <v>200</v>
      </c>
      <c r="K1284" s="172"/>
      <c r="L1284" s="173">
        <v>200</v>
      </c>
      <c r="M1284" s="171">
        <v>200</v>
      </c>
      <c r="N1284" s="229">
        <v>0</v>
      </c>
      <c r="O1284" s="230" t="s">
        <v>1523</v>
      </c>
      <c r="P1284" s="221" t="s">
        <v>1604</v>
      </c>
      <c r="Q1284" s="231"/>
      <c r="R1284" s="232"/>
      <c r="S1284" s="233"/>
      <c r="T1284" s="224" t="s">
        <v>28</v>
      </c>
      <c r="U1284" s="223" t="s">
        <v>19</v>
      </c>
      <c r="V1284" s="232">
        <v>2528</v>
      </c>
      <c r="W1284" s="234" t="s">
        <v>3923</v>
      </c>
      <c r="X1284" s="235"/>
      <c r="Y1284" s="236">
        <v>45111.337766203702</v>
      </c>
    </row>
    <row r="1285" spans="1:25">
      <c r="A1285" s="220" t="s">
        <v>91</v>
      </c>
      <c r="B1285" s="221" t="s">
        <v>1599</v>
      </c>
      <c r="C1285" s="222" t="s">
        <v>3890</v>
      </c>
      <c r="D1285" s="221" t="s">
        <v>3891</v>
      </c>
      <c r="E1285" s="223" t="s">
        <v>3892</v>
      </c>
      <c r="F1285" s="224" t="s">
        <v>1615</v>
      </c>
      <c r="G1285" s="223"/>
      <c r="H1285" s="215">
        <v>1</v>
      </c>
      <c r="I1285" s="171"/>
      <c r="J1285" s="173">
        <v>34</v>
      </c>
      <c r="K1285" s="172"/>
      <c r="L1285" s="173">
        <v>34</v>
      </c>
      <c r="M1285" s="171">
        <v>34</v>
      </c>
      <c r="N1285" s="229"/>
      <c r="O1285" s="230" t="s">
        <v>1523</v>
      </c>
      <c r="P1285" s="221" t="s">
        <v>1604</v>
      </c>
      <c r="Q1285" s="231"/>
      <c r="R1285" s="232"/>
      <c r="S1285" s="233"/>
      <c r="T1285" s="224" t="s">
        <v>28</v>
      </c>
      <c r="U1285" s="223" t="s">
        <v>1615</v>
      </c>
      <c r="V1285" s="232">
        <v>2553</v>
      </c>
      <c r="W1285" s="234" t="s">
        <v>3944</v>
      </c>
      <c r="X1285" s="235"/>
      <c r="Y1285" s="236">
        <v>45111.551747685182</v>
      </c>
    </row>
    <row r="1286" spans="1:25">
      <c r="A1286" s="167" t="s">
        <v>77</v>
      </c>
      <c r="B1286" s="162" t="s">
        <v>1555</v>
      </c>
      <c r="C1286" s="163" t="s">
        <v>3516</v>
      </c>
      <c r="D1286" s="162" t="s">
        <v>1604</v>
      </c>
      <c r="E1286" s="161" t="s">
        <v>1613</v>
      </c>
      <c r="F1286" s="164" t="s">
        <v>1614</v>
      </c>
      <c r="G1286" s="161"/>
      <c r="H1286" s="215">
        <v>1</v>
      </c>
      <c r="I1286" s="171"/>
      <c r="J1286" s="173">
        <v>0.2</v>
      </c>
      <c r="K1286" s="172"/>
      <c r="L1286" s="173">
        <v>0.2</v>
      </c>
      <c r="M1286" s="171">
        <v>0.2</v>
      </c>
      <c r="N1286" s="170"/>
      <c r="O1286" s="177" t="s">
        <v>76</v>
      </c>
      <c r="P1286" s="162" t="s">
        <v>1591</v>
      </c>
      <c r="Q1286" s="176"/>
      <c r="R1286" s="175"/>
      <c r="S1286" s="179"/>
      <c r="T1286" s="164" t="s">
        <v>24</v>
      </c>
      <c r="U1286" s="161" t="s">
        <v>1615</v>
      </c>
      <c r="V1286" s="175">
        <v>2152</v>
      </c>
      <c r="W1286" s="181"/>
      <c r="X1286" s="186" t="s">
        <v>259</v>
      </c>
      <c r="Y1286" s="187">
        <v>44832.54954861111</v>
      </c>
    </row>
    <row r="1287" spans="1:25">
      <c r="A1287" s="167" t="s">
        <v>45</v>
      </c>
      <c r="B1287" s="162" t="s">
        <v>1555</v>
      </c>
      <c r="C1287" s="163" t="s">
        <v>340</v>
      </c>
      <c r="D1287" s="162" t="s">
        <v>341</v>
      </c>
      <c r="E1287" s="161" t="s">
        <v>1631</v>
      </c>
      <c r="F1287" s="164" t="s">
        <v>1614</v>
      </c>
      <c r="G1287" s="161" t="s">
        <v>342</v>
      </c>
      <c r="H1287" s="215">
        <v>22</v>
      </c>
      <c r="I1287" s="171"/>
      <c r="J1287" s="173">
        <v>1.64</v>
      </c>
      <c r="K1287" s="172"/>
      <c r="L1287" s="173">
        <v>36.01</v>
      </c>
      <c r="M1287" s="171">
        <v>36.01</v>
      </c>
      <c r="N1287" s="170"/>
      <c r="O1287" s="177" t="s">
        <v>76</v>
      </c>
      <c r="P1287" s="162" t="s">
        <v>1620</v>
      </c>
      <c r="Q1287" s="176"/>
      <c r="R1287" s="175">
        <v>2050</v>
      </c>
      <c r="S1287" s="179"/>
      <c r="T1287" s="164" t="s">
        <v>24</v>
      </c>
      <c r="U1287" s="161" t="s">
        <v>1615</v>
      </c>
      <c r="V1287" s="175">
        <v>1514</v>
      </c>
      <c r="W1287" s="181"/>
      <c r="X1287" s="186">
        <v>45069</v>
      </c>
      <c r="Y1287" s="187">
        <v>45097.422581018516</v>
      </c>
    </row>
    <row r="1288" spans="1:25">
      <c r="A1288" s="167" t="s">
        <v>45</v>
      </c>
      <c r="B1288" s="162" t="s">
        <v>1555</v>
      </c>
      <c r="C1288" s="163" t="s">
        <v>340</v>
      </c>
      <c r="D1288" s="162" t="s">
        <v>341</v>
      </c>
      <c r="E1288" s="161" t="s">
        <v>1631</v>
      </c>
      <c r="F1288" s="164" t="s">
        <v>1614</v>
      </c>
      <c r="G1288" s="161" t="s">
        <v>342</v>
      </c>
      <c r="H1288" s="215">
        <v>12</v>
      </c>
      <c r="I1288" s="171">
        <v>1.64</v>
      </c>
      <c r="J1288" s="173">
        <v>1.64</v>
      </c>
      <c r="K1288" s="172">
        <v>19.64</v>
      </c>
      <c r="L1288" s="173">
        <v>19.64</v>
      </c>
      <c r="M1288" s="171">
        <v>19.64</v>
      </c>
      <c r="N1288" s="170"/>
      <c r="O1288" s="177" t="s">
        <v>401</v>
      </c>
      <c r="P1288" s="162" t="s">
        <v>1620</v>
      </c>
      <c r="Q1288" s="176">
        <v>45108</v>
      </c>
      <c r="R1288" s="175">
        <v>2050</v>
      </c>
      <c r="S1288" s="179"/>
      <c r="T1288" s="164" t="s">
        <v>24</v>
      </c>
      <c r="U1288" s="161" t="s">
        <v>1615</v>
      </c>
      <c r="V1288" s="175">
        <v>1514</v>
      </c>
      <c r="W1288" s="181"/>
      <c r="X1288" s="186">
        <v>45069</v>
      </c>
      <c r="Y1288" s="187">
        <v>45097.422581018516</v>
      </c>
    </row>
    <row r="1289" spans="1:25">
      <c r="A1289" s="167" t="s">
        <v>45</v>
      </c>
      <c r="B1289" s="162" t="s">
        <v>1599</v>
      </c>
      <c r="C1289" s="163" t="s">
        <v>3517</v>
      </c>
      <c r="D1289" s="162" t="s">
        <v>3518</v>
      </c>
      <c r="E1289" s="161" t="s">
        <v>1602</v>
      </c>
      <c r="F1289" s="164" t="s">
        <v>1614</v>
      </c>
      <c r="G1289" s="161"/>
      <c r="H1289" s="215">
        <v>1</v>
      </c>
      <c r="I1289" s="171">
        <v>15</v>
      </c>
      <c r="J1289" s="173">
        <v>15</v>
      </c>
      <c r="K1289" s="172">
        <v>15</v>
      </c>
      <c r="L1289" s="173">
        <v>15</v>
      </c>
      <c r="M1289" s="171">
        <v>15</v>
      </c>
      <c r="N1289" s="170">
        <v>30</v>
      </c>
      <c r="O1289" s="177" t="s">
        <v>1523</v>
      </c>
      <c r="P1289" s="162" t="s">
        <v>1619</v>
      </c>
      <c r="Q1289" s="176"/>
      <c r="R1289" s="175"/>
      <c r="S1289" s="179"/>
      <c r="T1289" s="164" t="s">
        <v>28</v>
      </c>
      <c r="U1289" s="161" t="s">
        <v>19</v>
      </c>
      <c r="V1289" s="175">
        <v>2199</v>
      </c>
      <c r="W1289" s="181" t="s">
        <v>3519</v>
      </c>
      <c r="X1289" s="186">
        <v>45017</v>
      </c>
      <c r="Y1289" s="187">
        <v>45086.083182870374</v>
      </c>
    </row>
    <row r="1290" spans="1:25">
      <c r="A1290" s="167" t="s">
        <v>45</v>
      </c>
      <c r="B1290" s="162" t="s">
        <v>1599</v>
      </c>
      <c r="C1290" s="163" t="s">
        <v>3520</v>
      </c>
      <c r="D1290" s="162" t="s">
        <v>146</v>
      </c>
      <c r="E1290" s="161" t="s">
        <v>1625</v>
      </c>
      <c r="F1290" s="164" t="s">
        <v>1609</v>
      </c>
      <c r="G1290" s="161"/>
      <c r="H1290" s="215">
        <v>1</v>
      </c>
      <c r="I1290" s="171"/>
      <c r="J1290" s="173">
        <v>1</v>
      </c>
      <c r="K1290" s="172"/>
      <c r="L1290" s="173">
        <v>1</v>
      </c>
      <c r="M1290" s="171">
        <v>1</v>
      </c>
      <c r="N1290" s="170"/>
      <c r="O1290" s="177" t="s">
        <v>1523</v>
      </c>
      <c r="P1290" s="162" t="s">
        <v>1604</v>
      </c>
      <c r="Q1290" s="176"/>
      <c r="R1290" s="175"/>
      <c r="S1290" s="179"/>
      <c r="T1290" s="164" t="s">
        <v>28</v>
      </c>
      <c r="U1290" s="161" t="s">
        <v>16</v>
      </c>
      <c r="V1290" s="175">
        <v>1895</v>
      </c>
      <c r="W1290" s="181"/>
      <c r="X1290" s="186">
        <v>45017</v>
      </c>
      <c r="Y1290" s="187">
        <v>44680.322893518518</v>
      </c>
    </row>
    <row r="1291" spans="1:25">
      <c r="A1291" s="167" t="s">
        <v>45</v>
      </c>
      <c r="B1291" s="162" t="s">
        <v>1599</v>
      </c>
      <c r="C1291" s="163" t="s">
        <v>3521</v>
      </c>
      <c r="D1291" s="162" t="s">
        <v>146</v>
      </c>
      <c r="E1291" s="161" t="s">
        <v>1625</v>
      </c>
      <c r="F1291" s="164" t="s">
        <v>1609</v>
      </c>
      <c r="G1291" s="161"/>
      <c r="H1291" s="215">
        <v>1</v>
      </c>
      <c r="I1291" s="171"/>
      <c r="J1291" s="173">
        <v>1</v>
      </c>
      <c r="K1291" s="172"/>
      <c r="L1291" s="173">
        <v>1</v>
      </c>
      <c r="M1291" s="171">
        <v>1</v>
      </c>
      <c r="N1291" s="170"/>
      <c r="O1291" s="177" t="s">
        <v>1523</v>
      </c>
      <c r="P1291" s="162" t="s">
        <v>1604</v>
      </c>
      <c r="Q1291" s="176"/>
      <c r="R1291" s="175"/>
      <c r="S1291" s="179"/>
      <c r="T1291" s="164" t="s">
        <v>28</v>
      </c>
      <c r="U1291" s="161" t="s">
        <v>16</v>
      </c>
      <c r="V1291" s="175">
        <v>1897</v>
      </c>
      <c r="W1291" s="181"/>
      <c r="X1291" s="186">
        <v>45017</v>
      </c>
      <c r="Y1291" s="187">
        <v>44680.32534722222</v>
      </c>
    </row>
    <row r="1292" spans="1:25">
      <c r="A1292" s="167" t="s">
        <v>45</v>
      </c>
      <c r="B1292" s="162" t="s">
        <v>1599</v>
      </c>
      <c r="C1292" s="163" t="s">
        <v>177</v>
      </c>
      <c r="D1292" s="162" t="s">
        <v>178</v>
      </c>
      <c r="E1292" s="161" t="s">
        <v>1631</v>
      </c>
      <c r="F1292" s="164" t="s">
        <v>1614</v>
      </c>
      <c r="G1292" s="161" t="s">
        <v>3522</v>
      </c>
      <c r="H1292" s="215">
        <v>48</v>
      </c>
      <c r="I1292" s="171"/>
      <c r="J1292" s="173">
        <v>3.17</v>
      </c>
      <c r="K1292" s="172"/>
      <c r="L1292" s="173">
        <v>151.97</v>
      </c>
      <c r="M1292" s="171">
        <v>151.97</v>
      </c>
      <c r="N1292" s="170"/>
      <c r="O1292" s="177" t="s">
        <v>26</v>
      </c>
      <c r="P1292" s="162" t="s">
        <v>1620</v>
      </c>
      <c r="Q1292" s="176">
        <v>45413</v>
      </c>
      <c r="R1292" s="175">
        <v>2054</v>
      </c>
      <c r="S1292" s="179"/>
      <c r="T1292" s="164" t="s">
        <v>26</v>
      </c>
      <c r="U1292" s="161" t="s">
        <v>1615</v>
      </c>
      <c r="V1292" s="175">
        <v>1712</v>
      </c>
      <c r="W1292" s="181" t="s">
        <v>3523</v>
      </c>
      <c r="X1292" s="186">
        <v>45069</v>
      </c>
      <c r="Y1292" s="187">
        <v>45097.474363425928</v>
      </c>
    </row>
    <row r="1293" spans="1:25">
      <c r="A1293" s="167" t="s">
        <v>45</v>
      </c>
      <c r="B1293" s="162" t="s">
        <v>1599</v>
      </c>
      <c r="C1293" s="163" t="s">
        <v>177</v>
      </c>
      <c r="D1293" s="162" t="s">
        <v>178</v>
      </c>
      <c r="E1293" s="161" t="s">
        <v>1631</v>
      </c>
      <c r="F1293" s="164" t="s">
        <v>1614</v>
      </c>
      <c r="G1293" s="161" t="s">
        <v>3524</v>
      </c>
      <c r="H1293" s="215">
        <v>48</v>
      </c>
      <c r="I1293" s="171"/>
      <c r="J1293" s="173">
        <v>3.17</v>
      </c>
      <c r="K1293" s="172"/>
      <c r="L1293" s="173">
        <v>151.97</v>
      </c>
      <c r="M1293" s="171">
        <v>151.97</v>
      </c>
      <c r="N1293" s="170"/>
      <c r="O1293" s="177" t="s">
        <v>26</v>
      </c>
      <c r="P1293" s="162" t="s">
        <v>1620</v>
      </c>
      <c r="Q1293" s="176">
        <v>45413</v>
      </c>
      <c r="R1293" s="175">
        <v>2054</v>
      </c>
      <c r="S1293" s="179"/>
      <c r="T1293" s="164" t="s">
        <v>26</v>
      </c>
      <c r="U1293" s="161" t="s">
        <v>1615</v>
      </c>
      <c r="V1293" s="175">
        <v>1712</v>
      </c>
      <c r="W1293" s="181" t="s">
        <v>3523</v>
      </c>
      <c r="X1293" s="186">
        <v>45069</v>
      </c>
      <c r="Y1293" s="187">
        <v>45097.474363425928</v>
      </c>
    </row>
    <row r="1294" spans="1:25">
      <c r="A1294" s="167" t="s">
        <v>45</v>
      </c>
      <c r="B1294" s="162" t="s">
        <v>1599</v>
      </c>
      <c r="C1294" s="163" t="s">
        <v>3525</v>
      </c>
      <c r="D1294" s="162" t="s">
        <v>3526</v>
      </c>
      <c r="E1294" s="161" t="s">
        <v>1631</v>
      </c>
      <c r="F1294" s="164" t="s">
        <v>1614</v>
      </c>
      <c r="G1294" s="161"/>
      <c r="H1294" s="215">
        <v>36</v>
      </c>
      <c r="I1294" s="171">
        <v>0</v>
      </c>
      <c r="J1294" s="173">
        <v>3.4</v>
      </c>
      <c r="K1294" s="172">
        <v>0</v>
      </c>
      <c r="L1294" s="173">
        <v>122.4</v>
      </c>
      <c r="M1294" s="171">
        <v>122.4</v>
      </c>
      <c r="N1294" s="170">
        <v>0</v>
      </c>
      <c r="O1294" s="177" t="s">
        <v>1523</v>
      </c>
      <c r="P1294" s="162" t="s">
        <v>1620</v>
      </c>
      <c r="Q1294" s="176"/>
      <c r="R1294" s="175"/>
      <c r="S1294" s="179"/>
      <c r="T1294" s="164" t="s">
        <v>28</v>
      </c>
      <c r="U1294" s="161" t="s">
        <v>1615</v>
      </c>
      <c r="V1294" s="175">
        <v>1861</v>
      </c>
      <c r="W1294" s="181" t="s">
        <v>3527</v>
      </c>
      <c r="X1294" s="186">
        <v>45069</v>
      </c>
      <c r="Y1294" s="187">
        <v>44937.666516203702</v>
      </c>
    </row>
    <row r="1295" spans="1:25">
      <c r="A1295" s="167" t="s">
        <v>45</v>
      </c>
      <c r="B1295" s="162" t="s">
        <v>1599</v>
      </c>
      <c r="C1295" s="163" t="s">
        <v>3528</v>
      </c>
      <c r="D1295" s="162" t="s">
        <v>3529</v>
      </c>
      <c r="E1295" s="161" t="s">
        <v>1602</v>
      </c>
      <c r="F1295" s="164" t="s">
        <v>1603</v>
      </c>
      <c r="G1295" s="161"/>
      <c r="H1295" s="215">
        <v>1</v>
      </c>
      <c r="I1295" s="171">
        <v>1</v>
      </c>
      <c r="J1295" s="173">
        <v>500</v>
      </c>
      <c r="K1295" s="172">
        <v>1</v>
      </c>
      <c r="L1295" s="173">
        <v>500</v>
      </c>
      <c r="M1295" s="171" t="s">
        <v>3530</v>
      </c>
      <c r="N1295" s="170">
        <v>1000</v>
      </c>
      <c r="O1295" s="177" t="s">
        <v>1523</v>
      </c>
      <c r="P1295" s="162" t="s">
        <v>1619</v>
      </c>
      <c r="Q1295" s="176"/>
      <c r="R1295" s="175">
        <v>2050</v>
      </c>
      <c r="S1295" s="179"/>
      <c r="T1295" s="164" t="s">
        <v>28</v>
      </c>
      <c r="U1295" s="161" t="s">
        <v>19</v>
      </c>
      <c r="V1295" s="175">
        <v>1967</v>
      </c>
      <c r="W1295" s="181" t="s">
        <v>3531</v>
      </c>
      <c r="X1295" s="186">
        <v>45069</v>
      </c>
      <c r="Y1295" s="187">
        <v>44937.666817129626</v>
      </c>
    </row>
    <row r="1296" spans="1:25">
      <c r="A1296" s="167" t="s">
        <v>45</v>
      </c>
      <c r="B1296" s="162" t="s">
        <v>1555</v>
      </c>
      <c r="C1296" s="163" t="s">
        <v>261</v>
      </c>
      <c r="D1296" s="162" t="s">
        <v>262</v>
      </c>
      <c r="E1296" s="161" t="s">
        <v>1602</v>
      </c>
      <c r="F1296" s="164" t="s">
        <v>1603</v>
      </c>
      <c r="G1296" s="161" t="s">
        <v>263</v>
      </c>
      <c r="H1296" s="215">
        <v>1</v>
      </c>
      <c r="I1296" s="171">
        <v>50</v>
      </c>
      <c r="J1296" s="173">
        <v>50</v>
      </c>
      <c r="K1296" s="172">
        <v>50</v>
      </c>
      <c r="L1296" s="173">
        <v>50</v>
      </c>
      <c r="M1296" s="171">
        <v>50</v>
      </c>
      <c r="N1296" s="170">
        <v>75</v>
      </c>
      <c r="O1296" s="177" t="s">
        <v>76</v>
      </c>
      <c r="P1296" s="162" t="s">
        <v>1619</v>
      </c>
      <c r="Q1296" s="176">
        <v>44531</v>
      </c>
      <c r="R1296" s="175">
        <v>2036</v>
      </c>
      <c r="S1296" s="179"/>
      <c r="T1296" s="164" t="s">
        <v>24</v>
      </c>
      <c r="U1296" s="161" t="s">
        <v>19</v>
      </c>
      <c r="V1296" s="175">
        <v>1874</v>
      </c>
      <c r="W1296" s="181" t="s">
        <v>3989</v>
      </c>
      <c r="X1296" s="186">
        <v>45017</v>
      </c>
      <c r="Y1296" s="187">
        <v>45022.678993055553</v>
      </c>
    </row>
    <row r="1297" spans="1:25">
      <c r="A1297" s="167" t="s">
        <v>77</v>
      </c>
      <c r="B1297" s="162" t="s">
        <v>1599</v>
      </c>
      <c r="C1297" s="163" t="s">
        <v>85</v>
      </c>
      <c r="D1297" s="162" t="s">
        <v>86</v>
      </c>
      <c r="E1297" s="161" t="s">
        <v>1625</v>
      </c>
      <c r="F1297" s="162" t="s">
        <v>1609</v>
      </c>
      <c r="G1297" s="161"/>
      <c r="H1297" s="215">
        <v>1</v>
      </c>
      <c r="I1297" s="171">
        <v>252</v>
      </c>
      <c r="J1297" s="173">
        <v>252</v>
      </c>
      <c r="K1297" s="172">
        <v>252</v>
      </c>
      <c r="L1297" s="173">
        <v>252</v>
      </c>
      <c r="M1297" s="171">
        <v>252</v>
      </c>
      <c r="N1297" s="170"/>
      <c r="O1297" s="177" t="s">
        <v>26</v>
      </c>
      <c r="P1297" s="162" t="s">
        <v>1620</v>
      </c>
      <c r="Q1297" s="176"/>
      <c r="R1297" s="174"/>
      <c r="S1297" s="179"/>
      <c r="T1297" s="162" t="s">
        <v>26</v>
      </c>
      <c r="U1297" s="161" t="s">
        <v>16</v>
      </c>
      <c r="V1297" s="174">
        <v>2287</v>
      </c>
      <c r="W1297" s="180" t="s">
        <v>3532</v>
      </c>
      <c r="X1297" s="185">
        <v>45047</v>
      </c>
      <c r="Y1297" s="187">
        <v>45111</v>
      </c>
    </row>
    <row r="1298" spans="1:25">
      <c r="A1298" s="167" t="s">
        <v>77</v>
      </c>
      <c r="B1298" s="162" t="s">
        <v>1599</v>
      </c>
      <c r="C1298" s="163" t="s">
        <v>85</v>
      </c>
      <c r="D1298" s="162" t="s">
        <v>86</v>
      </c>
      <c r="E1298" s="161" t="s">
        <v>1625</v>
      </c>
      <c r="F1298" s="162" t="s">
        <v>1609</v>
      </c>
      <c r="G1298" s="161"/>
      <c r="H1298" s="215">
        <v>1</v>
      </c>
      <c r="I1298" s="171">
        <v>248</v>
      </c>
      <c r="J1298" s="173">
        <v>248</v>
      </c>
      <c r="K1298" s="172">
        <v>248</v>
      </c>
      <c r="L1298" s="173">
        <v>248</v>
      </c>
      <c r="M1298" s="171">
        <v>248</v>
      </c>
      <c r="N1298" s="170"/>
      <c r="O1298" s="177" t="s">
        <v>1523</v>
      </c>
      <c r="P1298" s="162" t="s">
        <v>1620</v>
      </c>
      <c r="Q1298" s="176"/>
      <c r="R1298" s="174"/>
      <c r="S1298" s="179"/>
      <c r="T1298" s="162" t="s">
        <v>28</v>
      </c>
      <c r="U1298" s="161" t="s">
        <v>16</v>
      </c>
      <c r="V1298" s="174">
        <v>2287</v>
      </c>
      <c r="W1298" s="180" t="s">
        <v>3532</v>
      </c>
      <c r="X1298" s="185">
        <v>45047</v>
      </c>
      <c r="Y1298" s="187">
        <v>45111</v>
      </c>
    </row>
    <row r="1299" spans="1:25">
      <c r="A1299" s="167" t="s">
        <v>77</v>
      </c>
      <c r="B1299" s="162" t="s">
        <v>1555</v>
      </c>
      <c r="C1299" s="163" t="s">
        <v>278</v>
      </c>
      <c r="D1299" s="162" t="s">
        <v>279</v>
      </c>
      <c r="E1299" s="161" t="s">
        <v>1602</v>
      </c>
      <c r="F1299" s="162" t="s">
        <v>1603</v>
      </c>
      <c r="G1299" s="161" t="s">
        <v>3533</v>
      </c>
      <c r="H1299" s="215">
        <v>1</v>
      </c>
      <c r="I1299" s="171"/>
      <c r="J1299" s="173">
        <v>100</v>
      </c>
      <c r="K1299" s="172"/>
      <c r="L1299" s="173">
        <v>100</v>
      </c>
      <c r="M1299" s="171">
        <v>100</v>
      </c>
      <c r="N1299" s="170">
        <v>150</v>
      </c>
      <c r="O1299" s="177" t="s">
        <v>76</v>
      </c>
      <c r="P1299" s="162" t="s">
        <v>1619</v>
      </c>
      <c r="Q1299" s="176">
        <v>44743</v>
      </c>
      <c r="R1299" s="174">
        <v>2051</v>
      </c>
      <c r="S1299" s="179"/>
      <c r="T1299" s="162" t="s">
        <v>24</v>
      </c>
      <c r="U1299" s="161" t="s">
        <v>19</v>
      </c>
      <c r="V1299" s="174">
        <v>1762</v>
      </c>
      <c r="W1299" s="180"/>
      <c r="X1299" s="185">
        <v>45017</v>
      </c>
      <c r="Y1299" s="187">
        <v>45077.638402777775</v>
      </c>
    </row>
    <row r="1300" spans="1:25">
      <c r="A1300" s="167" t="s">
        <v>77</v>
      </c>
      <c r="B1300" s="162" t="s">
        <v>1599</v>
      </c>
      <c r="C1300" s="163" t="s">
        <v>428</v>
      </c>
      <c r="D1300" s="162" t="s">
        <v>279</v>
      </c>
      <c r="E1300" s="161" t="s">
        <v>1631</v>
      </c>
      <c r="F1300" s="164" t="s">
        <v>1614</v>
      </c>
      <c r="G1300" s="161" t="s">
        <v>429</v>
      </c>
      <c r="H1300" s="215">
        <v>1</v>
      </c>
      <c r="I1300" s="171">
        <v>160</v>
      </c>
      <c r="J1300" s="173">
        <v>160</v>
      </c>
      <c r="K1300" s="172">
        <v>160</v>
      </c>
      <c r="L1300" s="173">
        <v>160</v>
      </c>
      <c r="M1300" s="171">
        <v>160</v>
      </c>
      <c r="N1300" s="170"/>
      <c r="O1300" s="177" t="s">
        <v>26</v>
      </c>
      <c r="P1300" s="162" t="s">
        <v>1620</v>
      </c>
      <c r="Q1300" s="176">
        <v>45139</v>
      </c>
      <c r="R1300" s="175">
        <v>2053</v>
      </c>
      <c r="S1300" s="179"/>
      <c r="T1300" s="164" t="s">
        <v>26</v>
      </c>
      <c r="U1300" s="161" t="s">
        <v>1615</v>
      </c>
      <c r="V1300" s="175">
        <v>1455</v>
      </c>
      <c r="W1300" s="181" t="s">
        <v>3534</v>
      </c>
      <c r="X1300" s="186">
        <v>45069</v>
      </c>
      <c r="Y1300" s="187">
        <v>45103.791064814817</v>
      </c>
    </row>
    <row r="1301" spans="1:25">
      <c r="A1301" s="167" t="s">
        <v>77</v>
      </c>
      <c r="B1301" s="162" t="s">
        <v>1599</v>
      </c>
      <c r="C1301" s="163" t="s">
        <v>3535</v>
      </c>
      <c r="D1301" s="162" t="s">
        <v>197</v>
      </c>
      <c r="E1301" s="161" t="s">
        <v>1631</v>
      </c>
      <c r="F1301" s="164" t="s">
        <v>1614</v>
      </c>
      <c r="G1301" s="161"/>
      <c r="H1301" s="215">
        <v>1</v>
      </c>
      <c r="I1301" s="171"/>
      <c r="J1301" s="173">
        <v>240</v>
      </c>
      <c r="K1301" s="172"/>
      <c r="L1301" s="173">
        <v>240</v>
      </c>
      <c r="M1301" s="171">
        <v>240</v>
      </c>
      <c r="N1301" s="170"/>
      <c r="O1301" s="177" t="s">
        <v>1523</v>
      </c>
      <c r="P1301" s="162" t="s">
        <v>1620</v>
      </c>
      <c r="Q1301" s="176"/>
      <c r="R1301" s="175"/>
      <c r="S1301" s="179"/>
      <c r="T1301" s="164" t="s">
        <v>28</v>
      </c>
      <c r="U1301" s="161" t="s">
        <v>1615</v>
      </c>
      <c r="V1301" s="175">
        <v>2437</v>
      </c>
      <c r="W1301" s="181"/>
      <c r="X1301" s="186">
        <v>45069</v>
      </c>
      <c r="Y1301" s="187">
        <v>45027.629016203704</v>
      </c>
    </row>
    <row r="1302" spans="1:25">
      <c r="A1302" s="167" t="s">
        <v>110</v>
      </c>
      <c r="B1302" s="162" t="s">
        <v>1599</v>
      </c>
      <c r="C1302" s="163" t="s">
        <v>3536</v>
      </c>
      <c r="D1302" s="162" t="s">
        <v>3537</v>
      </c>
      <c r="E1302" s="161" t="s">
        <v>1631</v>
      </c>
      <c r="F1302" s="164" t="s">
        <v>1614</v>
      </c>
      <c r="G1302" s="161"/>
      <c r="H1302" s="215">
        <v>6</v>
      </c>
      <c r="I1302" s="171">
        <v>4.4000000000000004</v>
      </c>
      <c r="J1302" s="173">
        <v>4.4000000000000004</v>
      </c>
      <c r="K1302" s="172">
        <v>26.4</v>
      </c>
      <c r="L1302" s="173">
        <v>26.4</v>
      </c>
      <c r="M1302" s="171">
        <v>26.4</v>
      </c>
      <c r="N1302" s="170">
        <v>0</v>
      </c>
      <c r="O1302" s="177" t="s">
        <v>1523</v>
      </c>
      <c r="P1302" s="162" t="s">
        <v>1591</v>
      </c>
      <c r="Q1302" s="176"/>
      <c r="R1302" s="175"/>
      <c r="S1302" s="179"/>
      <c r="T1302" s="164" t="s">
        <v>28</v>
      </c>
      <c r="U1302" s="161" t="s">
        <v>1615</v>
      </c>
      <c r="V1302" s="175">
        <v>1499</v>
      </c>
      <c r="W1302" s="181"/>
      <c r="X1302" s="186">
        <v>44896</v>
      </c>
      <c r="Y1302" s="187">
        <v>44981.401608796295</v>
      </c>
    </row>
    <row r="1303" spans="1:25">
      <c r="A1303" s="167" t="s">
        <v>77</v>
      </c>
      <c r="B1303" s="162" t="s">
        <v>1555</v>
      </c>
      <c r="C1303" s="163" t="s">
        <v>3538</v>
      </c>
      <c r="D1303" s="162" t="s">
        <v>1604</v>
      </c>
      <c r="E1303" s="161" t="s">
        <v>1700</v>
      </c>
      <c r="F1303" s="162" t="s">
        <v>1658</v>
      </c>
      <c r="G1303" s="161"/>
      <c r="H1303" s="215">
        <v>1</v>
      </c>
      <c r="I1303" s="171"/>
      <c r="J1303" s="173">
        <v>0.13</v>
      </c>
      <c r="K1303" s="172"/>
      <c r="L1303" s="173">
        <v>0.13</v>
      </c>
      <c r="M1303" s="171">
        <v>0.13</v>
      </c>
      <c r="N1303" s="170"/>
      <c r="O1303" s="177" t="s">
        <v>76</v>
      </c>
      <c r="P1303" s="162" t="s">
        <v>1591</v>
      </c>
      <c r="Q1303" s="176"/>
      <c r="R1303" s="174"/>
      <c r="S1303" s="179"/>
      <c r="T1303" s="162" t="s">
        <v>24</v>
      </c>
      <c r="U1303" s="161" t="s">
        <v>17</v>
      </c>
      <c r="V1303" s="174">
        <v>2153</v>
      </c>
      <c r="W1303" s="180"/>
      <c r="X1303" s="185" t="s">
        <v>259</v>
      </c>
      <c r="Y1303" s="187">
        <v>44832.552800925929</v>
      </c>
    </row>
    <row r="1304" spans="1:25">
      <c r="A1304" s="167" t="s">
        <v>45</v>
      </c>
      <c r="B1304" s="162" t="s">
        <v>1599</v>
      </c>
      <c r="C1304" s="163" t="s">
        <v>70</v>
      </c>
      <c r="D1304" s="162" t="s">
        <v>71</v>
      </c>
      <c r="E1304" s="161" t="s">
        <v>1602</v>
      </c>
      <c r="F1304" s="164" t="s">
        <v>1603</v>
      </c>
      <c r="G1304" s="161" t="s">
        <v>72</v>
      </c>
      <c r="H1304" s="215">
        <v>288</v>
      </c>
      <c r="I1304" s="171">
        <v>0</v>
      </c>
      <c r="J1304" s="173">
        <v>2.95</v>
      </c>
      <c r="K1304" s="172">
        <v>0</v>
      </c>
      <c r="L1304" s="173">
        <v>850.18</v>
      </c>
      <c r="M1304" s="171">
        <v>850.18</v>
      </c>
      <c r="N1304" s="170">
        <v>1679</v>
      </c>
      <c r="O1304" s="177" t="s">
        <v>317</v>
      </c>
      <c r="P1304" s="162" t="s">
        <v>1619</v>
      </c>
      <c r="Q1304" s="176">
        <v>45717</v>
      </c>
      <c r="R1304" s="175">
        <v>2065</v>
      </c>
      <c r="S1304" s="179"/>
      <c r="T1304" s="164" t="s">
        <v>26</v>
      </c>
      <c r="U1304" s="161" t="s">
        <v>19</v>
      </c>
      <c r="V1304" s="175">
        <v>2220</v>
      </c>
      <c r="W1304" s="181" t="s">
        <v>3539</v>
      </c>
      <c r="X1304" s="186">
        <v>45069</v>
      </c>
      <c r="Y1304" s="187">
        <v>45098.42050925926</v>
      </c>
    </row>
    <row r="1305" spans="1:25">
      <c r="A1305" s="167" t="s">
        <v>110</v>
      </c>
      <c r="B1305" s="162" t="s">
        <v>1599</v>
      </c>
      <c r="C1305" s="163" t="s">
        <v>3540</v>
      </c>
      <c r="D1305" s="162" t="s">
        <v>3541</v>
      </c>
      <c r="E1305" s="161" t="s">
        <v>1625</v>
      </c>
      <c r="F1305" s="164" t="s">
        <v>1609</v>
      </c>
      <c r="G1305" s="161"/>
      <c r="H1305" s="215">
        <v>200</v>
      </c>
      <c r="I1305" s="171">
        <v>6.2</v>
      </c>
      <c r="J1305" s="173">
        <v>7.5</v>
      </c>
      <c r="K1305" s="172">
        <v>1240</v>
      </c>
      <c r="L1305" s="173">
        <v>1500</v>
      </c>
      <c r="M1305" s="171" t="s">
        <v>3542</v>
      </c>
      <c r="N1305" s="170"/>
      <c r="O1305" s="177" t="s">
        <v>1523</v>
      </c>
      <c r="P1305" s="162" t="s">
        <v>1620</v>
      </c>
      <c r="Q1305" s="176"/>
      <c r="R1305" s="175">
        <v>2058</v>
      </c>
      <c r="S1305" s="179"/>
      <c r="T1305" s="164" t="s">
        <v>28</v>
      </c>
      <c r="U1305" s="161" t="s">
        <v>16</v>
      </c>
      <c r="V1305" s="175">
        <v>1636</v>
      </c>
      <c r="W1305" s="181"/>
      <c r="X1305" s="186">
        <v>45069</v>
      </c>
      <c r="Y1305" s="187">
        <v>45097.456817129627</v>
      </c>
    </row>
    <row r="1306" spans="1:25">
      <c r="A1306" s="167" t="s">
        <v>77</v>
      </c>
      <c r="B1306" s="162" t="s">
        <v>1555</v>
      </c>
      <c r="C1306" s="163" t="s">
        <v>88</v>
      </c>
      <c r="D1306" s="162" t="s">
        <v>89</v>
      </c>
      <c r="E1306" s="161" t="s">
        <v>1631</v>
      </c>
      <c r="F1306" s="164" t="s">
        <v>1614</v>
      </c>
      <c r="G1306" s="161" t="s">
        <v>3543</v>
      </c>
      <c r="H1306" s="215">
        <v>8</v>
      </c>
      <c r="I1306" s="171">
        <v>4.01</v>
      </c>
      <c r="J1306" s="173">
        <v>4.01</v>
      </c>
      <c r="K1306" s="172">
        <v>32.1</v>
      </c>
      <c r="L1306" s="173">
        <v>32.1</v>
      </c>
      <c r="M1306" s="171">
        <v>32.1</v>
      </c>
      <c r="N1306" s="170"/>
      <c r="O1306" s="177" t="s">
        <v>76</v>
      </c>
      <c r="P1306" s="162" t="s">
        <v>1620</v>
      </c>
      <c r="Q1306" s="176">
        <v>45017</v>
      </c>
      <c r="R1306" s="175">
        <v>2046</v>
      </c>
      <c r="S1306" s="179"/>
      <c r="T1306" s="164" t="s">
        <v>24</v>
      </c>
      <c r="U1306" s="161" t="s">
        <v>1615</v>
      </c>
      <c r="V1306" s="175">
        <v>1530</v>
      </c>
      <c r="W1306" s="181"/>
      <c r="X1306" s="186">
        <v>45069</v>
      </c>
      <c r="Y1306" s="187">
        <v>45097.426296296297</v>
      </c>
    </row>
    <row r="1307" spans="1:25">
      <c r="A1307" s="167" t="s">
        <v>77</v>
      </c>
      <c r="B1307" s="162" t="s">
        <v>1555</v>
      </c>
      <c r="C1307" s="163" t="s">
        <v>88</v>
      </c>
      <c r="D1307" s="162" t="s">
        <v>89</v>
      </c>
      <c r="E1307" s="161" t="s">
        <v>1631</v>
      </c>
      <c r="F1307" s="162" t="s">
        <v>1614</v>
      </c>
      <c r="G1307" s="161" t="s">
        <v>3544</v>
      </c>
      <c r="H1307" s="215">
        <v>8</v>
      </c>
      <c r="I1307" s="171">
        <v>4.01</v>
      </c>
      <c r="J1307" s="173">
        <v>4.01</v>
      </c>
      <c r="K1307" s="172">
        <v>32.1</v>
      </c>
      <c r="L1307" s="173">
        <v>32.1</v>
      </c>
      <c r="M1307" s="171">
        <v>32.1</v>
      </c>
      <c r="N1307" s="170"/>
      <c r="O1307" s="177" t="s">
        <v>76</v>
      </c>
      <c r="P1307" s="162" t="s">
        <v>1620</v>
      </c>
      <c r="Q1307" s="176">
        <v>45017</v>
      </c>
      <c r="R1307" s="174">
        <v>2045</v>
      </c>
      <c r="S1307" s="179"/>
      <c r="T1307" s="162" t="s">
        <v>24</v>
      </c>
      <c r="U1307" s="161" t="s">
        <v>1615</v>
      </c>
      <c r="V1307" s="174">
        <v>1530</v>
      </c>
      <c r="W1307" s="180"/>
      <c r="X1307" s="185">
        <v>45069</v>
      </c>
      <c r="Y1307" s="187">
        <v>45097.426296296297</v>
      </c>
    </row>
    <row r="1308" spans="1:25">
      <c r="A1308" s="167" t="s">
        <v>91</v>
      </c>
      <c r="B1308" s="162" t="s">
        <v>1555</v>
      </c>
      <c r="C1308" s="163" t="s">
        <v>3545</v>
      </c>
      <c r="D1308" s="162" t="s">
        <v>3546</v>
      </c>
      <c r="E1308" s="161" t="s">
        <v>1625</v>
      </c>
      <c r="F1308" s="164" t="s">
        <v>1609</v>
      </c>
      <c r="G1308" s="161" t="s">
        <v>3547</v>
      </c>
      <c r="H1308" s="215">
        <v>37</v>
      </c>
      <c r="I1308" s="171"/>
      <c r="J1308" s="173">
        <v>3</v>
      </c>
      <c r="K1308" s="172"/>
      <c r="L1308" s="173">
        <v>111</v>
      </c>
      <c r="M1308" s="171">
        <v>111</v>
      </c>
      <c r="N1308" s="170"/>
      <c r="O1308" s="177" t="s">
        <v>76</v>
      </c>
      <c r="P1308" s="162" t="s">
        <v>1620</v>
      </c>
      <c r="Q1308" s="176"/>
      <c r="R1308" s="175">
        <v>2045</v>
      </c>
      <c r="S1308" s="179"/>
      <c r="T1308" s="164" t="s">
        <v>24</v>
      </c>
      <c r="U1308" s="161" t="s">
        <v>16</v>
      </c>
      <c r="V1308" s="175">
        <v>1223</v>
      </c>
      <c r="W1308" s="181"/>
      <c r="X1308" s="186">
        <v>45017</v>
      </c>
      <c r="Y1308" s="187">
        <v>45100.494884259257</v>
      </c>
    </row>
    <row r="1309" spans="1:25">
      <c r="A1309" s="167" t="s">
        <v>91</v>
      </c>
      <c r="B1309" s="162" t="s">
        <v>1555</v>
      </c>
      <c r="C1309" s="163" t="s">
        <v>3545</v>
      </c>
      <c r="D1309" s="162" t="s">
        <v>3546</v>
      </c>
      <c r="E1309" s="161" t="s">
        <v>1625</v>
      </c>
      <c r="F1309" s="164" t="s">
        <v>1609</v>
      </c>
      <c r="G1309" s="161" t="s">
        <v>3547</v>
      </c>
      <c r="H1309" s="215">
        <v>6</v>
      </c>
      <c r="I1309" s="171"/>
      <c r="J1309" s="173">
        <v>3.3</v>
      </c>
      <c r="K1309" s="172"/>
      <c r="L1309" s="173">
        <v>19.8</v>
      </c>
      <c r="M1309" s="171">
        <v>19.8</v>
      </c>
      <c r="N1309" s="170"/>
      <c r="O1309" s="177" t="s">
        <v>76</v>
      </c>
      <c r="P1309" s="162" t="s">
        <v>1620</v>
      </c>
      <c r="Q1309" s="176"/>
      <c r="R1309" s="175">
        <v>2051</v>
      </c>
      <c r="S1309" s="179"/>
      <c r="T1309" s="164" t="s">
        <v>24</v>
      </c>
      <c r="U1309" s="161" t="s">
        <v>16</v>
      </c>
      <c r="V1309" s="175">
        <v>1223</v>
      </c>
      <c r="W1309" s="181"/>
      <c r="X1309" s="186">
        <v>45017</v>
      </c>
      <c r="Y1309" s="187">
        <v>45100.494884259257</v>
      </c>
    </row>
    <row r="1310" spans="1:25">
      <c r="A1310" s="167" t="s">
        <v>110</v>
      </c>
      <c r="B1310" s="162" t="s">
        <v>1599</v>
      </c>
      <c r="C1310" s="163" t="s">
        <v>3548</v>
      </c>
      <c r="D1310" s="162" t="s">
        <v>3362</v>
      </c>
      <c r="E1310" s="161" t="s">
        <v>1625</v>
      </c>
      <c r="F1310" s="164" t="s">
        <v>1609</v>
      </c>
      <c r="G1310" s="161"/>
      <c r="H1310" s="215">
        <v>1</v>
      </c>
      <c r="I1310" s="171"/>
      <c r="J1310" s="173">
        <v>376</v>
      </c>
      <c r="K1310" s="172"/>
      <c r="L1310" s="173">
        <v>376</v>
      </c>
      <c r="M1310" s="171">
        <v>376</v>
      </c>
      <c r="N1310" s="170"/>
      <c r="O1310" s="177" t="s">
        <v>1523</v>
      </c>
      <c r="P1310" s="162" t="s">
        <v>1604</v>
      </c>
      <c r="Q1310" s="176"/>
      <c r="R1310" s="175"/>
      <c r="S1310" s="179"/>
      <c r="T1310" s="164" t="s">
        <v>28</v>
      </c>
      <c r="U1310" s="161" t="s">
        <v>16</v>
      </c>
      <c r="V1310" s="175">
        <v>2254</v>
      </c>
      <c r="W1310" s="181" t="s">
        <v>3549</v>
      </c>
      <c r="X1310" s="186">
        <v>45017</v>
      </c>
      <c r="Y1310" s="187">
        <v>44903.399178240739</v>
      </c>
    </row>
    <row r="1311" spans="1:25">
      <c r="A1311" s="167" t="s">
        <v>91</v>
      </c>
      <c r="B1311" s="162" t="s">
        <v>1555</v>
      </c>
      <c r="C1311" s="163" t="s">
        <v>3550</v>
      </c>
      <c r="D1311" s="162" t="s">
        <v>1686</v>
      </c>
      <c r="E1311" s="161" t="s">
        <v>1625</v>
      </c>
      <c r="F1311" s="164" t="s">
        <v>1609</v>
      </c>
      <c r="G1311" s="161" t="s">
        <v>3551</v>
      </c>
      <c r="H1311" s="215">
        <v>55</v>
      </c>
      <c r="I1311" s="171">
        <v>1.65</v>
      </c>
      <c r="J1311" s="173">
        <v>1.65</v>
      </c>
      <c r="K1311" s="172">
        <v>90.75</v>
      </c>
      <c r="L1311" s="173">
        <v>90.75</v>
      </c>
      <c r="M1311" s="171">
        <v>90.75</v>
      </c>
      <c r="N1311" s="170"/>
      <c r="O1311" s="177" t="s">
        <v>76</v>
      </c>
      <c r="P1311" s="162" t="s">
        <v>1591</v>
      </c>
      <c r="Q1311" s="176"/>
      <c r="R1311" s="175">
        <v>2029</v>
      </c>
      <c r="S1311" s="179"/>
      <c r="T1311" s="164" t="s">
        <v>24</v>
      </c>
      <c r="U1311" s="161" t="s">
        <v>16</v>
      </c>
      <c r="V1311" s="175">
        <v>1224</v>
      </c>
      <c r="W1311" s="181"/>
      <c r="X1311" s="186">
        <v>45017</v>
      </c>
      <c r="Y1311" s="187">
        <v>45083.813425925924</v>
      </c>
    </row>
    <row r="1312" spans="1:25">
      <c r="A1312" s="167" t="s">
        <v>110</v>
      </c>
      <c r="B1312" s="162" t="s">
        <v>1555</v>
      </c>
      <c r="C1312" s="163" t="s">
        <v>3552</v>
      </c>
      <c r="D1312" s="162" t="s">
        <v>3553</v>
      </c>
      <c r="E1312" s="161" t="s">
        <v>1625</v>
      </c>
      <c r="F1312" s="164" t="s">
        <v>1609</v>
      </c>
      <c r="G1312" s="161" t="s">
        <v>3554</v>
      </c>
      <c r="H1312" s="215">
        <v>62</v>
      </c>
      <c r="I1312" s="171"/>
      <c r="J1312" s="173">
        <v>1.5</v>
      </c>
      <c r="K1312" s="172"/>
      <c r="L1312" s="173">
        <v>93</v>
      </c>
      <c r="M1312" s="171">
        <v>93</v>
      </c>
      <c r="N1312" s="170"/>
      <c r="O1312" s="177" t="s">
        <v>76</v>
      </c>
      <c r="P1312" s="162" t="s">
        <v>1591</v>
      </c>
      <c r="Q1312" s="176"/>
      <c r="R1312" s="175">
        <v>2034</v>
      </c>
      <c r="S1312" s="179"/>
      <c r="T1312" s="164" t="s">
        <v>24</v>
      </c>
      <c r="U1312" s="161" t="s">
        <v>16</v>
      </c>
      <c r="V1312" s="175">
        <v>1225</v>
      </c>
      <c r="W1312" s="181"/>
      <c r="X1312" s="186">
        <v>45017</v>
      </c>
      <c r="Y1312" s="187">
        <v>45020.518784722219</v>
      </c>
    </row>
    <row r="1313" spans="1:25">
      <c r="A1313" s="167" t="s">
        <v>110</v>
      </c>
      <c r="B1313" s="162" t="s">
        <v>1555</v>
      </c>
      <c r="C1313" s="163" t="s">
        <v>3552</v>
      </c>
      <c r="D1313" s="162" t="s">
        <v>3553</v>
      </c>
      <c r="E1313" s="161" t="s">
        <v>1625</v>
      </c>
      <c r="F1313" s="164" t="s">
        <v>1609</v>
      </c>
      <c r="G1313" s="161" t="s">
        <v>3554</v>
      </c>
      <c r="H1313" s="215">
        <v>51</v>
      </c>
      <c r="I1313" s="171"/>
      <c r="J1313" s="173">
        <v>1.5</v>
      </c>
      <c r="K1313" s="172"/>
      <c r="L1313" s="173">
        <v>76.5</v>
      </c>
      <c r="M1313" s="171">
        <v>76.5</v>
      </c>
      <c r="N1313" s="170"/>
      <c r="O1313" s="177" t="s">
        <v>76</v>
      </c>
      <c r="P1313" s="162" t="s">
        <v>1591</v>
      </c>
      <c r="Q1313" s="176"/>
      <c r="R1313" s="175">
        <v>2034</v>
      </c>
      <c r="S1313" s="179"/>
      <c r="T1313" s="164" t="s">
        <v>24</v>
      </c>
      <c r="U1313" s="161" t="s">
        <v>16</v>
      </c>
      <c r="V1313" s="175">
        <v>1225</v>
      </c>
      <c r="W1313" s="181"/>
      <c r="X1313" s="186">
        <v>45017</v>
      </c>
      <c r="Y1313" s="187">
        <v>45020.518784722219</v>
      </c>
    </row>
    <row r="1314" spans="1:25">
      <c r="A1314" s="167" t="s">
        <v>110</v>
      </c>
      <c r="B1314" s="162" t="s">
        <v>1555</v>
      </c>
      <c r="C1314" s="163" t="s">
        <v>3552</v>
      </c>
      <c r="D1314" s="162" t="s">
        <v>3553</v>
      </c>
      <c r="E1314" s="161" t="s">
        <v>1625</v>
      </c>
      <c r="F1314" s="164" t="s">
        <v>1609</v>
      </c>
      <c r="G1314" s="161" t="s">
        <v>3554</v>
      </c>
      <c r="H1314" s="215">
        <v>15</v>
      </c>
      <c r="I1314" s="171"/>
      <c r="J1314" s="173">
        <v>1.5</v>
      </c>
      <c r="K1314" s="172"/>
      <c r="L1314" s="173">
        <v>22.5</v>
      </c>
      <c r="M1314" s="171">
        <v>22.5</v>
      </c>
      <c r="N1314" s="170"/>
      <c r="O1314" s="177" t="s">
        <v>76</v>
      </c>
      <c r="P1314" s="162" t="s">
        <v>1591</v>
      </c>
      <c r="Q1314" s="176"/>
      <c r="R1314" s="175">
        <v>2034</v>
      </c>
      <c r="S1314" s="179"/>
      <c r="T1314" s="164" t="s">
        <v>24</v>
      </c>
      <c r="U1314" s="161" t="s">
        <v>16</v>
      </c>
      <c r="V1314" s="175">
        <v>1225</v>
      </c>
      <c r="W1314" s="181"/>
      <c r="X1314" s="186">
        <v>45017</v>
      </c>
      <c r="Y1314" s="187">
        <v>45020.518784722219</v>
      </c>
    </row>
    <row r="1315" spans="1:25">
      <c r="A1315" s="167" t="s">
        <v>110</v>
      </c>
      <c r="B1315" s="162" t="s">
        <v>1599</v>
      </c>
      <c r="C1315" s="163" t="s">
        <v>3555</v>
      </c>
      <c r="D1315" s="162" t="s">
        <v>2037</v>
      </c>
      <c r="E1315" s="161" t="s">
        <v>1625</v>
      </c>
      <c r="F1315" s="164" t="s">
        <v>1609</v>
      </c>
      <c r="G1315" s="161"/>
      <c r="H1315" s="215">
        <v>54</v>
      </c>
      <c r="I1315" s="171">
        <v>5.7</v>
      </c>
      <c r="J1315" s="173">
        <v>5.7</v>
      </c>
      <c r="K1315" s="172">
        <v>307.8</v>
      </c>
      <c r="L1315" s="173">
        <v>307.8</v>
      </c>
      <c r="M1315" s="171">
        <v>307.8</v>
      </c>
      <c r="N1315" s="170"/>
      <c r="O1315" s="177" t="s">
        <v>1523</v>
      </c>
      <c r="P1315" s="162" t="s">
        <v>1620</v>
      </c>
      <c r="Q1315" s="176"/>
      <c r="R1315" s="175"/>
      <c r="S1315" s="179"/>
      <c r="T1315" s="164" t="s">
        <v>28</v>
      </c>
      <c r="U1315" s="161" t="s">
        <v>16</v>
      </c>
      <c r="V1315" s="175">
        <v>2354</v>
      </c>
      <c r="W1315" s="181" t="s">
        <v>3556</v>
      </c>
      <c r="X1315" s="186">
        <v>45017</v>
      </c>
      <c r="Y1315" s="187">
        <v>45028.45045138889</v>
      </c>
    </row>
    <row r="1316" spans="1:25">
      <c r="A1316" s="167" t="s">
        <v>45</v>
      </c>
      <c r="B1316" s="162" t="s">
        <v>1599</v>
      </c>
      <c r="C1316" s="163" t="s">
        <v>3557</v>
      </c>
      <c r="D1316" s="162" t="s">
        <v>3558</v>
      </c>
      <c r="E1316" s="161" t="s">
        <v>1602</v>
      </c>
      <c r="F1316" s="164" t="s">
        <v>1603</v>
      </c>
      <c r="G1316" s="161"/>
      <c r="H1316" s="215">
        <v>1</v>
      </c>
      <c r="I1316" s="171">
        <v>500</v>
      </c>
      <c r="J1316" s="173">
        <v>500</v>
      </c>
      <c r="K1316" s="172">
        <v>500</v>
      </c>
      <c r="L1316" s="173">
        <v>500</v>
      </c>
      <c r="M1316" s="171">
        <v>500</v>
      </c>
      <c r="N1316" s="170">
        <v>0</v>
      </c>
      <c r="O1316" s="177" t="s">
        <v>1523</v>
      </c>
      <c r="P1316" s="162" t="s">
        <v>1604</v>
      </c>
      <c r="Q1316" s="176"/>
      <c r="R1316" s="175"/>
      <c r="S1316" s="179"/>
      <c r="T1316" s="164" t="s">
        <v>28</v>
      </c>
      <c r="U1316" s="161" t="s">
        <v>19</v>
      </c>
      <c r="V1316" s="175">
        <v>2193</v>
      </c>
      <c r="W1316" s="181" t="s">
        <v>3559</v>
      </c>
      <c r="X1316" s="186">
        <v>45017</v>
      </c>
      <c r="Y1316" s="187">
        <v>45019.492592592593</v>
      </c>
    </row>
    <row r="1317" spans="1:25">
      <c r="A1317" s="167" t="s">
        <v>45</v>
      </c>
      <c r="B1317" s="162" t="s">
        <v>1599</v>
      </c>
      <c r="C1317" s="163" t="s">
        <v>3560</v>
      </c>
      <c r="D1317" s="162" t="s">
        <v>2082</v>
      </c>
      <c r="E1317" s="161" t="s">
        <v>1602</v>
      </c>
      <c r="F1317" s="164" t="s">
        <v>1603</v>
      </c>
      <c r="G1317" s="161"/>
      <c r="H1317" s="215">
        <v>1</v>
      </c>
      <c r="I1317" s="171">
        <v>500</v>
      </c>
      <c r="J1317" s="173">
        <v>500</v>
      </c>
      <c r="K1317" s="172">
        <v>500</v>
      </c>
      <c r="L1317" s="173">
        <v>500</v>
      </c>
      <c r="M1317" s="171">
        <v>500</v>
      </c>
      <c r="N1317" s="170">
        <v>0</v>
      </c>
      <c r="O1317" s="177" t="s">
        <v>1523</v>
      </c>
      <c r="P1317" s="162" t="s">
        <v>1604</v>
      </c>
      <c r="Q1317" s="176"/>
      <c r="R1317" s="175"/>
      <c r="S1317" s="179"/>
      <c r="T1317" s="164" t="s">
        <v>28</v>
      </c>
      <c r="U1317" s="161" t="s">
        <v>19</v>
      </c>
      <c r="V1317" s="175">
        <v>2189</v>
      </c>
      <c r="W1317" s="181" t="s">
        <v>3561</v>
      </c>
      <c r="X1317" s="186">
        <v>45017</v>
      </c>
      <c r="Y1317" s="187">
        <v>44986.40283564815</v>
      </c>
    </row>
    <row r="1318" spans="1:25">
      <c r="A1318" s="167" t="s">
        <v>45</v>
      </c>
      <c r="B1318" s="162" t="s">
        <v>1599</v>
      </c>
      <c r="C1318" s="163" t="s">
        <v>3562</v>
      </c>
      <c r="D1318" s="162" t="s">
        <v>396</v>
      </c>
      <c r="E1318" s="161" t="s">
        <v>1613</v>
      </c>
      <c r="F1318" s="164" t="s">
        <v>1614</v>
      </c>
      <c r="G1318" s="161"/>
      <c r="H1318" s="215">
        <v>300</v>
      </c>
      <c r="I1318" s="171">
        <v>0.66</v>
      </c>
      <c r="J1318" s="173">
        <v>1</v>
      </c>
      <c r="K1318" s="172">
        <v>198</v>
      </c>
      <c r="L1318" s="173">
        <v>300</v>
      </c>
      <c r="M1318" s="171" t="s">
        <v>3563</v>
      </c>
      <c r="N1318" s="170"/>
      <c r="O1318" s="177" t="s">
        <v>1523</v>
      </c>
      <c r="P1318" s="162" t="s">
        <v>1620</v>
      </c>
      <c r="Q1318" s="176"/>
      <c r="R1318" s="175"/>
      <c r="S1318" s="179"/>
      <c r="T1318" s="164" t="s">
        <v>28</v>
      </c>
      <c r="U1318" s="161" t="s">
        <v>1615</v>
      </c>
      <c r="V1318" s="175">
        <v>1619</v>
      </c>
      <c r="W1318" s="181"/>
      <c r="X1318" s="186">
        <v>45069</v>
      </c>
      <c r="Y1318" s="187">
        <v>45021.597233796296</v>
      </c>
    </row>
    <row r="1319" spans="1:25">
      <c r="A1319" s="167" t="s">
        <v>45</v>
      </c>
      <c r="B1319" s="162" t="s">
        <v>1599</v>
      </c>
      <c r="C1319" s="163" t="s">
        <v>3564</v>
      </c>
      <c r="D1319" s="162" t="s">
        <v>3565</v>
      </c>
      <c r="E1319" s="161" t="s">
        <v>1631</v>
      </c>
      <c r="F1319" s="162" t="s">
        <v>1614</v>
      </c>
      <c r="G1319" s="161" t="s">
        <v>3566</v>
      </c>
      <c r="H1319" s="215">
        <v>104</v>
      </c>
      <c r="I1319" s="171"/>
      <c r="J1319" s="173">
        <v>4.2</v>
      </c>
      <c r="K1319" s="172"/>
      <c r="L1319" s="173">
        <v>436.8</v>
      </c>
      <c r="M1319" s="171">
        <v>436.8</v>
      </c>
      <c r="N1319" s="170"/>
      <c r="O1319" s="177" t="s">
        <v>26</v>
      </c>
      <c r="P1319" s="162" t="s">
        <v>1620</v>
      </c>
      <c r="Q1319" s="176">
        <v>45566</v>
      </c>
      <c r="R1319" s="174"/>
      <c r="S1319" s="179"/>
      <c r="T1319" s="162" t="s">
        <v>26</v>
      </c>
      <c r="U1319" s="161" t="s">
        <v>1615</v>
      </c>
      <c r="V1319" s="174">
        <v>1960</v>
      </c>
      <c r="W1319" s="180" t="s">
        <v>3567</v>
      </c>
      <c r="X1319" s="185">
        <v>45017</v>
      </c>
      <c r="Y1319" s="187">
        <v>45099.704155092593</v>
      </c>
    </row>
    <row r="1320" spans="1:25">
      <c r="A1320" s="167" t="s">
        <v>45</v>
      </c>
      <c r="B1320" s="162" t="s">
        <v>1555</v>
      </c>
      <c r="C1320" s="163" t="s">
        <v>264</v>
      </c>
      <c r="D1320" s="162" t="s">
        <v>265</v>
      </c>
      <c r="E1320" s="161" t="s">
        <v>1631</v>
      </c>
      <c r="F1320" s="164" t="s">
        <v>1614</v>
      </c>
      <c r="G1320" s="161" t="s">
        <v>266</v>
      </c>
      <c r="H1320" s="215">
        <v>132</v>
      </c>
      <c r="I1320" s="171">
        <v>1.3</v>
      </c>
      <c r="J1320" s="173">
        <v>1.64</v>
      </c>
      <c r="K1320" s="172">
        <v>171.6</v>
      </c>
      <c r="L1320" s="173">
        <v>216.08</v>
      </c>
      <c r="M1320" s="171">
        <v>216.08</v>
      </c>
      <c r="N1320" s="170"/>
      <c r="O1320" s="177" t="s">
        <v>76</v>
      </c>
      <c r="P1320" s="162" t="s">
        <v>1620</v>
      </c>
      <c r="Q1320" s="176">
        <v>45047</v>
      </c>
      <c r="R1320" s="175">
        <v>2051</v>
      </c>
      <c r="S1320" s="179"/>
      <c r="T1320" s="162" t="s">
        <v>24</v>
      </c>
      <c r="U1320" s="161" t="s">
        <v>1615</v>
      </c>
      <c r="V1320" s="175">
        <v>1515</v>
      </c>
      <c r="W1320" s="181"/>
      <c r="X1320" s="186">
        <v>45017</v>
      </c>
      <c r="Y1320" s="187">
        <v>45021.453553240739</v>
      </c>
    </row>
    <row r="1321" spans="1:25">
      <c r="A1321" s="167" t="s">
        <v>110</v>
      </c>
      <c r="B1321" s="162" t="s">
        <v>1555</v>
      </c>
      <c r="C1321" s="163" t="s">
        <v>896</v>
      </c>
      <c r="D1321" s="162" t="s">
        <v>897</v>
      </c>
      <c r="E1321" s="161" t="s">
        <v>1631</v>
      </c>
      <c r="F1321" s="162" t="s">
        <v>1614</v>
      </c>
      <c r="G1321" s="161" t="s">
        <v>898</v>
      </c>
      <c r="H1321" s="215">
        <v>39</v>
      </c>
      <c r="I1321" s="171">
        <v>2.0499999999999998</v>
      </c>
      <c r="J1321" s="173">
        <v>2.5</v>
      </c>
      <c r="K1321" s="172">
        <v>79.95</v>
      </c>
      <c r="L1321" s="173">
        <v>97.5</v>
      </c>
      <c r="M1321" s="171">
        <v>97.5</v>
      </c>
      <c r="N1321" s="170"/>
      <c r="O1321" s="177" t="s">
        <v>76</v>
      </c>
      <c r="P1321" s="162" t="s">
        <v>1620</v>
      </c>
      <c r="Q1321" s="176">
        <v>43525</v>
      </c>
      <c r="R1321" s="174">
        <v>2049</v>
      </c>
      <c r="S1321" s="179"/>
      <c r="T1321" s="162" t="s">
        <v>24</v>
      </c>
      <c r="U1321" s="161" t="s">
        <v>1615</v>
      </c>
      <c r="V1321" s="174">
        <v>1563</v>
      </c>
      <c r="W1321" s="180"/>
      <c r="X1321" s="185">
        <v>45069</v>
      </c>
      <c r="Y1321" s="187">
        <v>45021.523738425924</v>
      </c>
    </row>
    <row r="1322" spans="1:25">
      <c r="A1322" s="220" t="s">
        <v>105</v>
      </c>
      <c r="B1322" s="221" t="s">
        <v>1599</v>
      </c>
      <c r="C1322" s="222" t="s">
        <v>3869</v>
      </c>
      <c r="D1322" s="221" t="s">
        <v>3870</v>
      </c>
      <c r="E1322" s="223" t="s">
        <v>1613</v>
      </c>
      <c r="F1322" s="224" t="s">
        <v>1615</v>
      </c>
      <c r="G1322" s="223"/>
      <c r="H1322" s="215">
        <v>4</v>
      </c>
      <c r="I1322" s="171"/>
      <c r="J1322" s="173">
        <v>5</v>
      </c>
      <c r="K1322" s="172"/>
      <c r="L1322" s="173">
        <v>20</v>
      </c>
      <c r="M1322" s="171">
        <v>20</v>
      </c>
      <c r="N1322" s="229"/>
      <c r="O1322" s="230" t="s">
        <v>1523</v>
      </c>
      <c r="P1322" s="221" t="s">
        <v>1604</v>
      </c>
      <c r="Q1322" s="231"/>
      <c r="R1322" s="232"/>
      <c r="S1322" s="233"/>
      <c r="T1322" s="224" t="s">
        <v>28</v>
      </c>
      <c r="U1322" s="223" t="s">
        <v>1615</v>
      </c>
      <c r="V1322" s="232">
        <v>2541</v>
      </c>
      <c r="W1322" s="234" t="s">
        <v>3933</v>
      </c>
      <c r="X1322" s="235"/>
      <c r="Y1322" s="236">
        <v>45111.446180555555</v>
      </c>
    </row>
    <row r="1323" spans="1:25">
      <c r="A1323" s="167" t="s">
        <v>45</v>
      </c>
      <c r="B1323" s="162" t="s">
        <v>1555</v>
      </c>
      <c r="C1323" s="163" t="s">
        <v>499</v>
      </c>
      <c r="D1323" s="162" t="s">
        <v>500</v>
      </c>
      <c r="E1323" s="161" t="s">
        <v>1589</v>
      </c>
      <c r="F1323" s="164" t="s">
        <v>1635</v>
      </c>
      <c r="G1323" s="161" t="s">
        <v>501</v>
      </c>
      <c r="H1323" s="215">
        <v>2</v>
      </c>
      <c r="I1323" s="171">
        <v>0</v>
      </c>
      <c r="J1323" s="173">
        <v>0.72</v>
      </c>
      <c r="K1323" s="172">
        <v>0</v>
      </c>
      <c r="L1323" s="173">
        <v>1.43</v>
      </c>
      <c r="M1323" s="171">
        <v>1.43</v>
      </c>
      <c r="N1323" s="170">
        <v>0</v>
      </c>
      <c r="O1323" s="177" t="s">
        <v>76</v>
      </c>
      <c r="P1323" s="162" t="s">
        <v>1591</v>
      </c>
      <c r="Q1323" s="176"/>
      <c r="R1323" s="175"/>
      <c r="S1323" s="179"/>
      <c r="T1323" s="164" t="s">
        <v>24</v>
      </c>
      <c r="U1323" s="161" t="s">
        <v>20</v>
      </c>
      <c r="V1323" s="175">
        <v>1226</v>
      </c>
      <c r="W1323" s="181"/>
      <c r="X1323" s="186">
        <v>44287</v>
      </c>
      <c r="Y1323" s="187">
        <v>44981.392280092594</v>
      </c>
    </row>
    <row r="1324" spans="1:25">
      <c r="A1324" s="167" t="s">
        <v>110</v>
      </c>
      <c r="B1324" s="162" t="s">
        <v>1555</v>
      </c>
      <c r="C1324" s="163" t="s">
        <v>899</v>
      </c>
      <c r="D1324" s="162" t="s">
        <v>396</v>
      </c>
      <c r="E1324" s="161" t="s">
        <v>1700</v>
      </c>
      <c r="F1324" s="162" t="s">
        <v>1658</v>
      </c>
      <c r="G1324" s="161" t="s">
        <v>3568</v>
      </c>
      <c r="H1324" s="215">
        <v>2</v>
      </c>
      <c r="I1324" s="171"/>
      <c r="J1324" s="173">
        <v>17</v>
      </c>
      <c r="K1324" s="172"/>
      <c r="L1324" s="173">
        <v>34</v>
      </c>
      <c r="M1324" s="171">
        <v>34</v>
      </c>
      <c r="N1324" s="170"/>
      <c r="O1324" s="177" t="s">
        <v>76</v>
      </c>
      <c r="P1324" s="162" t="s">
        <v>1619</v>
      </c>
      <c r="Q1324" s="176"/>
      <c r="R1324" s="174">
        <v>2057</v>
      </c>
      <c r="S1324" s="179"/>
      <c r="T1324" s="162" t="s">
        <v>24</v>
      </c>
      <c r="U1324" s="161" t="s">
        <v>17</v>
      </c>
      <c r="V1324" s="174">
        <v>1227</v>
      </c>
      <c r="W1324" s="180"/>
      <c r="X1324" s="185">
        <v>45017</v>
      </c>
      <c r="Y1324" s="187">
        <v>45016.451863425929</v>
      </c>
    </row>
    <row r="1325" spans="1:25">
      <c r="A1325" s="167" t="s">
        <v>110</v>
      </c>
      <c r="B1325" s="162" t="s">
        <v>1555</v>
      </c>
      <c r="C1325" s="163" t="s">
        <v>899</v>
      </c>
      <c r="D1325" s="162" t="s">
        <v>396</v>
      </c>
      <c r="E1325" s="161" t="s">
        <v>1700</v>
      </c>
      <c r="F1325" s="164" t="s">
        <v>1658</v>
      </c>
      <c r="G1325" s="161" t="s">
        <v>3569</v>
      </c>
      <c r="H1325" s="215">
        <v>2</v>
      </c>
      <c r="I1325" s="171"/>
      <c r="J1325" s="173">
        <v>17</v>
      </c>
      <c r="K1325" s="172"/>
      <c r="L1325" s="173">
        <v>34</v>
      </c>
      <c r="M1325" s="171">
        <v>34</v>
      </c>
      <c r="N1325" s="170"/>
      <c r="O1325" s="177" t="s">
        <v>76</v>
      </c>
      <c r="P1325" s="162" t="s">
        <v>1619</v>
      </c>
      <c r="Q1325" s="176"/>
      <c r="R1325" s="175">
        <v>2057</v>
      </c>
      <c r="S1325" s="179"/>
      <c r="T1325" s="164" t="s">
        <v>24</v>
      </c>
      <c r="U1325" s="161" t="s">
        <v>17</v>
      </c>
      <c r="V1325" s="175">
        <v>1227</v>
      </c>
      <c r="W1325" s="181"/>
      <c r="X1325" s="186">
        <v>45017</v>
      </c>
      <c r="Y1325" s="187">
        <v>45016.451863425929</v>
      </c>
    </row>
    <row r="1326" spans="1:25">
      <c r="A1326" s="220" t="s">
        <v>110</v>
      </c>
      <c r="B1326" s="221" t="s">
        <v>1599</v>
      </c>
      <c r="C1326" s="222" t="s">
        <v>3875</v>
      </c>
      <c r="D1326" s="221" t="s">
        <v>134</v>
      </c>
      <c r="E1326" s="223" t="s">
        <v>1602</v>
      </c>
      <c r="F1326" s="224" t="s">
        <v>20</v>
      </c>
      <c r="G1326" s="223"/>
      <c r="H1326" s="215">
        <v>1</v>
      </c>
      <c r="I1326" s="171"/>
      <c r="J1326" s="173">
        <v>800</v>
      </c>
      <c r="K1326" s="172"/>
      <c r="L1326" s="173">
        <v>800</v>
      </c>
      <c r="M1326" s="171">
        <v>800</v>
      </c>
      <c r="N1326" s="229">
        <v>0</v>
      </c>
      <c r="O1326" s="230" t="s">
        <v>1523</v>
      </c>
      <c r="P1326" s="221" t="s">
        <v>1604</v>
      </c>
      <c r="Q1326" s="231"/>
      <c r="R1326" s="232"/>
      <c r="S1326" s="233"/>
      <c r="T1326" s="224" t="s">
        <v>28</v>
      </c>
      <c r="U1326" s="223" t="s">
        <v>19</v>
      </c>
      <c r="V1326" s="232">
        <v>2544</v>
      </c>
      <c r="W1326" s="234" t="s">
        <v>3936</v>
      </c>
      <c r="X1326" s="235"/>
      <c r="Y1326" s="236">
        <v>45111.477106481485</v>
      </c>
    </row>
    <row r="1327" spans="1:25">
      <c r="A1327" s="167" t="s">
        <v>110</v>
      </c>
      <c r="B1327" s="162" t="s">
        <v>1599</v>
      </c>
      <c r="C1327" s="163" t="s">
        <v>3570</v>
      </c>
      <c r="D1327" s="162" t="s">
        <v>2802</v>
      </c>
      <c r="E1327" s="161" t="s">
        <v>1631</v>
      </c>
      <c r="F1327" s="164" t="s">
        <v>1614</v>
      </c>
      <c r="G1327" s="161"/>
      <c r="H1327" s="215">
        <v>1</v>
      </c>
      <c r="I1327" s="171"/>
      <c r="J1327" s="173">
        <v>400</v>
      </c>
      <c r="K1327" s="172"/>
      <c r="L1327" s="173">
        <v>400</v>
      </c>
      <c r="M1327" s="171">
        <v>400</v>
      </c>
      <c r="N1327" s="170"/>
      <c r="O1327" s="177" t="s">
        <v>1523</v>
      </c>
      <c r="P1327" s="162" t="s">
        <v>1604</v>
      </c>
      <c r="Q1327" s="176"/>
      <c r="R1327" s="175"/>
      <c r="S1327" s="179"/>
      <c r="T1327" s="164" t="s">
        <v>28</v>
      </c>
      <c r="U1327" s="161" t="s">
        <v>1615</v>
      </c>
      <c r="V1327" s="175">
        <v>2000</v>
      </c>
      <c r="W1327" s="181"/>
      <c r="X1327" s="186">
        <v>45017</v>
      </c>
      <c r="Y1327" s="187">
        <v>44642.409097222226</v>
      </c>
    </row>
    <row r="1328" spans="1:25">
      <c r="A1328" s="167" t="s">
        <v>45</v>
      </c>
      <c r="B1328" s="162" t="s">
        <v>1555</v>
      </c>
      <c r="C1328" s="163" t="s">
        <v>3571</v>
      </c>
      <c r="D1328" s="162" t="s">
        <v>3572</v>
      </c>
      <c r="E1328" s="161" t="s">
        <v>1596</v>
      </c>
      <c r="F1328" s="164" t="s">
        <v>1603</v>
      </c>
      <c r="G1328" s="161"/>
      <c r="H1328" s="215">
        <v>1</v>
      </c>
      <c r="I1328" s="171">
        <v>1</v>
      </c>
      <c r="J1328" s="173">
        <v>1</v>
      </c>
      <c r="K1328" s="172">
        <v>1</v>
      </c>
      <c r="L1328" s="173">
        <v>1</v>
      </c>
      <c r="M1328" s="171">
        <v>1</v>
      </c>
      <c r="N1328" s="170"/>
      <c r="O1328" s="177" t="s">
        <v>76</v>
      </c>
      <c r="P1328" s="162" t="s">
        <v>1591</v>
      </c>
      <c r="Q1328" s="176"/>
      <c r="R1328" s="175"/>
      <c r="S1328" s="179"/>
      <c r="T1328" s="164" t="s">
        <v>24</v>
      </c>
      <c r="U1328" s="161" t="s">
        <v>20</v>
      </c>
      <c r="V1328" s="175">
        <v>1253</v>
      </c>
      <c r="W1328" s="181"/>
      <c r="X1328" s="186">
        <v>44621</v>
      </c>
      <c r="Y1328" s="187">
        <v>45029.456504629627</v>
      </c>
    </row>
    <row r="1329" spans="1:25">
      <c r="A1329" s="167" t="s">
        <v>45</v>
      </c>
      <c r="B1329" s="162" t="s">
        <v>1555</v>
      </c>
      <c r="C1329" s="163" t="s">
        <v>74</v>
      </c>
      <c r="D1329" s="162" t="s">
        <v>75</v>
      </c>
      <c r="E1329" s="161" t="s">
        <v>1631</v>
      </c>
      <c r="F1329" s="164" t="s">
        <v>1614</v>
      </c>
      <c r="G1329" s="161" t="s">
        <v>3573</v>
      </c>
      <c r="H1329" s="215">
        <v>29</v>
      </c>
      <c r="I1329" s="171">
        <v>0</v>
      </c>
      <c r="J1329" s="173">
        <v>3.63</v>
      </c>
      <c r="K1329" s="172">
        <v>0</v>
      </c>
      <c r="L1329" s="173">
        <v>105.27</v>
      </c>
      <c r="M1329" s="171">
        <v>105.27</v>
      </c>
      <c r="N1329" s="170"/>
      <c r="O1329" s="177" t="s">
        <v>76</v>
      </c>
      <c r="P1329" s="162" t="s">
        <v>1620</v>
      </c>
      <c r="Q1329" s="176">
        <v>44896</v>
      </c>
      <c r="R1329" s="175">
        <v>2058</v>
      </c>
      <c r="S1329" s="179"/>
      <c r="T1329" s="164" t="s">
        <v>24</v>
      </c>
      <c r="U1329" s="161" t="s">
        <v>1615</v>
      </c>
      <c r="V1329" s="175">
        <v>1904</v>
      </c>
      <c r="W1329" s="181"/>
      <c r="X1329" s="186">
        <v>45069</v>
      </c>
      <c r="Y1329" s="187">
        <v>44981.41065972222</v>
      </c>
    </row>
    <row r="1330" spans="1:25">
      <c r="A1330" s="167" t="s">
        <v>77</v>
      </c>
      <c r="B1330" s="162" t="s">
        <v>1599</v>
      </c>
      <c r="C1330" s="163" t="s">
        <v>280</v>
      </c>
      <c r="D1330" s="162" t="s">
        <v>93</v>
      </c>
      <c r="E1330" s="161" t="s">
        <v>1602</v>
      </c>
      <c r="F1330" s="164" t="s">
        <v>1603</v>
      </c>
      <c r="G1330" s="161" t="s">
        <v>281</v>
      </c>
      <c r="H1330" s="215">
        <v>108</v>
      </c>
      <c r="I1330" s="171">
        <v>0</v>
      </c>
      <c r="J1330" s="173">
        <v>2.4</v>
      </c>
      <c r="K1330" s="172">
        <v>0</v>
      </c>
      <c r="L1330" s="173">
        <v>259.2</v>
      </c>
      <c r="M1330" s="171">
        <v>259.2</v>
      </c>
      <c r="N1330" s="170">
        <v>400</v>
      </c>
      <c r="O1330" s="177" t="s">
        <v>27</v>
      </c>
      <c r="P1330" s="162" t="s">
        <v>1619</v>
      </c>
      <c r="Q1330" s="176">
        <v>45474</v>
      </c>
      <c r="R1330" s="175">
        <v>2044</v>
      </c>
      <c r="S1330" s="179"/>
      <c r="T1330" s="164" t="s">
        <v>27</v>
      </c>
      <c r="U1330" s="161" t="s">
        <v>19</v>
      </c>
      <c r="V1330" s="175">
        <v>1966</v>
      </c>
      <c r="W1330" s="181" t="s">
        <v>3990</v>
      </c>
      <c r="X1330" s="186">
        <v>45069</v>
      </c>
      <c r="Y1330" s="187">
        <v>45097.5468287037</v>
      </c>
    </row>
    <row r="1331" spans="1:25">
      <c r="A1331" s="167" t="s">
        <v>77</v>
      </c>
      <c r="B1331" s="162" t="s">
        <v>1599</v>
      </c>
      <c r="C1331" s="163" t="s">
        <v>3574</v>
      </c>
      <c r="D1331" s="162" t="s">
        <v>3575</v>
      </c>
      <c r="E1331" s="161" t="s">
        <v>2072</v>
      </c>
      <c r="F1331" s="164" t="s">
        <v>1603</v>
      </c>
      <c r="G1331" s="161"/>
      <c r="H1331" s="215">
        <v>1</v>
      </c>
      <c r="I1331" s="171">
        <v>207</v>
      </c>
      <c r="J1331" s="173">
        <v>207</v>
      </c>
      <c r="K1331" s="172">
        <v>207</v>
      </c>
      <c r="L1331" s="173">
        <v>207</v>
      </c>
      <c r="M1331" s="171">
        <v>207</v>
      </c>
      <c r="N1331" s="170"/>
      <c r="O1331" s="177" t="s">
        <v>1523</v>
      </c>
      <c r="P1331" s="162" t="s">
        <v>1604</v>
      </c>
      <c r="Q1331" s="176"/>
      <c r="R1331" s="175"/>
      <c r="S1331" s="179"/>
      <c r="T1331" s="164" t="s">
        <v>28</v>
      </c>
      <c r="U1331" s="161" t="s">
        <v>12</v>
      </c>
      <c r="V1331" s="175">
        <v>2289</v>
      </c>
      <c r="W1331" s="181" t="s">
        <v>3576</v>
      </c>
      <c r="X1331" s="186">
        <v>45017</v>
      </c>
      <c r="Y1331" s="187">
        <v>44945.307708333334</v>
      </c>
    </row>
    <row r="1332" spans="1:25">
      <c r="A1332" s="167" t="s">
        <v>77</v>
      </c>
      <c r="B1332" s="162" t="s">
        <v>1555</v>
      </c>
      <c r="C1332" s="163" t="s">
        <v>204</v>
      </c>
      <c r="D1332" s="162" t="s">
        <v>205</v>
      </c>
      <c r="E1332" s="161" t="s">
        <v>1631</v>
      </c>
      <c r="F1332" s="164" t="s">
        <v>1614</v>
      </c>
      <c r="G1332" s="161" t="s">
        <v>206</v>
      </c>
      <c r="H1332" s="215">
        <v>167</v>
      </c>
      <c r="I1332" s="171">
        <v>0.02</v>
      </c>
      <c r="J1332" s="173">
        <v>2.4</v>
      </c>
      <c r="K1332" s="172">
        <v>3.34</v>
      </c>
      <c r="L1332" s="173">
        <v>399.97</v>
      </c>
      <c r="M1332" s="171">
        <v>399.97</v>
      </c>
      <c r="N1332" s="170"/>
      <c r="O1332" s="177" t="s">
        <v>401</v>
      </c>
      <c r="P1332" s="162" t="s">
        <v>1620</v>
      </c>
      <c r="Q1332" s="176">
        <v>44927</v>
      </c>
      <c r="R1332" s="175">
        <v>2046</v>
      </c>
      <c r="S1332" s="179"/>
      <c r="T1332" s="164" t="s">
        <v>24</v>
      </c>
      <c r="U1332" s="161" t="s">
        <v>1615</v>
      </c>
      <c r="V1332" s="175">
        <v>2011</v>
      </c>
      <c r="W1332" s="181"/>
      <c r="X1332" s="186">
        <v>45017</v>
      </c>
      <c r="Y1332" s="187">
        <v>45028.42528935185</v>
      </c>
    </row>
    <row r="1333" spans="1:25">
      <c r="A1333" s="167" t="s">
        <v>105</v>
      </c>
      <c r="B1333" s="162" t="s">
        <v>1599</v>
      </c>
      <c r="C1333" s="163" t="s">
        <v>3577</v>
      </c>
      <c r="D1333" s="162" t="s">
        <v>1845</v>
      </c>
      <c r="E1333" s="161" t="s">
        <v>1625</v>
      </c>
      <c r="F1333" s="164" t="s">
        <v>1609</v>
      </c>
      <c r="G1333" s="161"/>
      <c r="H1333" s="215">
        <v>12</v>
      </c>
      <c r="I1333" s="171">
        <v>3.08</v>
      </c>
      <c r="J1333" s="173">
        <v>4.2</v>
      </c>
      <c r="K1333" s="172">
        <v>36.92</v>
      </c>
      <c r="L1333" s="173">
        <v>50.4</v>
      </c>
      <c r="M1333" s="171" t="s">
        <v>3578</v>
      </c>
      <c r="N1333" s="170"/>
      <c r="O1333" s="177" t="s">
        <v>1523</v>
      </c>
      <c r="P1333" s="162" t="s">
        <v>1620</v>
      </c>
      <c r="Q1333" s="176"/>
      <c r="R1333" s="175"/>
      <c r="S1333" s="179"/>
      <c r="T1333" s="164" t="s">
        <v>28</v>
      </c>
      <c r="U1333" s="161" t="s">
        <v>16</v>
      </c>
      <c r="V1333" s="175">
        <v>1501</v>
      </c>
      <c r="W1333" s="181" t="s">
        <v>3991</v>
      </c>
      <c r="X1333" s="186">
        <v>45069</v>
      </c>
      <c r="Y1333" s="187">
        <v>45103.792708333334</v>
      </c>
    </row>
    <row r="1334" spans="1:25">
      <c r="A1334" s="167" t="s">
        <v>45</v>
      </c>
      <c r="B1334" s="162" t="s">
        <v>1555</v>
      </c>
      <c r="C1334" s="163" t="s">
        <v>3579</v>
      </c>
      <c r="D1334" s="162" t="s">
        <v>500</v>
      </c>
      <c r="E1334" s="161" t="s">
        <v>1589</v>
      </c>
      <c r="F1334" s="164" t="s">
        <v>1635</v>
      </c>
      <c r="G1334" s="161" t="s">
        <v>3580</v>
      </c>
      <c r="H1334" s="215">
        <v>1</v>
      </c>
      <c r="I1334" s="171">
        <v>0.8</v>
      </c>
      <c r="J1334" s="173">
        <v>1.32</v>
      </c>
      <c r="K1334" s="172">
        <v>0.8</v>
      </c>
      <c r="L1334" s="173">
        <v>1.32</v>
      </c>
      <c r="M1334" s="171">
        <v>1.32</v>
      </c>
      <c r="N1334" s="170">
        <v>0</v>
      </c>
      <c r="O1334" s="177" t="s">
        <v>76</v>
      </c>
      <c r="P1334" s="162" t="s">
        <v>1591</v>
      </c>
      <c r="Q1334" s="176"/>
      <c r="R1334" s="175"/>
      <c r="S1334" s="179"/>
      <c r="T1334" s="164" t="s">
        <v>24</v>
      </c>
      <c r="U1334" s="161" t="s">
        <v>20</v>
      </c>
      <c r="V1334" s="175">
        <v>1228</v>
      </c>
      <c r="W1334" s="181"/>
      <c r="X1334" s="186" t="s">
        <v>259</v>
      </c>
      <c r="Y1334" s="187">
        <v>44981.392858796295</v>
      </c>
    </row>
    <row r="1335" spans="1:25">
      <c r="A1335" s="167" t="s">
        <v>45</v>
      </c>
      <c r="B1335" s="162" t="s">
        <v>1599</v>
      </c>
      <c r="C1335" s="163" t="s">
        <v>3581</v>
      </c>
      <c r="D1335" s="162" t="s">
        <v>3582</v>
      </c>
      <c r="E1335" s="161" t="s">
        <v>1603</v>
      </c>
      <c r="F1335" s="164" t="s">
        <v>1603</v>
      </c>
      <c r="G1335" s="161"/>
      <c r="H1335" s="215">
        <v>1</v>
      </c>
      <c r="I1335" s="171">
        <v>58</v>
      </c>
      <c r="J1335" s="173">
        <v>58</v>
      </c>
      <c r="K1335" s="172">
        <v>58</v>
      </c>
      <c r="L1335" s="173">
        <v>58</v>
      </c>
      <c r="M1335" s="171">
        <v>58</v>
      </c>
      <c r="N1335" s="170"/>
      <c r="O1335" s="177" t="s">
        <v>1523</v>
      </c>
      <c r="P1335" s="162" t="s">
        <v>1604</v>
      </c>
      <c r="Q1335" s="176"/>
      <c r="R1335" s="175"/>
      <c r="S1335" s="179"/>
      <c r="T1335" s="164" t="s">
        <v>28</v>
      </c>
      <c r="U1335" s="161" t="s">
        <v>20</v>
      </c>
      <c r="V1335" s="175">
        <v>2185</v>
      </c>
      <c r="W1335" s="181" t="s">
        <v>3583</v>
      </c>
      <c r="X1335" s="186">
        <v>45017</v>
      </c>
      <c r="Y1335" s="187">
        <v>44945.307951388888</v>
      </c>
    </row>
    <row r="1336" spans="1:25">
      <c r="A1336" s="167" t="s">
        <v>105</v>
      </c>
      <c r="B1336" s="162" t="s">
        <v>1599</v>
      </c>
      <c r="C1336" s="163" t="s">
        <v>3584</v>
      </c>
      <c r="D1336" s="162" t="s">
        <v>3585</v>
      </c>
      <c r="E1336" s="161" t="s">
        <v>1625</v>
      </c>
      <c r="F1336" s="164" t="s">
        <v>1609</v>
      </c>
      <c r="G1336" s="161"/>
      <c r="H1336" s="215">
        <v>40</v>
      </c>
      <c r="I1336" s="171">
        <v>7.2</v>
      </c>
      <c r="J1336" s="173">
        <v>7.2</v>
      </c>
      <c r="K1336" s="172">
        <v>288</v>
      </c>
      <c r="L1336" s="173">
        <v>288</v>
      </c>
      <c r="M1336" s="171">
        <v>288</v>
      </c>
      <c r="N1336" s="170"/>
      <c r="O1336" s="177" t="s">
        <v>1523</v>
      </c>
      <c r="P1336" s="162" t="s">
        <v>1604</v>
      </c>
      <c r="Q1336" s="176"/>
      <c r="R1336" s="175"/>
      <c r="S1336" s="179"/>
      <c r="T1336" s="164" t="s">
        <v>28</v>
      </c>
      <c r="U1336" s="161" t="s">
        <v>16</v>
      </c>
      <c r="V1336" s="175">
        <v>2391</v>
      </c>
      <c r="W1336" s="181" t="s">
        <v>3586</v>
      </c>
      <c r="X1336" s="186">
        <v>45017</v>
      </c>
      <c r="Y1336" s="187">
        <v>44932.282071759262</v>
      </c>
    </row>
    <row r="1337" spans="1:25">
      <c r="A1337" s="167" t="s">
        <v>45</v>
      </c>
      <c r="B1337" s="162" t="s">
        <v>1555</v>
      </c>
      <c r="C1337" s="163" t="s">
        <v>1037</v>
      </c>
      <c r="D1337" s="162" t="s">
        <v>3587</v>
      </c>
      <c r="E1337" s="161" t="s">
        <v>1613</v>
      </c>
      <c r="F1337" s="164" t="s">
        <v>1614</v>
      </c>
      <c r="G1337" s="161" t="s">
        <v>3588</v>
      </c>
      <c r="H1337" s="215">
        <v>8</v>
      </c>
      <c r="I1337" s="171">
        <v>2.5</v>
      </c>
      <c r="J1337" s="173">
        <v>2.5</v>
      </c>
      <c r="K1337" s="172">
        <v>20</v>
      </c>
      <c r="L1337" s="173">
        <v>20</v>
      </c>
      <c r="M1337" s="171">
        <v>20</v>
      </c>
      <c r="N1337" s="170"/>
      <c r="O1337" s="177" t="s">
        <v>76</v>
      </c>
      <c r="P1337" s="162" t="s">
        <v>1620</v>
      </c>
      <c r="Q1337" s="176"/>
      <c r="R1337" s="175">
        <v>2043</v>
      </c>
      <c r="S1337" s="179"/>
      <c r="T1337" s="164" t="s">
        <v>24</v>
      </c>
      <c r="U1337" s="161" t="s">
        <v>1615</v>
      </c>
      <c r="V1337" s="175">
        <v>1662</v>
      </c>
      <c r="W1337" s="181"/>
      <c r="X1337" s="186">
        <v>45069</v>
      </c>
      <c r="Y1337" s="187">
        <v>45097.464097222219</v>
      </c>
    </row>
    <row r="1338" spans="1:25">
      <c r="A1338" s="167" t="s">
        <v>45</v>
      </c>
      <c r="B1338" s="162" t="s">
        <v>1555</v>
      </c>
      <c r="C1338" s="163" t="s">
        <v>3589</v>
      </c>
      <c r="D1338" s="162" t="s">
        <v>3590</v>
      </c>
      <c r="E1338" s="161" t="s">
        <v>1625</v>
      </c>
      <c r="F1338" s="164" t="s">
        <v>1609</v>
      </c>
      <c r="G1338" s="161" t="s">
        <v>3591</v>
      </c>
      <c r="H1338" s="215">
        <v>70</v>
      </c>
      <c r="I1338" s="171">
        <v>2.46</v>
      </c>
      <c r="J1338" s="173">
        <v>2.46</v>
      </c>
      <c r="K1338" s="172">
        <v>172.48</v>
      </c>
      <c r="L1338" s="173">
        <v>172.48</v>
      </c>
      <c r="M1338" s="171">
        <v>172.48</v>
      </c>
      <c r="N1338" s="170"/>
      <c r="O1338" s="177" t="s">
        <v>76</v>
      </c>
      <c r="P1338" s="162" t="s">
        <v>1620</v>
      </c>
      <c r="Q1338" s="176"/>
      <c r="R1338" s="175">
        <v>2038</v>
      </c>
      <c r="S1338" s="179"/>
      <c r="T1338" s="164" t="s">
        <v>24</v>
      </c>
      <c r="U1338" s="161" t="s">
        <v>16</v>
      </c>
      <c r="V1338" s="175">
        <v>1277</v>
      </c>
      <c r="W1338" s="181"/>
      <c r="X1338" s="186">
        <v>45017</v>
      </c>
      <c r="Y1338" s="187">
        <v>45016.469317129631</v>
      </c>
    </row>
    <row r="1339" spans="1:25">
      <c r="A1339" s="167" t="s">
        <v>45</v>
      </c>
      <c r="B1339" s="162" t="s">
        <v>1599</v>
      </c>
      <c r="C1339" s="163" t="s">
        <v>3592</v>
      </c>
      <c r="D1339" s="162" t="s">
        <v>3587</v>
      </c>
      <c r="E1339" s="161" t="s">
        <v>1625</v>
      </c>
      <c r="F1339" s="164" t="s">
        <v>1609</v>
      </c>
      <c r="G1339" s="161"/>
      <c r="H1339" s="215">
        <v>47</v>
      </c>
      <c r="I1339" s="171">
        <v>4.5</v>
      </c>
      <c r="J1339" s="173">
        <v>4.5</v>
      </c>
      <c r="K1339" s="172">
        <v>211.5</v>
      </c>
      <c r="L1339" s="173">
        <v>211.5</v>
      </c>
      <c r="M1339" s="171">
        <v>211.5</v>
      </c>
      <c r="N1339" s="170"/>
      <c r="O1339" s="177" t="s">
        <v>1523</v>
      </c>
      <c r="P1339" s="162" t="s">
        <v>1620</v>
      </c>
      <c r="Q1339" s="176">
        <v>46266</v>
      </c>
      <c r="R1339" s="175"/>
      <c r="S1339" s="179"/>
      <c r="T1339" s="164" t="s">
        <v>28</v>
      </c>
      <c r="U1339" s="161" t="s">
        <v>16</v>
      </c>
      <c r="V1339" s="175">
        <v>1661</v>
      </c>
      <c r="W1339" s="181" t="s">
        <v>3593</v>
      </c>
      <c r="X1339" s="186">
        <v>45069</v>
      </c>
      <c r="Y1339" s="187">
        <v>45021.620578703703</v>
      </c>
    </row>
    <row r="1340" spans="1:25">
      <c r="A1340" s="167" t="s">
        <v>77</v>
      </c>
      <c r="B1340" s="162" t="s">
        <v>1555</v>
      </c>
      <c r="C1340" s="163" t="s">
        <v>1113</v>
      </c>
      <c r="D1340" s="162" t="s">
        <v>3594</v>
      </c>
      <c r="E1340" s="161" t="s">
        <v>1631</v>
      </c>
      <c r="F1340" s="164" t="s">
        <v>1614</v>
      </c>
      <c r="G1340" s="161" t="s">
        <v>3595</v>
      </c>
      <c r="H1340" s="215">
        <v>23</v>
      </c>
      <c r="I1340" s="171"/>
      <c r="J1340" s="173">
        <v>2.5</v>
      </c>
      <c r="K1340" s="172"/>
      <c r="L1340" s="173">
        <v>57.5</v>
      </c>
      <c r="M1340" s="171">
        <v>57.5</v>
      </c>
      <c r="N1340" s="170"/>
      <c r="O1340" s="177" t="s">
        <v>76</v>
      </c>
      <c r="P1340" s="162" t="s">
        <v>1620</v>
      </c>
      <c r="Q1340" s="176"/>
      <c r="R1340" s="175">
        <v>2048</v>
      </c>
      <c r="S1340" s="179"/>
      <c r="T1340" s="164" t="s">
        <v>24</v>
      </c>
      <c r="U1340" s="161" t="s">
        <v>1615</v>
      </c>
      <c r="V1340" s="175">
        <v>1407</v>
      </c>
      <c r="W1340" s="181"/>
      <c r="X1340" s="186">
        <v>45017</v>
      </c>
      <c r="Y1340" s="187">
        <v>45020.623692129629</v>
      </c>
    </row>
    <row r="1341" spans="1:25">
      <c r="A1341" s="167" t="s">
        <v>77</v>
      </c>
      <c r="B1341" s="162" t="s">
        <v>1555</v>
      </c>
      <c r="C1341" s="163" t="s">
        <v>3596</v>
      </c>
      <c r="D1341" s="162" t="s">
        <v>403</v>
      </c>
      <c r="E1341" s="161" t="s">
        <v>1596</v>
      </c>
      <c r="F1341" s="164" t="s">
        <v>1627</v>
      </c>
      <c r="G1341" s="161" t="s">
        <v>3597</v>
      </c>
      <c r="H1341" s="215">
        <v>1</v>
      </c>
      <c r="I1341" s="171">
        <v>0.5</v>
      </c>
      <c r="J1341" s="173">
        <v>0.5</v>
      </c>
      <c r="K1341" s="172">
        <v>0.5</v>
      </c>
      <c r="L1341" s="173">
        <v>0.5</v>
      </c>
      <c r="M1341" s="171">
        <v>0.5</v>
      </c>
      <c r="N1341" s="170"/>
      <c r="O1341" s="177" t="s">
        <v>76</v>
      </c>
      <c r="P1341" s="162" t="s">
        <v>1591</v>
      </c>
      <c r="Q1341" s="176"/>
      <c r="R1341" s="175">
        <v>2032</v>
      </c>
      <c r="S1341" s="179"/>
      <c r="T1341" s="164" t="s">
        <v>24</v>
      </c>
      <c r="U1341" s="161" t="s">
        <v>18</v>
      </c>
      <c r="V1341" s="175">
        <v>1229</v>
      </c>
      <c r="W1341" s="181"/>
      <c r="X1341" s="186">
        <v>44805</v>
      </c>
      <c r="Y1341" s="187">
        <v>44981.393136574072</v>
      </c>
    </row>
    <row r="1342" spans="1:25">
      <c r="A1342" s="167" t="s">
        <v>91</v>
      </c>
      <c r="B1342" s="162" t="s">
        <v>1599</v>
      </c>
      <c r="C1342" s="163" t="s">
        <v>3598</v>
      </c>
      <c r="D1342" s="162" t="s">
        <v>3599</v>
      </c>
      <c r="E1342" s="161" t="s">
        <v>1613</v>
      </c>
      <c r="F1342" s="164" t="s">
        <v>1614</v>
      </c>
      <c r="G1342" s="161"/>
      <c r="H1342" s="215">
        <v>1</v>
      </c>
      <c r="I1342" s="171">
        <v>140</v>
      </c>
      <c r="J1342" s="173">
        <v>140</v>
      </c>
      <c r="K1342" s="172">
        <v>140</v>
      </c>
      <c r="L1342" s="173">
        <v>140</v>
      </c>
      <c r="M1342" s="171">
        <v>140</v>
      </c>
      <c r="N1342" s="170"/>
      <c r="O1342" s="177" t="s">
        <v>1523</v>
      </c>
      <c r="P1342" s="162" t="s">
        <v>1620</v>
      </c>
      <c r="Q1342" s="176"/>
      <c r="R1342" s="175"/>
      <c r="S1342" s="179"/>
      <c r="T1342" s="164" t="s">
        <v>28</v>
      </c>
      <c r="U1342" s="161" t="s">
        <v>1615</v>
      </c>
      <c r="V1342" s="175">
        <v>1460</v>
      </c>
      <c r="W1342" s="181"/>
      <c r="X1342" s="186">
        <v>45017</v>
      </c>
      <c r="Y1342" s="187">
        <v>43467.973668981482</v>
      </c>
    </row>
    <row r="1343" spans="1:25">
      <c r="A1343" s="167" t="s">
        <v>91</v>
      </c>
      <c r="B1343" s="162" t="s">
        <v>1599</v>
      </c>
      <c r="C1343" s="163" t="s">
        <v>3600</v>
      </c>
      <c r="D1343" s="162" t="s">
        <v>3601</v>
      </c>
      <c r="E1343" s="161" t="s">
        <v>1602</v>
      </c>
      <c r="F1343" s="164" t="s">
        <v>1603</v>
      </c>
      <c r="G1343" s="161"/>
      <c r="H1343" s="215">
        <v>1</v>
      </c>
      <c r="I1343" s="171">
        <v>100</v>
      </c>
      <c r="J1343" s="173">
        <v>100</v>
      </c>
      <c r="K1343" s="172">
        <v>100</v>
      </c>
      <c r="L1343" s="173">
        <v>100</v>
      </c>
      <c r="M1343" s="171">
        <v>100</v>
      </c>
      <c r="N1343" s="170">
        <v>0</v>
      </c>
      <c r="O1343" s="177" t="s">
        <v>1523</v>
      </c>
      <c r="P1343" s="162" t="s">
        <v>1604</v>
      </c>
      <c r="Q1343" s="176"/>
      <c r="R1343" s="175"/>
      <c r="S1343" s="179"/>
      <c r="T1343" s="164" t="s">
        <v>28</v>
      </c>
      <c r="U1343" s="161" t="s">
        <v>19</v>
      </c>
      <c r="V1343" s="175">
        <v>2314</v>
      </c>
      <c r="W1343" s="181" t="s">
        <v>3602</v>
      </c>
      <c r="X1343" s="186">
        <v>45017</v>
      </c>
      <c r="Y1343" s="187">
        <v>44945.308217592596</v>
      </c>
    </row>
    <row r="1344" spans="1:25">
      <c r="A1344" s="167" t="s">
        <v>45</v>
      </c>
      <c r="B1344" s="162" t="s">
        <v>1555</v>
      </c>
      <c r="C1344" s="163" t="s">
        <v>3603</v>
      </c>
      <c r="D1344" s="162" t="s">
        <v>3604</v>
      </c>
      <c r="E1344" s="161" t="s">
        <v>1596</v>
      </c>
      <c r="F1344" s="164" t="s">
        <v>1857</v>
      </c>
      <c r="G1344" s="161"/>
      <c r="H1344" s="215">
        <v>4</v>
      </c>
      <c r="I1344" s="171"/>
      <c r="J1344" s="173">
        <v>1</v>
      </c>
      <c r="K1344" s="172"/>
      <c r="L1344" s="173">
        <v>4</v>
      </c>
      <c r="M1344" s="171">
        <v>4</v>
      </c>
      <c r="N1344" s="170"/>
      <c r="O1344" s="177" t="s">
        <v>76</v>
      </c>
      <c r="P1344" s="162" t="s">
        <v>1591</v>
      </c>
      <c r="Q1344" s="176"/>
      <c r="R1344" s="175"/>
      <c r="S1344" s="179"/>
      <c r="T1344" s="164" t="s">
        <v>24</v>
      </c>
      <c r="U1344" s="161" t="s">
        <v>14</v>
      </c>
      <c r="V1344" s="175">
        <v>1320</v>
      </c>
      <c r="W1344" s="181"/>
      <c r="X1344" s="186">
        <v>44621</v>
      </c>
      <c r="Y1344" s="187">
        <v>43242.203379629631</v>
      </c>
    </row>
    <row r="1345" spans="1:25">
      <c r="A1345" s="167" t="s">
        <v>45</v>
      </c>
      <c r="B1345" s="162" t="s">
        <v>1555</v>
      </c>
      <c r="C1345" s="163" t="s">
        <v>3603</v>
      </c>
      <c r="D1345" s="162" t="s">
        <v>3604</v>
      </c>
      <c r="E1345" s="161" t="s">
        <v>1596</v>
      </c>
      <c r="F1345" s="162" t="s">
        <v>1857</v>
      </c>
      <c r="G1345" s="161"/>
      <c r="H1345" s="215">
        <v>2</v>
      </c>
      <c r="I1345" s="171"/>
      <c r="J1345" s="173">
        <v>3</v>
      </c>
      <c r="K1345" s="172"/>
      <c r="L1345" s="173">
        <v>6</v>
      </c>
      <c r="M1345" s="171">
        <v>6</v>
      </c>
      <c r="N1345" s="170"/>
      <c r="O1345" s="177" t="s">
        <v>76</v>
      </c>
      <c r="P1345" s="162" t="s">
        <v>1591</v>
      </c>
      <c r="Q1345" s="176"/>
      <c r="R1345" s="174"/>
      <c r="S1345" s="179"/>
      <c r="T1345" s="162" t="s">
        <v>24</v>
      </c>
      <c r="U1345" s="161" t="s">
        <v>14</v>
      </c>
      <c r="V1345" s="174">
        <v>1320</v>
      </c>
      <c r="W1345" s="180"/>
      <c r="X1345" s="185">
        <v>44621</v>
      </c>
      <c r="Y1345" s="187">
        <v>43242.203379629631</v>
      </c>
    </row>
    <row r="1346" spans="1:25">
      <c r="A1346" s="167" t="s">
        <v>45</v>
      </c>
      <c r="B1346" s="162" t="s">
        <v>1555</v>
      </c>
      <c r="C1346" s="163" t="s">
        <v>1276</v>
      </c>
      <c r="D1346" s="162" t="s">
        <v>3604</v>
      </c>
      <c r="E1346" s="161" t="s">
        <v>1596</v>
      </c>
      <c r="F1346" s="164" t="s">
        <v>1857</v>
      </c>
      <c r="G1346" s="161"/>
      <c r="H1346" s="215">
        <v>2</v>
      </c>
      <c r="I1346" s="171"/>
      <c r="J1346" s="173">
        <v>3</v>
      </c>
      <c r="K1346" s="172"/>
      <c r="L1346" s="173">
        <v>6</v>
      </c>
      <c r="M1346" s="171">
        <v>6</v>
      </c>
      <c r="N1346" s="170"/>
      <c r="O1346" s="177" t="s">
        <v>76</v>
      </c>
      <c r="P1346" s="162" t="s">
        <v>1591</v>
      </c>
      <c r="Q1346" s="176"/>
      <c r="R1346" s="175"/>
      <c r="S1346" s="179"/>
      <c r="T1346" s="164" t="s">
        <v>24</v>
      </c>
      <c r="U1346" s="161" t="s">
        <v>14</v>
      </c>
      <c r="V1346" s="175">
        <v>1346</v>
      </c>
      <c r="W1346" s="181"/>
      <c r="X1346" s="186">
        <v>44621</v>
      </c>
      <c r="Y1346" s="187">
        <v>43242.204699074071</v>
      </c>
    </row>
    <row r="1347" spans="1:25">
      <c r="A1347" s="167" t="s">
        <v>110</v>
      </c>
      <c r="B1347" s="162" t="s">
        <v>1599</v>
      </c>
      <c r="C1347" s="163" t="s">
        <v>3605</v>
      </c>
      <c r="D1347" s="162" t="s">
        <v>2466</v>
      </c>
      <c r="E1347" s="161" t="s">
        <v>1625</v>
      </c>
      <c r="F1347" s="164" t="s">
        <v>1609</v>
      </c>
      <c r="G1347" s="161"/>
      <c r="H1347" s="215">
        <v>59</v>
      </c>
      <c r="I1347" s="171">
        <v>6</v>
      </c>
      <c r="J1347" s="173">
        <v>6</v>
      </c>
      <c r="K1347" s="172">
        <v>354</v>
      </c>
      <c r="L1347" s="173">
        <v>354</v>
      </c>
      <c r="M1347" s="171">
        <v>354</v>
      </c>
      <c r="N1347" s="170"/>
      <c r="O1347" s="177" t="s">
        <v>1523</v>
      </c>
      <c r="P1347" s="162" t="s">
        <v>1620</v>
      </c>
      <c r="Q1347" s="176"/>
      <c r="R1347" s="175"/>
      <c r="S1347" s="179"/>
      <c r="T1347" s="164" t="s">
        <v>28</v>
      </c>
      <c r="U1347" s="161" t="s">
        <v>16</v>
      </c>
      <c r="V1347" s="175">
        <v>1286</v>
      </c>
      <c r="W1347" s="181" t="s">
        <v>3606</v>
      </c>
      <c r="X1347" s="186">
        <v>45069</v>
      </c>
      <c r="Y1347" s="187">
        <v>45097.375428240739</v>
      </c>
    </row>
    <row r="1348" spans="1:25">
      <c r="A1348" s="167" t="s">
        <v>45</v>
      </c>
      <c r="B1348" s="162" t="s">
        <v>1599</v>
      </c>
      <c r="C1348" s="163" t="s">
        <v>3607</v>
      </c>
      <c r="D1348" s="162" t="s">
        <v>160</v>
      </c>
      <c r="E1348" s="161" t="s">
        <v>1602</v>
      </c>
      <c r="F1348" s="164" t="s">
        <v>1614</v>
      </c>
      <c r="G1348" s="161"/>
      <c r="H1348" s="215">
        <v>1</v>
      </c>
      <c r="I1348" s="171"/>
      <c r="J1348" s="173"/>
      <c r="K1348" s="172"/>
      <c r="L1348" s="173"/>
      <c r="M1348" s="171"/>
      <c r="N1348" s="170">
        <v>0</v>
      </c>
      <c r="O1348" s="177" t="s">
        <v>1523</v>
      </c>
      <c r="P1348" s="162" t="s">
        <v>1604</v>
      </c>
      <c r="Q1348" s="176"/>
      <c r="R1348" s="175"/>
      <c r="S1348" s="179"/>
      <c r="T1348" s="164" t="s">
        <v>28</v>
      </c>
      <c r="U1348" s="161" t="s">
        <v>19</v>
      </c>
      <c r="V1348" s="175">
        <v>2428</v>
      </c>
      <c r="W1348" s="181"/>
      <c r="X1348" s="186">
        <v>45017</v>
      </c>
      <c r="Y1348" s="187">
        <v>45084.510625000003</v>
      </c>
    </row>
    <row r="1349" spans="1:25">
      <c r="A1349" s="167" t="s">
        <v>45</v>
      </c>
      <c r="B1349" s="162" t="s">
        <v>1599</v>
      </c>
      <c r="C1349" s="163" t="s">
        <v>3608</v>
      </c>
      <c r="D1349" s="162" t="s">
        <v>160</v>
      </c>
      <c r="E1349" s="161" t="s">
        <v>1613</v>
      </c>
      <c r="F1349" s="164" t="s">
        <v>1614</v>
      </c>
      <c r="G1349" s="161"/>
      <c r="H1349" s="215">
        <v>1</v>
      </c>
      <c r="I1349" s="171">
        <v>50</v>
      </c>
      <c r="J1349" s="173">
        <v>50</v>
      </c>
      <c r="K1349" s="172">
        <v>50</v>
      </c>
      <c r="L1349" s="173">
        <v>50</v>
      </c>
      <c r="M1349" s="171">
        <v>50</v>
      </c>
      <c r="N1349" s="170"/>
      <c r="O1349" s="177" t="s">
        <v>1523</v>
      </c>
      <c r="P1349" s="162" t="s">
        <v>1620</v>
      </c>
      <c r="Q1349" s="176"/>
      <c r="R1349" s="175"/>
      <c r="S1349" s="179"/>
      <c r="T1349" s="164" t="s">
        <v>28</v>
      </c>
      <c r="U1349" s="161" t="s">
        <v>1615</v>
      </c>
      <c r="V1349" s="175">
        <v>2427</v>
      </c>
      <c r="W1349" s="181" t="s">
        <v>3992</v>
      </c>
      <c r="X1349" s="186">
        <v>45069</v>
      </c>
      <c r="Y1349" s="187">
        <v>45082.310243055559</v>
      </c>
    </row>
    <row r="1350" spans="1:25">
      <c r="A1350" s="167" t="s">
        <v>110</v>
      </c>
      <c r="B1350" s="162" t="s">
        <v>1555</v>
      </c>
      <c r="C1350" s="163" t="s">
        <v>3609</v>
      </c>
      <c r="D1350" s="162" t="s">
        <v>2206</v>
      </c>
      <c r="E1350" s="161" t="s">
        <v>1716</v>
      </c>
      <c r="F1350" s="162" t="s">
        <v>1658</v>
      </c>
      <c r="G1350" s="161" t="s">
        <v>3610</v>
      </c>
      <c r="H1350" s="215">
        <v>1</v>
      </c>
      <c r="I1350" s="171">
        <v>1.8</v>
      </c>
      <c r="J1350" s="173">
        <v>1.8</v>
      </c>
      <c r="K1350" s="172">
        <v>1.8</v>
      </c>
      <c r="L1350" s="173">
        <v>1.8</v>
      </c>
      <c r="M1350" s="171">
        <v>1.8</v>
      </c>
      <c r="N1350" s="170">
        <v>0</v>
      </c>
      <c r="O1350" s="177" t="s">
        <v>76</v>
      </c>
      <c r="P1350" s="162" t="s">
        <v>1591</v>
      </c>
      <c r="Q1350" s="176"/>
      <c r="R1350" s="174"/>
      <c r="S1350" s="179"/>
      <c r="T1350" s="162" t="s">
        <v>24</v>
      </c>
      <c r="U1350" s="161" t="s">
        <v>17</v>
      </c>
      <c r="V1350" s="174">
        <v>1230</v>
      </c>
      <c r="W1350" s="180"/>
      <c r="X1350" s="185">
        <v>44805</v>
      </c>
      <c r="Y1350" s="187">
        <v>45022.404120370367</v>
      </c>
    </row>
    <row r="1351" spans="1:25">
      <c r="A1351" s="220" t="s">
        <v>45</v>
      </c>
      <c r="B1351" s="221" t="s">
        <v>1599</v>
      </c>
      <c r="C1351" s="222" t="s">
        <v>3844</v>
      </c>
      <c r="D1351" s="221" t="s">
        <v>3845</v>
      </c>
      <c r="E1351" s="223" t="s">
        <v>1602</v>
      </c>
      <c r="F1351" s="224" t="s">
        <v>20</v>
      </c>
      <c r="G1351" s="223"/>
      <c r="H1351" s="215">
        <v>1</v>
      </c>
      <c r="I1351" s="171"/>
      <c r="J1351" s="173">
        <v>250</v>
      </c>
      <c r="K1351" s="172"/>
      <c r="L1351" s="173">
        <v>250</v>
      </c>
      <c r="M1351" s="171">
        <v>250</v>
      </c>
      <c r="N1351" s="229">
        <v>500</v>
      </c>
      <c r="O1351" s="230" t="s">
        <v>1523</v>
      </c>
      <c r="P1351" s="221" t="s">
        <v>1604</v>
      </c>
      <c r="Q1351" s="231"/>
      <c r="R1351" s="232"/>
      <c r="S1351" s="233"/>
      <c r="T1351" s="224" t="s">
        <v>28</v>
      </c>
      <c r="U1351" s="223" t="s">
        <v>19</v>
      </c>
      <c r="V1351" s="232">
        <v>2525</v>
      </c>
      <c r="W1351" s="234"/>
      <c r="X1351" s="235"/>
      <c r="Y1351" s="236">
        <v>45106.466435185182</v>
      </c>
    </row>
    <row r="1352" spans="1:25">
      <c r="A1352" s="167" t="s">
        <v>45</v>
      </c>
      <c r="B1352" s="162" t="s">
        <v>1555</v>
      </c>
      <c r="C1352" s="163" t="s">
        <v>1143</v>
      </c>
      <c r="D1352" s="162" t="s">
        <v>3611</v>
      </c>
      <c r="E1352" s="161" t="s">
        <v>1631</v>
      </c>
      <c r="F1352" s="164" t="s">
        <v>1614</v>
      </c>
      <c r="G1352" s="161"/>
      <c r="H1352" s="215">
        <v>1</v>
      </c>
      <c r="I1352" s="171">
        <v>6.8</v>
      </c>
      <c r="J1352" s="173">
        <v>6.8</v>
      </c>
      <c r="K1352" s="172">
        <v>6.8</v>
      </c>
      <c r="L1352" s="173">
        <v>6.8</v>
      </c>
      <c r="M1352" s="171">
        <v>6.8</v>
      </c>
      <c r="N1352" s="170"/>
      <c r="O1352" s="177" t="s">
        <v>76</v>
      </c>
      <c r="P1352" s="162" t="s">
        <v>1591</v>
      </c>
      <c r="Q1352" s="176"/>
      <c r="R1352" s="175">
        <v>2046</v>
      </c>
      <c r="S1352" s="179"/>
      <c r="T1352" s="164" t="s">
        <v>24</v>
      </c>
      <c r="U1352" s="161" t="s">
        <v>1615</v>
      </c>
      <c r="V1352" s="175">
        <v>1405</v>
      </c>
      <c r="W1352" s="181"/>
      <c r="X1352" s="186">
        <v>44805</v>
      </c>
      <c r="Y1352" s="187">
        <v>45029.581064814818</v>
      </c>
    </row>
    <row r="1353" spans="1:25">
      <c r="A1353" s="167" t="s">
        <v>91</v>
      </c>
      <c r="B1353" s="162" t="s">
        <v>1555</v>
      </c>
      <c r="C1353" s="163" t="s">
        <v>767</v>
      </c>
      <c r="D1353" s="162" t="s">
        <v>768</v>
      </c>
      <c r="E1353" s="161" t="s">
        <v>1625</v>
      </c>
      <c r="F1353" s="164" t="s">
        <v>1609</v>
      </c>
      <c r="G1353" s="161" t="s">
        <v>769</v>
      </c>
      <c r="H1353" s="215">
        <v>24</v>
      </c>
      <c r="I1353" s="171"/>
      <c r="J1353" s="173">
        <v>3.83</v>
      </c>
      <c r="K1353" s="172"/>
      <c r="L1353" s="173">
        <v>91.92</v>
      </c>
      <c r="M1353" s="171">
        <v>91.92</v>
      </c>
      <c r="N1353" s="170"/>
      <c r="O1353" s="177" t="s">
        <v>76</v>
      </c>
      <c r="P1353" s="162" t="s">
        <v>1620</v>
      </c>
      <c r="Q1353" s="176">
        <v>43739</v>
      </c>
      <c r="R1353" s="175">
        <v>2043</v>
      </c>
      <c r="S1353" s="179"/>
      <c r="T1353" s="164" t="s">
        <v>24</v>
      </c>
      <c r="U1353" s="161" t="s">
        <v>16</v>
      </c>
      <c r="V1353" s="175">
        <v>1231</v>
      </c>
      <c r="W1353" s="181"/>
      <c r="X1353" s="186">
        <v>45017</v>
      </c>
      <c r="Y1353" s="187">
        <v>45020.520983796298</v>
      </c>
    </row>
    <row r="1354" spans="1:25">
      <c r="A1354" s="167" t="s">
        <v>91</v>
      </c>
      <c r="B1354" s="162" t="s">
        <v>1555</v>
      </c>
      <c r="C1354" s="163" t="s">
        <v>767</v>
      </c>
      <c r="D1354" s="162" t="s">
        <v>768</v>
      </c>
      <c r="E1354" s="161" t="s">
        <v>1625</v>
      </c>
      <c r="F1354" s="164" t="s">
        <v>1609</v>
      </c>
      <c r="G1354" s="161" t="s">
        <v>769</v>
      </c>
      <c r="H1354" s="215">
        <v>8</v>
      </c>
      <c r="I1354" s="171"/>
      <c r="J1354" s="173">
        <v>3.43</v>
      </c>
      <c r="K1354" s="172"/>
      <c r="L1354" s="173">
        <v>27.44</v>
      </c>
      <c r="M1354" s="171">
        <v>27.44</v>
      </c>
      <c r="N1354" s="170"/>
      <c r="O1354" s="177" t="s">
        <v>76</v>
      </c>
      <c r="P1354" s="162" t="s">
        <v>1620</v>
      </c>
      <c r="Q1354" s="176">
        <v>43739</v>
      </c>
      <c r="R1354" s="175">
        <v>2043</v>
      </c>
      <c r="S1354" s="179"/>
      <c r="T1354" s="164" t="s">
        <v>24</v>
      </c>
      <c r="U1354" s="161" t="s">
        <v>16</v>
      </c>
      <c r="V1354" s="175">
        <v>1231</v>
      </c>
      <c r="W1354" s="181"/>
      <c r="X1354" s="186">
        <v>45017</v>
      </c>
      <c r="Y1354" s="187">
        <v>45020.520983796298</v>
      </c>
    </row>
    <row r="1355" spans="1:25">
      <c r="A1355" s="167" t="s">
        <v>110</v>
      </c>
      <c r="B1355" s="162" t="s">
        <v>1599</v>
      </c>
      <c r="C1355" s="163" t="s">
        <v>3612</v>
      </c>
      <c r="D1355" s="162" t="s">
        <v>3323</v>
      </c>
      <c r="E1355" s="161" t="s">
        <v>1613</v>
      </c>
      <c r="F1355" s="164" t="s">
        <v>1614</v>
      </c>
      <c r="G1355" s="161"/>
      <c r="H1355" s="215">
        <v>1</v>
      </c>
      <c r="I1355" s="171">
        <v>200</v>
      </c>
      <c r="J1355" s="173">
        <v>200</v>
      </c>
      <c r="K1355" s="172">
        <v>200</v>
      </c>
      <c r="L1355" s="173">
        <v>200</v>
      </c>
      <c r="M1355" s="171">
        <v>200</v>
      </c>
      <c r="N1355" s="170"/>
      <c r="O1355" s="177" t="s">
        <v>1523</v>
      </c>
      <c r="P1355" s="162" t="s">
        <v>1604</v>
      </c>
      <c r="Q1355" s="176"/>
      <c r="R1355" s="175"/>
      <c r="S1355" s="179"/>
      <c r="T1355" s="164" t="s">
        <v>28</v>
      </c>
      <c r="U1355" s="161" t="s">
        <v>1615</v>
      </c>
      <c r="V1355" s="175">
        <v>2400</v>
      </c>
      <c r="W1355" s="181" t="s">
        <v>3613</v>
      </c>
      <c r="X1355" s="186">
        <v>45017</v>
      </c>
      <c r="Y1355" s="187">
        <v>44932.34270833333</v>
      </c>
    </row>
    <row r="1356" spans="1:25">
      <c r="A1356" s="167" t="s">
        <v>110</v>
      </c>
      <c r="B1356" s="162" t="s">
        <v>1599</v>
      </c>
      <c r="C1356" s="163" t="s">
        <v>3614</v>
      </c>
      <c r="D1356" s="162" t="s">
        <v>3615</v>
      </c>
      <c r="E1356" s="161" t="s">
        <v>1625</v>
      </c>
      <c r="F1356" s="164" t="s">
        <v>1609</v>
      </c>
      <c r="G1356" s="161"/>
      <c r="H1356" s="215">
        <v>1</v>
      </c>
      <c r="I1356" s="171">
        <v>80</v>
      </c>
      <c r="J1356" s="173">
        <v>80</v>
      </c>
      <c r="K1356" s="172">
        <v>80</v>
      </c>
      <c r="L1356" s="173">
        <v>80</v>
      </c>
      <c r="M1356" s="171">
        <v>80</v>
      </c>
      <c r="N1356" s="170"/>
      <c r="O1356" s="177" t="s">
        <v>1523</v>
      </c>
      <c r="P1356" s="162" t="s">
        <v>1604</v>
      </c>
      <c r="Q1356" s="176"/>
      <c r="R1356" s="175"/>
      <c r="S1356" s="179"/>
      <c r="T1356" s="164" t="s">
        <v>28</v>
      </c>
      <c r="U1356" s="161" t="s">
        <v>16</v>
      </c>
      <c r="V1356" s="175">
        <v>2355</v>
      </c>
      <c r="W1356" s="181" t="s">
        <v>3616</v>
      </c>
      <c r="X1356" s="186">
        <v>45017</v>
      </c>
      <c r="Y1356" s="187">
        <v>44945.308692129627</v>
      </c>
    </row>
    <row r="1357" spans="1:25">
      <c r="A1357" s="167" t="s">
        <v>110</v>
      </c>
      <c r="B1357" s="162" t="s">
        <v>1599</v>
      </c>
      <c r="C1357" s="163" t="s">
        <v>3617</v>
      </c>
      <c r="D1357" s="162" t="s">
        <v>3278</v>
      </c>
      <c r="E1357" s="161" t="s">
        <v>1673</v>
      </c>
      <c r="F1357" s="164" t="s">
        <v>1603</v>
      </c>
      <c r="G1357" s="161"/>
      <c r="H1357" s="215">
        <v>1</v>
      </c>
      <c r="I1357" s="171">
        <v>220</v>
      </c>
      <c r="J1357" s="173">
        <v>220</v>
      </c>
      <c r="K1357" s="172">
        <v>220</v>
      </c>
      <c r="L1357" s="173">
        <v>220</v>
      </c>
      <c r="M1357" s="171">
        <v>220</v>
      </c>
      <c r="N1357" s="170"/>
      <c r="O1357" s="177" t="s">
        <v>1523</v>
      </c>
      <c r="P1357" s="162" t="s">
        <v>1604</v>
      </c>
      <c r="Q1357" s="176"/>
      <c r="R1357" s="175"/>
      <c r="S1357" s="179"/>
      <c r="T1357" s="164" t="s">
        <v>28</v>
      </c>
      <c r="U1357" s="161" t="s">
        <v>13</v>
      </c>
      <c r="V1357" s="175">
        <v>2357</v>
      </c>
      <c r="W1357" s="181" t="s">
        <v>3618</v>
      </c>
      <c r="X1357" s="186">
        <v>45017</v>
      </c>
      <c r="Y1357" s="187">
        <v>44945.308958333335</v>
      </c>
    </row>
    <row r="1358" spans="1:25">
      <c r="A1358" s="167" t="s">
        <v>77</v>
      </c>
      <c r="B1358" s="162" t="s">
        <v>1555</v>
      </c>
      <c r="C1358" s="163" t="s">
        <v>3619</v>
      </c>
      <c r="D1358" s="162" t="s">
        <v>442</v>
      </c>
      <c r="E1358" s="161" t="s">
        <v>1625</v>
      </c>
      <c r="F1358" s="164" t="s">
        <v>1609</v>
      </c>
      <c r="G1358" s="161" t="s">
        <v>3620</v>
      </c>
      <c r="H1358" s="215">
        <v>20</v>
      </c>
      <c r="I1358" s="171">
        <v>0.6</v>
      </c>
      <c r="J1358" s="173">
        <v>0.6</v>
      </c>
      <c r="K1358" s="172">
        <v>12</v>
      </c>
      <c r="L1358" s="173">
        <v>12</v>
      </c>
      <c r="M1358" s="171">
        <v>12</v>
      </c>
      <c r="N1358" s="170"/>
      <c r="O1358" s="177" t="s">
        <v>76</v>
      </c>
      <c r="P1358" s="162" t="s">
        <v>1591</v>
      </c>
      <c r="Q1358" s="176"/>
      <c r="R1358" s="175">
        <v>2030</v>
      </c>
      <c r="S1358" s="179"/>
      <c r="T1358" s="164" t="s">
        <v>24</v>
      </c>
      <c r="U1358" s="161" t="s">
        <v>16</v>
      </c>
      <c r="V1358" s="175">
        <v>1232</v>
      </c>
      <c r="W1358" s="181"/>
      <c r="X1358" s="186">
        <v>44621</v>
      </c>
      <c r="Y1358" s="187">
        <v>45029.645462962966</v>
      </c>
    </row>
    <row r="1359" spans="1:25">
      <c r="A1359" s="167" t="s">
        <v>91</v>
      </c>
      <c r="B1359" s="162" t="s">
        <v>1555</v>
      </c>
      <c r="C1359" s="163" t="s">
        <v>3621</v>
      </c>
      <c r="D1359" s="162" t="s">
        <v>225</v>
      </c>
      <c r="E1359" s="161" t="s">
        <v>1596</v>
      </c>
      <c r="F1359" s="164" t="s">
        <v>1627</v>
      </c>
      <c r="G1359" s="161"/>
      <c r="H1359" s="215">
        <v>4</v>
      </c>
      <c r="I1359" s="171"/>
      <c r="J1359" s="173">
        <v>1.03</v>
      </c>
      <c r="K1359" s="172"/>
      <c r="L1359" s="173">
        <v>4.0999999999999996</v>
      </c>
      <c r="M1359" s="171">
        <v>4.0999999999999996</v>
      </c>
      <c r="N1359" s="170"/>
      <c r="O1359" s="177" t="s">
        <v>76</v>
      </c>
      <c r="P1359" s="162" t="s">
        <v>1591</v>
      </c>
      <c r="Q1359" s="176"/>
      <c r="R1359" s="175">
        <v>2035</v>
      </c>
      <c r="S1359" s="179"/>
      <c r="T1359" s="164" t="s">
        <v>24</v>
      </c>
      <c r="U1359" s="161" t="s">
        <v>18</v>
      </c>
      <c r="V1359" s="175">
        <v>1234</v>
      </c>
      <c r="W1359" s="181"/>
      <c r="X1359" s="186">
        <v>44621</v>
      </c>
      <c r="Y1359" s="187">
        <v>44981.39435185185</v>
      </c>
    </row>
    <row r="1360" spans="1:25">
      <c r="A1360" s="167" t="s">
        <v>91</v>
      </c>
      <c r="B1360" s="162" t="s">
        <v>1555</v>
      </c>
      <c r="C1360" s="163" t="s">
        <v>3622</v>
      </c>
      <c r="D1360" s="162" t="s">
        <v>225</v>
      </c>
      <c r="E1360" s="161" t="s">
        <v>1596</v>
      </c>
      <c r="F1360" s="164" t="s">
        <v>1627</v>
      </c>
      <c r="G1360" s="161"/>
      <c r="H1360" s="215">
        <v>4</v>
      </c>
      <c r="I1360" s="171"/>
      <c r="J1360" s="173">
        <v>1.03</v>
      </c>
      <c r="K1360" s="172"/>
      <c r="L1360" s="173">
        <v>4.0999999999999996</v>
      </c>
      <c r="M1360" s="171">
        <v>4.0999999999999996</v>
      </c>
      <c r="N1360" s="170"/>
      <c r="O1360" s="177" t="s">
        <v>76</v>
      </c>
      <c r="P1360" s="162" t="s">
        <v>1591</v>
      </c>
      <c r="Q1360" s="176"/>
      <c r="R1360" s="175">
        <v>2030</v>
      </c>
      <c r="S1360" s="179"/>
      <c r="T1360" s="164" t="s">
        <v>24</v>
      </c>
      <c r="U1360" s="161" t="s">
        <v>18</v>
      </c>
      <c r="V1360" s="175">
        <v>1324</v>
      </c>
      <c r="W1360" s="181"/>
      <c r="X1360" s="186">
        <v>44621</v>
      </c>
      <c r="Y1360" s="187">
        <v>44981.409988425927</v>
      </c>
    </row>
    <row r="1361" spans="1:25">
      <c r="A1361" s="167" t="s">
        <v>45</v>
      </c>
      <c r="B1361" s="162" t="s">
        <v>1599</v>
      </c>
      <c r="C1361" s="163" t="s">
        <v>3623</v>
      </c>
      <c r="D1361" s="162" t="s">
        <v>3624</v>
      </c>
      <c r="E1361" s="161" t="s">
        <v>1625</v>
      </c>
      <c r="F1361" s="164" t="s">
        <v>1609</v>
      </c>
      <c r="G1361" s="161"/>
      <c r="H1361" s="215">
        <v>119</v>
      </c>
      <c r="I1361" s="171">
        <v>6.2</v>
      </c>
      <c r="J1361" s="173">
        <v>6.2</v>
      </c>
      <c r="K1361" s="172">
        <v>737.8</v>
      </c>
      <c r="L1361" s="173">
        <v>737.8</v>
      </c>
      <c r="M1361" s="171">
        <v>737.8</v>
      </c>
      <c r="N1361" s="170"/>
      <c r="O1361" s="177" t="s">
        <v>1523</v>
      </c>
      <c r="P1361" s="162" t="s">
        <v>1620</v>
      </c>
      <c r="Q1361" s="176">
        <v>46722</v>
      </c>
      <c r="R1361" s="175">
        <v>2057</v>
      </c>
      <c r="S1361" s="179"/>
      <c r="T1361" s="164" t="s">
        <v>28</v>
      </c>
      <c r="U1361" s="161" t="s">
        <v>16</v>
      </c>
      <c r="V1361" s="175">
        <v>1868</v>
      </c>
      <c r="W1361" s="181"/>
      <c r="X1361" s="186">
        <v>45069</v>
      </c>
      <c r="Y1361" s="187">
        <v>45098.361064814817</v>
      </c>
    </row>
    <row r="1362" spans="1:25">
      <c r="A1362" s="167" t="s">
        <v>110</v>
      </c>
      <c r="B1362" s="162" t="s">
        <v>1599</v>
      </c>
      <c r="C1362" s="163" t="s">
        <v>3625</v>
      </c>
      <c r="D1362" s="162" t="s">
        <v>3626</v>
      </c>
      <c r="E1362" s="161" t="s">
        <v>1596</v>
      </c>
      <c r="F1362" s="164" t="s">
        <v>1590</v>
      </c>
      <c r="G1362" s="161"/>
      <c r="H1362" s="215">
        <v>1</v>
      </c>
      <c r="I1362" s="171">
        <v>0</v>
      </c>
      <c r="J1362" s="173">
        <v>200</v>
      </c>
      <c r="K1362" s="172">
        <v>0</v>
      </c>
      <c r="L1362" s="173">
        <v>200</v>
      </c>
      <c r="M1362" s="171">
        <v>200</v>
      </c>
      <c r="N1362" s="170">
        <v>0</v>
      </c>
      <c r="O1362" s="177" t="s">
        <v>1523</v>
      </c>
      <c r="P1362" s="162" t="s">
        <v>1619</v>
      </c>
      <c r="Q1362" s="176"/>
      <c r="R1362" s="175">
        <v>2050</v>
      </c>
      <c r="S1362" s="179"/>
      <c r="T1362" s="164" t="s">
        <v>28</v>
      </c>
      <c r="U1362" s="161" t="s">
        <v>14</v>
      </c>
      <c r="V1362" s="175">
        <v>1984</v>
      </c>
      <c r="W1362" s="181" t="s">
        <v>3627</v>
      </c>
      <c r="X1362" s="186">
        <v>45069</v>
      </c>
      <c r="Y1362" s="187">
        <v>44937.644988425927</v>
      </c>
    </row>
    <row r="1363" spans="1:25">
      <c r="A1363" s="167" t="s">
        <v>110</v>
      </c>
      <c r="B1363" s="162" t="s">
        <v>1555</v>
      </c>
      <c r="C1363" s="163" t="s">
        <v>451</v>
      </c>
      <c r="D1363" s="162" t="s">
        <v>452</v>
      </c>
      <c r="E1363" s="161" t="s">
        <v>1631</v>
      </c>
      <c r="F1363" s="164" t="s">
        <v>1614</v>
      </c>
      <c r="G1363" s="161" t="s">
        <v>453</v>
      </c>
      <c r="H1363" s="215">
        <v>1</v>
      </c>
      <c r="I1363" s="171"/>
      <c r="J1363" s="173">
        <v>85</v>
      </c>
      <c r="K1363" s="172"/>
      <c r="L1363" s="173">
        <v>85</v>
      </c>
      <c r="M1363" s="171">
        <v>85</v>
      </c>
      <c r="N1363" s="170"/>
      <c r="O1363" s="177" t="s">
        <v>76</v>
      </c>
      <c r="P1363" s="162" t="s">
        <v>1620</v>
      </c>
      <c r="Q1363" s="176"/>
      <c r="R1363" s="175">
        <v>2051</v>
      </c>
      <c r="S1363" s="179"/>
      <c r="T1363" s="164" t="s">
        <v>24</v>
      </c>
      <c r="U1363" s="161" t="s">
        <v>1615</v>
      </c>
      <c r="V1363" s="175">
        <v>1674</v>
      </c>
      <c r="W1363" s="181"/>
      <c r="X1363" s="186">
        <v>45017</v>
      </c>
      <c r="Y1363" s="187">
        <v>45077.631030092591</v>
      </c>
    </row>
    <row r="1364" spans="1:25">
      <c r="A1364" s="167" t="s">
        <v>77</v>
      </c>
      <c r="B1364" s="162" t="s">
        <v>1555</v>
      </c>
      <c r="C1364" s="163" t="s">
        <v>3628</v>
      </c>
      <c r="D1364" s="162" t="s">
        <v>1715</v>
      </c>
      <c r="E1364" s="161" t="s">
        <v>1657</v>
      </c>
      <c r="F1364" s="164" t="s">
        <v>1658</v>
      </c>
      <c r="G1364" s="161" t="s">
        <v>3629</v>
      </c>
      <c r="H1364" s="215">
        <v>1</v>
      </c>
      <c r="I1364" s="171"/>
      <c r="J1364" s="173">
        <v>285</v>
      </c>
      <c r="K1364" s="172"/>
      <c r="L1364" s="173">
        <v>285</v>
      </c>
      <c r="M1364" s="171">
        <v>285</v>
      </c>
      <c r="N1364" s="170">
        <v>2500</v>
      </c>
      <c r="O1364" s="177" t="s">
        <v>76</v>
      </c>
      <c r="P1364" s="162" t="s">
        <v>1619</v>
      </c>
      <c r="Q1364" s="176"/>
      <c r="R1364" s="175">
        <v>2084</v>
      </c>
      <c r="S1364" s="179"/>
      <c r="T1364" s="164" t="s">
        <v>24</v>
      </c>
      <c r="U1364" s="161" t="s">
        <v>17</v>
      </c>
      <c r="V1364" s="175">
        <v>1235</v>
      </c>
      <c r="W1364" s="181"/>
      <c r="X1364" s="186">
        <v>45017</v>
      </c>
      <c r="Y1364" s="187">
        <v>45085.460729166669</v>
      </c>
    </row>
    <row r="1365" spans="1:25">
      <c r="A1365" s="167" t="s">
        <v>77</v>
      </c>
      <c r="B1365" s="162" t="s">
        <v>1555</v>
      </c>
      <c r="C1365" s="163" t="s">
        <v>3628</v>
      </c>
      <c r="D1365" s="162" t="s">
        <v>1715</v>
      </c>
      <c r="E1365" s="161" t="s">
        <v>1657</v>
      </c>
      <c r="F1365" s="164" t="s">
        <v>1658</v>
      </c>
      <c r="G1365" s="161" t="s">
        <v>3630</v>
      </c>
      <c r="H1365" s="215">
        <v>1</v>
      </c>
      <c r="I1365" s="171"/>
      <c r="J1365" s="173">
        <v>285</v>
      </c>
      <c r="K1365" s="172"/>
      <c r="L1365" s="173">
        <v>285</v>
      </c>
      <c r="M1365" s="171">
        <v>285</v>
      </c>
      <c r="N1365" s="170">
        <v>2500</v>
      </c>
      <c r="O1365" s="177" t="s">
        <v>76</v>
      </c>
      <c r="P1365" s="162" t="s">
        <v>1619</v>
      </c>
      <c r="Q1365" s="176"/>
      <c r="R1365" s="175">
        <v>2084</v>
      </c>
      <c r="S1365" s="179"/>
      <c r="T1365" s="164" t="s">
        <v>24</v>
      </c>
      <c r="U1365" s="161" t="s">
        <v>17</v>
      </c>
      <c r="V1365" s="175">
        <v>1235</v>
      </c>
      <c r="W1365" s="181"/>
      <c r="X1365" s="186">
        <v>45017</v>
      </c>
      <c r="Y1365" s="187">
        <v>45085.460729166669</v>
      </c>
    </row>
    <row r="1366" spans="1:25">
      <c r="A1366" s="167" t="s">
        <v>110</v>
      </c>
      <c r="B1366" s="162" t="s">
        <v>1599</v>
      </c>
      <c r="C1366" s="163" t="s">
        <v>3631</v>
      </c>
      <c r="D1366" s="162" t="s">
        <v>3632</v>
      </c>
      <c r="E1366" s="161" t="s">
        <v>1631</v>
      </c>
      <c r="F1366" s="164" t="s">
        <v>1614</v>
      </c>
      <c r="G1366" s="161"/>
      <c r="H1366" s="215">
        <v>19</v>
      </c>
      <c r="I1366" s="171"/>
      <c r="J1366" s="173">
        <v>4</v>
      </c>
      <c r="K1366" s="172"/>
      <c r="L1366" s="173">
        <v>76</v>
      </c>
      <c r="M1366" s="171">
        <v>76</v>
      </c>
      <c r="N1366" s="170"/>
      <c r="O1366" s="177" t="s">
        <v>1523</v>
      </c>
      <c r="P1366" s="162" t="s">
        <v>1620</v>
      </c>
      <c r="Q1366" s="176"/>
      <c r="R1366" s="175"/>
      <c r="S1366" s="179"/>
      <c r="T1366" s="164" t="s">
        <v>28</v>
      </c>
      <c r="U1366" s="161" t="s">
        <v>1615</v>
      </c>
      <c r="V1366" s="175">
        <v>1996</v>
      </c>
      <c r="W1366" s="181"/>
      <c r="X1366" s="186">
        <v>45017</v>
      </c>
      <c r="Y1366" s="187">
        <v>44981.413229166668</v>
      </c>
    </row>
    <row r="1367" spans="1:25">
      <c r="A1367" s="167" t="s">
        <v>45</v>
      </c>
      <c r="B1367" s="162" t="s">
        <v>1599</v>
      </c>
      <c r="C1367" s="163" t="s">
        <v>182</v>
      </c>
      <c r="D1367" s="162" t="s">
        <v>183</v>
      </c>
      <c r="E1367" s="161" t="s">
        <v>1631</v>
      </c>
      <c r="F1367" s="164" t="s">
        <v>1614</v>
      </c>
      <c r="G1367" s="161" t="s">
        <v>3633</v>
      </c>
      <c r="H1367" s="215">
        <v>1</v>
      </c>
      <c r="I1367" s="171">
        <v>0</v>
      </c>
      <c r="J1367" s="173">
        <v>280</v>
      </c>
      <c r="K1367" s="172">
        <v>0</v>
      </c>
      <c r="L1367" s="173">
        <v>280</v>
      </c>
      <c r="M1367" s="171">
        <v>280</v>
      </c>
      <c r="N1367" s="170"/>
      <c r="O1367" s="177" t="s">
        <v>26</v>
      </c>
      <c r="P1367" s="162" t="s">
        <v>1620</v>
      </c>
      <c r="Q1367" s="176">
        <v>45444</v>
      </c>
      <c r="R1367" s="175">
        <v>2054</v>
      </c>
      <c r="S1367" s="179"/>
      <c r="T1367" s="164" t="s">
        <v>26</v>
      </c>
      <c r="U1367" s="161" t="s">
        <v>1615</v>
      </c>
      <c r="V1367" s="175">
        <v>1716</v>
      </c>
      <c r="W1367" s="181"/>
      <c r="X1367" s="186">
        <v>45069</v>
      </c>
      <c r="Y1367" s="187">
        <v>45097.476111111115</v>
      </c>
    </row>
    <row r="1368" spans="1:25">
      <c r="A1368" s="167" t="s">
        <v>110</v>
      </c>
      <c r="B1368" s="162" t="s">
        <v>1555</v>
      </c>
      <c r="C1368" s="163" t="s">
        <v>3634</v>
      </c>
      <c r="D1368" s="162" t="s">
        <v>403</v>
      </c>
      <c r="E1368" s="161" t="s">
        <v>1596</v>
      </c>
      <c r="F1368" s="164" t="s">
        <v>1627</v>
      </c>
      <c r="G1368" s="161"/>
      <c r="H1368" s="215">
        <v>7</v>
      </c>
      <c r="I1368" s="171"/>
      <c r="J1368" s="173">
        <v>1.1200000000000001</v>
      </c>
      <c r="K1368" s="172"/>
      <c r="L1368" s="173">
        <v>7.86</v>
      </c>
      <c r="M1368" s="171">
        <v>7.86</v>
      </c>
      <c r="N1368" s="170"/>
      <c r="O1368" s="177" t="s">
        <v>76</v>
      </c>
      <c r="P1368" s="162" t="s">
        <v>1591</v>
      </c>
      <c r="Q1368" s="176"/>
      <c r="R1368" s="175">
        <v>2042</v>
      </c>
      <c r="S1368" s="179"/>
      <c r="T1368" s="164" t="s">
        <v>24</v>
      </c>
      <c r="U1368" s="161" t="s">
        <v>18</v>
      </c>
      <c r="V1368" s="175">
        <v>1238</v>
      </c>
      <c r="W1368" s="181"/>
      <c r="X1368" s="186">
        <v>44621</v>
      </c>
      <c r="Y1368" s="187">
        <v>44981.395520833335</v>
      </c>
    </row>
    <row r="1369" spans="1:25">
      <c r="A1369" s="167" t="s">
        <v>110</v>
      </c>
      <c r="B1369" s="162" t="s">
        <v>1599</v>
      </c>
      <c r="C1369" s="163" t="s">
        <v>3635</v>
      </c>
      <c r="D1369" s="162" t="s">
        <v>3278</v>
      </c>
      <c r="E1369" s="161" t="s">
        <v>1673</v>
      </c>
      <c r="F1369" s="164" t="s">
        <v>1603</v>
      </c>
      <c r="G1369" s="161"/>
      <c r="H1369" s="215">
        <v>1</v>
      </c>
      <c r="I1369" s="171">
        <v>600</v>
      </c>
      <c r="J1369" s="173">
        <v>600</v>
      </c>
      <c r="K1369" s="172">
        <v>600</v>
      </c>
      <c r="L1369" s="173">
        <v>600</v>
      </c>
      <c r="M1369" s="171">
        <v>600</v>
      </c>
      <c r="N1369" s="170"/>
      <c r="O1369" s="177" t="s">
        <v>1523</v>
      </c>
      <c r="P1369" s="162" t="s">
        <v>1604</v>
      </c>
      <c r="Q1369" s="176"/>
      <c r="R1369" s="175"/>
      <c r="S1369" s="179"/>
      <c r="T1369" s="164" t="s">
        <v>28</v>
      </c>
      <c r="U1369" s="161" t="s">
        <v>13</v>
      </c>
      <c r="V1369" s="175">
        <v>2358</v>
      </c>
      <c r="W1369" s="181" t="s">
        <v>3636</v>
      </c>
      <c r="X1369" s="186">
        <v>45017</v>
      </c>
      <c r="Y1369" s="187">
        <v>44945.309247685182</v>
      </c>
    </row>
    <row r="1370" spans="1:25">
      <c r="A1370" s="167" t="s">
        <v>110</v>
      </c>
      <c r="B1370" s="162" t="s">
        <v>1555</v>
      </c>
      <c r="C1370" s="163" t="s">
        <v>3637</v>
      </c>
      <c r="D1370" s="162" t="s">
        <v>3638</v>
      </c>
      <c r="E1370" s="161" t="s">
        <v>1625</v>
      </c>
      <c r="F1370" s="164" t="s">
        <v>1609</v>
      </c>
      <c r="G1370" s="161" t="s">
        <v>3639</v>
      </c>
      <c r="H1370" s="215">
        <v>6</v>
      </c>
      <c r="I1370" s="171">
        <v>2</v>
      </c>
      <c r="J1370" s="173">
        <v>2</v>
      </c>
      <c r="K1370" s="172">
        <v>12</v>
      </c>
      <c r="L1370" s="173">
        <v>12</v>
      </c>
      <c r="M1370" s="171">
        <v>12</v>
      </c>
      <c r="N1370" s="170"/>
      <c r="O1370" s="177" t="s">
        <v>76</v>
      </c>
      <c r="P1370" s="162" t="s">
        <v>1591</v>
      </c>
      <c r="Q1370" s="176"/>
      <c r="R1370" s="175"/>
      <c r="S1370" s="179"/>
      <c r="T1370" s="164" t="s">
        <v>24</v>
      </c>
      <c r="U1370" s="161" t="s">
        <v>16</v>
      </c>
      <c r="V1370" s="175">
        <v>1239</v>
      </c>
      <c r="W1370" s="181"/>
      <c r="X1370" s="186">
        <v>44805</v>
      </c>
      <c r="Y1370" s="187">
        <v>43204.288680555554</v>
      </c>
    </row>
    <row r="1371" spans="1:25">
      <c r="A1371" s="220" t="s">
        <v>77</v>
      </c>
      <c r="B1371" s="221" t="s">
        <v>1599</v>
      </c>
      <c r="C1371" s="222" t="s">
        <v>3898</v>
      </c>
      <c r="D1371" s="221" t="s">
        <v>324</v>
      </c>
      <c r="E1371" s="223" t="s">
        <v>1613</v>
      </c>
      <c r="F1371" s="224" t="s">
        <v>1615</v>
      </c>
      <c r="G1371" s="223"/>
      <c r="H1371" s="215">
        <v>1</v>
      </c>
      <c r="I1371" s="171"/>
      <c r="J1371" s="173">
        <v>250</v>
      </c>
      <c r="K1371" s="172"/>
      <c r="L1371" s="173">
        <v>250</v>
      </c>
      <c r="M1371" s="171">
        <v>250</v>
      </c>
      <c r="N1371" s="229"/>
      <c r="O1371" s="230" t="s">
        <v>1523</v>
      </c>
      <c r="P1371" s="221" t="s">
        <v>1604</v>
      </c>
      <c r="Q1371" s="231"/>
      <c r="R1371" s="232"/>
      <c r="S1371" s="233"/>
      <c r="T1371" s="224" t="s">
        <v>28</v>
      </c>
      <c r="U1371" s="223" t="s">
        <v>1615</v>
      </c>
      <c r="V1371" s="232">
        <v>2561</v>
      </c>
      <c r="W1371" s="234" t="s">
        <v>3949</v>
      </c>
      <c r="X1371" s="235"/>
      <c r="Y1371" s="236">
        <v>45111.593055555553</v>
      </c>
    </row>
    <row r="1372" spans="1:25">
      <c r="A1372" s="167" t="s">
        <v>45</v>
      </c>
      <c r="B1372" s="162" t="s">
        <v>1599</v>
      </c>
      <c r="C1372" s="163" t="s">
        <v>3640</v>
      </c>
      <c r="D1372" s="162" t="s">
        <v>3641</v>
      </c>
      <c r="E1372" s="161" t="s">
        <v>1602</v>
      </c>
      <c r="F1372" s="164" t="s">
        <v>1603</v>
      </c>
      <c r="G1372" s="161"/>
      <c r="H1372" s="215">
        <v>1</v>
      </c>
      <c r="I1372" s="171"/>
      <c r="J1372" s="173">
        <v>300</v>
      </c>
      <c r="K1372" s="172"/>
      <c r="L1372" s="173">
        <v>300</v>
      </c>
      <c r="M1372" s="171">
        <v>300</v>
      </c>
      <c r="N1372" s="170">
        <v>0</v>
      </c>
      <c r="O1372" s="177" t="s">
        <v>1523</v>
      </c>
      <c r="P1372" s="162" t="s">
        <v>1619</v>
      </c>
      <c r="Q1372" s="176"/>
      <c r="R1372" s="175"/>
      <c r="S1372" s="179"/>
      <c r="T1372" s="164" t="s">
        <v>28</v>
      </c>
      <c r="U1372" s="161" t="s">
        <v>19</v>
      </c>
      <c r="V1372" s="175">
        <v>1941</v>
      </c>
      <c r="W1372" s="181" t="s">
        <v>3642</v>
      </c>
      <c r="X1372" s="186">
        <v>45017</v>
      </c>
      <c r="Y1372" s="187">
        <v>44938.56758101852</v>
      </c>
    </row>
    <row r="1373" spans="1:25">
      <c r="A1373" s="167" t="s">
        <v>45</v>
      </c>
      <c r="B1373" s="162" t="s">
        <v>1555</v>
      </c>
      <c r="C1373" s="163" t="s">
        <v>3643</v>
      </c>
      <c r="D1373" s="162" t="s">
        <v>3644</v>
      </c>
      <c r="E1373" s="161" t="s">
        <v>1596</v>
      </c>
      <c r="F1373" s="164" t="s">
        <v>1603</v>
      </c>
      <c r="G1373" s="161" t="s">
        <v>3645</v>
      </c>
      <c r="H1373" s="215">
        <v>7</v>
      </c>
      <c r="I1373" s="171"/>
      <c r="J1373" s="173">
        <v>1.07</v>
      </c>
      <c r="K1373" s="172"/>
      <c r="L1373" s="173">
        <v>7.46</v>
      </c>
      <c r="M1373" s="171">
        <v>7.46</v>
      </c>
      <c r="N1373" s="170"/>
      <c r="O1373" s="177" t="s">
        <v>76</v>
      </c>
      <c r="P1373" s="162" t="s">
        <v>1591</v>
      </c>
      <c r="Q1373" s="176"/>
      <c r="R1373" s="175"/>
      <c r="S1373" s="179"/>
      <c r="T1373" s="164" t="s">
        <v>24</v>
      </c>
      <c r="U1373" s="161" t="s">
        <v>20</v>
      </c>
      <c r="V1373" s="175">
        <v>1241</v>
      </c>
      <c r="W1373" s="181"/>
      <c r="X1373" s="186">
        <v>44805</v>
      </c>
      <c r="Y1373" s="187">
        <v>43245.097013888888</v>
      </c>
    </row>
    <row r="1374" spans="1:25">
      <c r="A1374" s="167" t="s">
        <v>45</v>
      </c>
      <c r="B1374" s="162" t="s">
        <v>1555</v>
      </c>
      <c r="C1374" s="163" t="s">
        <v>3646</v>
      </c>
      <c r="D1374" s="162" t="s">
        <v>3647</v>
      </c>
      <c r="E1374" s="161" t="s">
        <v>1625</v>
      </c>
      <c r="F1374" s="164" t="s">
        <v>1609</v>
      </c>
      <c r="G1374" s="161" t="s">
        <v>3648</v>
      </c>
      <c r="H1374" s="215">
        <v>23</v>
      </c>
      <c r="I1374" s="171">
        <v>2.1</v>
      </c>
      <c r="J1374" s="173">
        <v>2.1</v>
      </c>
      <c r="K1374" s="172">
        <v>48.3</v>
      </c>
      <c r="L1374" s="173">
        <v>48.3</v>
      </c>
      <c r="M1374" s="171">
        <v>48.3</v>
      </c>
      <c r="N1374" s="170"/>
      <c r="O1374" s="177" t="s">
        <v>76</v>
      </c>
      <c r="P1374" s="162" t="s">
        <v>1620</v>
      </c>
      <c r="Q1374" s="176"/>
      <c r="R1374" s="175">
        <v>2041</v>
      </c>
      <c r="S1374" s="179"/>
      <c r="T1374" s="164" t="s">
        <v>24</v>
      </c>
      <c r="U1374" s="161" t="s">
        <v>16</v>
      </c>
      <c r="V1374" s="175">
        <v>1240</v>
      </c>
      <c r="W1374" s="181"/>
      <c r="X1374" s="186">
        <v>45017</v>
      </c>
      <c r="Y1374" s="187">
        <v>45020.580451388887</v>
      </c>
    </row>
    <row r="1375" spans="1:25">
      <c r="A1375" s="220" t="s">
        <v>77</v>
      </c>
      <c r="B1375" s="221" t="s">
        <v>1599</v>
      </c>
      <c r="C1375" s="222" t="s">
        <v>3895</v>
      </c>
      <c r="D1375" s="221" t="s">
        <v>721</v>
      </c>
      <c r="E1375" s="223" t="s">
        <v>1602</v>
      </c>
      <c r="F1375" s="224" t="s">
        <v>20</v>
      </c>
      <c r="G1375" s="223"/>
      <c r="H1375" s="215">
        <v>1</v>
      </c>
      <c r="I1375" s="171"/>
      <c r="J1375" s="173">
        <v>500</v>
      </c>
      <c r="K1375" s="172"/>
      <c r="L1375" s="173">
        <v>500</v>
      </c>
      <c r="M1375" s="171">
        <v>500</v>
      </c>
      <c r="N1375" s="229">
        <v>0</v>
      </c>
      <c r="O1375" s="230" t="s">
        <v>1523</v>
      </c>
      <c r="P1375" s="221" t="s">
        <v>1604</v>
      </c>
      <c r="Q1375" s="231"/>
      <c r="R1375" s="232"/>
      <c r="S1375" s="233"/>
      <c r="T1375" s="224" t="s">
        <v>28</v>
      </c>
      <c r="U1375" s="223" t="s">
        <v>19</v>
      </c>
      <c r="V1375" s="232">
        <v>2558</v>
      </c>
      <c r="W1375" s="234" t="s">
        <v>3946</v>
      </c>
      <c r="X1375" s="235"/>
      <c r="Y1375" s="236">
        <v>45111.578935185185</v>
      </c>
    </row>
    <row r="1376" spans="1:25">
      <c r="A1376" s="167" t="s">
        <v>77</v>
      </c>
      <c r="B1376" s="162" t="s">
        <v>1555</v>
      </c>
      <c r="C1376" s="163" t="s">
        <v>3649</v>
      </c>
      <c r="D1376" s="162" t="s">
        <v>1604</v>
      </c>
      <c r="E1376" s="161" t="s">
        <v>1613</v>
      </c>
      <c r="F1376" s="164" t="s">
        <v>1614</v>
      </c>
      <c r="G1376" s="161"/>
      <c r="H1376" s="215">
        <v>1</v>
      </c>
      <c r="I1376" s="171"/>
      <c r="J1376" s="173">
        <v>0.3</v>
      </c>
      <c r="K1376" s="172"/>
      <c r="L1376" s="173">
        <v>0.3</v>
      </c>
      <c r="M1376" s="171">
        <v>0.3</v>
      </c>
      <c r="N1376" s="170"/>
      <c r="O1376" s="177" t="s">
        <v>76</v>
      </c>
      <c r="P1376" s="162" t="s">
        <v>1591</v>
      </c>
      <c r="Q1376" s="176"/>
      <c r="R1376" s="175"/>
      <c r="S1376" s="179"/>
      <c r="T1376" s="164" t="s">
        <v>24</v>
      </c>
      <c r="U1376" s="161" t="s">
        <v>1615</v>
      </c>
      <c r="V1376" s="175">
        <v>2154</v>
      </c>
      <c r="W1376" s="181"/>
      <c r="X1376" s="186" t="s">
        <v>259</v>
      </c>
      <c r="Y1376" s="187">
        <v>44832.559328703705</v>
      </c>
    </row>
    <row r="1377" spans="1:25">
      <c r="A1377" s="167" t="s">
        <v>105</v>
      </c>
      <c r="B1377" s="162" t="s">
        <v>1555</v>
      </c>
      <c r="C1377" s="163" t="s">
        <v>3650</v>
      </c>
      <c r="D1377" s="162" t="s">
        <v>3651</v>
      </c>
      <c r="E1377" s="161" t="s">
        <v>1625</v>
      </c>
      <c r="F1377" s="164" t="s">
        <v>1609</v>
      </c>
      <c r="G1377" s="161" t="s">
        <v>3652</v>
      </c>
      <c r="H1377" s="215">
        <v>31</v>
      </c>
      <c r="I1377" s="171"/>
      <c r="J1377" s="173">
        <v>1.75</v>
      </c>
      <c r="K1377" s="172"/>
      <c r="L1377" s="173">
        <v>54.25</v>
      </c>
      <c r="M1377" s="171">
        <v>54.25</v>
      </c>
      <c r="N1377" s="170"/>
      <c r="O1377" s="177" t="s">
        <v>76</v>
      </c>
      <c r="P1377" s="162" t="s">
        <v>1591</v>
      </c>
      <c r="Q1377" s="176"/>
      <c r="R1377" s="175">
        <v>2050</v>
      </c>
      <c r="S1377" s="179"/>
      <c r="T1377" s="164" t="s">
        <v>24</v>
      </c>
      <c r="U1377" s="161" t="s">
        <v>16</v>
      </c>
      <c r="V1377" s="175">
        <v>1242</v>
      </c>
      <c r="W1377" s="181"/>
      <c r="X1377" s="186">
        <v>45017</v>
      </c>
      <c r="Y1377" s="187">
        <v>45020.582754629628</v>
      </c>
    </row>
    <row r="1378" spans="1:25">
      <c r="A1378" s="167" t="s">
        <v>105</v>
      </c>
      <c r="B1378" s="162" t="s">
        <v>1555</v>
      </c>
      <c r="C1378" s="163" t="s">
        <v>3650</v>
      </c>
      <c r="D1378" s="162" t="s">
        <v>3651</v>
      </c>
      <c r="E1378" s="161" t="s">
        <v>1625</v>
      </c>
      <c r="F1378" s="164" t="s">
        <v>1609</v>
      </c>
      <c r="G1378" s="161" t="s">
        <v>3652</v>
      </c>
      <c r="H1378" s="215">
        <v>25</v>
      </c>
      <c r="I1378" s="171">
        <v>0</v>
      </c>
      <c r="J1378" s="173">
        <v>3</v>
      </c>
      <c r="K1378" s="172">
        <v>0</v>
      </c>
      <c r="L1378" s="173">
        <v>75</v>
      </c>
      <c r="M1378" s="171">
        <v>75</v>
      </c>
      <c r="N1378" s="170"/>
      <c r="O1378" s="177" t="s">
        <v>76</v>
      </c>
      <c r="P1378" s="162" t="s">
        <v>1591</v>
      </c>
      <c r="Q1378" s="176"/>
      <c r="R1378" s="175">
        <v>2050</v>
      </c>
      <c r="S1378" s="179"/>
      <c r="T1378" s="164" t="s">
        <v>24</v>
      </c>
      <c r="U1378" s="161" t="s">
        <v>16</v>
      </c>
      <c r="V1378" s="175">
        <v>1242</v>
      </c>
      <c r="W1378" s="181"/>
      <c r="X1378" s="186">
        <v>45017</v>
      </c>
      <c r="Y1378" s="187">
        <v>45020.582754629628</v>
      </c>
    </row>
    <row r="1379" spans="1:25">
      <c r="A1379" s="167" t="s">
        <v>105</v>
      </c>
      <c r="B1379" s="162" t="s">
        <v>1555</v>
      </c>
      <c r="C1379" s="163" t="s">
        <v>3650</v>
      </c>
      <c r="D1379" s="162" t="s">
        <v>3651</v>
      </c>
      <c r="E1379" s="161" t="s">
        <v>1625</v>
      </c>
      <c r="F1379" s="164" t="s">
        <v>1609</v>
      </c>
      <c r="G1379" s="161" t="s">
        <v>3652</v>
      </c>
      <c r="H1379" s="215">
        <v>6</v>
      </c>
      <c r="I1379" s="171">
        <v>0</v>
      </c>
      <c r="J1379" s="173">
        <v>1.75</v>
      </c>
      <c r="K1379" s="172">
        <v>0</v>
      </c>
      <c r="L1379" s="173">
        <v>10.5</v>
      </c>
      <c r="M1379" s="171">
        <v>10.5</v>
      </c>
      <c r="N1379" s="170"/>
      <c r="O1379" s="177" t="s">
        <v>76</v>
      </c>
      <c r="P1379" s="162" t="s">
        <v>1591</v>
      </c>
      <c r="Q1379" s="176"/>
      <c r="R1379" s="175">
        <v>2050</v>
      </c>
      <c r="S1379" s="179"/>
      <c r="T1379" s="164" t="s">
        <v>24</v>
      </c>
      <c r="U1379" s="161" t="s">
        <v>16</v>
      </c>
      <c r="V1379" s="175">
        <v>1242</v>
      </c>
      <c r="W1379" s="181"/>
      <c r="X1379" s="186">
        <v>45017</v>
      </c>
      <c r="Y1379" s="187">
        <v>45020.582754629628</v>
      </c>
    </row>
    <row r="1380" spans="1:25">
      <c r="A1380" s="167" t="s">
        <v>77</v>
      </c>
      <c r="B1380" s="162" t="s">
        <v>1599</v>
      </c>
      <c r="C1380" s="163" t="s">
        <v>585</v>
      </c>
      <c r="D1380" s="162" t="s">
        <v>586</v>
      </c>
      <c r="E1380" s="161" t="s">
        <v>1631</v>
      </c>
      <c r="F1380" s="164" t="s">
        <v>1614</v>
      </c>
      <c r="G1380" s="161" t="s">
        <v>3653</v>
      </c>
      <c r="H1380" s="215">
        <v>89</v>
      </c>
      <c r="I1380" s="171">
        <v>0</v>
      </c>
      <c r="J1380" s="173">
        <v>2.5</v>
      </c>
      <c r="K1380" s="172">
        <v>0</v>
      </c>
      <c r="L1380" s="173">
        <v>222.5</v>
      </c>
      <c r="M1380" s="171">
        <v>222.5</v>
      </c>
      <c r="N1380" s="170"/>
      <c r="O1380" s="177" t="s">
        <v>26</v>
      </c>
      <c r="P1380" s="162" t="s">
        <v>1620</v>
      </c>
      <c r="Q1380" s="176">
        <v>44805</v>
      </c>
      <c r="R1380" s="175"/>
      <c r="S1380" s="179"/>
      <c r="T1380" s="164" t="s">
        <v>26</v>
      </c>
      <c r="U1380" s="161" t="s">
        <v>1615</v>
      </c>
      <c r="V1380" s="175">
        <v>1672</v>
      </c>
      <c r="W1380" s="181"/>
      <c r="X1380" s="186">
        <v>45069</v>
      </c>
      <c r="Y1380" s="187">
        <v>44914.447326388887</v>
      </c>
    </row>
    <row r="1381" spans="1:25">
      <c r="A1381" s="167" t="s">
        <v>110</v>
      </c>
      <c r="B1381" s="162" t="s">
        <v>1599</v>
      </c>
      <c r="C1381" s="163" t="s">
        <v>3654</v>
      </c>
      <c r="D1381" s="162" t="s">
        <v>3655</v>
      </c>
      <c r="E1381" s="161" t="s">
        <v>1625</v>
      </c>
      <c r="F1381" s="164" t="s">
        <v>1609</v>
      </c>
      <c r="G1381" s="161"/>
      <c r="H1381" s="215">
        <v>20</v>
      </c>
      <c r="I1381" s="171">
        <v>3.65</v>
      </c>
      <c r="J1381" s="173">
        <v>3.65</v>
      </c>
      <c r="K1381" s="172">
        <v>73</v>
      </c>
      <c r="L1381" s="173">
        <v>73</v>
      </c>
      <c r="M1381" s="171">
        <v>73</v>
      </c>
      <c r="N1381" s="170"/>
      <c r="O1381" s="177" t="s">
        <v>1523</v>
      </c>
      <c r="P1381" s="162" t="s">
        <v>1620</v>
      </c>
      <c r="Q1381" s="176"/>
      <c r="R1381" s="175"/>
      <c r="S1381" s="179"/>
      <c r="T1381" s="164" t="s">
        <v>28</v>
      </c>
      <c r="U1381" s="161" t="s">
        <v>16</v>
      </c>
      <c r="V1381" s="175">
        <v>1243</v>
      </c>
      <c r="W1381" s="181"/>
      <c r="X1381" s="186">
        <v>45069</v>
      </c>
      <c r="Y1381" s="187">
        <v>44684.609537037039</v>
      </c>
    </row>
    <row r="1382" spans="1:25">
      <c r="A1382" s="167" t="s">
        <v>110</v>
      </c>
      <c r="B1382" s="162" t="s">
        <v>1599</v>
      </c>
      <c r="C1382" s="163" t="s">
        <v>465</v>
      </c>
      <c r="D1382" s="162" t="s">
        <v>466</v>
      </c>
      <c r="E1382" s="161" t="s">
        <v>1602</v>
      </c>
      <c r="F1382" s="164" t="s">
        <v>1603</v>
      </c>
      <c r="G1382" s="161"/>
      <c r="H1382" s="215">
        <v>1</v>
      </c>
      <c r="I1382" s="171"/>
      <c r="J1382" s="173">
        <v>350</v>
      </c>
      <c r="K1382" s="172"/>
      <c r="L1382" s="173">
        <v>350</v>
      </c>
      <c r="M1382" s="171">
        <v>350</v>
      </c>
      <c r="N1382" s="170">
        <v>1400</v>
      </c>
      <c r="O1382" s="177" t="s">
        <v>27</v>
      </c>
      <c r="P1382" s="162" t="s">
        <v>1619</v>
      </c>
      <c r="Q1382" s="176">
        <v>46357</v>
      </c>
      <c r="R1382" s="175"/>
      <c r="S1382" s="179"/>
      <c r="T1382" s="164" t="s">
        <v>27</v>
      </c>
      <c r="U1382" s="161" t="s">
        <v>19</v>
      </c>
      <c r="V1382" s="175">
        <v>1876</v>
      </c>
      <c r="W1382" s="181"/>
      <c r="X1382" s="186">
        <v>45069</v>
      </c>
      <c r="Y1382" s="187">
        <v>45100.307488425926</v>
      </c>
    </row>
    <row r="1383" spans="1:25">
      <c r="A1383" s="167" t="s">
        <v>45</v>
      </c>
      <c r="B1383" s="162" t="s">
        <v>1555</v>
      </c>
      <c r="C1383" s="163" t="s">
        <v>3656</v>
      </c>
      <c r="D1383" s="162" t="s">
        <v>295</v>
      </c>
      <c r="E1383" s="161" t="s">
        <v>1596</v>
      </c>
      <c r="F1383" s="164" t="s">
        <v>1627</v>
      </c>
      <c r="G1383" s="161"/>
      <c r="H1383" s="215">
        <v>1</v>
      </c>
      <c r="I1383" s="171"/>
      <c r="J1383" s="173">
        <v>1.06</v>
      </c>
      <c r="K1383" s="172"/>
      <c r="L1383" s="173">
        <v>1.06</v>
      </c>
      <c r="M1383" s="171">
        <v>1.06</v>
      </c>
      <c r="N1383" s="170"/>
      <c r="O1383" s="177" t="s">
        <v>76</v>
      </c>
      <c r="P1383" s="162" t="s">
        <v>1591</v>
      </c>
      <c r="Q1383" s="176"/>
      <c r="R1383" s="175">
        <v>2042</v>
      </c>
      <c r="S1383" s="179"/>
      <c r="T1383" s="164" t="s">
        <v>24</v>
      </c>
      <c r="U1383" s="161" t="s">
        <v>18</v>
      </c>
      <c r="V1383" s="175">
        <v>2166</v>
      </c>
      <c r="W1383" s="181"/>
      <c r="X1383" s="186" t="s">
        <v>259</v>
      </c>
      <c r="Y1383" s="187">
        <v>44981.422754629632</v>
      </c>
    </row>
    <row r="1384" spans="1:25">
      <c r="A1384" s="167" t="s">
        <v>110</v>
      </c>
      <c r="B1384" s="162" t="s">
        <v>1599</v>
      </c>
      <c r="C1384" s="163" t="s">
        <v>133</v>
      </c>
      <c r="D1384" s="162" t="s">
        <v>3657</v>
      </c>
      <c r="E1384" s="161" t="s">
        <v>1631</v>
      </c>
      <c r="F1384" s="164" t="s">
        <v>1614</v>
      </c>
      <c r="G1384" s="161" t="s">
        <v>3658</v>
      </c>
      <c r="H1384" s="215">
        <v>34</v>
      </c>
      <c r="I1384" s="171">
        <v>0</v>
      </c>
      <c r="J1384" s="173">
        <v>2.75</v>
      </c>
      <c r="K1384" s="172">
        <v>0</v>
      </c>
      <c r="L1384" s="173">
        <v>93.5</v>
      </c>
      <c r="M1384" s="171">
        <v>93.5</v>
      </c>
      <c r="N1384" s="170"/>
      <c r="O1384" s="177" t="s">
        <v>26</v>
      </c>
      <c r="P1384" s="162" t="s">
        <v>1620</v>
      </c>
      <c r="Q1384" s="176">
        <v>45505</v>
      </c>
      <c r="R1384" s="175"/>
      <c r="S1384" s="179"/>
      <c r="T1384" s="164" t="s">
        <v>26</v>
      </c>
      <c r="U1384" s="161" t="s">
        <v>1615</v>
      </c>
      <c r="V1384" s="175">
        <v>1929</v>
      </c>
      <c r="W1384" s="181"/>
      <c r="X1384" s="186">
        <v>45069</v>
      </c>
      <c r="Y1384" s="187">
        <v>45103.809930555559</v>
      </c>
    </row>
    <row r="1385" spans="1:25">
      <c r="A1385" s="220" t="s">
        <v>77</v>
      </c>
      <c r="B1385" s="221" t="s">
        <v>1599</v>
      </c>
      <c r="C1385" s="222" t="s">
        <v>3897</v>
      </c>
      <c r="D1385" s="221" t="s">
        <v>455</v>
      </c>
      <c r="E1385" s="223" t="s">
        <v>1602</v>
      </c>
      <c r="F1385" s="224" t="s">
        <v>20</v>
      </c>
      <c r="G1385" s="223"/>
      <c r="H1385" s="215">
        <v>1</v>
      </c>
      <c r="I1385" s="171"/>
      <c r="J1385" s="173">
        <v>400</v>
      </c>
      <c r="K1385" s="172"/>
      <c r="L1385" s="173">
        <v>400</v>
      </c>
      <c r="M1385" s="171">
        <v>400</v>
      </c>
      <c r="N1385" s="229">
        <v>0</v>
      </c>
      <c r="O1385" s="230" t="s">
        <v>1523</v>
      </c>
      <c r="P1385" s="221" t="s">
        <v>1604</v>
      </c>
      <c r="Q1385" s="231"/>
      <c r="R1385" s="232"/>
      <c r="S1385" s="233"/>
      <c r="T1385" s="224" t="s">
        <v>28</v>
      </c>
      <c r="U1385" s="223" t="s">
        <v>19</v>
      </c>
      <c r="V1385" s="232">
        <v>2560</v>
      </c>
      <c r="W1385" s="234" t="s">
        <v>3948</v>
      </c>
      <c r="X1385" s="235"/>
      <c r="Y1385" s="236">
        <v>45111.588078703702</v>
      </c>
    </row>
    <row r="1386" spans="1:25">
      <c r="A1386" s="167" t="s">
        <v>45</v>
      </c>
      <c r="B1386" s="162" t="s">
        <v>1599</v>
      </c>
      <c r="C1386" s="163" t="s">
        <v>503</v>
      </c>
      <c r="D1386" s="162" t="s">
        <v>3659</v>
      </c>
      <c r="E1386" s="161" t="s">
        <v>1631</v>
      </c>
      <c r="F1386" s="164" t="s">
        <v>1614</v>
      </c>
      <c r="G1386" s="161" t="s">
        <v>3660</v>
      </c>
      <c r="H1386" s="215">
        <v>38</v>
      </c>
      <c r="I1386" s="171"/>
      <c r="J1386" s="173">
        <v>1.64</v>
      </c>
      <c r="K1386" s="172"/>
      <c r="L1386" s="173">
        <v>62.32</v>
      </c>
      <c r="M1386" s="171">
        <v>62.32</v>
      </c>
      <c r="N1386" s="170"/>
      <c r="O1386" s="177" t="s">
        <v>26</v>
      </c>
      <c r="P1386" s="162" t="s">
        <v>1620</v>
      </c>
      <c r="Q1386" s="176">
        <v>45108</v>
      </c>
      <c r="R1386" s="175">
        <v>2053</v>
      </c>
      <c r="S1386" s="179"/>
      <c r="T1386" s="164" t="s">
        <v>26</v>
      </c>
      <c r="U1386" s="161" t="s">
        <v>1615</v>
      </c>
      <c r="V1386" s="175">
        <v>1865</v>
      </c>
      <c r="W1386" s="181"/>
      <c r="X1386" s="186">
        <v>45069</v>
      </c>
      <c r="Y1386" s="187">
        <v>45098.358796296299</v>
      </c>
    </row>
    <row r="1387" spans="1:25">
      <c r="A1387" s="167" t="s">
        <v>45</v>
      </c>
      <c r="B1387" s="162" t="s">
        <v>1555</v>
      </c>
      <c r="C1387" s="163" t="s">
        <v>3661</v>
      </c>
      <c r="D1387" s="162" t="s">
        <v>3662</v>
      </c>
      <c r="E1387" s="161" t="s">
        <v>1700</v>
      </c>
      <c r="F1387" s="164" t="s">
        <v>1658</v>
      </c>
      <c r="G1387" s="161" t="s">
        <v>3663</v>
      </c>
      <c r="H1387" s="215">
        <v>1</v>
      </c>
      <c r="I1387" s="171">
        <v>20</v>
      </c>
      <c r="J1387" s="173">
        <v>20</v>
      </c>
      <c r="K1387" s="172">
        <v>20</v>
      </c>
      <c r="L1387" s="173">
        <v>20</v>
      </c>
      <c r="M1387" s="171">
        <v>20</v>
      </c>
      <c r="N1387" s="170"/>
      <c r="O1387" s="177" t="s">
        <v>76</v>
      </c>
      <c r="P1387" s="162" t="s">
        <v>1591</v>
      </c>
      <c r="Q1387" s="176"/>
      <c r="R1387" s="175"/>
      <c r="S1387" s="179"/>
      <c r="T1387" s="164" t="s">
        <v>24</v>
      </c>
      <c r="U1387" s="161" t="s">
        <v>17</v>
      </c>
      <c r="V1387" s="175">
        <v>1254</v>
      </c>
      <c r="W1387" s="181"/>
      <c r="X1387" s="186">
        <v>44805</v>
      </c>
      <c r="Y1387" s="187">
        <v>43237.12332175926</v>
      </c>
    </row>
    <row r="1388" spans="1:25">
      <c r="A1388" s="167" t="s">
        <v>45</v>
      </c>
      <c r="B1388" s="162" t="s">
        <v>1555</v>
      </c>
      <c r="C1388" s="163" t="s">
        <v>3664</v>
      </c>
      <c r="D1388" s="162" t="s">
        <v>772</v>
      </c>
      <c r="E1388" s="161" t="s">
        <v>1700</v>
      </c>
      <c r="F1388" s="162" t="s">
        <v>1658</v>
      </c>
      <c r="G1388" s="161" t="s">
        <v>3665</v>
      </c>
      <c r="H1388" s="215">
        <v>1</v>
      </c>
      <c r="I1388" s="171">
        <v>4</v>
      </c>
      <c r="J1388" s="173">
        <v>4</v>
      </c>
      <c r="K1388" s="172">
        <v>4</v>
      </c>
      <c r="L1388" s="173">
        <v>4</v>
      </c>
      <c r="M1388" s="171">
        <v>4</v>
      </c>
      <c r="N1388" s="170"/>
      <c r="O1388" s="177" t="s">
        <v>76</v>
      </c>
      <c r="P1388" s="162" t="s">
        <v>1591</v>
      </c>
      <c r="Q1388" s="176"/>
      <c r="R1388" s="174"/>
      <c r="S1388" s="179"/>
      <c r="T1388" s="162" t="s">
        <v>24</v>
      </c>
      <c r="U1388" s="161" t="s">
        <v>17</v>
      </c>
      <c r="V1388" s="174">
        <v>1255</v>
      </c>
      <c r="W1388" s="180"/>
      <c r="X1388" s="185">
        <v>44805</v>
      </c>
      <c r="Y1388" s="187">
        <v>43237.124467592592</v>
      </c>
    </row>
    <row r="1389" spans="1:25">
      <c r="A1389" s="167" t="s">
        <v>110</v>
      </c>
      <c r="B1389" s="162" t="s">
        <v>1555</v>
      </c>
      <c r="C1389" s="163" t="s">
        <v>3666</v>
      </c>
      <c r="D1389" s="162" t="s">
        <v>403</v>
      </c>
      <c r="E1389" s="161" t="s">
        <v>1596</v>
      </c>
      <c r="F1389" s="164" t="s">
        <v>1627</v>
      </c>
      <c r="G1389" s="161" t="s">
        <v>3667</v>
      </c>
      <c r="H1389" s="215">
        <v>2</v>
      </c>
      <c r="I1389" s="171"/>
      <c r="J1389" s="173">
        <v>1.03</v>
      </c>
      <c r="K1389" s="172"/>
      <c r="L1389" s="173">
        <v>2.06</v>
      </c>
      <c r="M1389" s="171">
        <v>2.06</v>
      </c>
      <c r="N1389" s="170"/>
      <c r="O1389" s="177" t="s">
        <v>76</v>
      </c>
      <c r="P1389" s="162" t="s">
        <v>1591</v>
      </c>
      <c r="Q1389" s="176"/>
      <c r="R1389" s="175">
        <v>2042</v>
      </c>
      <c r="S1389" s="179"/>
      <c r="T1389" s="164" t="s">
        <v>24</v>
      </c>
      <c r="U1389" s="161" t="s">
        <v>18</v>
      </c>
      <c r="V1389" s="175">
        <v>1245</v>
      </c>
      <c r="W1389" s="181"/>
      <c r="X1389" s="186">
        <v>44805</v>
      </c>
      <c r="Y1389" s="187">
        <v>44981.397777777776</v>
      </c>
    </row>
    <row r="1390" spans="1:25">
      <c r="A1390" s="167" t="s">
        <v>110</v>
      </c>
      <c r="B1390" s="162" t="s">
        <v>1555</v>
      </c>
      <c r="C1390" s="163" t="s">
        <v>3666</v>
      </c>
      <c r="D1390" s="162" t="s">
        <v>403</v>
      </c>
      <c r="E1390" s="161" t="s">
        <v>1596</v>
      </c>
      <c r="F1390" s="164" t="s">
        <v>1627</v>
      </c>
      <c r="G1390" s="161" t="s">
        <v>3667</v>
      </c>
      <c r="H1390" s="215">
        <v>1</v>
      </c>
      <c r="I1390" s="171"/>
      <c r="J1390" s="173">
        <v>0.78</v>
      </c>
      <c r="K1390" s="172"/>
      <c r="L1390" s="173">
        <v>0.78</v>
      </c>
      <c r="M1390" s="171">
        <v>0.78</v>
      </c>
      <c r="N1390" s="170"/>
      <c r="O1390" s="177" t="s">
        <v>76</v>
      </c>
      <c r="P1390" s="162" t="s">
        <v>1591</v>
      </c>
      <c r="Q1390" s="176"/>
      <c r="R1390" s="175">
        <v>2042</v>
      </c>
      <c r="S1390" s="179"/>
      <c r="T1390" s="164" t="s">
        <v>24</v>
      </c>
      <c r="U1390" s="161" t="s">
        <v>18</v>
      </c>
      <c r="V1390" s="175">
        <v>1245</v>
      </c>
      <c r="W1390" s="181"/>
      <c r="X1390" s="186">
        <v>44805</v>
      </c>
      <c r="Y1390" s="187">
        <v>44981.397777777776</v>
      </c>
    </row>
    <row r="1391" spans="1:25">
      <c r="A1391" s="167" t="s">
        <v>110</v>
      </c>
      <c r="B1391" s="162" t="s">
        <v>1555</v>
      </c>
      <c r="C1391" s="163" t="s">
        <v>3666</v>
      </c>
      <c r="D1391" s="162" t="s">
        <v>403</v>
      </c>
      <c r="E1391" s="161" t="s">
        <v>1596</v>
      </c>
      <c r="F1391" s="164" t="s">
        <v>1627</v>
      </c>
      <c r="G1391" s="161"/>
      <c r="H1391" s="215">
        <v>2</v>
      </c>
      <c r="I1391" s="171"/>
      <c r="J1391" s="173">
        <v>1.06</v>
      </c>
      <c r="K1391" s="172"/>
      <c r="L1391" s="173">
        <v>2.12</v>
      </c>
      <c r="M1391" s="171">
        <v>2.12</v>
      </c>
      <c r="N1391" s="170"/>
      <c r="O1391" s="177" t="s">
        <v>76</v>
      </c>
      <c r="P1391" s="162" t="s">
        <v>1591</v>
      </c>
      <c r="Q1391" s="176"/>
      <c r="R1391" s="175">
        <v>2042</v>
      </c>
      <c r="S1391" s="179"/>
      <c r="T1391" s="164" t="s">
        <v>24</v>
      </c>
      <c r="U1391" s="161" t="s">
        <v>18</v>
      </c>
      <c r="V1391" s="175">
        <v>1245</v>
      </c>
      <c r="W1391" s="181"/>
      <c r="X1391" s="186">
        <v>44805</v>
      </c>
      <c r="Y1391" s="187">
        <v>44981.397777777776</v>
      </c>
    </row>
    <row r="1392" spans="1:25">
      <c r="A1392" s="167" t="s">
        <v>45</v>
      </c>
      <c r="B1392" s="162" t="s">
        <v>1555</v>
      </c>
      <c r="C1392" s="163" t="s">
        <v>3668</v>
      </c>
      <c r="D1392" s="162" t="s">
        <v>185</v>
      </c>
      <c r="E1392" s="161" t="s">
        <v>1596</v>
      </c>
      <c r="F1392" s="164" t="s">
        <v>1627</v>
      </c>
      <c r="G1392" s="161"/>
      <c r="H1392" s="215">
        <v>2</v>
      </c>
      <c r="I1392" s="171"/>
      <c r="J1392" s="173">
        <v>1.1200000000000001</v>
      </c>
      <c r="K1392" s="172"/>
      <c r="L1392" s="173">
        <v>2.25</v>
      </c>
      <c r="M1392" s="171">
        <v>2.25</v>
      </c>
      <c r="N1392" s="170"/>
      <c r="O1392" s="177" t="s">
        <v>76</v>
      </c>
      <c r="P1392" s="162" t="s">
        <v>1591</v>
      </c>
      <c r="Q1392" s="176"/>
      <c r="R1392" s="175">
        <v>2042</v>
      </c>
      <c r="S1392" s="179"/>
      <c r="T1392" s="164" t="s">
        <v>24</v>
      </c>
      <c r="U1392" s="161" t="s">
        <v>18</v>
      </c>
      <c r="V1392" s="175">
        <v>1339</v>
      </c>
      <c r="W1392" s="181"/>
      <c r="X1392" s="186">
        <v>44805</v>
      </c>
      <c r="Y1392" s="187">
        <v>44981.41269675926</v>
      </c>
    </row>
    <row r="1393" spans="1:25">
      <c r="A1393" s="167" t="s">
        <v>77</v>
      </c>
      <c r="B1393" s="162" t="s">
        <v>1599</v>
      </c>
      <c r="C1393" s="163" t="s">
        <v>3669</v>
      </c>
      <c r="D1393" s="162" t="s">
        <v>3670</v>
      </c>
      <c r="E1393" s="161" t="s">
        <v>1631</v>
      </c>
      <c r="F1393" s="164" t="s">
        <v>1614</v>
      </c>
      <c r="G1393" s="161"/>
      <c r="H1393" s="215">
        <v>1</v>
      </c>
      <c r="I1393" s="171">
        <v>1100</v>
      </c>
      <c r="J1393" s="173">
        <v>1100</v>
      </c>
      <c r="K1393" s="172">
        <v>1100</v>
      </c>
      <c r="L1393" s="173">
        <v>1100</v>
      </c>
      <c r="M1393" s="171">
        <v>1100</v>
      </c>
      <c r="N1393" s="170"/>
      <c r="O1393" s="177" t="s">
        <v>1523</v>
      </c>
      <c r="P1393" s="162" t="s">
        <v>1620</v>
      </c>
      <c r="Q1393" s="176"/>
      <c r="R1393" s="175"/>
      <c r="S1393" s="179"/>
      <c r="T1393" s="164" t="s">
        <v>28</v>
      </c>
      <c r="U1393" s="161" t="s">
        <v>1615</v>
      </c>
      <c r="V1393" s="175">
        <v>2383</v>
      </c>
      <c r="W1393" s="181" t="s">
        <v>3671</v>
      </c>
      <c r="X1393" s="186">
        <v>45069</v>
      </c>
      <c r="Y1393" s="187">
        <v>45097.628599537034</v>
      </c>
    </row>
    <row r="1394" spans="1:25">
      <c r="A1394" s="167" t="s">
        <v>77</v>
      </c>
      <c r="B1394" s="162" t="s">
        <v>1599</v>
      </c>
      <c r="C1394" s="163" t="s">
        <v>3672</v>
      </c>
      <c r="D1394" s="162" t="s">
        <v>3673</v>
      </c>
      <c r="E1394" s="161" t="s">
        <v>1602</v>
      </c>
      <c r="F1394" s="162" t="s">
        <v>1603</v>
      </c>
      <c r="G1394" s="161"/>
      <c r="H1394" s="215">
        <v>110</v>
      </c>
      <c r="I1394" s="171"/>
      <c r="J1394" s="173">
        <v>2.4</v>
      </c>
      <c r="K1394" s="172"/>
      <c r="L1394" s="173">
        <v>264</v>
      </c>
      <c r="M1394" s="171">
        <v>264</v>
      </c>
      <c r="N1394" s="170">
        <v>400</v>
      </c>
      <c r="O1394" s="177" t="s">
        <v>1523</v>
      </c>
      <c r="P1394" s="162" t="s">
        <v>1619</v>
      </c>
      <c r="Q1394" s="176"/>
      <c r="R1394" s="174">
        <v>2055</v>
      </c>
      <c r="S1394" s="179"/>
      <c r="T1394" s="162" t="s">
        <v>28</v>
      </c>
      <c r="U1394" s="161" t="s">
        <v>19</v>
      </c>
      <c r="V1394" s="174">
        <v>2462</v>
      </c>
      <c r="W1394" s="180" t="s">
        <v>3993</v>
      </c>
      <c r="X1394" s="185">
        <v>45069</v>
      </c>
      <c r="Y1394" s="187">
        <v>45079.480243055557</v>
      </c>
    </row>
    <row r="1395" spans="1:25">
      <c r="A1395" s="167" t="s">
        <v>77</v>
      </c>
      <c r="B1395" s="162" t="s">
        <v>1599</v>
      </c>
      <c r="C1395" s="163" t="s">
        <v>3674</v>
      </c>
      <c r="D1395" s="162" t="s">
        <v>3675</v>
      </c>
      <c r="E1395" s="161" t="s">
        <v>1631</v>
      </c>
      <c r="F1395" s="164" t="s">
        <v>1614</v>
      </c>
      <c r="G1395" s="161"/>
      <c r="H1395" s="215">
        <v>22</v>
      </c>
      <c r="I1395" s="171">
        <v>0</v>
      </c>
      <c r="J1395" s="173">
        <v>4.2</v>
      </c>
      <c r="K1395" s="172">
        <v>0</v>
      </c>
      <c r="L1395" s="173">
        <v>92.4</v>
      </c>
      <c r="M1395" s="171">
        <v>92.4</v>
      </c>
      <c r="N1395" s="170"/>
      <c r="O1395" s="177" t="s">
        <v>1523</v>
      </c>
      <c r="P1395" s="162" t="s">
        <v>1620</v>
      </c>
      <c r="Q1395" s="176">
        <v>45717</v>
      </c>
      <c r="R1395" s="175">
        <v>2049</v>
      </c>
      <c r="S1395" s="179"/>
      <c r="T1395" s="164" t="s">
        <v>28</v>
      </c>
      <c r="U1395" s="161" t="s">
        <v>1615</v>
      </c>
      <c r="V1395" s="175">
        <v>2290</v>
      </c>
      <c r="W1395" s="181" t="s">
        <v>3676</v>
      </c>
      <c r="X1395" s="186">
        <v>45069</v>
      </c>
      <c r="Y1395" s="187">
        <v>45079.47923611111</v>
      </c>
    </row>
    <row r="1396" spans="1:25">
      <c r="A1396" s="167" t="s">
        <v>110</v>
      </c>
      <c r="B1396" s="162" t="s">
        <v>1555</v>
      </c>
      <c r="C1396" s="163" t="s">
        <v>3677</v>
      </c>
      <c r="D1396" s="162" t="s">
        <v>3678</v>
      </c>
      <c r="E1396" s="161" t="s">
        <v>1739</v>
      </c>
      <c r="F1396" s="164" t="s">
        <v>2692</v>
      </c>
      <c r="G1396" s="161" t="s">
        <v>3679</v>
      </c>
      <c r="H1396" s="215">
        <v>1</v>
      </c>
      <c r="I1396" s="171"/>
      <c r="J1396" s="173">
        <v>350</v>
      </c>
      <c r="K1396" s="172"/>
      <c r="L1396" s="173">
        <v>350</v>
      </c>
      <c r="M1396" s="171">
        <v>350</v>
      </c>
      <c r="N1396" s="170"/>
      <c r="O1396" s="177" t="s">
        <v>76</v>
      </c>
      <c r="P1396" s="162" t="s">
        <v>1619</v>
      </c>
      <c r="Q1396" s="176"/>
      <c r="R1396" s="175">
        <v>2028</v>
      </c>
      <c r="S1396" s="179"/>
      <c r="T1396" s="164" t="s">
        <v>24</v>
      </c>
      <c r="U1396" s="161" t="s">
        <v>11</v>
      </c>
      <c r="V1396" s="175">
        <v>1247</v>
      </c>
      <c r="W1396" s="181"/>
      <c r="X1396" s="186">
        <v>45017</v>
      </c>
      <c r="Y1396" s="187">
        <v>45016.459606481483</v>
      </c>
    </row>
    <row r="1397" spans="1:25">
      <c r="A1397" s="167" t="s">
        <v>110</v>
      </c>
      <c r="B1397" s="162" t="s">
        <v>1555</v>
      </c>
      <c r="C1397" s="163" t="s">
        <v>3677</v>
      </c>
      <c r="D1397" s="162" t="s">
        <v>3678</v>
      </c>
      <c r="E1397" s="161" t="s">
        <v>1739</v>
      </c>
      <c r="F1397" s="162" t="s">
        <v>2692</v>
      </c>
      <c r="G1397" s="161" t="s">
        <v>3680</v>
      </c>
      <c r="H1397" s="215">
        <v>1</v>
      </c>
      <c r="I1397" s="171"/>
      <c r="J1397" s="173">
        <v>350</v>
      </c>
      <c r="K1397" s="172"/>
      <c r="L1397" s="173">
        <v>350</v>
      </c>
      <c r="M1397" s="171">
        <v>350</v>
      </c>
      <c r="N1397" s="170"/>
      <c r="O1397" s="177" t="s">
        <v>76</v>
      </c>
      <c r="P1397" s="162" t="s">
        <v>1619</v>
      </c>
      <c r="Q1397" s="176"/>
      <c r="R1397" s="174">
        <v>2028</v>
      </c>
      <c r="S1397" s="179"/>
      <c r="T1397" s="162" t="s">
        <v>24</v>
      </c>
      <c r="U1397" s="161" t="s">
        <v>11</v>
      </c>
      <c r="V1397" s="174">
        <v>1247</v>
      </c>
      <c r="W1397" s="180"/>
      <c r="X1397" s="185">
        <v>45017</v>
      </c>
      <c r="Y1397" s="187">
        <v>45016.459606481483</v>
      </c>
    </row>
    <row r="1398" spans="1:25">
      <c r="A1398" s="167" t="s">
        <v>110</v>
      </c>
      <c r="B1398" s="162" t="s">
        <v>1555</v>
      </c>
      <c r="C1398" s="163" t="s">
        <v>3677</v>
      </c>
      <c r="D1398" s="162" t="s">
        <v>3678</v>
      </c>
      <c r="E1398" s="161" t="s">
        <v>1739</v>
      </c>
      <c r="F1398" s="164" t="s">
        <v>2692</v>
      </c>
      <c r="G1398" s="161" t="s">
        <v>3681</v>
      </c>
      <c r="H1398" s="215">
        <v>1</v>
      </c>
      <c r="I1398" s="171"/>
      <c r="J1398" s="173">
        <v>375</v>
      </c>
      <c r="K1398" s="172"/>
      <c r="L1398" s="173">
        <v>375</v>
      </c>
      <c r="M1398" s="171">
        <v>375</v>
      </c>
      <c r="N1398" s="170"/>
      <c r="O1398" s="177" t="s">
        <v>76</v>
      </c>
      <c r="P1398" s="162" t="s">
        <v>1619</v>
      </c>
      <c r="Q1398" s="176"/>
      <c r="R1398" s="175">
        <v>2028</v>
      </c>
      <c r="S1398" s="179"/>
      <c r="T1398" s="164" t="s">
        <v>24</v>
      </c>
      <c r="U1398" s="161" t="s">
        <v>11</v>
      </c>
      <c r="V1398" s="175">
        <v>1247</v>
      </c>
      <c r="W1398" s="181"/>
      <c r="X1398" s="186">
        <v>45017</v>
      </c>
      <c r="Y1398" s="187">
        <v>45016.459606481483</v>
      </c>
    </row>
    <row r="1399" spans="1:25">
      <c r="A1399" s="167" t="s">
        <v>110</v>
      </c>
      <c r="B1399" s="162" t="s">
        <v>1555</v>
      </c>
      <c r="C1399" s="163" t="s">
        <v>3677</v>
      </c>
      <c r="D1399" s="162" t="s">
        <v>3678</v>
      </c>
      <c r="E1399" s="161" t="s">
        <v>1739</v>
      </c>
      <c r="F1399" s="164" t="s">
        <v>2692</v>
      </c>
      <c r="G1399" s="161" t="s">
        <v>3682</v>
      </c>
      <c r="H1399" s="215">
        <v>1</v>
      </c>
      <c r="I1399" s="171"/>
      <c r="J1399" s="173">
        <v>375</v>
      </c>
      <c r="K1399" s="172"/>
      <c r="L1399" s="173">
        <v>375</v>
      </c>
      <c r="M1399" s="171">
        <v>375</v>
      </c>
      <c r="N1399" s="170"/>
      <c r="O1399" s="177" t="s">
        <v>76</v>
      </c>
      <c r="P1399" s="162" t="s">
        <v>1619</v>
      </c>
      <c r="Q1399" s="176"/>
      <c r="R1399" s="175">
        <v>2028</v>
      </c>
      <c r="S1399" s="179"/>
      <c r="T1399" s="164" t="s">
        <v>24</v>
      </c>
      <c r="U1399" s="161" t="s">
        <v>11</v>
      </c>
      <c r="V1399" s="175">
        <v>1247</v>
      </c>
      <c r="W1399" s="181"/>
      <c r="X1399" s="186">
        <v>45017</v>
      </c>
      <c r="Y1399" s="187">
        <v>45016.459606481483</v>
      </c>
    </row>
    <row r="1400" spans="1:25">
      <c r="A1400" s="167" t="s">
        <v>110</v>
      </c>
      <c r="B1400" s="162" t="s">
        <v>1555</v>
      </c>
      <c r="C1400" s="163" t="s">
        <v>3683</v>
      </c>
      <c r="D1400" s="162" t="s">
        <v>3684</v>
      </c>
      <c r="E1400" s="161" t="s">
        <v>1625</v>
      </c>
      <c r="F1400" s="162" t="s">
        <v>1609</v>
      </c>
      <c r="G1400" s="161"/>
      <c r="H1400" s="215">
        <v>14</v>
      </c>
      <c r="I1400" s="171">
        <v>2.0499999999999998</v>
      </c>
      <c r="J1400" s="173">
        <v>2.0499999999999998</v>
      </c>
      <c r="K1400" s="172">
        <v>28.7</v>
      </c>
      <c r="L1400" s="173">
        <v>28.7</v>
      </c>
      <c r="M1400" s="171">
        <v>28.7</v>
      </c>
      <c r="N1400" s="170"/>
      <c r="O1400" s="177" t="s">
        <v>76</v>
      </c>
      <c r="P1400" s="162" t="s">
        <v>1591</v>
      </c>
      <c r="Q1400" s="176"/>
      <c r="R1400" s="174"/>
      <c r="S1400" s="179"/>
      <c r="T1400" s="162" t="s">
        <v>24</v>
      </c>
      <c r="U1400" s="161" t="s">
        <v>16</v>
      </c>
      <c r="V1400" s="174">
        <v>1567</v>
      </c>
      <c r="W1400" s="180"/>
      <c r="X1400" s="185">
        <v>44621</v>
      </c>
      <c r="Y1400" s="187">
        <v>45029.574236111112</v>
      </c>
    </row>
    <row r="1401" spans="1:25">
      <c r="A1401" s="167" t="s">
        <v>91</v>
      </c>
      <c r="B1401" s="162" t="s">
        <v>1555</v>
      </c>
      <c r="C1401" s="163" t="s">
        <v>3685</v>
      </c>
      <c r="D1401" s="162" t="s">
        <v>1604</v>
      </c>
      <c r="E1401" s="161" t="s">
        <v>1613</v>
      </c>
      <c r="F1401" s="164" t="s">
        <v>1614</v>
      </c>
      <c r="G1401" s="161"/>
      <c r="H1401" s="215">
        <v>1</v>
      </c>
      <c r="I1401" s="171"/>
      <c r="J1401" s="173">
        <v>1.1399999999999999</v>
      </c>
      <c r="K1401" s="172"/>
      <c r="L1401" s="173">
        <v>1.1399999999999999</v>
      </c>
      <c r="M1401" s="171">
        <v>1.1399999999999999</v>
      </c>
      <c r="N1401" s="170"/>
      <c r="O1401" s="177" t="s">
        <v>76</v>
      </c>
      <c r="P1401" s="162" t="s">
        <v>1591</v>
      </c>
      <c r="Q1401" s="176"/>
      <c r="R1401" s="175"/>
      <c r="S1401" s="179"/>
      <c r="T1401" s="164" t="s">
        <v>24</v>
      </c>
      <c r="U1401" s="161" t="s">
        <v>1615</v>
      </c>
      <c r="V1401" s="175">
        <v>2155</v>
      </c>
      <c r="W1401" s="181"/>
      <c r="X1401" s="186" t="s">
        <v>259</v>
      </c>
      <c r="Y1401" s="187">
        <v>44832.585810185185</v>
      </c>
    </row>
    <row r="1402" spans="1:25">
      <c r="A1402" s="167" t="s">
        <v>91</v>
      </c>
      <c r="B1402" s="162" t="s">
        <v>1555</v>
      </c>
      <c r="C1402" s="163" t="s">
        <v>3686</v>
      </c>
      <c r="D1402" s="162" t="s">
        <v>1604</v>
      </c>
      <c r="E1402" s="161" t="s">
        <v>1613</v>
      </c>
      <c r="F1402" s="164" t="s">
        <v>1614</v>
      </c>
      <c r="G1402" s="161"/>
      <c r="H1402" s="215">
        <v>1</v>
      </c>
      <c r="I1402" s="171"/>
      <c r="J1402" s="173">
        <v>0.2</v>
      </c>
      <c r="K1402" s="172"/>
      <c r="L1402" s="173">
        <v>0.2</v>
      </c>
      <c r="M1402" s="171">
        <v>0.2</v>
      </c>
      <c r="N1402" s="170"/>
      <c r="O1402" s="177" t="s">
        <v>76</v>
      </c>
      <c r="P1402" s="162" t="s">
        <v>1591</v>
      </c>
      <c r="Q1402" s="176"/>
      <c r="R1402" s="175"/>
      <c r="S1402" s="179"/>
      <c r="T1402" s="164" t="s">
        <v>24</v>
      </c>
      <c r="U1402" s="161" t="s">
        <v>1615</v>
      </c>
      <c r="V1402" s="175">
        <v>2156</v>
      </c>
      <c r="W1402" s="181"/>
      <c r="X1402" s="186" t="s">
        <v>259</v>
      </c>
      <c r="Y1402" s="187">
        <v>44832.651805555557</v>
      </c>
    </row>
    <row r="1403" spans="1:25">
      <c r="A1403" s="167" t="s">
        <v>110</v>
      </c>
      <c r="B1403" s="162" t="s">
        <v>1555</v>
      </c>
      <c r="C1403" s="163" t="s">
        <v>3687</v>
      </c>
      <c r="D1403" s="162" t="s">
        <v>227</v>
      </c>
      <c r="E1403" s="161" t="s">
        <v>1625</v>
      </c>
      <c r="F1403" s="162" t="s">
        <v>1609</v>
      </c>
      <c r="G1403" s="161" t="s">
        <v>3688</v>
      </c>
      <c r="H1403" s="215">
        <v>20</v>
      </c>
      <c r="I1403" s="171">
        <v>1.5</v>
      </c>
      <c r="J1403" s="173">
        <v>1.5</v>
      </c>
      <c r="K1403" s="172">
        <v>30</v>
      </c>
      <c r="L1403" s="173">
        <v>30</v>
      </c>
      <c r="M1403" s="171">
        <v>30</v>
      </c>
      <c r="N1403" s="170"/>
      <c r="O1403" s="177" t="s">
        <v>76</v>
      </c>
      <c r="P1403" s="162" t="s">
        <v>1591</v>
      </c>
      <c r="Q1403" s="176"/>
      <c r="R1403" s="174"/>
      <c r="S1403" s="179"/>
      <c r="T1403" s="162" t="s">
        <v>24</v>
      </c>
      <c r="U1403" s="161" t="s">
        <v>16</v>
      </c>
      <c r="V1403" s="174">
        <v>1164</v>
      </c>
      <c r="W1403" s="180"/>
      <c r="X1403" s="185">
        <v>44621</v>
      </c>
      <c r="Y1403" s="187">
        <v>45029.425717592596</v>
      </c>
    </row>
    <row r="1404" spans="1:25">
      <c r="A1404" s="167" t="s">
        <v>45</v>
      </c>
      <c r="B1404" s="162" t="s">
        <v>1599</v>
      </c>
      <c r="C1404" s="163" t="s">
        <v>3689</v>
      </c>
      <c r="D1404" s="162" t="s">
        <v>3690</v>
      </c>
      <c r="E1404" s="161" t="s">
        <v>1625</v>
      </c>
      <c r="F1404" s="164" t="s">
        <v>1609</v>
      </c>
      <c r="G1404" s="161"/>
      <c r="H1404" s="215">
        <v>208</v>
      </c>
      <c r="I1404" s="171"/>
      <c r="J1404" s="173">
        <v>7.2</v>
      </c>
      <c r="K1404" s="172"/>
      <c r="L1404" s="173">
        <v>1497.6</v>
      </c>
      <c r="M1404" s="171">
        <v>1497.6</v>
      </c>
      <c r="N1404" s="170"/>
      <c r="O1404" s="177" t="s">
        <v>1523</v>
      </c>
      <c r="P1404" s="162" t="s">
        <v>1620</v>
      </c>
      <c r="Q1404" s="176"/>
      <c r="R1404" s="175"/>
      <c r="S1404" s="179"/>
      <c r="T1404" s="164" t="s">
        <v>28</v>
      </c>
      <c r="U1404" s="161" t="s">
        <v>16</v>
      </c>
      <c r="V1404" s="175">
        <v>2266</v>
      </c>
      <c r="W1404" s="181"/>
      <c r="X1404" s="186">
        <v>45069</v>
      </c>
      <c r="Y1404" s="187">
        <v>44909.778020833335</v>
      </c>
    </row>
    <row r="1405" spans="1:25">
      <c r="A1405" s="167" t="s">
        <v>45</v>
      </c>
      <c r="B1405" s="162" t="s">
        <v>1599</v>
      </c>
      <c r="C1405" s="163" t="s">
        <v>3691</v>
      </c>
      <c r="D1405" s="162" t="s">
        <v>3692</v>
      </c>
      <c r="E1405" s="161" t="s">
        <v>1602</v>
      </c>
      <c r="F1405" s="164" t="s">
        <v>1603</v>
      </c>
      <c r="G1405" s="161"/>
      <c r="H1405" s="215">
        <v>1</v>
      </c>
      <c r="I1405" s="171"/>
      <c r="J1405" s="173">
        <v>1220</v>
      </c>
      <c r="K1405" s="172"/>
      <c r="L1405" s="173">
        <v>1220</v>
      </c>
      <c r="M1405" s="171">
        <v>1220</v>
      </c>
      <c r="N1405" s="170">
        <v>0</v>
      </c>
      <c r="O1405" s="177" t="s">
        <v>1523</v>
      </c>
      <c r="P1405" s="162" t="s">
        <v>1604</v>
      </c>
      <c r="Q1405" s="176"/>
      <c r="R1405" s="175"/>
      <c r="S1405" s="179"/>
      <c r="T1405" s="164" t="s">
        <v>28</v>
      </c>
      <c r="U1405" s="161" t="s">
        <v>19</v>
      </c>
      <c r="V1405" s="175">
        <v>2371</v>
      </c>
      <c r="W1405" s="181" t="s">
        <v>3693</v>
      </c>
      <c r="X1405" s="186">
        <v>45017</v>
      </c>
      <c r="Y1405" s="187">
        <v>44931.488483796296</v>
      </c>
    </row>
    <row r="1406" spans="1:25">
      <c r="A1406" s="167" t="s">
        <v>45</v>
      </c>
      <c r="B1406" s="162" t="s">
        <v>1599</v>
      </c>
      <c r="C1406" s="163" t="s">
        <v>525</v>
      </c>
      <c r="D1406" s="162" t="s">
        <v>62</v>
      </c>
      <c r="E1406" s="161" t="s">
        <v>1631</v>
      </c>
      <c r="F1406" s="164" t="s">
        <v>1614</v>
      </c>
      <c r="G1406" s="161"/>
      <c r="H1406" s="215">
        <v>1</v>
      </c>
      <c r="I1406" s="171">
        <v>0</v>
      </c>
      <c r="J1406" s="173">
        <v>60</v>
      </c>
      <c r="K1406" s="172">
        <v>0</v>
      </c>
      <c r="L1406" s="173">
        <v>60</v>
      </c>
      <c r="M1406" s="171">
        <v>60</v>
      </c>
      <c r="N1406" s="170"/>
      <c r="O1406" s="177" t="s">
        <v>27</v>
      </c>
      <c r="P1406" s="162" t="s">
        <v>1620</v>
      </c>
      <c r="Q1406" s="176"/>
      <c r="R1406" s="175">
        <v>2045</v>
      </c>
      <c r="S1406" s="179"/>
      <c r="T1406" s="164" t="s">
        <v>27</v>
      </c>
      <c r="U1406" s="161" t="s">
        <v>1615</v>
      </c>
      <c r="V1406" s="175">
        <v>1928</v>
      </c>
      <c r="W1406" s="181"/>
      <c r="X1406" s="186">
        <v>45069</v>
      </c>
      <c r="Y1406" s="187">
        <v>45103.80872685185</v>
      </c>
    </row>
    <row r="1407" spans="1:25">
      <c r="A1407" s="167" t="s">
        <v>45</v>
      </c>
      <c r="B1407" s="162" t="s">
        <v>1599</v>
      </c>
      <c r="C1407" s="163" t="s">
        <v>3694</v>
      </c>
      <c r="D1407" s="162" t="s">
        <v>62</v>
      </c>
      <c r="E1407" s="161" t="s">
        <v>1631</v>
      </c>
      <c r="F1407" s="164" t="s">
        <v>1614</v>
      </c>
      <c r="G1407" s="161"/>
      <c r="H1407" s="215">
        <v>161</v>
      </c>
      <c r="I1407" s="171">
        <v>3.63</v>
      </c>
      <c r="J1407" s="173">
        <v>3.63</v>
      </c>
      <c r="K1407" s="172">
        <v>584.42999999999995</v>
      </c>
      <c r="L1407" s="173">
        <v>584.42999999999995</v>
      </c>
      <c r="M1407" s="171">
        <v>584.42999999999995</v>
      </c>
      <c r="N1407" s="170">
        <v>0</v>
      </c>
      <c r="O1407" s="177" t="s">
        <v>1523</v>
      </c>
      <c r="P1407" s="162" t="s">
        <v>1620</v>
      </c>
      <c r="Q1407" s="176"/>
      <c r="R1407" s="175"/>
      <c r="S1407" s="179"/>
      <c r="T1407" s="164" t="s">
        <v>28</v>
      </c>
      <c r="U1407" s="161" t="s">
        <v>1615</v>
      </c>
      <c r="V1407" s="175">
        <v>1484</v>
      </c>
      <c r="W1407" s="181"/>
      <c r="X1407" s="186">
        <v>45069</v>
      </c>
      <c r="Y1407" s="187">
        <v>45091.522719907407</v>
      </c>
    </row>
    <row r="1408" spans="1:25">
      <c r="A1408" s="167" t="s">
        <v>77</v>
      </c>
      <c r="B1408" s="162" t="s">
        <v>1555</v>
      </c>
      <c r="C1408" s="163" t="s">
        <v>551</v>
      </c>
      <c r="D1408" s="162" t="s">
        <v>552</v>
      </c>
      <c r="E1408" s="161" t="s">
        <v>1631</v>
      </c>
      <c r="F1408" s="164" t="s">
        <v>1614</v>
      </c>
      <c r="G1408" s="161" t="s">
        <v>553</v>
      </c>
      <c r="H1408" s="215">
        <v>44</v>
      </c>
      <c r="I1408" s="171">
        <v>0</v>
      </c>
      <c r="J1408" s="173">
        <v>2.34</v>
      </c>
      <c r="K1408" s="172">
        <v>0</v>
      </c>
      <c r="L1408" s="173">
        <v>102.96</v>
      </c>
      <c r="M1408" s="171">
        <v>102.96</v>
      </c>
      <c r="N1408" s="170">
        <v>0</v>
      </c>
      <c r="O1408" s="177" t="s">
        <v>76</v>
      </c>
      <c r="P1408" s="162" t="s">
        <v>1620</v>
      </c>
      <c r="Q1408" s="176">
        <v>44440</v>
      </c>
      <c r="R1408" s="175">
        <v>2044</v>
      </c>
      <c r="S1408" s="179"/>
      <c r="T1408" s="164" t="s">
        <v>24</v>
      </c>
      <c r="U1408" s="161" t="s">
        <v>1615</v>
      </c>
      <c r="V1408" s="175">
        <v>1599</v>
      </c>
      <c r="W1408" s="181"/>
      <c r="X1408" s="186">
        <v>45069</v>
      </c>
      <c r="Y1408" s="187">
        <v>44981.415381944447</v>
      </c>
    </row>
    <row r="1409" spans="1:25">
      <c r="A1409" s="167" t="s">
        <v>110</v>
      </c>
      <c r="B1409" s="162" t="s">
        <v>1555</v>
      </c>
      <c r="C1409" s="163" t="s">
        <v>3695</v>
      </c>
      <c r="D1409" s="162" t="s">
        <v>396</v>
      </c>
      <c r="E1409" s="161" t="s">
        <v>1700</v>
      </c>
      <c r="F1409" s="164" t="s">
        <v>1658</v>
      </c>
      <c r="G1409" s="161"/>
      <c r="H1409" s="215">
        <v>2</v>
      </c>
      <c r="I1409" s="171"/>
      <c r="J1409" s="173">
        <v>4.75</v>
      </c>
      <c r="K1409" s="172"/>
      <c r="L1409" s="173">
        <v>9.5</v>
      </c>
      <c r="M1409" s="171">
        <v>9.5</v>
      </c>
      <c r="N1409" s="170"/>
      <c r="O1409" s="177" t="s">
        <v>76</v>
      </c>
      <c r="P1409" s="162" t="s">
        <v>1591</v>
      </c>
      <c r="Q1409" s="176"/>
      <c r="R1409" s="175"/>
      <c r="S1409" s="179"/>
      <c r="T1409" s="164" t="s">
        <v>24</v>
      </c>
      <c r="U1409" s="161" t="s">
        <v>17</v>
      </c>
      <c r="V1409" s="175">
        <v>1256</v>
      </c>
      <c r="W1409" s="181"/>
      <c r="X1409" s="186">
        <v>44621</v>
      </c>
      <c r="Y1409" s="187">
        <v>45029.458055555559</v>
      </c>
    </row>
    <row r="1410" spans="1:25">
      <c r="A1410" s="167" t="s">
        <v>77</v>
      </c>
      <c r="B1410" s="162" t="s">
        <v>1555</v>
      </c>
      <c r="C1410" s="163" t="s">
        <v>3696</v>
      </c>
      <c r="D1410" s="162" t="s">
        <v>3697</v>
      </c>
      <c r="E1410" s="161" t="s">
        <v>2072</v>
      </c>
      <c r="F1410" s="164" t="s">
        <v>1592</v>
      </c>
      <c r="G1410" s="161" t="s">
        <v>3698</v>
      </c>
      <c r="H1410" s="215">
        <v>1</v>
      </c>
      <c r="I1410" s="171">
        <v>180</v>
      </c>
      <c r="J1410" s="173">
        <v>180</v>
      </c>
      <c r="K1410" s="172">
        <v>180</v>
      </c>
      <c r="L1410" s="173">
        <v>180</v>
      </c>
      <c r="M1410" s="171">
        <v>180</v>
      </c>
      <c r="N1410" s="170"/>
      <c r="O1410" s="177" t="s">
        <v>76</v>
      </c>
      <c r="P1410" s="162" t="s">
        <v>1591</v>
      </c>
      <c r="Q1410" s="176"/>
      <c r="R1410" s="175"/>
      <c r="S1410" s="179"/>
      <c r="T1410" s="164" t="s">
        <v>24</v>
      </c>
      <c r="U1410" s="161" t="s">
        <v>12</v>
      </c>
      <c r="V1410" s="175">
        <v>1257</v>
      </c>
      <c r="W1410" s="181"/>
      <c r="X1410" s="186">
        <v>45017</v>
      </c>
      <c r="Y1410" s="187">
        <v>43204.29241898148</v>
      </c>
    </row>
    <row r="1411" spans="1:25">
      <c r="A1411" s="167" t="s">
        <v>45</v>
      </c>
      <c r="B1411" s="162" t="s">
        <v>1599</v>
      </c>
      <c r="C1411" s="163" t="s">
        <v>3699</v>
      </c>
      <c r="D1411" s="162" t="s">
        <v>3700</v>
      </c>
      <c r="E1411" s="161" t="s">
        <v>1613</v>
      </c>
      <c r="F1411" s="164" t="s">
        <v>1614</v>
      </c>
      <c r="G1411" s="161"/>
      <c r="H1411" s="215">
        <v>1</v>
      </c>
      <c r="I1411" s="171">
        <v>80</v>
      </c>
      <c r="J1411" s="173">
        <v>80</v>
      </c>
      <c r="K1411" s="172">
        <v>80</v>
      </c>
      <c r="L1411" s="173">
        <v>80</v>
      </c>
      <c r="M1411" s="171">
        <v>80</v>
      </c>
      <c r="N1411" s="170"/>
      <c r="O1411" s="177" t="s">
        <v>1523</v>
      </c>
      <c r="P1411" s="162" t="s">
        <v>1604</v>
      </c>
      <c r="Q1411" s="176"/>
      <c r="R1411" s="175"/>
      <c r="S1411" s="179"/>
      <c r="T1411" s="164" t="s">
        <v>28</v>
      </c>
      <c r="U1411" s="161" t="s">
        <v>1615</v>
      </c>
      <c r="V1411" s="175">
        <v>2179</v>
      </c>
      <c r="W1411" s="181" t="s">
        <v>3701</v>
      </c>
      <c r="X1411" s="186">
        <v>45017</v>
      </c>
      <c r="Y1411" s="187">
        <v>44986.40861111111</v>
      </c>
    </row>
    <row r="1412" spans="1:25">
      <c r="A1412" s="220" t="s">
        <v>110</v>
      </c>
      <c r="B1412" s="221" t="s">
        <v>1555</v>
      </c>
      <c r="C1412" s="222" t="s">
        <v>511</v>
      </c>
      <c r="D1412" s="221" t="s">
        <v>512</v>
      </c>
      <c r="E1412" s="223" t="s">
        <v>1631</v>
      </c>
      <c r="F1412" s="224" t="s">
        <v>1614</v>
      </c>
      <c r="G1412" s="223" t="s">
        <v>513</v>
      </c>
      <c r="H1412" s="215">
        <v>20</v>
      </c>
      <c r="I1412" s="171"/>
      <c r="J1412" s="173">
        <v>2.5</v>
      </c>
      <c r="K1412" s="172"/>
      <c r="L1412" s="173">
        <v>50</v>
      </c>
      <c r="M1412" s="171">
        <v>50</v>
      </c>
      <c r="N1412" s="229"/>
      <c r="O1412" s="230" t="s">
        <v>76</v>
      </c>
      <c r="P1412" s="221" t="s">
        <v>1620</v>
      </c>
      <c r="Q1412" s="231"/>
      <c r="R1412" s="232">
        <v>2050</v>
      </c>
      <c r="S1412" s="233"/>
      <c r="T1412" s="224" t="s">
        <v>24</v>
      </c>
      <c r="U1412" s="223" t="s">
        <v>1615</v>
      </c>
      <c r="V1412" s="232">
        <v>1423</v>
      </c>
      <c r="W1412" s="234"/>
      <c r="X1412" s="235">
        <v>45017</v>
      </c>
      <c r="Y1412" s="236">
        <v>45016.654652777775</v>
      </c>
    </row>
    <row r="1413" spans="1:25">
      <c r="A1413" s="220" t="s">
        <v>110</v>
      </c>
      <c r="B1413" s="221" t="s">
        <v>1555</v>
      </c>
      <c r="C1413" s="222" t="s">
        <v>511</v>
      </c>
      <c r="D1413" s="221" t="s">
        <v>512</v>
      </c>
      <c r="E1413" s="223" t="s">
        <v>1631</v>
      </c>
      <c r="F1413" s="224" t="s">
        <v>1614</v>
      </c>
      <c r="G1413" s="223" t="s">
        <v>513</v>
      </c>
      <c r="H1413" s="215">
        <v>16</v>
      </c>
      <c r="I1413" s="171"/>
      <c r="J1413" s="173">
        <v>2.75</v>
      </c>
      <c r="K1413" s="172"/>
      <c r="L1413" s="173">
        <v>44</v>
      </c>
      <c r="M1413" s="171">
        <v>44</v>
      </c>
      <c r="N1413" s="229"/>
      <c r="O1413" s="230" t="s">
        <v>76</v>
      </c>
      <c r="P1413" s="221" t="s">
        <v>1620</v>
      </c>
      <c r="Q1413" s="231"/>
      <c r="R1413" s="232">
        <v>2050</v>
      </c>
      <c r="S1413" s="233"/>
      <c r="T1413" s="224" t="s">
        <v>24</v>
      </c>
      <c r="U1413" s="223" t="s">
        <v>1615</v>
      </c>
      <c r="V1413" s="232">
        <v>1423</v>
      </c>
      <c r="W1413" s="234"/>
      <c r="X1413" s="235">
        <v>45017</v>
      </c>
      <c r="Y1413" s="236">
        <v>45016.654652777775</v>
      </c>
    </row>
    <row r="1414" spans="1:25">
      <c r="A1414" s="220" t="s">
        <v>110</v>
      </c>
      <c r="B1414" s="221" t="s">
        <v>1555</v>
      </c>
      <c r="C1414" s="222" t="s">
        <v>3702</v>
      </c>
      <c r="D1414" s="221" t="s">
        <v>3703</v>
      </c>
      <c r="E1414" s="223" t="s">
        <v>1625</v>
      </c>
      <c r="F1414" s="224" t="s">
        <v>1609</v>
      </c>
      <c r="G1414" s="223" t="s">
        <v>3704</v>
      </c>
      <c r="H1414" s="215">
        <v>2</v>
      </c>
      <c r="I1414" s="171">
        <v>3.6</v>
      </c>
      <c r="J1414" s="173">
        <v>3.6</v>
      </c>
      <c r="K1414" s="172">
        <v>7.2</v>
      </c>
      <c r="L1414" s="173">
        <v>7.2</v>
      </c>
      <c r="M1414" s="171">
        <v>7.2</v>
      </c>
      <c r="N1414" s="229"/>
      <c r="O1414" s="230" t="s">
        <v>76</v>
      </c>
      <c r="P1414" s="221" t="s">
        <v>1591</v>
      </c>
      <c r="Q1414" s="231">
        <v>43435</v>
      </c>
      <c r="R1414" s="232">
        <v>2048</v>
      </c>
      <c r="S1414" s="233"/>
      <c r="T1414" s="224" t="s">
        <v>24</v>
      </c>
      <c r="U1414" s="223" t="s">
        <v>16</v>
      </c>
      <c r="V1414" s="232">
        <v>1495</v>
      </c>
      <c r="W1414" s="234"/>
      <c r="X1414" s="235">
        <v>44805</v>
      </c>
      <c r="Y1414" s="236">
        <v>44981.401261574072</v>
      </c>
    </row>
    <row r="1415" spans="1:25">
      <c r="A1415" s="220" t="s">
        <v>110</v>
      </c>
      <c r="B1415" s="221" t="s">
        <v>1555</v>
      </c>
      <c r="C1415" s="222" t="s">
        <v>390</v>
      </c>
      <c r="D1415" s="221" t="s">
        <v>391</v>
      </c>
      <c r="E1415" s="223" t="s">
        <v>1625</v>
      </c>
      <c r="F1415" s="224" t="s">
        <v>1609</v>
      </c>
      <c r="G1415" s="223" t="s">
        <v>392</v>
      </c>
      <c r="H1415" s="215">
        <v>38</v>
      </c>
      <c r="I1415" s="171">
        <v>3.8</v>
      </c>
      <c r="J1415" s="173">
        <v>3.8</v>
      </c>
      <c r="K1415" s="172">
        <v>144.4</v>
      </c>
      <c r="L1415" s="173">
        <v>144.4</v>
      </c>
      <c r="M1415" s="171">
        <v>144.4</v>
      </c>
      <c r="N1415" s="229">
        <v>0</v>
      </c>
      <c r="O1415" s="230" t="s">
        <v>76</v>
      </c>
      <c r="P1415" s="221" t="s">
        <v>1620</v>
      </c>
      <c r="Q1415" s="231">
        <v>44197</v>
      </c>
      <c r="R1415" s="232">
        <v>2049</v>
      </c>
      <c r="S1415" s="233"/>
      <c r="T1415" s="224" t="s">
        <v>24</v>
      </c>
      <c r="U1415" s="223" t="s">
        <v>16</v>
      </c>
      <c r="V1415" s="232">
        <v>1114</v>
      </c>
      <c r="W1415" s="234"/>
      <c r="X1415" s="235">
        <v>45069</v>
      </c>
      <c r="Y1415" s="236">
        <v>45097.336712962962</v>
      </c>
    </row>
    <row r="1416" spans="1:25">
      <c r="A1416" s="220" t="s">
        <v>91</v>
      </c>
      <c r="B1416" s="221" t="s">
        <v>1599</v>
      </c>
      <c r="C1416" s="222" t="s">
        <v>3705</v>
      </c>
      <c r="D1416" s="221" t="s">
        <v>3706</v>
      </c>
      <c r="E1416" s="223" t="s">
        <v>1625</v>
      </c>
      <c r="F1416" s="224" t="s">
        <v>1609</v>
      </c>
      <c r="G1416" s="223"/>
      <c r="H1416" s="215">
        <v>187</v>
      </c>
      <c r="I1416" s="171">
        <v>3.4</v>
      </c>
      <c r="J1416" s="173">
        <v>3.4</v>
      </c>
      <c r="K1416" s="172">
        <v>635.79999999999995</v>
      </c>
      <c r="L1416" s="173">
        <v>635.79999999999995</v>
      </c>
      <c r="M1416" s="171">
        <v>635.79999999999995</v>
      </c>
      <c r="N1416" s="229"/>
      <c r="O1416" s="230" t="s">
        <v>1523</v>
      </c>
      <c r="P1416" s="221" t="s">
        <v>1620</v>
      </c>
      <c r="Q1416" s="231">
        <v>44866</v>
      </c>
      <c r="R1416" s="232"/>
      <c r="S1416" s="233"/>
      <c r="T1416" s="224" t="s">
        <v>28</v>
      </c>
      <c r="U1416" s="223" t="s">
        <v>16</v>
      </c>
      <c r="V1416" s="232">
        <v>1615</v>
      </c>
      <c r="W1416" s="234"/>
      <c r="X1416" s="235">
        <v>45069</v>
      </c>
      <c r="Y1416" s="236">
        <v>45021.59138888889</v>
      </c>
    </row>
    <row r="1417" spans="1:25">
      <c r="A1417" s="220" t="s">
        <v>110</v>
      </c>
      <c r="B1417" s="221" t="s">
        <v>1555</v>
      </c>
      <c r="C1417" s="222" t="s">
        <v>3707</v>
      </c>
      <c r="D1417" s="221" t="s">
        <v>1604</v>
      </c>
      <c r="E1417" s="223" t="s">
        <v>1613</v>
      </c>
      <c r="F1417" s="224" t="s">
        <v>1614</v>
      </c>
      <c r="G1417" s="223"/>
      <c r="H1417" s="215">
        <v>1</v>
      </c>
      <c r="I1417" s="171"/>
      <c r="J1417" s="173">
        <v>0.11</v>
      </c>
      <c r="K1417" s="172"/>
      <c r="L1417" s="173">
        <v>0.11</v>
      </c>
      <c r="M1417" s="171">
        <v>0.11</v>
      </c>
      <c r="N1417" s="229"/>
      <c r="O1417" s="230" t="s">
        <v>76</v>
      </c>
      <c r="P1417" s="221" t="s">
        <v>1591</v>
      </c>
      <c r="Q1417" s="231"/>
      <c r="R1417" s="232"/>
      <c r="S1417" s="233"/>
      <c r="T1417" s="224" t="s">
        <v>24</v>
      </c>
      <c r="U1417" s="223" t="s">
        <v>1615</v>
      </c>
      <c r="V1417" s="232">
        <v>2157</v>
      </c>
      <c r="W1417" s="234"/>
      <c r="X1417" s="235" t="s">
        <v>259</v>
      </c>
      <c r="Y1417" s="236">
        <v>44832.655347222222</v>
      </c>
    </row>
    <row r="1418" spans="1:25">
      <c r="A1418" s="4" t="s">
        <v>3708</v>
      </c>
      <c r="B1418" s="4"/>
      <c r="C1418" s="4"/>
      <c r="D1418" s="4"/>
      <c r="E1418" s="4"/>
      <c r="F1418" s="4"/>
      <c r="G1418" s="4"/>
      <c r="H1418" s="4"/>
      <c r="I1418" s="4"/>
      <c r="J1418" s="4"/>
      <c r="K1418" s="4"/>
      <c r="L1418" s="4"/>
      <c r="M1418" s="156"/>
      <c r="N1418" s="4"/>
      <c r="O1418" s="4"/>
      <c r="P1418" s="4"/>
      <c r="Q1418" s="4"/>
      <c r="R1418" s="4"/>
      <c r="S1418" s="4"/>
      <c r="T1418" s="5"/>
      <c r="U1418" s="4"/>
      <c r="V1418" s="4"/>
      <c r="W1418" s="4"/>
      <c r="X1418" s="4"/>
      <c r="Y1418" s="151"/>
    </row>
    <row r="1419" spans="1:25">
      <c r="A1419" s="6" t="s">
        <v>3709</v>
      </c>
      <c r="B1419" s="4"/>
      <c r="C1419" s="4"/>
      <c r="D1419" s="4"/>
      <c r="E1419" s="4"/>
      <c r="F1419" s="4"/>
      <c r="G1419" s="4"/>
      <c r="H1419" s="4"/>
      <c r="I1419" s="4"/>
      <c r="J1419" s="4"/>
      <c r="K1419" s="4"/>
      <c r="L1419" s="4"/>
      <c r="M1419" s="156"/>
      <c r="N1419" s="4"/>
      <c r="O1419" s="4"/>
      <c r="P1419" s="4"/>
      <c r="Q1419" s="4"/>
      <c r="R1419" s="4"/>
      <c r="S1419" s="4"/>
      <c r="T1419" s="5"/>
      <c r="U1419" s="4"/>
      <c r="V1419" s="4"/>
      <c r="W1419" s="4"/>
      <c r="X1419" s="4"/>
      <c r="Y1419" s="151"/>
    </row>
    <row r="1420" spans="1:25">
      <c r="A1420" s="4" t="s">
        <v>3710</v>
      </c>
      <c r="B1420" s="4"/>
      <c r="C1420" s="4"/>
      <c r="D1420" s="4"/>
      <c r="E1420" s="4"/>
      <c r="F1420" s="4"/>
      <c r="G1420" s="4"/>
      <c r="H1420" s="4"/>
      <c r="I1420" s="4"/>
      <c r="J1420" s="4"/>
      <c r="K1420" s="4"/>
      <c r="L1420" s="4"/>
      <c r="M1420" s="156"/>
      <c r="N1420" s="4"/>
      <c r="O1420" s="4"/>
      <c r="P1420" s="4"/>
      <c r="Q1420" s="4"/>
      <c r="R1420" s="4"/>
      <c r="S1420" s="4"/>
      <c r="T1420" s="5"/>
      <c r="U1420" s="4"/>
      <c r="V1420" s="4"/>
      <c r="W1420" s="4"/>
      <c r="X1420" s="4"/>
      <c r="Y1420" s="151"/>
    </row>
    <row r="1421" spans="1:25">
      <c r="A1421" s="4" t="s">
        <v>3711</v>
      </c>
      <c r="B1421" s="4"/>
      <c r="C1421" s="4"/>
      <c r="D1421" s="4"/>
      <c r="E1421" s="4"/>
      <c r="F1421" s="4"/>
      <c r="G1421" s="4"/>
      <c r="H1421" s="4"/>
      <c r="I1421" s="4"/>
      <c r="J1421" s="4"/>
      <c r="K1421" s="4"/>
      <c r="L1421" s="4"/>
      <c r="M1421" s="156"/>
      <c r="N1421" s="4"/>
      <c r="O1421" s="4"/>
      <c r="P1421" s="4"/>
      <c r="Q1421" s="4"/>
      <c r="R1421" s="4"/>
      <c r="S1421" s="4"/>
      <c r="T1421" s="5"/>
      <c r="U1421" s="4"/>
      <c r="V1421" s="4"/>
      <c r="W1421" s="4"/>
      <c r="X1421" s="4"/>
      <c r="Y1421" s="151"/>
    </row>
    <row r="1422" spans="1:25">
      <c r="A1422" s="6" t="s">
        <v>3712</v>
      </c>
      <c r="B1422" s="4"/>
      <c r="C1422" s="4"/>
      <c r="D1422" s="4"/>
      <c r="E1422" s="4"/>
      <c r="F1422" s="4"/>
      <c r="G1422" s="4"/>
      <c r="H1422" s="4"/>
      <c r="I1422" s="4"/>
      <c r="J1422" s="4"/>
      <c r="K1422" s="4"/>
      <c r="L1422" s="4"/>
      <c r="M1422" s="156"/>
      <c r="N1422" s="4"/>
      <c r="O1422" s="4"/>
      <c r="P1422" s="4"/>
      <c r="Q1422" s="4"/>
      <c r="R1422" s="4"/>
      <c r="S1422" s="4"/>
      <c r="T1422" s="5"/>
      <c r="U1422" s="4"/>
      <c r="V1422" s="4"/>
      <c r="W1422" s="4"/>
      <c r="X1422" s="4"/>
      <c r="Y1422" s="151"/>
    </row>
    <row r="1423" spans="1:25">
      <c r="A1423" s="244" t="s">
        <v>4007</v>
      </c>
      <c r="B1423" s="245"/>
      <c r="C1423" s="245"/>
      <c r="D1423" s="245"/>
      <c r="E1423" s="245"/>
      <c r="F1423" s="245"/>
      <c r="G1423" s="245"/>
      <c r="H1423" s="245"/>
      <c r="I1423" s="245"/>
      <c r="J1423" s="245"/>
      <c r="K1423" s="245"/>
      <c r="L1423" s="245"/>
      <c r="M1423" s="246"/>
      <c r="N1423" s="245"/>
      <c r="O1423" s="245"/>
      <c r="P1423" s="245"/>
      <c r="Q1423" s="245"/>
      <c r="R1423" s="245"/>
      <c r="S1423" s="245"/>
      <c r="T1423" s="247"/>
      <c r="U1423" s="245"/>
      <c r="V1423" s="245"/>
      <c r="W1423" s="245"/>
      <c r="X1423" s="245"/>
      <c r="Y1423" s="248"/>
    </row>
  </sheetData>
  <sheetProtection algorithmName="SHA-512" hashValue="L1X9ydVdOqmeiI34szqumFGhDoXcv9rOJSZm2fYf7QdrOM9jU/6xwYBQ7BavpF2DZCnY2z+eeaiEAX/XKnqKGQ==" saltValue="toEwaIbKTBay9N19b7Etwg==" spinCount="100000" sheet="1" formatColumns="0" formatRows="0" sort="0" autoFilter="0" pivotTables="0"/>
  <phoneticPr fontId="50" type="noConversion"/>
  <conditionalFormatting sqref="H3:N23 V3:V23 V25:V1251 V1253:V1325 H1253:N1254 V1343:V1363 N1343:N1363 H25:N105 N1255:N1325 H725:N1251 N1327:N1332 V1327:V1332">
    <cfRule type="expression" dxfId="667" priority="419">
      <formula>MOD(H3,1)=0</formula>
    </cfRule>
  </conditionalFormatting>
  <conditionalFormatting sqref="B1227:Y1241 C1265:G1265 C1242:Y1243 C1098:Y1098 C923:Y923 B3:Y23 B1244:Y1251 C1226:Y1226 B1253:Y1254 R528:Y528 B25:Y105 B924:Y1097 B1266:G1325 B1343:G1363 B725:Y922 B1099:Y1225 H1236:M1245 N1343:Y1363 B1255:G1264 N1255:Y1325 O529:Y724 B106:F724 O106:Y527 O528:P528 N1327:Y1332 B1327:G1332">
    <cfRule type="expression" dxfId="666" priority="415">
      <formula>$B3="Project"</formula>
    </cfRule>
  </conditionalFormatting>
  <conditionalFormatting sqref="A923 C923:F923 A1098 C1098:F1098 A1227:F1241 A1226 C1226:F1226 A1244:F1251 A1242:A1243 C1242:F1243 A1266:F1325 A1265 C1265:F1265 A3:F23 A924:F1097 A1099:F1225 A1253:F1264 A1343:F1363 A25:F922 A1327:F1332">
    <cfRule type="expression" dxfId="665" priority="413">
      <formula>AND($C3=OFFSET($C3,-1,0,1,1),A3=OFFSET(A3,-1,0,1,1))</formula>
    </cfRule>
  </conditionalFormatting>
  <conditionalFormatting sqref="H3:Y23 O528:P528 R528:Y528 H25:Y105 H1253:Y1254 N1343:Y1363 H725:Y1251 N1255:Y1325 O529:Y724 O106:Y527 N1327:Y1332">
    <cfRule type="expression" dxfId="664" priority="418">
      <formula>AND($C3=OFFSET($C3,-1,0,1,1),$G3=OFFSET($G3,-1,0,1,1),H3&lt;&gt;OFFSET(H3,-1,0,1,1))</formula>
    </cfRule>
  </conditionalFormatting>
  <conditionalFormatting sqref="A923 A1098 A1227:Y1241 A1226 A1242:A1243 A1265 C1265:G1265 C1242:Y1243 C1098:Y1098 C923:Y923 A3:Y23 A1244:Y1251 C1226:Y1226 A1253:Y1254 R528:Y528 A25:Y105 A924:Y1097 A1266:G1325 A1343:G1363 A725:Y922 A1099:Y1225 H1236:M1245 N1343:Y1363 A1255:G1264 N1255:Y1325 O529:Y724 A106:F724 O106:Y527 O528:P528 N1327:Y1332 A1327:G1332">
    <cfRule type="expression" dxfId="663" priority="411">
      <formula>$C3&lt;&gt;OFFSET($C3,-1,0,1,1)</formula>
    </cfRule>
  </conditionalFormatting>
  <conditionalFormatting sqref="Q3:Q23 Q25:Q527 Q1253:Q1325 Q529:Q1251 Q1343:Q1363 Q1327:Q1332">
    <cfRule type="expression" dxfId="662" priority="403">
      <formula>OR(AND(ISNUMBER(DATEVALUE($Q3)),MONTH(DATEVALUE($Q3))=12,DATEVALUE("31/12/"&amp;TEXT(YEAR(DATEVALUE($Q3)),"####"))&lt;TODAY()),AND(ISNUMBER(DATEVALUE($Q3)),MONTH(DATEVALUE($Q3))&lt;12,DATEVALUE("01/"&amp;TEXT(MONTH(DATEVALUE($Q3))+1,"##")&amp;"/"&amp;TEXT(YEAR(DATEVALUE($Q3)),"####"))-1&lt;TODAY()))</formula>
    </cfRule>
  </conditionalFormatting>
  <conditionalFormatting sqref="T3:T23 T25:T1251 T1253:T1325 T1343:T1363 T1327:T1332">
    <cfRule type="cellIs" dxfId="661" priority="404" operator="equal">
      <formula>"Withdrawn"</formula>
    </cfRule>
    <cfRule type="cellIs" dxfId="660" priority="405" operator="equal">
      <formula>"Proposed"</formula>
    </cfRule>
    <cfRule type="cellIs" dxfId="659" priority="406" operator="equal">
      <formula>"Committed"</formula>
    </cfRule>
    <cfRule type="cellIs" dxfId="658" priority="407" operator="equal">
      <formula>"Upgrade"</formula>
    </cfRule>
    <cfRule type="cellIs" dxfId="657" priority="408" operator="equal">
      <formula>"Existing less Announced Withdrawal"</formula>
    </cfRule>
    <cfRule type="cellIs" dxfId="656" priority="409" operator="equal">
      <formula>"Announced Withdrawal"</formula>
    </cfRule>
  </conditionalFormatting>
  <conditionalFormatting sqref="C3:C23 C1253:C1325 C1343:C1363 C25:C1251 C1327:C1332">
    <cfRule type="expression" dxfId="655" priority="410">
      <formula>$C3&lt;&gt;OFFSET($C3,-1,0,1,1)</formula>
    </cfRule>
    <cfRule type="expression" dxfId="654" priority="412">
      <formula>$C3=OFFSET($C3,-1,0,1,1)</formula>
    </cfRule>
    <cfRule type="expression" dxfId="653" priority="414">
      <formula>$B3="Project"</formula>
    </cfRule>
  </conditionalFormatting>
  <conditionalFormatting sqref="D3:Y23 R528:Y528 D25:Y105 D1253:Y1254 D1343:G1363 D725:Y1251 N1343:Y1363 D1255:G1325 N1255:Y1325 O529:Y724 D106:F724 O106:Y527 O528:P528 N1327:Y1332 D1327:G1332">
    <cfRule type="expression" dxfId="652" priority="416">
      <formula>AND($C3=OFFSET($C3,-1,0,1,1),$G3&lt;&gt;OFFSET($G3,-1,0,1,1))</formula>
    </cfRule>
    <cfRule type="expression" dxfId="651" priority="417">
      <formula>AND($C3=OFFSET($C3,-1,0,1,1),$G3=OFFSET($G3,-1,0,1,1),D3=OFFSET(D3,-1,0,1,1))</formula>
    </cfRule>
  </conditionalFormatting>
  <conditionalFormatting sqref="V3 H3:N3">
    <cfRule type="expression" dxfId="650" priority="402">
      <formula>MOD(H3,1)=0</formula>
    </cfRule>
  </conditionalFormatting>
  <conditionalFormatting sqref="B3:Y3">
    <cfRule type="expression" dxfId="649" priority="398">
      <formula>$B3="Project"</formula>
    </cfRule>
  </conditionalFormatting>
  <conditionalFormatting sqref="A3:F3">
    <cfRule type="expression" dxfId="648" priority="396">
      <formula>AND($C3=OFFSET($C3,-1,0,1,1),A3=OFFSET(A3,-1,0,1,1))</formula>
    </cfRule>
  </conditionalFormatting>
  <conditionalFormatting sqref="H3:Y3">
    <cfRule type="expression" dxfId="647" priority="401">
      <formula>AND($C3=OFFSET($C3,-1,0,1,1),$G3=OFFSET($G3,-1,0,1,1),H3&lt;&gt;OFFSET(H3,-1,0,1,1))</formula>
    </cfRule>
  </conditionalFormatting>
  <conditionalFormatting sqref="A3:Y3">
    <cfRule type="expression" dxfId="646" priority="394">
      <formula>$C3&lt;&gt;OFFSET($C3,-1,0,1,1)</formula>
    </cfRule>
  </conditionalFormatting>
  <conditionalFormatting sqref="Q3">
    <cfRule type="expression" dxfId="645" priority="386">
      <formula>OR(AND(ISNUMBER(DATEVALUE($Q3)),MONTH(DATEVALUE($Q3))=12,DATEVALUE("31/12/"&amp;TEXT(YEAR(DATEVALUE($Q3)),"####"))&lt;TODAY()),AND(ISNUMBER(DATEVALUE($Q3)),MONTH(DATEVALUE($Q3))&lt;12,DATEVALUE("01/"&amp;TEXT(MONTH(DATEVALUE($Q3))+1,"##")&amp;"/"&amp;TEXT(YEAR(DATEVALUE($Q3)),"####"))-1&lt;TODAY()))</formula>
    </cfRule>
  </conditionalFormatting>
  <conditionalFormatting sqref="T3">
    <cfRule type="cellIs" dxfId="644" priority="387" operator="equal">
      <formula>"Withdrawn"</formula>
    </cfRule>
    <cfRule type="cellIs" dxfId="643" priority="388" operator="equal">
      <formula>"Proposed"</formula>
    </cfRule>
    <cfRule type="cellIs" dxfId="642" priority="389" operator="equal">
      <formula>"Committed"</formula>
    </cfRule>
    <cfRule type="cellIs" dxfId="641" priority="390" operator="equal">
      <formula>"Upgrade"</formula>
    </cfRule>
    <cfRule type="cellIs" dxfId="640" priority="391" operator="equal">
      <formula>"Existing less Announced Withdrawal"</formula>
    </cfRule>
    <cfRule type="cellIs" dxfId="639" priority="392" operator="equal">
      <formula>"Announced Withdrawal"</formula>
    </cfRule>
  </conditionalFormatting>
  <conditionalFormatting sqref="C3">
    <cfRule type="expression" dxfId="638" priority="393">
      <formula>$C3&lt;&gt;OFFSET($C3,-1,0,1,1)</formula>
    </cfRule>
    <cfRule type="expression" dxfId="637" priority="395">
      <formula>$C3=OFFSET($C3,-1,0,1,1)</formula>
    </cfRule>
    <cfRule type="expression" dxfId="636" priority="397">
      <formula>$B3="Project"</formula>
    </cfRule>
  </conditionalFormatting>
  <conditionalFormatting sqref="D3:Y3">
    <cfRule type="expression" dxfId="635" priority="399">
      <formula>AND($C3=OFFSET($C3,-1,0,1,1),$G3&lt;&gt;OFFSET($G3,-1,0,1,1))</formula>
    </cfRule>
    <cfRule type="expression" dxfId="634" priority="400">
      <formula>AND($C3=OFFSET($C3,-1,0,1,1),$G3=OFFSET($G3,-1,0,1,1),D3=OFFSET(D3,-1,0,1,1))</formula>
    </cfRule>
  </conditionalFormatting>
  <conditionalFormatting sqref="Y3">
    <cfRule type="colorScale" priority="420">
      <colorScale>
        <cfvo type="min"/>
        <cfvo type="formula" val="TODAY()-365"/>
        <cfvo type="max"/>
        <color rgb="FFFFD1D1"/>
        <color theme="7" tint="0.79998168889431442"/>
        <color theme="0"/>
      </colorScale>
    </cfRule>
  </conditionalFormatting>
  <conditionalFormatting sqref="V848 H848:N848">
    <cfRule type="expression" dxfId="633" priority="349">
      <formula>MOD(H848,1)=0</formula>
    </cfRule>
  </conditionalFormatting>
  <conditionalFormatting sqref="T848">
    <cfRule type="cellIs" dxfId="632" priority="334" operator="equal">
      <formula>"Withdrawn"</formula>
    </cfRule>
    <cfRule type="cellIs" dxfId="631" priority="335" operator="equal">
      <formula>"Proposed"</formula>
    </cfRule>
    <cfRule type="cellIs" dxfId="630" priority="336" operator="equal">
      <formula>"Committed"</formula>
    </cfRule>
    <cfRule type="cellIs" dxfId="629" priority="337" operator="equal">
      <formula>"Upgrade"</formula>
    </cfRule>
    <cfRule type="cellIs" dxfId="628" priority="338" operator="equal">
      <formula>"Existing less Announced Withdrawal"</formula>
    </cfRule>
    <cfRule type="cellIs" dxfId="627" priority="339" operator="equal">
      <formula>"Announced Withdrawal"</formula>
    </cfRule>
  </conditionalFormatting>
  <conditionalFormatting sqref="V848 H848:N848">
    <cfRule type="expression" dxfId="626" priority="332">
      <formula>MOD(H848,1)=0</formula>
    </cfRule>
  </conditionalFormatting>
  <conditionalFormatting sqref="T848">
    <cfRule type="cellIs" dxfId="625" priority="317" operator="equal">
      <formula>"Withdrawn"</formula>
    </cfRule>
    <cfRule type="cellIs" dxfId="624" priority="318" operator="equal">
      <formula>"Proposed"</formula>
    </cfRule>
    <cfRule type="cellIs" dxfId="623" priority="319" operator="equal">
      <formula>"Committed"</formula>
    </cfRule>
    <cfRule type="cellIs" dxfId="622" priority="320" operator="equal">
      <formula>"Upgrade"</formula>
    </cfRule>
    <cfRule type="cellIs" dxfId="621" priority="321" operator="equal">
      <formula>"Existing less Announced Withdrawal"</formula>
    </cfRule>
    <cfRule type="cellIs" dxfId="620" priority="322" operator="equal">
      <formula>"Announced Withdrawal"</formula>
    </cfRule>
  </conditionalFormatting>
  <conditionalFormatting sqref="Y848">
    <cfRule type="colorScale" priority="350">
      <colorScale>
        <cfvo type="min"/>
        <cfvo type="formula" val="TODAY()-365"/>
        <cfvo type="max"/>
        <color rgb="FFFFD1D1"/>
        <color theme="7" tint="0.79998168889431442"/>
        <color theme="0"/>
      </colorScale>
    </cfRule>
  </conditionalFormatting>
  <conditionalFormatting sqref="B923">
    <cfRule type="expression" dxfId="619" priority="315">
      <formula>$B923="Project"</formula>
    </cfRule>
  </conditionalFormatting>
  <conditionalFormatting sqref="B923">
    <cfRule type="expression" dxfId="618" priority="314">
      <formula>AND($C923=OFFSET($C923,-1,0,1,1),B923=OFFSET(B923,-1,0,1,1))</formula>
    </cfRule>
  </conditionalFormatting>
  <conditionalFormatting sqref="B923">
    <cfRule type="expression" dxfId="617" priority="313">
      <formula>$C923&lt;&gt;OFFSET($C923,-1,0,1,1)</formula>
    </cfRule>
  </conditionalFormatting>
  <conditionalFormatting sqref="B923">
    <cfRule type="expression" dxfId="616" priority="312">
      <formula>$B923="Project"</formula>
    </cfRule>
  </conditionalFormatting>
  <conditionalFormatting sqref="B923">
    <cfRule type="expression" dxfId="615" priority="311">
      <formula>AND($C923=OFFSET($C923,-1,0,1,1),B923=OFFSET(B923,-1,0,1,1))</formula>
    </cfRule>
  </conditionalFormatting>
  <conditionalFormatting sqref="B923">
    <cfRule type="expression" dxfId="614" priority="310">
      <formula>$C923&lt;&gt;OFFSET($C923,-1,0,1,1)</formula>
    </cfRule>
  </conditionalFormatting>
  <conditionalFormatting sqref="B1098">
    <cfRule type="expression" dxfId="613" priority="309">
      <formula>$B1098="Project"</formula>
    </cfRule>
  </conditionalFormatting>
  <conditionalFormatting sqref="B1098">
    <cfRule type="expression" dxfId="612" priority="308">
      <formula>AND($C1098=OFFSET($C1098,-1,0,1,1),B1098=OFFSET(B1098,-1,0,1,1))</formula>
    </cfRule>
  </conditionalFormatting>
  <conditionalFormatting sqref="B1098">
    <cfRule type="expression" dxfId="611" priority="307">
      <formula>$C1098&lt;&gt;OFFSET($C1098,-1,0,1,1)</formula>
    </cfRule>
  </conditionalFormatting>
  <conditionalFormatting sqref="B1098">
    <cfRule type="expression" dxfId="610" priority="306">
      <formula>$B1098="Project"</formula>
    </cfRule>
  </conditionalFormatting>
  <conditionalFormatting sqref="B1098">
    <cfRule type="expression" dxfId="609" priority="305">
      <formula>AND($C1098=OFFSET($C1098,-1,0,1,1),B1098=OFFSET(B1098,-1,0,1,1))</formula>
    </cfRule>
  </conditionalFormatting>
  <conditionalFormatting sqref="B1098">
    <cfRule type="expression" dxfId="608" priority="304">
      <formula>$C1098&lt;&gt;OFFSET($C1098,-1,0,1,1)</formula>
    </cfRule>
  </conditionalFormatting>
  <conditionalFormatting sqref="B1226">
    <cfRule type="expression" dxfId="607" priority="303">
      <formula>$B1226="Project"</formula>
    </cfRule>
  </conditionalFormatting>
  <conditionalFormatting sqref="B1226">
    <cfRule type="expression" dxfId="606" priority="302">
      <formula>AND($C1226=OFFSET($C1226,-1,0,1,1),B1226=OFFSET(B1226,-1,0,1,1))</formula>
    </cfRule>
  </conditionalFormatting>
  <conditionalFormatting sqref="B1226">
    <cfRule type="expression" dxfId="605" priority="301">
      <formula>$C1226&lt;&gt;OFFSET($C1226,-1,0,1,1)</formula>
    </cfRule>
  </conditionalFormatting>
  <conditionalFormatting sqref="B1226">
    <cfRule type="expression" dxfId="604" priority="300">
      <formula>$B1226="Project"</formula>
    </cfRule>
  </conditionalFormatting>
  <conditionalFormatting sqref="B1226">
    <cfRule type="expression" dxfId="603" priority="299">
      <formula>AND($C1226=OFFSET($C1226,-1,0,1,1),B1226=OFFSET(B1226,-1,0,1,1))</formula>
    </cfRule>
  </conditionalFormatting>
  <conditionalFormatting sqref="B1226">
    <cfRule type="expression" dxfId="602" priority="298">
      <formula>$C1226&lt;&gt;OFFSET($C1226,-1,0,1,1)</formula>
    </cfRule>
  </conditionalFormatting>
  <conditionalFormatting sqref="B1242">
    <cfRule type="expression" dxfId="601" priority="297">
      <formula>$B1242="Project"</formula>
    </cfRule>
  </conditionalFormatting>
  <conditionalFormatting sqref="B1242">
    <cfRule type="expression" dxfId="600" priority="296">
      <formula>AND($C1242=OFFSET($C1242,-1,0,1,1),B1242=OFFSET(B1242,-1,0,1,1))</formula>
    </cfRule>
  </conditionalFormatting>
  <conditionalFormatting sqref="B1242">
    <cfRule type="expression" dxfId="599" priority="295">
      <formula>$C1242&lt;&gt;OFFSET($C1242,-1,0,1,1)</formula>
    </cfRule>
  </conditionalFormatting>
  <conditionalFormatting sqref="B1242">
    <cfRule type="expression" dxfId="598" priority="294">
      <formula>$B1242="Project"</formula>
    </cfRule>
  </conditionalFormatting>
  <conditionalFormatting sqref="B1242">
    <cfRule type="expression" dxfId="597" priority="293">
      <formula>AND($C1242=OFFSET($C1242,-1,0,1,1),B1242=OFFSET(B1242,-1,0,1,1))</formula>
    </cfRule>
  </conditionalFormatting>
  <conditionalFormatting sqref="B1242">
    <cfRule type="expression" dxfId="596" priority="292">
      <formula>$C1242&lt;&gt;OFFSET($C1242,-1,0,1,1)</formula>
    </cfRule>
  </conditionalFormatting>
  <conditionalFormatting sqref="B1243">
    <cfRule type="expression" dxfId="595" priority="291">
      <formula>$B1243="Project"</formula>
    </cfRule>
  </conditionalFormatting>
  <conditionalFormatting sqref="B1243">
    <cfRule type="expression" dxfId="594" priority="290">
      <formula>AND($C1243=OFFSET($C1243,-1,0,1,1),B1243=OFFSET(B1243,-1,0,1,1))</formula>
    </cfRule>
  </conditionalFormatting>
  <conditionalFormatting sqref="B1243">
    <cfRule type="expression" dxfId="593" priority="289">
      <formula>$C1243&lt;&gt;OFFSET($C1243,-1,0,1,1)</formula>
    </cfRule>
  </conditionalFormatting>
  <conditionalFormatting sqref="B1243">
    <cfRule type="expression" dxfId="592" priority="288">
      <formula>$B1243="Project"</formula>
    </cfRule>
  </conditionalFormatting>
  <conditionalFormatting sqref="B1243">
    <cfRule type="expression" dxfId="591" priority="287">
      <formula>AND($C1243=OFFSET($C1243,-1,0,1,1),B1243=OFFSET(B1243,-1,0,1,1))</formula>
    </cfRule>
  </conditionalFormatting>
  <conditionalFormatting sqref="B1243">
    <cfRule type="expression" dxfId="590" priority="286">
      <formula>$C1243&lt;&gt;OFFSET($C1243,-1,0,1,1)</formula>
    </cfRule>
  </conditionalFormatting>
  <conditionalFormatting sqref="B1265">
    <cfRule type="expression" dxfId="589" priority="285">
      <formula>$B1265="Project"</formula>
    </cfRule>
  </conditionalFormatting>
  <conditionalFormatting sqref="B1265">
    <cfRule type="expression" dxfId="588" priority="284">
      <formula>AND($C1265=OFFSET($C1265,-1,0,1,1),B1265=OFFSET(B1265,-1,0,1,1))</formula>
    </cfRule>
  </conditionalFormatting>
  <conditionalFormatting sqref="B1265">
    <cfRule type="expression" dxfId="587" priority="283">
      <formula>$C1265&lt;&gt;OFFSET($C1265,-1,0,1,1)</formula>
    </cfRule>
  </conditionalFormatting>
  <conditionalFormatting sqref="B1265">
    <cfRule type="expression" dxfId="586" priority="282">
      <formula>$B1265="Project"</formula>
    </cfRule>
  </conditionalFormatting>
  <conditionalFormatting sqref="B1265">
    <cfRule type="expression" dxfId="585" priority="281">
      <formula>AND($C1265=OFFSET($C1265,-1,0,1,1),B1265=OFFSET(B1265,-1,0,1,1))</formula>
    </cfRule>
  </conditionalFormatting>
  <conditionalFormatting sqref="B1265">
    <cfRule type="expression" dxfId="584" priority="280">
      <formula>$C1265&lt;&gt;OFFSET($C1265,-1,0,1,1)</formula>
    </cfRule>
  </conditionalFormatting>
  <conditionalFormatting sqref="T826">
    <cfRule type="expression" dxfId="583" priority="276">
      <formula>$B826="Project"</formula>
    </cfRule>
  </conditionalFormatting>
  <conditionalFormatting sqref="T826">
    <cfRule type="expression" dxfId="582" priority="279">
      <formula>AND($C826=OFFSET($C826,-1,0,1,1),$G826=OFFSET($G826,-1,0,1,1),T826&lt;&gt;OFFSET(T826,-1,0,1,1))</formula>
    </cfRule>
  </conditionalFormatting>
  <conditionalFormatting sqref="T826">
    <cfRule type="expression" dxfId="581" priority="275">
      <formula>$C826&lt;&gt;OFFSET($C826,-1,0,1,1)</formula>
    </cfRule>
  </conditionalFormatting>
  <conditionalFormatting sqref="T826">
    <cfRule type="expression" dxfId="580" priority="277">
      <formula>AND($C826=OFFSET($C826,-1,0,1,1),$G826&lt;&gt;OFFSET($G826,-1,0,1,1))</formula>
    </cfRule>
    <cfRule type="expression" dxfId="579" priority="278">
      <formula>AND($C826=OFFSET($C826,-1,0,1,1),$G826=OFFSET($G826,-1,0,1,1),T826=OFFSET(T826,-1,0,1,1))</formula>
    </cfRule>
  </conditionalFormatting>
  <conditionalFormatting sqref="T781">
    <cfRule type="expression" dxfId="578" priority="271">
      <formula>$B781="Project"</formula>
    </cfRule>
  </conditionalFormatting>
  <conditionalFormatting sqref="T781">
    <cfRule type="expression" dxfId="577" priority="274">
      <formula>AND($C781=OFFSET($C781,-1,0,1,1),$G781=OFFSET($G781,-1,0,1,1),T781&lt;&gt;OFFSET(T781,-1,0,1,1))</formula>
    </cfRule>
  </conditionalFormatting>
  <conditionalFormatting sqref="T781">
    <cfRule type="expression" dxfId="576" priority="270">
      <formula>$C781&lt;&gt;OFFSET($C781,-1,0,1,1)</formula>
    </cfRule>
  </conditionalFormatting>
  <conditionalFormatting sqref="T781">
    <cfRule type="expression" dxfId="575" priority="272">
      <formula>AND($C781=OFFSET($C781,-1,0,1,1),$G781&lt;&gt;OFFSET($G781,-1,0,1,1))</formula>
    </cfRule>
    <cfRule type="expression" dxfId="574" priority="273">
      <formula>AND($C781=OFFSET($C781,-1,0,1,1),$G781=OFFSET($G781,-1,0,1,1),T781=OFFSET(T781,-1,0,1,1))</formula>
    </cfRule>
  </conditionalFormatting>
  <conditionalFormatting sqref="T598">
    <cfRule type="expression" dxfId="573" priority="266">
      <formula>$B598="Project"</formula>
    </cfRule>
  </conditionalFormatting>
  <conditionalFormatting sqref="T598">
    <cfRule type="expression" dxfId="572" priority="269">
      <formula>AND($C598=OFFSET($C598,-1,0,1,1),$G598=OFFSET($G598,-1,0,1,1),T598&lt;&gt;OFFSET(T598,-1,0,1,1))</formula>
    </cfRule>
  </conditionalFormatting>
  <conditionalFormatting sqref="T598">
    <cfRule type="expression" dxfId="571" priority="265">
      <formula>$C598&lt;&gt;OFFSET($C598,-1,0,1,1)</formula>
    </cfRule>
  </conditionalFormatting>
  <conditionalFormatting sqref="T598">
    <cfRule type="expression" dxfId="570" priority="267">
      <formula>AND($C598=OFFSET($C598,-1,0,1,1),$G598&lt;&gt;OFFSET($G598,-1,0,1,1))</formula>
    </cfRule>
    <cfRule type="expression" dxfId="569" priority="268">
      <formula>AND($C598=OFFSET($C598,-1,0,1,1),$G598=OFFSET($G598,-1,0,1,1),T598=OFFSET(T598,-1,0,1,1))</formula>
    </cfRule>
  </conditionalFormatting>
  <conditionalFormatting sqref="T597">
    <cfRule type="expression" dxfId="568" priority="261">
      <formula>$B597="Project"</formula>
    </cfRule>
  </conditionalFormatting>
  <conditionalFormatting sqref="T597">
    <cfRule type="expression" dxfId="567" priority="264">
      <formula>AND($C597=OFFSET($C597,-1,0,1,1),$G597=OFFSET($G597,-1,0,1,1),T597&lt;&gt;OFFSET(T597,-1,0,1,1))</formula>
    </cfRule>
  </conditionalFormatting>
  <conditionalFormatting sqref="T597">
    <cfRule type="expression" dxfId="566" priority="260">
      <formula>$C597&lt;&gt;OFFSET($C597,-1,0,1,1)</formula>
    </cfRule>
  </conditionalFormatting>
  <conditionalFormatting sqref="T597">
    <cfRule type="expression" dxfId="565" priority="262">
      <formula>AND($C597=OFFSET($C597,-1,0,1,1),$G597&lt;&gt;OFFSET($G597,-1,0,1,1))</formula>
    </cfRule>
    <cfRule type="expression" dxfId="564" priority="263">
      <formula>AND($C597=OFFSET($C597,-1,0,1,1),$G597=OFFSET($G597,-1,0,1,1),T597=OFFSET(T597,-1,0,1,1))</formula>
    </cfRule>
  </conditionalFormatting>
  <conditionalFormatting sqref="T596">
    <cfRule type="expression" dxfId="563" priority="256">
      <formula>$B596="Project"</formula>
    </cfRule>
  </conditionalFormatting>
  <conditionalFormatting sqref="T596">
    <cfRule type="expression" dxfId="562" priority="259">
      <formula>AND($C596=OFFSET($C596,-1,0,1,1),$G596=OFFSET($G596,-1,0,1,1),T596&lt;&gt;OFFSET(T596,-1,0,1,1))</formula>
    </cfRule>
  </conditionalFormatting>
  <conditionalFormatting sqref="T596">
    <cfRule type="expression" dxfId="561" priority="255">
      <formula>$C596&lt;&gt;OFFSET($C596,-1,0,1,1)</formula>
    </cfRule>
  </conditionalFormatting>
  <conditionalFormatting sqref="T596">
    <cfRule type="expression" dxfId="560" priority="257">
      <formula>AND($C596=OFFSET($C596,-1,0,1,1),$G596&lt;&gt;OFFSET($G596,-1,0,1,1))</formula>
    </cfRule>
    <cfRule type="expression" dxfId="559" priority="258">
      <formula>AND($C596=OFFSET($C596,-1,0,1,1),$G596=OFFSET($G596,-1,0,1,1),T596=OFFSET(T596,-1,0,1,1))</formula>
    </cfRule>
  </conditionalFormatting>
  <conditionalFormatting sqref="T581">
    <cfRule type="expression" dxfId="558" priority="251">
      <formula>$B581="Project"</formula>
    </cfRule>
  </conditionalFormatting>
  <conditionalFormatting sqref="T581">
    <cfRule type="expression" dxfId="557" priority="254">
      <formula>AND($C581=OFFSET($C581,-1,0,1,1),$G581=OFFSET($G581,-1,0,1,1),T581&lt;&gt;OFFSET(T581,-1,0,1,1))</formula>
    </cfRule>
  </conditionalFormatting>
  <conditionalFormatting sqref="T581">
    <cfRule type="expression" dxfId="556" priority="250">
      <formula>$C581&lt;&gt;OFFSET($C581,-1,0,1,1)</formula>
    </cfRule>
  </conditionalFormatting>
  <conditionalFormatting sqref="T581">
    <cfRule type="expression" dxfId="555" priority="252">
      <formula>AND($C581=OFFSET($C581,-1,0,1,1),$G581&lt;&gt;OFFSET($G581,-1,0,1,1))</formula>
    </cfRule>
    <cfRule type="expression" dxfId="554" priority="253">
      <formula>AND($C581=OFFSET($C581,-1,0,1,1),$G581=OFFSET($G581,-1,0,1,1),T581=OFFSET(T581,-1,0,1,1))</formula>
    </cfRule>
  </conditionalFormatting>
  <conditionalFormatting sqref="T360">
    <cfRule type="expression" dxfId="553" priority="246">
      <formula>$B360="Project"</formula>
    </cfRule>
  </conditionalFormatting>
  <conditionalFormatting sqref="T360">
    <cfRule type="expression" dxfId="552" priority="249">
      <formula>AND($C360=OFFSET($C360,-1,0,1,1),$G360=OFFSET($G360,-1,0,1,1),T360&lt;&gt;OFFSET(T360,-1,0,1,1))</formula>
    </cfRule>
  </conditionalFormatting>
  <conditionalFormatting sqref="T360">
    <cfRule type="expression" dxfId="551" priority="245">
      <formula>$C360&lt;&gt;OFFSET($C360,-1,0,1,1)</formula>
    </cfRule>
  </conditionalFormatting>
  <conditionalFormatting sqref="T360">
    <cfRule type="expression" dxfId="550" priority="247">
      <formula>AND($C360=OFFSET($C360,-1,0,1,1),$G360&lt;&gt;OFFSET($G360,-1,0,1,1))</formula>
    </cfRule>
    <cfRule type="expression" dxfId="549" priority="248">
      <formula>AND($C360=OFFSET($C360,-1,0,1,1),$G360=OFFSET($G360,-1,0,1,1),T360=OFFSET(T360,-1,0,1,1))</formula>
    </cfRule>
  </conditionalFormatting>
  <conditionalFormatting sqref="T282">
    <cfRule type="expression" dxfId="548" priority="241">
      <formula>$B282="Project"</formula>
    </cfRule>
  </conditionalFormatting>
  <conditionalFormatting sqref="T282">
    <cfRule type="expression" dxfId="547" priority="244">
      <formula>AND($C282=OFFSET($C282,-1,0,1,1),$G282=OFFSET($G282,-1,0,1,1),T282&lt;&gt;OFFSET(T282,-1,0,1,1))</formula>
    </cfRule>
  </conditionalFormatting>
  <conditionalFormatting sqref="T282">
    <cfRule type="expression" dxfId="546" priority="240">
      <formula>$C282&lt;&gt;OFFSET($C282,-1,0,1,1)</formula>
    </cfRule>
  </conditionalFormatting>
  <conditionalFormatting sqref="T282">
    <cfRule type="expression" dxfId="545" priority="242">
      <formula>AND($C282=OFFSET($C282,-1,0,1,1),$G282&lt;&gt;OFFSET($G282,-1,0,1,1))</formula>
    </cfRule>
    <cfRule type="expression" dxfId="544" priority="243">
      <formula>AND($C282=OFFSET($C282,-1,0,1,1),$G282=OFFSET($G282,-1,0,1,1),T282=OFFSET(T282,-1,0,1,1))</formula>
    </cfRule>
  </conditionalFormatting>
  <conditionalFormatting sqref="T121">
    <cfRule type="expression" dxfId="543" priority="236">
      <formula>$B121="Project"</formula>
    </cfRule>
  </conditionalFormatting>
  <conditionalFormatting sqref="T121">
    <cfRule type="expression" dxfId="542" priority="239">
      <formula>AND($C121=OFFSET($C121,-1,0,1,1),$G121=OFFSET($G121,-1,0,1,1),T121&lt;&gt;OFFSET(T121,-1,0,1,1))</formula>
    </cfRule>
  </conditionalFormatting>
  <conditionalFormatting sqref="T121">
    <cfRule type="expression" dxfId="541" priority="235">
      <formula>$C121&lt;&gt;OFFSET($C121,-1,0,1,1)</formula>
    </cfRule>
  </conditionalFormatting>
  <conditionalFormatting sqref="T121">
    <cfRule type="expression" dxfId="540" priority="237">
      <formula>AND($C121=OFFSET($C121,-1,0,1,1),$G121&lt;&gt;OFFSET($G121,-1,0,1,1))</formula>
    </cfRule>
    <cfRule type="expression" dxfId="539" priority="238">
      <formula>AND($C121=OFFSET($C121,-1,0,1,1),$G121=OFFSET($G121,-1,0,1,1),T121=OFFSET(T121,-1,0,1,1))</formula>
    </cfRule>
  </conditionalFormatting>
  <conditionalFormatting sqref="T860">
    <cfRule type="expression" dxfId="538" priority="231">
      <formula>$B860="Project"</formula>
    </cfRule>
  </conditionalFormatting>
  <conditionalFormatting sqref="T860">
    <cfRule type="expression" dxfId="537" priority="234">
      <formula>AND($C860=OFFSET($C860,-1,0,1,1),$G860=OFFSET($G860,-1,0,1,1),T860&lt;&gt;OFFSET(T860,-1,0,1,1))</formula>
    </cfRule>
  </conditionalFormatting>
  <conditionalFormatting sqref="T860">
    <cfRule type="expression" dxfId="536" priority="230">
      <formula>$C860&lt;&gt;OFFSET($C860,-1,0,1,1)</formula>
    </cfRule>
  </conditionalFormatting>
  <conditionalFormatting sqref="T860">
    <cfRule type="expression" dxfId="535" priority="232">
      <formula>AND($C860=OFFSET($C860,-1,0,1,1),$G860&lt;&gt;OFFSET($G860,-1,0,1,1))</formula>
    </cfRule>
    <cfRule type="expression" dxfId="534" priority="233">
      <formula>AND($C860=OFFSET($C860,-1,0,1,1),$G860=OFFSET($G860,-1,0,1,1),T860=OFFSET(T860,-1,0,1,1))</formula>
    </cfRule>
  </conditionalFormatting>
  <conditionalFormatting sqref="T860">
    <cfRule type="expression" dxfId="533" priority="226">
      <formula>$B860="Project"</formula>
    </cfRule>
  </conditionalFormatting>
  <conditionalFormatting sqref="T860">
    <cfRule type="expression" dxfId="532" priority="229">
      <formula>AND($C860=OFFSET($C860,-1,0,1,1),$G860=OFFSET($G860,-1,0,1,1),T860&lt;&gt;OFFSET(T860,-1,0,1,1))</formula>
    </cfRule>
  </conditionalFormatting>
  <conditionalFormatting sqref="T860">
    <cfRule type="expression" dxfId="531" priority="225">
      <formula>$C860&lt;&gt;OFFSET($C860,-1,0,1,1)</formula>
    </cfRule>
  </conditionalFormatting>
  <conditionalFormatting sqref="T860">
    <cfRule type="expression" dxfId="530" priority="227">
      <formula>AND($C860=OFFSET($C860,-1,0,1,1),$G860&lt;&gt;OFFSET($G860,-1,0,1,1))</formula>
    </cfRule>
    <cfRule type="expression" dxfId="529" priority="228">
      <formula>AND($C860=OFFSET($C860,-1,0,1,1),$G860=OFFSET($G860,-1,0,1,1),T860=OFFSET(T860,-1,0,1,1))</formula>
    </cfRule>
  </conditionalFormatting>
  <conditionalFormatting sqref="T861">
    <cfRule type="expression" dxfId="528" priority="221">
      <formula>$B861="Project"</formula>
    </cfRule>
  </conditionalFormatting>
  <conditionalFormatting sqref="T861">
    <cfRule type="expression" dxfId="527" priority="224">
      <formula>AND($C861=OFFSET($C861,-1,0,1,1),$G861=OFFSET($G861,-1,0,1,1),T861&lt;&gt;OFFSET(T861,-1,0,1,1))</formula>
    </cfRule>
  </conditionalFormatting>
  <conditionalFormatting sqref="T861">
    <cfRule type="expression" dxfId="526" priority="220">
      <formula>$C861&lt;&gt;OFFSET($C861,-1,0,1,1)</formula>
    </cfRule>
  </conditionalFormatting>
  <conditionalFormatting sqref="T861">
    <cfRule type="expression" dxfId="525" priority="222">
      <formula>AND($C861=OFFSET($C861,-1,0,1,1),$G861&lt;&gt;OFFSET($G861,-1,0,1,1))</formula>
    </cfRule>
    <cfRule type="expression" dxfId="524" priority="223">
      <formula>AND($C861=OFFSET($C861,-1,0,1,1),$G861=OFFSET($G861,-1,0,1,1),T861=OFFSET(T861,-1,0,1,1))</formula>
    </cfRule>
  </conditionalFormatting>
  <conditionalFormatting sqref="T861">
    <cfRule type="expression" dxfId="523" priority="216">
      <formula>$B861="Project"</formula>
    </cfRule>
  </conditionalFormatting>
  <conditionalFormatting sqref="T861">
    <cfRule type="expression" dxfId="522" priority="219">
      <formula>AND($C861=OFFSET($C861,-1,0,1,1),$G861=OFFSET($G861,-1,0,1,1),T861&lt;&gt;OFFSET(T861,-1,0,1,1))</formula>
    </cfRule>
  </conditionalFormatting>
  <conditionalFormatting sqref="T861">
    <cfRule type="expression" dxfId="521" priority="215">
      <formula>$C861&lt;&gt;OFFSET($C861,-1,0,1,1)</formula>
    </cfRule>
  </conditionalFormatting>
  <conditionalFormatting sqref="T861">
    <cfRule type="expression" dxfId="520" priority="217">
      <formula>AND($C861=OFFSET($C861,-1,0,1,1),$G861&lt;&gt;OFFSET($G861,-1,0,1,1))</formula>
    </cfRule>
    <cfRule type="expression" dxfId="519" priority="218">
      <formula>AND($C861=OFFSET($C861,-1,0,1,1),$G861=OFFSET($G861,-1,0,1,1),T861=OFFSET(T861,-1,0,1,1))</formula>
    </cfRule>
  </conditionalFormatting>
  <conditionalFormatting sqref="N1333:N1335 V1333:V1335 V1337:V1342 N1337:N1342">
    <cfRule type="expression" dxfId="518" priority="213">
      <formula>MOD(N1333,1)=0</formula>
    </cfRule>
  </conditionalFormatting>
  <conditionalFormatting sqref="B1333:G1335 Q1333:W1335 Q1337:W1342 B1337:G1342 N1337:O1342 N1333:O1335">
    <cfRule type="expression" dxfId="517" priority="209">
      <formula>$B1333="Project"</formula>
    </cfRule>
  </conditionalFormatting>
  <conditionalFormatting sqref="A1333:F1335 A1337:F1342">
    <cfRule type="expression" dxfId="516" priority="207">
      <formula>AND($C1333=OFFSET($C1333,-1,0,1,1),A1333=OFFSET(A1333,-1,0,1,1))</formula>
    </cfRule>
  </conditionalFormatting>
  <conditionalFormatting sqref="N1333:O1335 Q1333:W1335 Q1337:W1342 N1337:O1342">
    <cfRule type="expression" dxfId="515" priority="212">
      <formula>AND($C1333=OFFSET($C1333,-1,0,1,1),$G1333=OFFSET($G1333,-1,0,1,1),N1333&lt;&gt;OFFSET(N1333,-1,0,1,1))</formula>
    </cfRule>
  </conditionalFormatting>
  <conditionalFormatting sqref="A1333:G1335 Q1333:W1335 Q1337:W1342 A1337:G1342 N1337:O1342 N1333:O1335">
    <cfRule type="expression" dxfId="514" priority="205">
      <formula>$C1333&lt;&gt;OFFSET($C1333,-1,0,1,1)</formula>
    </cfRule>
  </conditionalFormatting>
  <conditionalFormatting sqref="Q1333:Q1335 Q1337:Q1342">
    <cfRule type="expression" dxfId="513" priority="197">
      <formula>OR(AND(ISNUMBER(DATEVALUE($Q1333)),MONTH(DATEVALUE($Q1333))=12,DATEVALUE("31/12/"&amp;TEXT(YEAR(DATEVALUE($Q1333)),"####"))&lt;TODAY()),AND(ISNUMBER(DATEVALUE($Q1333)),MONTH(DATEVALUE($Q1333))&lt;12,DATEVALUE("01/"&amp;TEXT(MONTH(DATEVALUE($Q1333))+1,"##")&amp;"/"&amp;TEXT(YEAR(DATEVALUE($Q1333)),"####"))-1&lt;TODAY()))</formula>
    </cfRule>
  </conditionalFormatting>
  <conditionalFormatting sqref="T1333:T1335 T1337:T1342">
    <cfRule type="cellIs" dxfId="512" priority="198" operator="equal">
      <formula>"Withdrawn"</formula>
    </cfRule>
    <cfRule type="cellIs" dxfId="511" priority="199" operator="equal">
      <formula>"Proposed"</formula>
    </cfRule>
    <cfRule type="cellIs" dxfId="510" priority="200" operator="equal">
      <formula>"Committed"</formula>
    </cfRule>
    <cfRule type="cellIs" dxfId="509" priority="201" operator="equal">
      <formula>"Upgrade"</formula>
    </cfRule>
    <cfRule type="cellIs" dxfId="508" priority="202" operator="equal">
      <formula>"Existing less Announced Withdrawal"</formula>
    </cfRule>
    <cfRule type="cellIs" dxfId="507" priority="203" operator="equal">
      <formula>"Announced Withdrawal"</formula>
    </cfRule>
  </conditionalFormatting>
  <conditionalFormatting sqref="C1333:C1335 C1337:C1342">
    <cfRule type="expression" dxfId="506" priority="204">
      <formula>$C1333&lt;&gt;OFFSET($C1333,-1,0,1,1)</formula>
    </cfRule>
    <cfRule type="expression" dxfId="505" priority="206">
      <formula>$C1333=OFFSET($C1333,-1,0,1,1)</formula>
    </cfRule>
    <cfRule type="expression" dxfId="504" priority="208">
      <formula>$B1333="Project"</formula>
    </cfRule>
  </conditionalFormatting>
  <conditionalFormatting sqref="D1333:G1335 Q1333:W1335 Q1337:W1342 D1337:G1342 N1337:O1342 N1333:O1335">
    <cfRule type="expression" dxfId="503" priority="210">
      <formula>AND($C1333=OFFSET($C1333,-1,0,1,1),$G1333&lt;&gt;OFFSET($G1333,-1,0,1,1))</formula>
    </cfRule>
    <cfRule type="expression" dxfId="502" priority="211">
      <formula>AND($C1333=OFFSET($C1333,-1,0,1,1),$G1333=OFFSET($G1333,-1,0,1,1),D1333=OFFSET(D1333,-1,0,1,1))</formula>
    </cfRule>
  </conditionalFormatting>
  <conditionalFormatting sqref="X1333:Y1333">
    <cfRule type="expression" dxfId="501" priority="192">
      <formula>$B1333="Project"</formula>
    </cfRule>
  </conditionalFormatting>
  <conditionalFormatting sqref="X1333:Y1333">
    <cfRule type="expression" dxfId="500" priority="195">
      <formula>AND($C1333=OFFSET($C1333,-1,0,1,1),$G1333=OFFSET($G1333,-1,0,1,1),X1333&lt;&gt;OFFSET(X1333,-1,0,1,1))</formula>
    </cfRule>
  </conditionalFormatting>
  <conditionalFormatting sqref="X1333:Y1333">
    <cfRule type="expression" dxfId="499" priority="191">
      <formula>$C1333&lt;&gt;OFFSET($C1333,-1,0,1,1)</formula>
    </cfRule>
  </conditionalFormatting>
  <conditionalFormatting sqref="X1333:Y1333">
    <cfRule type="expression" dxfId="498" priority="193">
      <formula>AND($C1333=OFFSET($C1333,-1,0,1,1),$G1333&lt;&gt;OFFSET($G1333,-1,0,1,1))</formula>
    </cfRule>
    <cfRule type="expression" dxfId="497" priority="194">
      <formula>AND($C1333=OFFSET($C1333,-1,0,1,1),$G1333=OFFSET($G1333,-1,0,1,1),X1333=OFFSET(X1333,-1,0,1,1))</formula>
    </cfRule>
  </conditionalFormatting>
  <conditionalFormatting sqref="Y1333">
    <cfRule type="colorScale" priority="196">
      <colorScale>
        <cfvo type="min"/>
        <cfvo type="formula" val="TODAY()-365"/>
        <cfvo type="max"/>
        <color rgb="FFFFD1D1"/>
        <color theme="7" tint="0.79998168889431442"/>
        <color theme="0"/>
      </colorScale>
    </cfRule>
  </conditionalFormatting>
  <conditionalFormatting sqref="X1334:Y1335 X1337:Y1342">
    <cfRule type="expression" dxfId="496" priority="186">
      <formula>$B1334="Project"</formula>
    </cfRule>
  </conditionalFormatting>
  <conditionalFormatting sqref="X1334:Y1335 X1337:Y1342">
    <cfRule type="expression" dxfId="495" priority="189">
      <formula>AND($C1334=OFFSET($C1334,-1,0,1,1),$G1334=OFFSET($G1334,-1,0,1,1),X1334&lt;&gt;OFFSET(X1334,-1,0,1,1))</formula>
    </cfRule>
  </conditionalFormatting>
  <conditionalFormatting sqref="X1334:Y1335 X1337:Y1342">
    <cfRule type="expression" dxfId="494" priority="185">
      <formula>$C1334&lt;&gt;OFFSET($C1334,-1,0,1,1)</formula>
    </cfRule>
  </conditionalFormatting>
  <conditionalFormatting sqref="X1334:Y1335 X1337:Y1342">
    <cfRule type="expression" dxfId="493" priority="187">
      <formula>AND($C1334=OFFSET($C1334,-1,0,1,1),$G1334&lt;&gt;OFFSET($G1334,-1,0,1,1))</formula>
    </cfRule>
    <cfRule type="expression" dxfId="492" priority="188">
      <formula>AND($C1334=OFFSET($C1334,-1,0,1,1),$G1334=OFFSET($G1334,-1,0,1,1),X1334=OFFSET(X1334,-1,0,1,1))</formula>
    </cfRule>
  </conditionalFormatting>
  <conditionalFormatting sqref="Y1334:Y1335 Y1337:Y1342">
    <cfRule type="colorScale" priority="190">
      <colorScale>
        <cfvo type="min"/>
        <cfvo type="formula" val="TODAY()-365"/>
        <cfvo type="max"/>
        <color rgb="FFFFD1D1"/>
        <color theme="7" tint="0.79998168889431442"/>
        <color theme="0"/>
      </colorScale>
    </cfRule>
  </conditionalFormatting>
  <conditionalFormatting sqref="P1333:P1335 P1337:P1342">
    <cfRule type="expression" dxfId="491" priority="181">
      <formula>$B1333="Project"</formula>
    </cfRule>
  </conditionalFormatting>
  <conditionalFormatting sqref="P1333:P1335 P1337:P1342">
    <cfRule type="expression" dxfId="490" priority="184">
      <formula>AND($C1333=OFFSET($C1333,-1,0,1,1),$G1333=OFFSET($G1333,-1,0,1,1),P1333&lt;&gt;OFFSET(P1333,-1,0,1,1))</formula>
    </cfRule>
  </conditionalFormatting>
  <conditionalFormatting sqref="P1333:P1335 P1337:P1342">
    <cfRule type="expression" dxfId="489" priority="180">
      <formula>$C1333&lt;&gt;OFFSET($C1333,-1,0,1,1)</formula>
    </cfRule>
  </conditionalFormatting>
  <conditionalFormatting sqref="P1333:P1335 P1337:P1342">
    <cfRule type="expression" dxfId="488" priority="182">
      <formula>AND($C1333=OFFSET($C1333,-1,0,1,1),$G1333&lt;&gt;OFFSET($G1333,-1,0,1,1))</formula>
    </cfRule>
    <cfRule type="expression" dxfId="487" priority="183">
      <formula>AND($C1333=OFFSET($C1333,-1,0,1,1),$G1333=OFFSET($G1333,-1,0,1,1),P1333=OFFSET(P1333,-1,0,1,1))</formula>
    </cfRule>
  </conditionalFormatting>
  <conditionalFormatting sqref="Y1126 Y809">
    <cfRule type="colorScale" priority="179">
      <colorScale>
        <cfvo type="min"/>
        <cfvo type="formula" val="TODAY()-365"/>
        <cfvo type="max"/>
        <color rgb="FFFFD1D1"/>
        <color theme="7" tint="0.79998168889431442"/>
        <color theme="0"/>
      </colorScale>
    </cfRule>
  </conditionalFormatting>
  <conditionalFormatting sqref="H24:N24 V24">
    <cfRule type="expression" dxfId="486" priority="160">
      <formula>MOD(H24,1)=0</formula>
    </cfRule>
  </conditionalFormatting>
  <conditionalFormatting sqref="B24:V24">
    <cfRule type="expression" dxfId="485" priority="156">
      <formula>$B24="Project"</formula>
    </cfRule>
  </conditionalFormatting>
  <conditionalFormatting sqref="A24:F24">
    <cfRule type="expression" dxfId="484" priority="154">
      <formula>AND($C24=OFFSET($C24,-1,0,1,1),A24=OFFSET(A24,-1,0,1,1))</formula>
    </cfRule>
  </conditionalFormatting>
  <conditionalFormatting sqref="H24:V24">
    <cfRule type="expression" dxfId="483" priority="159">
      <formula>AND($C24=OFFSET($C24,-1,0,1,1),$G24=OFFSET($G24,-1,0,1,1),H24&lt;&gt;OFFSET(H24,-1,0,1,1))</formula>
    </cfRule>
  </conditionalFormatting>
  <conditionalFormatting sqref="A24:V24">
    <cfRule type="expression" dxfId="482" priority="152">
      <formula>$C24&lt;&gt;OFFSET($C24,-1,0,1,1)</formula>
    </cfRule>
  </conditionalFormatting>
  <conditionalFormatting sqref="Q24">
    <cfRule type="expression" dxfId="481" priority="144">
      <formula>OR(AND(ISNUMBER(DATEVALUE($Q24)),MONTH(DATEVALUE($Q24))=12,DATEVALUE("31/12/"&amp;TEXT(YEAR(DATEVALUE($Q24)),"####"))&lt;TODAY()),AND(ISNUMBER(DATEVALUE($Q24)),MONTH(DATEVALUE($Q24))&lt;12,DATEVALUE("01/"&amp;TEXT(MONTH(DATEVALUE($Q24))+1,"##")&amp;"/"&amp;TEXT(YEAR(DATEVALUE($Q24)),"####"))-1&lt;TODAY()))</formula>
    </cfRule>
  </conditionalFormatting>
  <conditionalFormatting sqref="T24">
    <cfRule type="cellIs" dxfId="480" priority="145" operator="equal">
      <formula>"Withdrawn"</formula>
    </cfRule>
    <cfRule type="cellIs" dxfId="479" priority="146" operator="equal">
      <formula>"Proposed"</formula>
    </cfRule>
    <cfRule type="cellIs" dxfId="478" priority="147" operator="equal">
      <formula>"Committed"</formula>
    </cfRule>
    <cfRule type="cellIs" dxfId="477" priority="148" operator="equal">
      <formula>"Upgrade"</formula>
    </cfRule>
    <cfRule type="cellIs" dxfId="476" priority="149" operator="equal">
      <formula>"Existing less Announced Withdrawal"</formula>
    </cfRule>
    <cfRule type="cellIs" dxfId="475" priority="150" operator="equal">
      <formula>"Announced Withdrawal"</formula>
    </cfRule>
  </conditionalFormatting>
  <conditionalFormatting sqref="C24">
    <cfRule type="expression" dxfId="474" priority="151">
      <formula>$C24&lt;&gt;OFFSET($C24,-1,0,1,1)</formula>
    </cfRule>
    <cfRule type="expression" dxfId="473" priority="153">
      <formula>$C24=OFFSET($C24,-1,0,1,1)</formula>
    </cfRule>
    <cfRule type="expression" dxfId="472" priority="155">
      <formula>$B24="Project"</formula>
    </cfRule>
  </conditionalFormatting>
  <conditionalFormatting sqref="D24:V24">
    <cfRule type="expression" dxfId="471" priority="157">
      <formula>AND($C24=OFFSET($C24,-1,0,1,1),$G24&lt;&gt;OFFSET($G24,-1,0,1,1))</formula>
    </cfRule>
    <cfRule type="expression" dxfId="470" priority="158">
      <formula>AND($C24=OFFSET($C24,-1,0,1,1),$G24=OFFSET($G24,-1,0,1,1),D24=OFFSET(D24,-1,0,1,1))</formula>
    </cfRule>
  </conditionalFormatting>
  <conditionalFormatting sqref="W24:Y24">
    <cfRule type="expression" dxfId="469" priority="139">
      <formula>$B24="Project"</formula>
    </cfRule>
  </conditionalFormatting>
  <conditionalFormatting sqref="W24:Y24">
    <cfRule type="expression" dxfId="468" priority="142">
      <formula>AND($C24=OFFSET($C24,-1,0,1,1),$G24=OFFSET($G24,-1,0,1,1),W24&lt;&gt;OFFSET(W24,-1,0,1,1))</formula>
    </cfRule>
  </conditionalFormatting>
  <conditionalFormatting sqref="W24:Y24">
    <cfRule type="expression" dxfId="467" priority="138">
      <formula>$C24&lt;&gt;OFFSET($C24,-1,0,1,1)</formula>
    </cfRule>
  </conditionalFormatting>
  <conditionalFormatting sqref="W24:Y24">
    <cfRule type="expression" dxfId="466" priority="140">
      <formula>AND($C24=OFFSET($C24,-1,0,1,1),$G24&lt;&gt;OFFSET($G24,-1,0,1,1))</formula>
    </cfRule>
    <cfRule type="expression" dxfId="465" priority="141">
      <formula>AND($C24=OFFSET($C24,-1,0,1,1),$G24=OFFSET($G24,-1,0,1,1),W24=OFFSET(W24,-1,0,1,1))</formula>
    </cfRule>
  </conditionalFormatting>
  <conditionalFormatting sqref="Y24">
    <cfRule type="colorScale" priority="143">
      <colorScale>
        <cfvo type="min"/>
        <cfvo type="formula" val="TODAY()-365"/>
        <cfvo type="max"/>
        <color rgb="FFFFD1D1"/>
        <color theme="7" tint="0.79998168889431442"/>
        <color theme="0"/>
      </colorScale>
    </cfRule>
  </conditionalFormatting>
  <conditionalFormatting sqref="Y809">
    <cfRule type="colorScale" priority="137">
      <colorScale>
        <cfvo type="min"/>
        <cfvo type="formula" val="TODAY()-365"/>
        <cfvo type="max"/>
        <color rgb="FFFFD1D1"/>
        <color theme="7" tint="0.79998168889431442"/>
        <color theme="0"/>
      </colorScale>
    </cfRule>
  </conditionalFormatting>
  <conditionalFormatting sqref="Y1126">
    <cfRule type="colorScale" priority="136">
      <colorScale>
        <cfvo type="min"/>
        <cfvo type="formula" val="TODAY()-365"/>
        <cfvo type="max"/>
        <color rgb="FFFFD1D1"/>
        <color theme="7" tint="0.79998168889431442"/>
        <color theme="0"/>
      </colorScale>
    </cfRule>
  </conditionalFormatting>
  <conditionalFormatting sqref="N1336 V1336">
    <cfRule type="expression" dxfId="464" priority="135">
      <formula>MOD(N1336,1)=0</formula>
    </cfRule>
  </conditionalFormatting>
  <conditionalFormatting sqref="B1336:G1336 Q1336:W1336 N1336:O1336">
    <cfRule type="expression" dxfId="463" priority="131">
      <formula>$B1336="Project"</formula>
    </cfRule>
  </conditionalFormatting>
  <conditionalFormatting sqref="A1336:F1336">
    <cfRule type="expression" dxfId="462" priority="129">
      <formula>AND($C1336=OFFSET($C1336,-1,0,1,1),A1336=OFFSET(A1336,-1,0,1,1))</formula>
    </cfRule>
  </conditionalFormatting>
  <conditionalFormatting sqref="N1336:O1336 Q1336:W1336">
    <cfRule type="expression" dxfId="461" priority="134">
      <formula>AND($C1336=OFFSET($C1336,-1,0,1,1),$G1336=OFFSET($G1336,-1,0,1,1),N1336&lt;&gt;OFFSET(N1336,-1,0,1,1))</formula>
    </cfRule>
  </conditionalFormatting>
  <conditionalFormatting sqref="A1336:G1336 Q1336:W1336 N1336:O1336">
    <cfRule type="expression" dxfId="460" priority="127">
      <formula>$C1336&lt;&gt;OFFSET($C1336,-1,0,1,1)</formula>
    </cfRule>
  </conditionalFormatting>
  <conditionalFormatting sqref="Q1336">
    <cfRule type="expression" dxfId="459" priority="119">
      <formula>OR(AND(ISNUMBER(DATEVALUE($Q1336)),MONTH(DATEVALUE($Q1336))=12,DATEVALUE("31/12/"&amp;TEXT(YEAR(DATEVALUE($Q1336)),"####"))&lt;TODAY()),AND(ISNUMBER(DATEVALUE($Q1336)),MONTH(DATEVALUE($Q1336))&lt;12,DATEVALUE("01/"&amp;TEXT(MONTH(DATEVALUE($Q1336))+1,"##")&amp;"/"&amp;TEXT(YEAR(DATEVALUE($Q1336)),"####"))-1&lt;TODAY()))</formula>
    </cfRule>
  </conditionalFormatting>
  <conditionalFormatting sqref="T1336">
    <cfRule type="cellIs" dxfId="458" priority="120" operator="equal">
      <formula>"Withdrawn"</formula>
    </cfRule>
    <cfRule type="cellIs" dxfId="457" priority="121" operator="equal">
      <formula>"Proposed"</formula>
    </cfRule>
    <cfRule type="cellIs" dxfId="456" priority="122" operator="equal">
      <formula>"Committed"</formula>
    </cfRule>
    <cfRule type="cellIs" dxfId="455" priority="123" operator="equal">
      <formula>"Upgrade"</formula>
    </cfRule>
    <cfRule type="cellIs" dxfId="454" priority="124" operator="equal">
      <formula>"Existing less Announced Withdrawal"</formula>
    </cfRule>
    <cfRule type="cellIs" dxfId="453" priority="125" operator="equal">
      <formula>"Announced Withdrawal"</formula>
    </cfRule>
  </conditionalFormatting>
  <conditionalFormatting sqref="C1336">
    <cfRule type="expression" dxfId="452" priority="126">
      <formula>$C1336&lt;&gt;OFFSET($C1336,-1,0,1,1)</formula>
    </cfRule>
    <cfRule type="expression" dxfId="451" priority="128">
      <formula>$C1336=OFFSET($C1336,-1,0,1,1)</formula>
    </cfRule>
    <cfRule type="expression" dxfId="450" priority="130">
      <formula>$B1336="Project"</formula>
    </cfRule>
  </conditionalFormatting>
  <conditionalFormatting sqref="D1336:G1336 Q1336:W1336 N1336:O1336">
    <cfRule type="expression" dxfId="449" priority="132">
      <formula>AND($C1336=OFFSET($C1336,-1,0,1,1),$G1336&lt;&gt;OFFSET($G1336,-1,0,1,1))</formula>
    </cfRule>
    <cfRule type="expression" dxfId="448" priority="133">
      <formula>AND($C1336=OFFSET($C1336,-1,0,1,1),$G1336=OFFSET($G1336,-1,0,1,1),D1336=OFFSET(D1336,-1,0,1,1))</formula>
    </cfRule>
  </conditionalFormatting>
  <conditionalFormatting sqref="X1336:Y1336">
    <cfRule type="expression" dxfId="447" priority="114">
      <formula>$B1336="Project"</formula>
    </cfRule>
  </conditionalFormatting>
  <conditionalFormatting sqref="X1336:Y1336">
    <cfRule type="expression" dxfId="446" priority="117">
      <formula>AND($C1336=OFFSET($C1336,-1,0,1,1),$G1336=OFFSET($G1336,-1,0,1,1),X1336&lt;&gt;OFFSET(X1336,-1,0,1,1))</formula>
    </cfRule>
  </conditionalFormatting>
  <conditionalFormatting sqref="X1336:Y1336">
    <cfRule type="expression" dxfId="445" priority="113">
      <formula>$C1336&lt;&gt;OFFSET($C1336,-1,0,1,1)</formula>
    </cfRule>
  </conditionalFormatting>
  <conditionalFormatting sqref="X1336:Y1336">
    <cfRule type="expression" dxfId="444" priority="115">
      <formula>AND($C1336=OFFSET($C1336,-1,0,1,1),$G1336&lt;&gt;OFFSET($G1336,-1,0,1,1))</formula>
    </cfRule>
    <cfRule type="expression" dxfId="443" priority="116">
      <formula>AND($C1336=OFFSET($C1336,-1,0,1,1),$G1336=OFFSET($G1336,-1,0,1,1),X1336=OFFSET(X1336,-1,0,1,1))</formula>
    </cfRule>
  </conditionalFormatting>
  <conditionalFormatting sqref="Y1336">
    <cfRule type="colorScale" priority="118">
      <colorScale>
        <cfvo type="min"/>
        <cfvo type="formula" val="TODAY()-365"/>
        <cfvo type="max"/>
        <color rgb="FFFFD1D1"/>
        <color theme="7" tint="0.79998168889431442"/>
        <color theme="0"/>
      </colorScale>
    </cfRule>
  </conditionalFormatting>
  <conditionalFormatting sqref="P1336">
    <cfRule type="expression" dxfId="442" priority="109">
      <formula>$B1336="Project"</formula>
    </cfRule>
  </conditionalFormatting>
  <conditionalFormatting sqref="P1336">
    <cfRule type="expression" dxfId="441" priority="112">
      <formula>AND($C1336=OFFSET($C1336,-1,0,1,1),$G1336=OFFSET($G1336,-1,0,1,1),P1336&lt;&gt;OFFSET(P1336,-1,0,1,1))</formula>
    </cfRule>
  </conditionalFormatting>
  <conditionalFormatting sqref="P1336">
    <cfRule type="expression" dxfId="440" priority="108">
      <formula>$C1336&lt;&gt;OFFSET($C1336,-1,0,1,1)</formula>
    </cfRule>
  </conditionalFormatting>
  <conditionalFormatting sqref="P1336">
    <cfRule type="expression" dxfId="439" priority="110">
      <formula>AND($C1336=OFFSET($C1336,-1,0,1,1),$G1336&lt;&gt;OFFSET($G1336,-1,0,1,1))</formula>
    </cfRule>
    <cfRule type="expression" dxfId="438" priority="111">
      <formula>AND($C1336=OFFSET($C1336,-1,0,1,1),$G1336=OFFSET($G1336,-1,0,1,1),P1336=OFFSET(P1336,-1,0,1,1))</formula>
    </cfRule>
  </conditionalFormatting>
  <conditionalFormatting sqref="Y1418:Y1422 Y1 Y1424:Y1048576">
    <cfRule type="colorScale" priority="11675">
      <colorScale>
        <cfvo type="min"/>
        <cfvo type="formula" val="TODAY()-365"/>
        <cfvo type="max"/>
        <color rgb="FFFFD1D1"/>
        <color theme="7" tint="0.79998168889431442"/>
        <color theme="0"/>
      </colorScale>
    </cfRule>
  </conditionalFormatting>
  <conditionalFormatting sqref="Y1343:Y1360 Y849:Y1125 Y4:Y23 Y25:Y808 Y1127:Y1251 Y810:Y847 Y1253:Y1325 Y1327:Y1332">
    <cfRule type="colorScale" priority="11679">
      <colorScale>
        <cfvo type="min"/>
        <cfvo type="formula" val="TODAY()-365"/>
        <cfvo type="max"/>
        <color rgb="FFFFD1D1"/>
        <color theme="7" tint="0.79998168889431442"/>
        <color theme="0"/>
      </colorScale>
    </cfRule>
  </conditionalFormatting>
  <conditionalFormatting sqref="V1252 H1252:N1252">
    <cfRule type="expression" dxfId="437" priority="102">
      <formula>MOD(H1252,1)=0</formula>
    </cfRule>
  </conditionalFormatting>
  <conditionalFormatting sqref="B1252:Y1252">
    <cfRule type="expression" dxfId="436" priority="98">
      <formula>$B1252="Project"</formula>
    </cfRule>
  </conditionalFormatting>
  <conditionalFormatting sqref="A1252:F1252">
    <cfRule type="expression" dxfId="435" priority="96">
      <formula>AND($C1252=OFFSET($C1252,-1,0,1,1),A1252=OFFSET(A1252,-1,0,1,1))</formula>
    </cfRule>
  </conditionalFormatting>
  <conditionalFormatting sqref="H1252:Y1252">
    <cfRule type="expression" dxfId="434" priority="101">
      <formula>AND($C1252=OFFSET($C1252,-1,0,1,1),$G1252=OFFSET($G1252,-1,0,1,1),H1252&lt;&gt;OFFSET(H1252,-1,0,1,1))</formula>
    </cfRule>
  </conditionalFormatting>
  <conditionalFormatting sqref="A1252:Y1252">
    <cfRule type="expression" dxfId="433" priority="94">
      <formula>$C1252&lt;&gt;OFFSET($C1252,-1,0,1,1)</formula>
    </cfRule>
  </conditionalFormatting>
  <conditionalFormatting sqref="Q1252">
    <cfRule type="expression" dxfId="432" priority="86">
      <formula>OR(AND(ISNUMBER(DATEVALUE($Q1252)),MONTH(DATEVALUE($Q1252))=12,DATEVALUE("31/12/"&amp;TEXT(YEAR(DATEVALUE($Q1252)),"####"))&lt;TODAY()),AND(ISNUMBER(DATEVALUE($Q1252)),MONTH(DATEVALUE($Q1252))&lt;12,DATEVALUE("01/"&amp;TEXT(MONTH(DATEVALUE($Q1252))+1,"##")&amp;"/"&amp;TEXT(YEAR(DATEVALUE($Q1252)),"####"))-1&lt;TODAY()))</formula>
    </cfRule>
  </conditionalFormatting>
  <conditionalFormatting sqref="T1252">
    <cfRule type="cellIs" dxfId="431" priority="87" operator="equal">
      <formula>"Withdrawn"</formula>
    </cfRule>
    <cfRule type="cellIs" dxfId="430" priority="88" operator="equal">
      <formula>"Proposed"</formula>
    </cfRule>
    <cfRule type="cellIs" dxfId="429" priority="89" operator="equal">
      <formula>"Committed"</formula>
    </cfRule>
    <cfRule type="cellIs" dxfId="428" priority="90" operator="equal">
      <formula>"Upgrade"</formula>
    </cfRule>
    <cfRule type="cellIs" dxfId="427" priority="91" operator="equal">
      <formula>"Existing less Announced Withdrawal"</formula>
    </cfRule>
    <cfRule type="cellIs" dxfId="426" priority="92" operator="equal">
      <formula>"Announced Withdrawal"</formula>
    </cfRule>
  </conditionalFormatting>
  <conditionalFormatting sqref="C1252">
    <cfRule type="expression" dxfId="425" priority="93">
      <formula>$C1252&lt;&gt;OFFSET($C1252,-1,0,1,1)</formula>
    </cfRule>
    <cfRule type="expression" dxfId="424" priority="95">
      <formula>$C1252=OFFSET($C1252,-1,0,1,1)</formula>
    </cfRule>
    <cfRule type="expression" dxfId="423" priority="97">
      <formula>$B1252="Project"</formula>
    </cfRule>
  </conditionalFormatting>
  <conditionalFormatting sqref="D1252:Y1252">
    <cfRule type="expression" dxfId="422" priority="99">
      <formula>AND($C1252=OFFSET($C1252,-1,0,1,1),$G1252&lt;&gt;OFFSET($G1252,-1,0,1,1))</formula>
    </cfRule>
    <cfRule type="expression" dxfId="421" priority="100">
      <formula>AND($C1252=OFFSET($C1252,-1,0,1,1),$G1252=OFFSET($G1252,-1,0,1,1),D1252=OFFSET(D1252,-1,0,1,1))</formula>
    </cfRule>
  </conditionalFormatting>
  <conditionalFormatting sqref="Y1252">
    <cfRule type="colorScale" priority="103">
      <colorScale>
        <cfvo type="min"/>
        <cfvo type="formula" val="TODAY()-365"/>
        <cfvo type="max"/>
        <color rgb="FFFFD1D1"/>
        <color theme="7" tint="0.79998168889431442"/>
        <color theme="0"/>
      </colorScale>
    </cfRule>
  </conditionalFormatting>
  <conditionalFormatting sqref="Q528">
    <cfRule type="expression" dxfId="420" priority="84">
      <formula>AND($C528=OFFSET($C528,-1,0,1,1),$D528&lt;&gt;OFFSET($D528,-1,0,1,1))</formula>
    </cfRule>
  </conditionalFormatting>
  <conditionalFormatting sqref="Q528">
    <cfRule type="expression" dxfId="419" priority="83">
      <formula>$C528&lt;&gt;OFFSET($C528,-1,0,1,1)</formula>
    </cfRule>
  </conditionalFormatting>
  <conditionalFormatting sqref="Q528">
    <cfRule type="expression" dxfId="418" priority="81">
      <formula>$B528="Project"</formula>
    </cfRule>
  </conditionalFormatting>
  <conditionalFormatting sqref="Q528">
    <cfRule type="expression" dxfId="417" priority="82">
      <formula>AND($C528=OFFSET($C528,-1,0,1,1),Q528=OFFSET(Q528,-1,0,1,1))</formula>
    </cfRule>
  </conditionalFormatting>
  <conditionalFormatting sqref="Q528">
    <cfRule type="expression" dxfId="416" priority="80">
      <formula>OR(AND(ISNUMBER(DATEVALUE($V528)),MONTH(DATEVALUE($V528))=12,DATEVALUE("31/12/"&amp;TEXT(YEAR(DATEVALUE($V528)),"####"))&lt;TODAY()),AND(ISNUMBER(DATEVALUE($V528)),MONTH(DATEVALUE($V528))&lt;12,DATEVALUE("01/"&amp;TEXT(MONTH(DATEVALUE($V528))+1,"##")&amp;"/"&amp;TEXT(YEAR(DATEVALUE($V528)),"####"))-1&lt;TODAY()))</formula>
    </cfRule>
  </conditionalFormatting>
  <conditionalFormatting sqref="Q528">
    <cfRule type="expression" dxfId="415" priority="85">
      <formula>AND(ISNUMBER(SEARCH("Summer Typical",#REF!,1)),$A528="TAS1")</formula>
    </cfRule>
  </conditionalFormatting>
  <conditionalFormatting sqref="Y1361:Y1363">
    <cfRule type="colorScale" priority="11813">
      <colorScale>
        <cfvo type="min"/>
        <cfvo type="formula" val="TODAY()-365"/>
        <cfvo type="max"/>
        <color rgb="FFFFD1D1"/>
        <color theme="7" tint="0.79998168889431442"/>
        <color theme="0"/>
      </colorScale>
    </cfRule>
  </conditionalFormatting>
  <conditionalFormatting sqref="V1364:V1417 N1364:N1417">
    <cfRule type="expression" dxfId="414" priority="60">
      <formula>MOD(N1364,1)=0</formula>
    </cfRule>
  </conditionalFormatting>
  <conditionalFormatting sqref="B1364:G1417 N1364:Y1417">
    <cfRule type="expression" dxfId="413" priority="56">
      <formula>$B1364="Project"</formula>
    </cfRule>
  </conditionalFormatting>
  <conditionalFormatting sqref="A1364:F1417">
    <cfRule type="expression" dxfId="412" priority="54">
      <formula>AND($C1364=OFFSET($C1364,-1,0,1,1),A1364=OFFSET(A1364,-1,0,1,1))</formula>
    </cfRule>
  </conditionalFormatting>
  <conditionalFormatting sqref="N1364:Y1417">
    <cfRule type="expression" dxfId="411" priority="59">
      <formula>AND($C1364=OFFSET($C1364,-1,0,1,1),$G1364=OFFSET($G1364,-1,0,1,1),N1364&lt;&gt;OFFSET(N1364,-1,0,1,1))</formula>
    </cfRule>
  </conditionalFormatting>
  <conditionalFormatting sqref="A1364:G1417 N1364:Y1417">
    <cfRule type="expression" dxfId="410" priority="52">
      <formula>$C1364&lt;&gt;OFFSET($C1364,-1,0,1,1)</formula>
    </cfRule>
  </conditionalFormatting>
  <conditionalFormatting sqref="Q1364:Q1417">
    <cfRule type="expression" dxfId="409" priority="44">
      <formula>OR(AND(ISNUMBER(DATEVALUE($Q1364)),MONTH(DATEVALUE($Q1364))=12,DATEVALUE("31/12/"&amp;TEXT(YEAR(DATEVALUE($Q1364)),"####"))&lt;TODAY()),AND(ISNUMBER(DATEVALUE($Q1364)),MONTH(DATEVALUE($Q1364))&lt;12,DATEVALUE("01/"&amp;TEXT(MONTH(DATEVALUE($Q1364))+1,"##")&amp;"/"&amp;TEXT(YEAR(DATEVALUE($Q1364)),"####"))-1&lt;TODAY()))</formula>
    </cfRule>
  </conditionalFormatting>
  <conditionalFormatting sqref="T1364:T1417">
    <cfRule type="cellIs" dxfId="408" priority="45" operator="equal">
      <formula>"Withdrawn"</formula>
    </cfRule>
    <cfRule type="cellIs" dxfId="407" priority="46" operator="equal">
      <formula>"Proposed"</formula>
    </cfRule>
    <cfRule type="cellIs" dxfId="406" priority="47" operator="equal">
      <formula>"Committed"</formula>
    </cfRule>
    <cfRule type="cellIs" dxfId="405" priority="48" operator="equal">
      <formula>"Upgrade"</formula>
    </cfRule>
    <cfRule type="cellIs" dxfId="404" priority="49" operator="equal">
      <formula>"Existing less Announced Withdrawal"</formula>
    </cfRule>
    <cfRule type="cellIs" dxfId="403" priority="50" operator="equal">
      <formula>"Announced Withdrawal"</formula>
    </cfRule>
  </conditionalFormatting>
  <conditionalFormatting sqref="C1364:C1417">
    <cfRule type="expression" dxfId="402" priority="51">
      <formula>$C1364&lt;&gt;OFFSET($C1364,-1,0,1,1)</formula>
    </cfRule>
    <cfRule type="expression" dxfId="401" priority="53">
      <formula>$C1364=OFFSET($C1364,-1,0,1,1)</formula>
    </cfRule>
    <cfRule type="expression" dxfId="400" priority="55">
      <formula>$B1364="Project"</formula>
    </cfRule>
  </conditionalFormatting>
  <conditionalFormatting sqref="D1364:G1417 N1364:Y1417">
    <cfRule type="expression" dxfId="399" priority="57">
      <formula>AND($C1364=OFFSET($C1364,-1,0,1,1),$G1364&lt;&gt;OFFSET($G1364,-1,0,1,1))</formula>
    </cfRule>
    <cfRule type="expression" dxfId="398" priority="58">
      <formula>AND($C1364=OFFSET($C1364,-1,0,1,1),$G1364=OFFSET($G1364,-1,0,1,1),D1364=OFFSET(D1364,-1,0,1,1))</formula>
    </cfRule>
  </conditionalFormatting>
  <conditionalFormatting sqref="Y1364:Y1417">
    <cfRule type="colorScale" priority="61">
      <colorScale>
        <cfvo type="min"/>
        <cfvo type="formula" val="TODAY()-365"/>
        <cfvo type="max"/>
        <color rgb="FFFFD1D1"/>
        <color theme="7" tint="0.79998168889431442"/>
        <color theme="0"/>
      </colorScale>
    </cfRule>
  </conditionalFormatting>
  <conditionalFormatting sqref="H1256:M1257 H1259:M1260 H1262:M1263 H1265:M1266 H1268:M1269 H1271:M1272 H1274:M1275 H1277:M1278 H1280:M1281 H1283:M1284 H1286:M1287 H1289:M1290 H1292:M1293 H1295:M1296 H1298:M1299 H1301:M1302 H1304:M1305 H1307:M1308 H1310:M1311 H1313:M1314 H1316:M1317 H1319:M1320 H1322:M1323 H1325:M1325 H1328:M1329 H1331:M1332 H1334:M1335 H1337:M1338 H1340:M1341 H1343:M1344 H1346:M1347 H1349:M1350 H1352:M1353 H1355:M1356 H1358:M1359 H1361:M1362 H1364:M1365 H1367:M1368 H1370:M1371 H1373:M1374 H1376:M1377 H1379:M1380 H1382:M1383 H1385:M1386 H1388:M1389 H1391:M1392 H1394:M1395 H1397:M1398 H1400:M1401 H1403:M1404 H1406:M1407 H1409:M1410 H1412:M1413 H1415:M1416">
    <cfRule type="expression" dxfId="397" priority="43">
      <formula>MOD(H1256,1)=0</formula>
    </cfRule>
  </conditionalFormatting>
  <conditionalFormatting sqref="H1256:M1257 H1259:M1260 H1262:M1263 H1265:M1266 H1268:M1269 H1271:M1272 H1274:M1275 H1277:M1278 H1280:M1281 H1283:M1284 H1286:M1287 H1289:M1290 H1292:M1293 H1295:M1296 H1298:M1299 H1301:M1302 H1304:M1305 H1307:M1308 H1310:M1311 H1313:M1314 H1316:M1317 H1319:M1320 H1322:M1323 H1325:M1325 H1328:M1329 H1331:M1332 H1334:M1335 H1337:M1338 H1340:M1341 H1343:M1344 H1346:M1347 H1349:M1350 H1352:M1353 H1355:M1356 H1358:M1359 H1361:M1362 H1364:M1365 H1367:M1368 H1370:M1371 H1373:M1374 H1376:M1377 H1379:M1380 H1382:M1383 H1385:M1386 H1388:M1389 H1391:M1392 H1394:M1395 H1397:M1398 H1400:M1401 H1403:M1404 H1406:M1407 H1409:M1410 H1412:M1413 H1415:M1416">
    <cfRule type="expression" dxfId="396" priority="39">
      <formula>$B1256="Project"</formula>
    </cfRule>
  </conditionalFormatting>
  <conditionalFormatting sqref="H1256:M1257 H1259:M1260 H1262:M1263 H1265:M1266 H1268:M1269 H1271:M1272 H1274:M1275 H1277:M1278 H1280:M1281 H1283:M1284 H1286:M1287 H1289:M1290 H1292:M1293 H1295:M1296 H1298:M1299 H1301:M1302 H1304:M1305 H1307:M1308 H1310:M1311 H1313:M1314 H1316:M1317 H1319:M1320 H1322:M1323 H1325:M1325 H1328:M1329 H1331:M1332 H1334:M1335 H1337:M1338 H1340:M1341 H1343:M1344 H1346:M1347 H1349:M1350 H1352:M1353 H1355:M1356 H1358:M1359 H1361:M1362 H1364:M1365 H1367:M1368 H1370:M1371 H1373:M1374 H1376:M1377 H1379:M1380 H1382:M1383 H1385:M1386 H1388:M1389 H1391:M1392 H1394:M1395 H1397:M1398 H1400:M1401 H1403:M1404 H1406:M1407 H1409:M1410 H1412:M1413 H1415:M1416">
    <cfRule type="expression" dxfId="395" priority="42">
      <formula>AND($C1256=OFFSET($C1256,-1,0,1,1),$G1256=OFFSET($G1256,-1,0,1,1),H1256&lt;&gt;OFFSET(H1256,-1,0,1,1))</formula>
    </cfRule>
  </conditionalFormatting>
  <conditionalFormatting sqref="H1256:M1257 H1259:M1260 H1262:M1263 H1265:M1266 H1268:M1269 H1271:M1272 H1274:M1275 H1277:M1278 H1280:M1281 H1283:M1284 H1286:M1287 H1289:M1290 H1292:M1293 H1295:M1296 H1298:M1299 H1301:M1302 H1304:M1305 H1307:M1308 H1310:M1311 H1313:M1314 H1316:M1317 H1319:M1320 H1322:M1323 H1325:M1325 H1328:M1329 H1331:M1332 H1334:M1335 H1337:M1338 H1340:M1341 H1343:M1344 H1346:M1347 H1349:M1350 H1352:M1353 H1355:M1356 H1358:M1359 H1361:M1362 H1364:M1365 H1367:M1368 H1370:M1371 H1373:M1374 H1376:M1377 H1379:M1380 H1382:M1383 H1385:M1386 H1388:M1389 H1391:M1392 H1394:M1395 H1397:M1398 H1400:M1401 H1403:M1404 H1406:M1407 H1409:M1410 H1412:M1413 H1415:M1416">
    <cfRule type="expression" dxfId="394" priority="38">
      <formula>$C1256&lt;&gt;OFFSET($C1256,-1,0,1,1)</formula>
    </cfRule>
  </conditionalFormatting>
  <conditionalFormatting sqref="H1256:M1257 H1259:M1260 H1262:M1263 H1265:M1266 H1268:M1269 H1271:M1272 H1274:M1275 H1277:M1278 H1280:M1281 H1283:M1284 H1286:M1287 H1289:M1290 H1292:M1293 H1295:M1296 H1298:M1299 H1301:M1302 H1304:M1305 H1307:M1308 H1310:M1311 H1313:M1314 H1316:M1317 H1319:M1320 H1322:M1323 H1325:M1325 H1328:M1329 H1331:M1332 H1334:M1335 H1337:M1338 H1340:M1341 H1343:M1344 H1346:M1347 H1349:M1350 H1352:M1353 H1355:M1356 H1358:M1359 H1361:M1362 H1364:M1365 H1367:M1368 H1370:M1371 H1373:M1374 H1376:M1377 H1379:M1380 H1382:M1383 H1385:M1386 H1388:M1389 H1391:M1392 H1394:M1395 H1397:M1398 H1400:M1401 H1403:M1404 H1406:M1407 H1409:M1410 H1412:M1413 H1415:M1416">
    <cfRule type="expression" dxfId="393" priority="40">
      <formula>AND($C1256=OFFSET($C1256,-1,0,1,1),$G1256&lt;&gt;OFFSET($G1256,-1,0,1,1))</formula>
    </cfRule>
    <cfRule type="expression" dxfId="392" priority="41">
      <formula>AND($C1256=OFFSET($C1256,-1,0,1,1),$G1256=OFFSET($G1256,-1,0,1,1),H1256=OFFSET(H1256,-1,0,1,1))</formula>
    </cfRule>
  </conditionalFormatting>
  <conditionalFormatting sqref="H1255:M1255 H1258:M1258 H1261:M1261 H1264:M1264 H1267:M1267 H1270:M1270 H1273:M1273 H1276:M1276 H1279:M1279 H1282:M1282 H1285:M1285 H1288:M1288 H1291:M1291 H1294:M1294 H1297:M1297 H1300:M1300 H1303:M1303 H1306:M1306 H1309:M1309 H1312:M1312 H1315:M1315 H1318:M1318 H1321:M1321 H1324:M1324 H1327:M1327 H1330:M1330 H1333:M1333 H1336:M1336 H1339:M1339 H1342:M1342 H1345:M1345 H1348:M1348 H1351:M1351 H1354:M1354 H1357:M1357 H1360:M1360 H1363:M1363 H1366:M1366 H1369:M1369 H1372:M1372 H1375:M1375 H1378:M1378 H1381:M1381 H1384:M1384 H1387:M1387 H1390:M1390 H1393:M1393 H1396:M1396 H1399:M1399 H1402:M1402 H1405:M1405 H1408:M1408 H1411:M1411 H1414:M1414 H1417:M1417">
    <cfRule type="expression" dxfId="391" priority="37">
      <formula>MOD(H1255,1)=0</formula>
    </cfRule>
  </conditionalFormatting>
  <conditionalFormatting sqref="H1255:M1255 H1258:M1258 H1261:M1261 H1264:M1264 H1267:M1267 H1270:M1270 H1273:M1273 H1276:M1276 H1279:M1279 H1282:M1282 H1285:M1285 H1288:M1288 H1291:M1291 H1294:M1294 H1297:M1297 H1300:M1300 H1303:M1303 H1306:M1306 H1309:M1309 H1312:M1312 H1315:M1315 H1318:M1318 H1321:M1321 H1324:M1324 H1327:M1327 H1330:M1330 H1333:M1333 H1336:M1336 H1339:M1339 H1342:M1342 H1345:M1345 H1348:M1348 H1351:M1351 H1354:M1354 H1357:M1357 H1360:M1360 H1363:M1363 H1366:M1366 H1369:M1369 H1372:M1372 H1375:M1375 H1378:M1378 H1381:M1381 H1384:M1384 H1387:M1387 H1390:M1390 H1393:M1393 H1396:M1396 H1399:M1399 H1402:M1402 H1405:M1405 H1408:M1408 H1411:M1411 H1414:M1414 H1417:M1417">
    <cfRule type="expression" dxfId="390" priority="33">
      <formula>$B1255="Project"</formula>
    </cfRule>
  </conditionalFormatting>
  <conditionalFormatting sqref="H1255:M1255 H1258:M1258 H1261:M1261 H1264:M1264 H1267:M1267 H1270:M1270 H1273:M1273 H1276:M1276 H1279:M1279 H1282:M1282 H1285:M1285 H1288:M1288 H1291:M1291 H1294:M1294 H1297:M1297 H1300:M1300 H1303:M1303 H1306:M1306 H1309:M1309 H1312:M1312 H1315:M1315 H1318:M1318 H1321:M1321 H1324:M1324 H1327:M1327 H1330:M1330 H1333:M1333 H1336:M1336 H1339:M1339 H1342:M1342 H1345:M1345 H1348:M1348 H1351:M1351 H1354:M1354 H1357:M1357 H1360:M1360 H1363:M1363 H1366:M1366 H1369:M1369 H1372:M1372 H1375:M1375 H1378:M1378 H1381:M1381 H1384:M1384 H1387:M1387 H1390:M1390 H1393:M1393 H1396:M1396 H1399:M1399 H1402:M1402 H1405:M1405 H1408:M1408 H1411:M1411 H1414:M1414 H1417:M1417">
    <cfRule type="expression" dxfId="389" priority="36">
      <formula>AND($C1255=OFFSET($C1255,-1,0,1,1),$G1255=OFFSET($G1255,-1,0,1,1),H1255&lt;&gt;OFFSET(H1255,-1,0,1,1))</formula>
    </cfRule>
  </conditionalFormatting>
  <conditionalFormatting sqref="H1255:M1255 H1258:M1258 H1261:M1261 H1264:M1264 H1267:M1267 H1270:M1270 H1273:M1273 H1276:M1276 H1279:M1279 H1282:M1282 H1285:M1285 H1288:M1288 H1291:M1291 H1294:M1294 H1297:M1297 H1300:M1300 H1303:M1303 H1306:M1306 H1309:M1309 H1312:M1312 H1315:M1315 H1318:M1318 H1321:M1321 H1324:M1324 H1327:M1327 H1330:M1330 H1333:M1333 H1336:M1336 H1339:M1339 H1342:M1342 H1345:M1345 H1348:M1348 H1351:M1351 H1354:M1354 H1357:M1357 H1360:M1360 H1363:M1363 H1366:M1366 H1369:M1369 H1372:M1372 H1375:M1375 H1378:M1378 H1381:M1381 H1384:M1384 H1387:M1387 H1390:M1390 H1393:M1393 H1396:M1396 H1399:M1399 H1402:M1402 H1405:M1405 H1408:M1408 H1411:M1411 H1414:M1414 H1417:M1417">
    <cfRule type="expression" dxfId="388" priority="32">
      <formula>$C1255&lt;&gt;OFFSET($C1255,-1,0,1,1)</formula>
    </cfRule>
  </conditionalFormatting>
  <conditionalFormatting sqref="H1255:M1255 H1258:M1258 H1261:M1261 H1264:M1264 H1267:M1267 H1270:M1270 H1273:M1273 H1276:M1276 H1279:M1279 H1282:M1282 H1285:M1285 H1288:M1288 H1291:M1291 H1294:M1294 H1297:M1297 H1300:M1300 H1303:M1303 H1306:M1306 H1309:M1309 H1312:M1312 H1315:M1315 H1318:M1318 H1321:M1321 H1324:M1324 H1327:M1327 H1330:M1330 H1333:M1333 H1336:M1336 H1339:M1339 H1342:M1342 H1345:M1345 H1348:M1348 H1351:M1351 H1354:M1354 H1357:M1357 H1360:M1360 H1363:M1363 H1366:M1366 H1369:M1369 H1372:M1372 H1375:M1375 H1378:M1378 H1381:M1381 H1384:M1384 H1387:M1387 H1390:M1390 H1393:M1393 H1396:M1396 H1399:M1399 H1402:M1402 H1405:M1405 H1408:M1408 H1411:M1411 H1414:M1414 H1417:M1417">
    <cfRule type="expression" dxfId="387" priority="34">
      <formula>AND($C1255=OFFSET($C1255,-1,0,1,1),$G1255&lt;&gt;OFFSET($G1255,-1,0,1,1))</formula>
    </cfRule>
    <cfRule type="expression" dxfId="386" priority="35">
      <formula>AND($C1255=OFFSET($C1255,-1,0,1,1),$G1255=OFFSET($G1255,-1,0,1,1),H1255=OFFSET(H1255,-1,0,1,1))</formula>
    </cfRule>
  </conditionalFormatting>
  <conditionalFormatting sqref="H106:N724">
    <cfRule type="expression" dxfId="385" priority="31">
      <formula>MOD(H106,1)=0</formula>
    </cfRule>
  </conditionalFormatting>
  <conditionalFormatting sqref="G106:N724">
    <cfRule type="expression" dxfId="384" priority="27">
      <formula>$B106="Project"</formula>
    </cfRule>
  </conditionalFormatting>
  <conditionalFormatting sqref="H106:N724">
    <cfRule type="expression" dxfId="383" priority="30">
      <formula>AND($C106=OFFSET($C106,-1,0,1,1),$G106=OFFSET($G106,-1,0,1,1),H106&lt;&gt;OFFSET(H106,-1,0,1,1))</formula>
    </cfRule>
  </conditionalFormatting>
  <conditionalFormatting sqref="G106:N724">
    <cfRule type="expression" dxfId="382" priority="26">
      <formula>$C106&lt;&gt;OFFSET($C106,-1,0,1,1)</formula>
    </cfRule>
  </conditionalFormatting>
  <conditionalFormatting sqref="G106:N724">
    <cfRule type="expression" dxfId="381" priority="28">
      <formula>AND($C106=OFFSET($C106,-1,0,1,1),$G106&lt;&gt;OFFSET($G106,-1,0,1,1))</formula>
    </cfRule>
    <cfRule type="expression" dxfId="380" priority="29">
      <formula>AND($C106=OFFSET($C106,-1,0,1,1),$G106=OFFSET($G106,-1,0,1,1),G106=OFFSET(G106,-1,0,1,1))</formula>
    </cfRule>
  </conditionalFormatting>
  <conditionalFormatting sqref="V1326 N1326">
    <cfRule type="expression" dxfId="379" priority="24">
      <formula>MOD(N1326,1)=0</formula>
    </cfRule>
  </conditionalFormatting>
  <conditionalFormatting sqref="B1326:G1326 N1326:Y1326">
    <cfRule type="expression" dxfId="378" priority="20">
      <formula>$B1326="Project"</formula>
    </cfRule>
  </conditionalFormatting>
  <conditionalFormatting sqref="A1326:F1326">
    <cfRule type="expression" dxfId="377" priority="18">
      <formula>AND($C1326=OFFSET($C1326,-1,0,1,1),A1326=OFFSET(A1326,-1,0,1,1))</formula>
    </cfRule>
  </conditionalFormatting>
  <conditionalFormatting sqref="N1326:Y1326">
    <cfRule type="expression" dxfId="376" priority="23">
      <formula>AND($C1326=OFFSET($C1326,-1,0,1,1),$G1326=OFFSET($G1326,-1,0,1,1),N1326&lt;&gt;OFFSET(N1326,-1,0,1,1))</formula>
    </cfRule>
  </conditionalFormatting>
  <conditionalFormatting sqref="A1326:G1326 N1326:Y1326">
    <cfRule type="expression" dxfId="375" priority="16">
      <formula>$C1326&lt;&gt;OFFSET($C1326,-1,0,1,1)</formula>
    </cfRule>
  </conditionalFormatting>
  <conditionalFormatting sqref="Q1326">
    <cfRule type="expression" dxfId="374" priority="8">
      <formula>OR(AND(ISNUMBER(DATEVALUE($Q1326)),MONTH(DATEVALUE($Q1326))=12,DATEVALUE("31/12/"&amp;TEXT(YEAR(DATEVALUE($Q1326)),"####"))&lt;TODAY()),AND(ISNUMBER(DATEVALUE($Q1326)),MONTH(DATEVALUE($Q1326))&lt;12,DATEVALUE("01/"&amp;TEXT(MONTH(DATEVALUE($Q1326))+1,"##")&amp;"/"&amp;TEXT(YEAR(DATEVALUE($Q1326)),"####"))-1&lt;TODAY()))</formula>
    </cfRule>
  </conditionalFormatting>
  <conditionalFormatting sqref="T1326">
    <cfRule type="cellIs" dxfId="373" priority="9" operator="equal">
      <formula>"Withdrawn"</formula>
    </cfRule>
    <cfRule type="cellIs" dxfId="372" priority="10" operator="equal">
      <formula>"Proposed"</formula>
    </cfRule>
    <cfRule type="cellIs" dxfId="371" priority="11" operator="equal">
      <formula>"Committed"</formula>
    </cfRule>
    <cfRule type="cellIs" dxfId="370" priority="12" operator="equal">
      <formula>"Upgrade"</formula>
    </cfRule>
    <cfRule type="cellIs" dxfId="369" priority="13" operator="equal">
      <formula>"Existing less Announced Withdrawal"</formula>
    </cfRule>
    <cfRule type="cellIs" dxfId="368" priority="14" operator="equal">
      <formula>"Announced Withdrawal"</formula>
    </cfRule>
  </conditionalFormatting>
  <conditionalFormatting sqref="C1326">
    <cfRule type="expression" dxfId="367" priority="15">
      <formula>$C1326&lt;&gt;OFFSET($C1326,-1,0,1,1)</formula>
    </cfRule>
    <cfRule type="expression" dxfId="366" priority="17">
      <formula>$C1326=OFFSET($C1326,-1,0,1,1)</formula>
    </cfRule>
    <cfRule type="expression" dxfId="365" priority="19">
      <formula>$B1326="Project"</formula>
    </cfRule>
  </conditionalFormatting>
  <conditionalFormatting sqref="D1326:G1326 N1326:Y1326">
    <cfRule type="expression" dxfId="364" priority="21">
      <formula>AND($C1326=OFFSET($C1326,-1,0,1,1),$G1326&lt;&gt;OFFSET($G1326,-1,0,1,1))</formula>
    </cfRule>
    <cfRule type="expression" dxfId="363" priority="22">
      <formula>AND($C1326=OFFSET($C1326,-1,0,1,1),$G1326=OFFSET($G1326,-1,0,1,1),D1326=OFFSET(D1326,-1,0,1,1))</formula>
    </cfRule>
  </conditionalFormatting>
  <conditionalFormatting sqref="Y1326">
    <cfRule type="colorScale" priority="25">
      <colorScale>
        <cfvo type="min"/>
        <cfvo type="formula" val="TODAY()-365"/>
        <cfvo type="max"/>
        <color rgb="FFFFD1D1"/>
        <color theme="7" tint="0.79998168889431442"/>
        <color theme="0"/>
      </colorScale>
    </cfRule>
  </conditionalFormatting>
  <conditionalFormatting sqref="H1326:M1326">
    <cfRule type="expression" dxfId="362" priority="7">
      <formula>MOD(H1326,1)=0</formula>
    </cfRule>
  </conditionalFormatting>
  <conditionalFormatting sqref="H1326:M1326">
    <cfRule type="expression" dxfId="361" priority="3">
      <formula>$B1326="Project"</formula>
    </cfRule>
  </conditionalFormatting>
  <conditionalFormatting sqref="H1326:M1326">
    <cfRule type="expression" dxfId="360" priority="6">
      <formula>AND($C1326=OFFSET($C1326,-1,0,1,1),$G1326=OFFSET($G1326,-1,0,1,1),H1326&lt;&gt;OFFSET(H1326,-1,0,1,1))</formula>
    </cfRule>
  </conditionalFormatting>
  <conditionalFormatting sqref="H1326:M1326">
    <cfRule type="expression" dxfId="359" priority="2">
      <formula>$C1326&lt;&gt;OFFSET($C1326,-1,0,1,1)</formula>
    </cfRule>
  </conditionalFormatting>
  <conditionalFormatting sqref="H1326:M1326">
    <cfRule type="expression" dxfId="358" priority="4">
      <formula>AND($C1326=OFFSET($C1326,-1,0,1,1),$G1326&lt;&gt;OFFSET($G1326,-1,0,1,1))</formula>
    </cfRule>
    <cfRule type="expression" dxfId="357" priority="5">
      <formula>AND($C1326=OFFSET($C1326,-1,0,1,1),$G1326=OFFSET($G1326,-1,0,1,1),H1326=OFFSET(H1326,-1,0,1,1))</formula>
    </cfRule>
  </conditionalFormatting>
  <conditionalFormatting sqref="Y1423">
    <cfRule type="colorScale" priority="1">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AZ380"/>
  <sheetViews>
    <sheetView workbookViewId="0"/>
  </sheetViews>
  <sheetFormatPr defaultColWidth="8.54296875" defaultRowHeight="14.5"/>
  <cols>
    <col min="1" max="1" width="7.36328125" style="2" customWidth="1"/>
    <col min="2" max="2" width="12.08984375" style="2" customWidth="1"/>
    <col min="3" max="3" width="36.6328125" style="3" customWidth="1"/>
    <col min="4" max="4" width="12.36328125" style="2" bestFit="1" customWidth="1"/>
    <col min="5" max="34" width="9.6328125" style="2" customWidth="1"/>
    <col min="35" max="35" width="40.6328125" customWidth="1"/>
    <col min="36" max="36" width="25" customWidth="1"/>
    <col min="37" max="37" width="16.54296875" style="2" customWidth="1"/>
    <col min="38" max="38" width="8.6328125" style="2" customWidth="1"/>
    <col min="39" max="39" width="11.6328125" customWidth="1"/>
    <col min="40" max="40" width="11.6328125" style="2" customWidth="1"/>
    <col min="41" max="41" width="10.36328125" style="2" customWidth="1"/>
    <col min="42" max="42" width="18" style="2" bestFit="1" customWidth="1"/>
    <col min="43" max="43" width="9.6328125" style="2" customWidth="1"/>
    <col min="44" max="44" width="11" style="2" customWidth="1"/>
    <col min="45" max="45" width="9.6328125" style="2" customWidth="1"/>
    <col min="46" max="46" width="12.6328125" style="2" customWidth="1"/>
    <col min="47" max="47" width="28" style="2" bestFit="1" customWidth="1"/>
    <col min="48" max="48" width="19.6328125" style="2" customWidth="1"/>
    <col min="49" max="49" width="9.6328125" style="2" customWidth="1"/>
    <col min="50" max="50" width="21.54296875" style="2" bestFit="1" customWidth="1"/>
    <col min="51" max="51" width="8.90625" style="2" bestFit="1" customWidth="1"/>
    <col min="52" max="52" width="7.453125" style="2" bestFit="1" customWidth="1"/>
    <col min="53" max="16384" width="8.54296875" style="2"/>
  </cols>
  <sheetData>
    <row r="1" spans="1:49" ht="19">
      <c r="A1" s="7" t="s">
        <v>1443</v>
      </c>
      <c r="B1" s="4"/>
      <c r="C1" s="5"/>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8"/>
      <c r="AV1" s="4"/>
      <c r="AW1" s="4"/>
    </row>
    <row r="2" spans="1:49" s="219" customFormat="1" ht="42">
      <c r="A2" s="140" t="s">
        <v>6</v>
      </c>
      <c r="B2" s="104" t="s">
        <v>1468</v>
      </c>
      <c r="C2" s="216" t="s">
        <v>1579</v>
      </c>
      <c r="D2" s="216" t="s">
        <v>1470</v>
      </c>
      <c r="E2" s="103" t="s">
        <v>3713</v>
      </c>
      <c r="F2" s="104" t="s">
        <v>3714</v>
      </c>
      <c r="G2" s="218" t="s">
        <v>3715</v>
      </c>
      <c r="H2" s="103" t="s">
        <v>3716</v>
      </c>
      <c r="I2" s="104" t="s">
        <v>3717</v>
      </c>
      <c r="J2" s="218" t="s">
        <v>3718</v>
      </c>
      <c r="K2" s="103" t="s">
        <v>3719</v>
      </c>
      <c r="L2" s="104" t="s">
        <v>3720</v>
      </c>
      <c r="M2" s="218" t="s">
        <v>3721</v>
      </c>
      <c r="N2" s="103" t="s">
        <v>3722</v>
      </c>
      <c r="O2" s="104" t="s">
        <v>3723</v>
      </c>
      <c r="P2" s="218" t="s">
        <v>3724</v>
      </c>
      <c r="Q2" s="103" t="s">
        <v>3725</v>
      </c>
      <c r="R2" s="104" t="s">
        <v>3726</v>
      </c>
      <c r="S2" s="218" t="s">
        <v>3727</v>
      </c>
      <c r="T2" s="103" t="s">
        <v>3728</v>
      </c>
      <c r="U2" s="104" t="s">
        <v>3729</v>
      </c>
      <c r="V2" s="218" t="s">
        <v>3730</v>
      </c>
      <c r="W2" s="103" t="s">
        <v>3731</v>
      </c>
      <c r="X2" s="104" t="s">
        <v>3732</v>
      </c>
      <c r="Y2" s="218" t="s">
        <v>3733</v>
      </c>
      <c r="Z2" s="103" t="s">
        <v>3734</v>
      </c>
      <c r="AA2" s="104" t="s">
        <v>3735</v>
      </c>
      <c r="AB2" s="218" t="s">
        <v>3736</v>
      </c>
      <c r="AC2" s="103" t="s">
        <v>3737</v>
      </c>
      <c r="AD2" s="104" t="s">
        <v>3738</v>
      </c>
      <c r="AE2" s="218" t="s">
        <v>3739</v>
      </c>
      <c r="AF2" s="103" t="s">
        <v>3740</v>
      </c>
      <c r="AG2" s="104" t="s">
        <v>3741</v>
      </c>
      <c r="AH2" s="218" t="s">
        <v>3742</v>
      </c>
      <c r="AI2" s="217" t="s">
        <v>41</v>
      </c>
      <c r="AJ2" s="216" t="s">
        <v>1580</v>
      </c>
      <c r="AK2" s="216" t="s">
        <v>1581</v>
      </c>
      <c r="AL2" s="104" t="s">
        <v>1582</v>
      </c>
      <c r="AM2" s="217" t="s">
        <v>1449</v>
      </c>
      <c r="AN2" s="217" t="s">
        <v>1451</v>
      </c>
      <c r="AO2" s="104" t="s">
        <v>1584</v>
      </c>
      <c r="AP2" s="216" t="s">
        <v>766</v>
      </c>
      <c r="AQ2" s="104" t="s">
        <v>8</v>
      </c>
      <c r="AR2" s="104" t="s">
        <v>746</v>
      </c>
      <c r="AS2" s="104" t="s">
        <v>310</v>
      </c>
      <c r="AT2" s="104" t="s">
        <v>1457</v>
      </c>
      <c r="AU2" s="216" t="s">
        <v>1585</v>
      </c>
      <c r="AV2" s="104" t="s">
        <v>1586</v>
      </c>
      <c r="AW2" s="104" t="s">
        <v>1459</v>
      </c>
    </row>
    <row r="3" spans="1:49">
      <c r="A3" s="192" t="s">
        <v>91</v>
      </c>
      <c r="B3" s="194" t="s">
        <v>1555</v>
      </c>
      <c r="C3" s="160" t="s">
        <v>346</v>
      </c>
      <c r="D3" s="193" t="s">
        <v>432</v>
      </c>
      <c r="E3" s="195">
        <v>6</v>
      </c>
      <c r="F3" s="196">
        <v>6</v>
      </c>
      <c r="G3" s="197">
        <v>6</v>
      </c>
      <c r="H3" s="195">
        <v>6</v>
      </c>
      <c r="I3" s="196">
        <v>6</v>
      </c>
      <c r="J3" s="197">
        <v>6</v>
      </c>
      <c r="K3" s="195">
        <v>6</v>
      </c>
      <c r="L3" s="196">
        <v>6</v>
      </c>
      <c r="M3" s="197">
        <v>6</v>
      </c>
      <c r="N3" s="195">
        <v>6</v>
      </c>
      <c r="O3" s="196">
        <v>6</v>
      </c>
      <c r="P3" s="197">
        <v>6</v>
      </c>
      <c r="Q3" s="195">
        <v>6</v>
      </c>
      <c r="R3" s="196">
        <v>6</v>
      </c>
      <c r="S3" s="197">
        <v>6</v>
      </c>
      <c r="T3" s="195">
        <v>6</v>
      </c>
      <c r="U3" s="196">
        <v>6</v>
      </c>
      <c r="V3" s="197">
        <v>6</v>
      </c>
      <c r="W3" s="195">
        <v>6</v>
      </c>
      <c r="X3" s="196">
        <v>6</v>
      </c>
      <c r="Y3" s="197">
        <v>6</v>
      </c>
      <c r="Z3" s="195">
        <v>6</v>
      </c>
      <c r="AA3" s="196">
        <v>6</v>
      </c>
      <c r="AB3" s="197">
        <v>6</v>
      </c>
      <c r="AC3" s="195">
        <v>6</v>
      </c>
      <c r="AD3" s="196">
        <v>6</v>
      </c>
      <c r="AE3" s="197">
        <v>6</v>
      </c>
      <c r="AF3" s="195">
        <v>6</v>
      </c>
      <c r="AG3" s="196">
        <v>6</v>
      </c>
      <c r="AH3" s="197">
        <v>6</v>
      </c>
      <c r="AI3" s="200" t="s">
        <v>347</v>
      </c>
      <c r="AJ3" s="193" t="s">
        <v>1602</v>
      </c>
      <c r="AK3" s="201" t="s">
        <v>1603</v>
      </c>
      <c r="AL3" s="205">
        <v>1</v>
      </c>
      <c r="AM3" s="200"/>
      <c r="AN3" s="204">
        <v>6.27</v>
      </c>
      <c r="AO3" s="203">
        <v>12.6</v>
      </c>
      <c r="AP3" s="207" t="s">
        <v>76</v>
      </c>
      <c r="AQ3" s="199" t="s">
        <v>1619</v>
      </c>
      <c r="AR3" s="202">
        <v>44682</v>
      </c>
      <c r="AS3" s="205">
        <v>2041</v>
      </c>
      <c r="AT3" s="206"/>
      <c r="AU3" s="201" t="s">
        <v>24</v>
      </c>
      <c r="AV3" s="193" t="s">
        <v>19</v>
      </c>
      <c r="AW3" s="205">
        <v>1844</v>
      </c>
    </row>
    <row r="4" spans="1:49">
      <c r="A4" s="192" t="s">
        <v>91</v>
      </c>
      <c r="B4" s="194" t="s">
        <v>1555</v>
      </c>
      <c r="C4" s="160" t="s">
        <v>346</v>
      </c>
      <c r="D4" s="193" t="s">
        <v>433</v>
      </c>
      <c r="E4" s="195">
        <v>11</v>
      </c>
      <c r="F4" s="196">
        <v>10.56</v>
      </c>
      <c r="G4" s="197">
        <v>10.34</v>
      </c>
      <c r="H4" s="195">
        <v>11</v>
      </c>
      <c r="I4" s="196">
        <v>10.56</v>
      </c>
      <c r="J4" s="197">
        <v>10.34</v>
      </c>
      <c r="K4" s="195">
        <v>11</v>
      </c>
      <c r="L4" s="196">
        <v>10.56</v>
      </c>
      <c r="M4" s="197">
        <v>10.34</v>
      </c>
      <c r="N4" s="195">
        <v>11</v>
      </c>
      <c r="O4" s="196">
        <v>10.56</v>
      </c>
      <c r="P4" s="197">
        <v>10.34</v>
      </c>
      <c r="Q4" s="195">
        <v>11</v>
      </c>
      <c r="R4" s="196">
        <v>10.56</v>
      </c>
      <c r="S4" s="197">
        <v>10.34</v>
      </c>
      <c r="T4" s="195">
        <v>11</v>
      </c>
      <c r="U4" s="196">
        <v>10.56</v>
      </c>
      <c r="V4" s="197">
        <v>10.34</v>
      </c>
      <c r="W4" s="195">
        <v>11</v>
      </c>
      <c r="X4" s="196">
        <v>10.56</v>
      </c>
      <c r="Y4" s="197">
        <v>10.34</v>
      </c>
      <c r="Z4" s="195">
        <v>11</v>
      </c>
      <c r="AA4" s="196">
        <v>10.56</v>
      </c>
      <c r="AB4" s="197">
        <v>10.34</v>
      </c>
      <c r="AC4" s="195">
        <v>11</v>
      </c>
      <c r="AD4" s="196">
        <v>10.56</v>
      </c>
      <c r="AE4" s="197">
        <v>10.34</v>
      </c>
      <c r="AF4" s="195">
        <v>11</v>
      </c>
      <c r="AG4" s="196">
        <v>10.56</v>
      </c>
      <c r="AH4" s="197">
        <v>10.34</v>
      </c>
      <c r="AI4" s="200" t="s">
        <v>347</v>
      </c>
      <c r="AJ4" s="193" t="s">
        <v>1613</v>
      </c>
      <c r="AK4" s="201" t="s">
        <v>1614</v>
      </c>
      <c r="AL4" s="205">
        <v>4</v>
      </c>
      <c r="AM4" s="200"/>
      <c r="AN4" s="204">
        <v>11</v>
      </c>
      <c r="AO4" s="203"/>
      <c r="AP4" s="207" t="s">
        <v>76</v>
      </c>
      <c r="AQ4" s="199" t="s">
        <v>1620</v>
      </c>
      <c r="AR4" s="202">
        <v>44682</v>
      </c>
      <c r="AS4" s="205">
        <v>2041</v>
      </c>
      <c r="AT4" s="206"/>
      <c r="AU4" s="201" t="s">
        <v>24</v>
      </c>
      <c r="AV4" s="193" t="s">
        <v>1615</v>
      </c>
      <c r="AW4" s="205">
        <v>1844</v>
      </c>
    </row>
    <row r="5" spans="1:49">
      <c r="A5" s="192" t="s">
        <v>91</v>
      </c>
      <c r="B5" s="194" t="s">
        <v>1555</v>
      </c>
      <c r="C5" s="160" t="s">
        <v>1178</v>
      </c>
      <c r="D5" s="193" t="s">
        <v>1636</v>
      </c>
      <c r="E5" s="195">
        <v>36</v>
      </c>
      <c r="F5" s="196">
        <v>36</v>
      </c>
      <c r="G5" s="197">
        <v>36</v>
      </c>
      <c r="H5" s="195">
        <v>36</v>
      </c>
      <c r="I5" s="196">
        <v>36</v>
      </c>
      <c r="J5" s="197">
        <v>36</v>
      </c>
      <c r="K5" s="195">
        <v>36</v>
      </c>
      <c r="L5" s="196">
        <v>36</v>
      </c>
      <c r="M5" s="197">
        <v>36</v>
      </c>
      <c r="N5" s="195">
        <v>36</v>
      </c>
      <c r="O5" s="196">
        <v>36</v>
      </c>
      <c r="P5" s="197">
        <v>36</v>
      </c>
      <c r="Q5" s="195">
        <v>36</v>
      </c>
      <c r="R5" s="196">
        <v>36</v>
      </c>
      <c r="S5" s="197">
        <v>36</v>
      </c>
      <c r="T5" s="195">
        <v>36</v>
      </c>
      <c r="U5" s="196">
        <v>36</v>
      </c>
      <c r="V5" s="197">
        <v>36</v>
      </c>
      <c r="W5" s="195">
        <v>36</v>
      </c>
      <c r="X5" s="196">
        <v>36</v>
      </c>
      <c r="Y5" s="197">
        <v>36</v>
      </c>
      <c r="Z5" s="195">
        <v>36</v>
      </c>
      <c r="AA5" s="196">
        <v>36</v>
      </c>
      <c r="AB5" s="197">
        <v>36</v>
      </c>
      <c r="AC5" s="195">
        <v>36</v>
      </c>
      <c r="AD5" s="196">
        <v>36</v>
      </c>
      <c r="AE5" s="197">
        <v>36</v>
      </c>
      <c r="AF5" s="195">
        <v>36</v>
      </c>
      <c r="AG5" s="196">
        <v>36</v>
      </c>
      <c r="AH5" s="197">
        <v>36</v>
      </c>
      <c r="AI5" s="200" t="s">
        <v>805</v>
      </c>
      <c r="AJ5" s="193" t="s">
        <v>1589</v>
      </c>
      <c r="AK5" s="201" t="s">
        <v>1635</v>
      </c>
      <c r="AL5" s="205">
        <v>2</v>
      </c>
      <c r="AM5" s="200"/>
      <c r="AN5" s="204">
        <v>36</v>
      </c>
      <c r="AO5" s="203"/>
      <c r="AP5" s="207" t="s">
        <v>76</v>
      </c>
      <c r="AQ5" s="199" t="s">
        <v>1619</v>
      </c>
      <c r="AR5" s="202"/>
      <c r="AS5" s="205">
        <v>2070</v>
      </c>
      <c r="AT5" s="206"/>
      <c r="AU5" s="201" t="s">
        <v>24</v>
      </c>
      <c r="AV5" s="193" t="s">
        <v>20</v>
      </c>
      <c r="AW5" s="205">
        <v>1002</v>
      </c>
    </row>
    <row r="6" spans="1:49">
      <c r="A6" s="192" t="s">
        <v>110</v>
      </c>
      <c r="B6" s="194" t="s">
        <v>1555</v>
      </c>
      <c r="C6" s="160" t="s">
        <v>1220</v>
      </c>
      <c r="D6" s="193" t="s">
        <v>1650</v>
      </c>
      <c r="E6" s="195">
        <v>240</v>
      </c>
      <c r="F6" s="196">
        <v>240</v>
      </c>
      <c r="G6" s="197">
        <v>150</v>
      </c>
      <c r="H6" s="195">
        <v>240</v>
      </c>
      <c r="I6" s="196">
        <v>240</v>
      </c>
      <c r="J6" s="197">
        <v>150</v>
      </c>
      <c r="K6" s="195">
        <v>240</v>
      </c>
      <c r="L6" s="196">
        <v>240</v>
      </c>
      <c r="M6" s="197">
        <v>150</v>
      </c>
      <c r="N6" s="195">
        <v>240</v>
      </c>
      <c r="O6" s="196">
        <v>240</v>
      </c>
      <c r="P6" s="197">
        <v>150</v>
      </c>
      <c r="Q6" s="195">
        <v>240</v>
      </c>
      <c r="R6" s="196">
        <v>240</v>
      </c>
      <c r="S6" s="197">
        <v>150</v>
      </c>
      <c r="T6" s="195">
        <v>240</v>
      </c>
      <c r="U6" s="196">
        <v>240</v>
      </c>
      <c r="V6" s="197">
        <v>150</v>
      </c>
      <c r="W6" s="195">
        <v>240</v>
      </c>
      <c r="X6" s="196">
        <v>240</v>
      </c>
      <c r="Y6" s="197">
        <v>150</v>
      </c>
      <c r="Z6" s="195">
        <v>240</v>
      </c>
      <c r="AA6" s="196">
        <v>240</v>
      </c>
      <c r="AB6" s="197">
        <v>150</v>
      </c>
      <c r="AC6" s="195">
        <v>240</v>
      </c>
      <c r="AD6" s="196">
        <v>240</v>
      </c>
      <c r="AE6" s="197">
        <v>150</v>
      </c>
      <c r="AF6" s="195">
        <v>240</v>
      </c>
      <c r="AG6" s="196">
        <v>240</v>
      </c>
      <c r="AH6" s="197">
        <v>150</v>
      </c>
      <c r="AI6" s="200" t="s">
        <v>1649</v>
      </c>
      <c r="AJ6" s="193" t="s">
        <v>1625</v>
      </c>
      <c r="AK6" s="201" t="s">
        <v>1609</v>
      </c>
      <c r="AL6" s="205">
        <v>75</v>
      </c>
      <c r="AM6" s="200"/>
      <c r="AN6" s="204">
        <v>240</v>
      </c>
      <c r="AO6" s="203"/>
      <c r="AP6" s="207" t="s">
        <v>76</v>
      </c>
      <c r="AQ6" s="199" t="s">
        <v>1620</v>
      </c>
      <c r="AR6" s="202"/>
      <c r="AS6" s="205">
        <v>2047</v>
      </c>
      <c r="AT6" s="206"/>
      <c r="AU6" s="201" t="s">
        <v>24</v>
      </c>
      <c r="AV6" s="193" t="s">
        <v>16</v>
      </c>
      <c r="AW6" s="205">
        <v>1462</v>
      </c>
    </row>
    <row r="7" spans="1:49">
      <c r="A7" s="192" t="s">
        <v>45</v>
      </c>
      <c r="B7" s="194" t="s">
        <v>1555</v>
      </c>
      <c r="C7" s="160" t="s">
        <v>488</v>
      </c>
      <c r="D7" s="193" t="s">
        <v>3743</v>
      </c>
      <c r="E7" s="195">
        <v>189.98</v>
      </c>
      <c r="F7" s="196">
        <v>189.98</v>
      </c>
      <c r="G7" s="197">
        <v>189.98</v>
      </c>
      <c r="H7" s="195">
        <v>189.98</v>
      </c>
      <c r="I7" s="196">
        <v>189.98</v>
      </c>
      <c r="J7" s="197">
        <v>189.98</v>
      </c>
      <c r="K7" s="195">
        <v>189.98</v>
      </c>
      <c r="L7" s="196">
        <v>189.98</v>
      </c>
      <c r="M7" s="197">
        <v>189.98</v>
      </c>
      <c r="N7" s="195">
        <v>189.98</v>
      </c>
      <c r="O7" s="196">
        <v>189.98</v>
      </c>
      <c r="P7" s="197">
        <v>189.98</v>
      </c>
      <c r="Q7" s="195">
        <v>189.98</v>
      </c>
      <c r="R7" s="196">
        <v>189.98</v>
      </c>
      <c r="S7" s="197">
        <v>189.98</v>
      </c>
      <c r="T7" s="195">
        <v>189.98</v>
      </c>
      <c r="U7" s="196">
        <v>189.98</v>
      </c>
      <c r="V7" s="197">
        <v>189.98</v>
      </c>
      <c r="W7" s="195">
        <v>189.98</v>
      </c>
      <c r="X7" s="196">
        <v>189.98</v>
      </c>
      <c r="Y7" s="197">
        <v>189.98</v>
      </c>
      <c r="Z7" s="195">
        <v>189.98</v>
      </c>
      <c r="AA7" s="196">
        <v>189.98</v>
      </c>
      <c r="AB7" s="197">
        <v>189.98</v>
      </c>
      <c r="AC7" s="195">
        <v>189.98</v>
      </c>
      <c r="AD7" s="196">
        <v>189.98</v>
      </c>
      <c r="AE7" s="197">
        <v>189.98</v>
      </c>
      <c r="AF7" s="195">
        <v>189.98</v>
      </c>
      <c r="AG7" s="196">
        <v>189.98</v>
      </c>
      <c r="AH7" s="197">
        <v>189.98</v>
      </c>
      <c r="AI7" s="200" t="s">
        <v>489</v>
      </c>
      <c r="AJ7" s="193" t="s">
        <v>1631</v>
      </c>
      <c r="AK7" s="201" t="s">
        <v>1614</v>
      </c>
      <c r="AL7" s="205">
        <v>70</v>
      </c>
      <c r="AM7" s="200">
        <v>0</v>
      </c>
      <c r="AN7" s="204">
        <v>254.1</v>
      </c>
      <c r="AO7" s="203"/>
      <c r="AP7" s="207" t="s">
        <v>401</v>
      </c>
      <c r="AQ7" s="199" t="s">
        <v>1620</v>
      </c>
      <c r="AR7" s="202">
        <v>45078</v>
      </c>
      <c r="AS7" s="205">
        <v>2058</v>
      </c>
      <c r="AT7" s="206"/>
      <c r="AU7" s="201" t="s">
        <v>24</v>
      </c>
      <c r="AV7" s="193" t="s">
        <v>1615</v>
      </c>
      <c r="AW7" s="205">
        <v>1715</v>
      </c>
    </row>
    <row r="8" spans="1:49">
      <c r="A8" s="192" t="s">
        <v>110</v>
      </c>
      <c r="B8" s="194" t="s">
        <v>1555</v>
      </c>
      <c r="C8" s="160" t="s">
        <v>1671</v>
      </c>
      <c r="D8" s="193" t="s">
        <v>1674</v>
      </c>
      <c r="E8" s="195">
        <v>44</v>
      </c>
      <c r="F8" s="196">
        <v>36</v>
      </c>
      <c r="G8" s="197">
        <v>27</v>
      </c>
      <c r="H8" s="195">
        <v>44</v>
      </c>
      <c r="I8" s="196">
        <v>36</v>
      </c>
      <c r="J8" s="197">
        <v>27</v>
      </c>
      <c r="K8" s="195">
        <v>44</v>
      </c>
      <c r="L8" s="196">
        <v>36</v>
      </c>
      <c r="M8" s="197">
        <v>27</v>
      </c>
      <c r="N8" s="195">
        <v>44</v>
      </c>
      <c r="O8" s="196">
        <v>36</v>
      </c>
      <c r="P8" s="197">
        <v>27</v>
      </c>
      <c r="Q8" s="195">
        <v>44</v>
      </c>
      <c r="R8" s="196">
        <v>36</v>
      </c>
      <c r="S8" s="197">
        <v>27</v>
      </c>
      <c r="T8" s="195">
        <v>44</v>
      </c>
      <c r="U8" s="196">
        <v>36</v>
      </c>
      <c r="V8" s="197">
        <v>27</v>
      </c>
      <c r="W8" s="195">
        <v>44</v>
      </c>
      <c r="X8" s="196">
        <v>36</v>
      </c>
      <c r="Y8" s="197">
        <v>27</v>
      </c>
      <c r="Z8" s="195">
        <v>44</v>
      </c>
      <c r="AA8" s="196">
        <v>36</v>
      </c>
      <c r="AB8" s="197">
        <v>27</v>
      </c>
      <c r="AC8" s="195">
        <v>44</v>
      </c>
      <c r="AD8" s="196">
        <v>36</v>
      </c>
      <c r="AE8" s="197">
        <v>27</v>
      </c>
      <c r="AF8" s="195">
        <v>44</v>
      </c>
      <c r="AG8" s="196">
        <v>36</v>
      </c>
      <c r="AH8" s="197">
        <v>27</v>
      </c>
      <c r="AI8" s="200" t="s">
        <v>1672</v>
      </c>
      <c r="AJ8" s="193" t="s">
        <v>1673</v>
      </c>
      <c r="AK8" s="201" t="s">
        <v>1592</v>
      </c>
      <c r="AL8" s="205">
        <v>1</v>
      </c>
      <c r="AM8" s="200"/>
      <c r="AN8" s="204">
        <v>47</v>
      </c>
      <c r="AO8" s="203"/>
      <c r="AP8" s="207" t="s">
        <v>76</v>
      </c>
      <c r="AQ8" s="199" t="s">
        <v>1619</v>
      </c>
      <c r="AR8" s="202"/>
      <c r="AS8" s="205">
        <v>2042</v>
      </c>
      <c r="AT8" s="206"/>
      <c r="AU8" s="201" t="s">
        <v>24</v>
      </c>
      <c r="AV8" s="193" t="s">
        <v>13</v>
      </c>
      <c r="AW8" s="205">
        <v>1005</v>
      </c>
    </row>
    <row r="9" spans="1:49">
      <c r="A9" s="192" t="s">
        <v>110</v>
      </c>
      <c r="B9" s="194" t="s">
        <v>1555</v>
      </c>
      <c r="C9" s="160" t="s">
        <v>1671</v>
      </c>
      <c r="D9" s="193" t="s">
        <v>1675</v>
      </c>
      <c r="E9" s="195">
        <v>44</v>
      </c>
      <c r="F9" s="196">
        <v>37</v>
      </c>
      <c r="G9" s="197">
        <v>30</v>
      </c>
      <c r="H9" s="195">
        <v>44</v>
      </c>
      <c r="I9" s="196">
        <v>37</v>
      </c>
      <c r="J9" s="197">
        <v>30</v>
      </c>
      <c r="K9" s="195">
        <v>44</v>
      </c>
      <c r="L9" s="196">
        <v>37</v>
      </c>
      <c r="M9" s="197">
        <v>30</v>
      </c>
      <c r="N9" s="195">
        <v>44</v>
      </c>
      <c r="O9" s="196">
        <v>37</v>
      </c>
      <c r="P9" s="197">
        <v>30</v>
      </c>
      <c r="Q9" s="195">
        <v>44</v>
      </c>
      <c r="R9" s="196">
        <v>37</v>
      </c>
      <c r="S9" s="197">
        <v>30</v>
      </c>
      <c r="T9" s="195">
        <v>44</v>
      </c>
      <c r="U9" s="196">
        <v>37</v>
      </c>
      <c r="V9" s="197">
        <v>30</v>
      </c>
      <c r="W9" s="195">
        <v>44</v>
      </c>
      <c r="X9" s="196">
        <v>37</v>
      </c>
      <c r="Y9" s="197">
        <v>30</v>
      </c>
      <c r="Z9" s="195">
        <v>44</v>
      </c>
      <c r="AA9" s="196">
        <v>37</v>
      </c>
      <c r="AB9" s="197">
        <v>30</v>
      </c>
      <c r="AC9" s="195">
        <v>44</v>
      </c>
      <c r="AD9" s="196">
        <v>37</v>
      </c>
      <c r="AE9" s="197">
        <v>30</v>
      </c>
      <c r="AF9" s="195">
        <v>44</v>
      </c>
      <c r="AG9" s="196">
        <v>37</v>
      </c>
      <c r="AH9" s="197">
        <v>30</v>
      </c>
      <c r="AI9" s="200" t="s">
        <v>1672</v>
      </c>
      <c r="AJ9" s="193" t="s">
        <v>1673</v>
      </c>
      <c r="AK9" s="201" t="s">
        <v>1592</v>
      </c>
      <c r="AL9" s="205">
        <v>1</v>
      </c>
      <c r="AM9" s="200"/>
      <c r="AN9" s="204">
        <v>47</v>
      </c>
      <c r="AO9" s="203"/>
      <c r="AP9" s="207" t="s">
        <v>76</v>
      </c>
      <c r="AQ9" s="199" t="s">
        <v>1619</v>
      </c>
      <c r="AR9" s="202"/>
      <c r="AS9" s="205">
        <v>2042</v>
      </c>
      <c r="AT9" s="206"/>
      <c r="AU9" s="201" t="s">
        <v>24</v>
      </c>
      <c r="AV9" s="193" t="s">
        <v>13</v>
      </c>
      <c r="AW9" s="205">
        <v>1005</v>
      </c>
    </row>
    <row r="10" spans="1:49">
      <c r="A10" s="192" t="s">
        <v>110</v>
      </c>
      <c r="B10" s="194" t="s">
        <v>1555</v>
      </c>
      <c r="C10" s="160" t="s">
        <v>1685</v>
      </c>
      <c r="D10" s="193" t="s">
        <v>1687</v>
      </c>
      <c r="E10" s="195">
        <v>106.6</v>
      </c>
      <c r="F10" s="196">
        <v>106.6</v>
      </c>
      <c r="G10" s="197">
        <v>106.6</v>
      </c>
      <c r="H10" s="195">
        <v>106.6</v>
      </c>
      <c r="I10" s="196">
        <v>106.6</v>
      </c>
      <c r="J10" s="197">
        <v>106.6</v>
      </c>
      <c r="K10" s="195">
        <v>106.6</v>
      </c>
      <c r="L10" s="196">
        <v>106.6</v>
      </c>
      <c r="M10" s="197">
        <v>106.6</v>
      </c>
      <c r="N10" s="195">
        <v>106.6</v>
      </c>
      <c r="O10" s="196">
        <v>106.6</v>
      </c>
      <c r="P10" s="197">
        <v>106.6</v>
      </c>
      <c r="Q10" s="195">
        <v>106.6</v>
      </c>
      <c r="R10" s="196">
        <v>106.6</v>
      </c>
      <c r="S10" s="197">
        <v>106.6</v>
      </c>
      <c r="T10" s="195">
        <v>106.6</v>
      </c>
      <c r="U10" s="196">
        <v>106.6</v>
      </c>
      <c r="V10" s="197">
        <v>106.6</v>
      </c>
      <c r="W10" s="195">
        <v>106.6</v>
      </c>
      <c r="X10" s="196">
        <v>106.6</v>
      </c>
      <c r="Y10" s="197">
        <v>106.6</v>
      </c>
      <c r="Z10" s="195">
        <v>106.6</v>
      </c>
      <c r="AA10" s="196">
        <v>106.6</v>
      </c>
      <c r="AB10" s="197">
        <v>106.6</v>
      </c>
      <c r="AC10" s="195">
        <v>106.6</v>
      </c>
      <c r="AD10" s="196">
        <v>106.6</v>
      </c>
      <c r="AE10" s="197">
        <v>106.6</v>
      </c>
      <c r="AF10" s="195">
        <v>106.6</v>
      </c>
      <c r="AG10" s="196">
        <v>106.6</v>
      </c>
      <c r="AH10" s="197">
        <v>106.6</v>
      </c>
      <c r="AI10" s="200" t="s">
        <v>1686</v>
      </c>
      <c r="AJ10" s="193" t="s">
        <v>1625</v>
      </c>
      <c r="AK10" s="201" t="s">
        <v>1609</v>
      </c>
      <c r="AL10" s="205">
        <v>52</v>
      </c>
      <c r="AM10" s="200"/>
      <c r="AN10" s="204">
        <v>106.6</v>
      </c>
      <c r="AO10" s="203"/>
      <c r="AP10" s="207" t="s">
        <v>76</v>
      </c>
      <c r="AQ10" s="199" t="s">
        <v>1620</v>
      </c>
      <c r="AR10" s="202"/>
      <c r="AS10" s="205">
        <v>2040</v>
      </c>
      <c r="AT10" s="206"/>
      <c r="AU10" s="201" t="s">
        <v>24</v>
      </c>
      <c r="AV10" s="193" t="s">
        <v>16</v>
      </c>
      <c r="AW10" s="205">
        <v>1006</v>
      </c>
    </row>
    <row r="11" spans="1:49">
      <c r="A11" s="192" t="s">
        <v>110</v>
      </c>
      <c r="B11" s="194" t="s">
        <v>1555</v>
      </c>
      <c r="C11" s="160" t="s">
        <v>908</v>
      </c>
      <c r="D11" s="193" t="s">
        <v>1695</v>
      </c>
      <c r="E11" s="195">
        <v>29.9</v>
      </c>
      <c r="F11" s="196">
        <v>29.9</v>
      </c>
      <c r="G11" s="197">
        <v>28.8</v>
      </c>
      <c r="H11" s="195">
        <v>29.9</v>
      </c>
      <c r="I11" s="196">
        <v>29.9</v>
      </c>
      <c r="J11" s="197">
        <v>28.8</v>
      </c>
      <c r="K11" s="195">
        <v>29.9</v>
      </c>
      <c r="L11" s="196">
        <v>29.9</v>
      </c>
      <c r="M11" s="197">
        <v>28.8</v>
      </c>
      <c r="N11" s="195">
        <v>29.9</v>
      </c>
      <c r="O11" s="196">
        <v>29.9</v>
      </c>
      <c r="P11" s="197">
        <v>28.8</v>
      </c>
      <c r="Q11" s="195">
        <v>29.9</v>
      </c>
      <c r="R11" s="196">
        <v>29.9</v>
      </c>
      <c r="S11" s="197">
        <v>28.8</v>
      </c>
      <c r="T11" s="195">
        <v>29.9</v>
      </c>
      <c r="U11" s="196">
        <v>29.9</v>
      </c>
      <c r="V11" s="197">
        <v>28.8</v>
      </c>
      <c r="W11" s="195">
        <v>19.899999999999999</v>
      </c>
      <c r="X11" s="196">
        <v>19.899999999999999</v>
      </c>
      <c r="Y11" s="197">
        <v>19.2</v>
      </c>
      <c r="Z11" s="195">
        <v>19.899999999999999</v>
      </c>
      <c r="AA11" s="196">
        <v>19.899999999999999</v>
      </c>
      <c r="AB11" s="197">
        <v>19.2</v>
      </c>
      <c r="AC11" s="195">
        <v>19.899999999999999</v>
      </c>
      <c r="AD11" s="196">
        <v>19.899999999999999</v>
      </c>
      <c r="AE11" s="197">
        <v>19.2</v>
      </c>
      <c r="AF11" s="195">
        <v>19.899999999999999</v>
      </c>
      <c r="AG11" s="196">
        <v>19.899999999999999</v>
      </c>
      <c r="AH11" s="197">
        <v>19.2</v>
      </c>
      <c r="AI11" s="200" t="s">
        <v>1634</v>
      </c>
      <c r="AJ11" s="193" t="s">
        <v>1602</v>
      </c>
      <c r="AK11" s="201" t="s">
        <v>1603</v>
      </c>
      <c r="AL11" s="205">
        <v>1</v>
      </c>
      <c r="AM11" s="200"/>
      <c r="AN11" s="204">
        <v>30</v>
      </c>
      <c r="AO11" s="203">
        <v>30</v>
      </c>
      <c r="AP11" s="207" t="s">
        <v>76</v>
      </c>
      <c r="AQ11" s="199" t="s">
        <v>1619</v>
      </c>
      <c r="AR11" s="202"/>
      <c r="AS11" s="205">
        <v>2033</v>
      </c>
      <c r="AT11" s="206"/>
      <c r="AU11" s="201" t="s">
        <v>24</v>
      </c>
      <c r="AV11" s="193" t="s">
        <v>19</v>
      </c>
      <c r="AW11" s="205">
        <v>1469</v>
      </c>
    </row>
    <row r="12" spans="1:49">
      <c r="A12" s="192" t="s">
        <v>45</v>
      </c>
      <c r="B12" s="194" t="s">
        <v>1555</v>
      </c>
      <c r="C12" s="160" t="s">
        <v>595</v>
      </c>
      <c r="D12" s="193" t="s">
        <v>596</v>
      </c>
      <c r="E12" s="195">
        <v>159</v>
      </c>
      <c r="F12" s="196">
        <v>159</v>
      </c>
      <c r="G12" s="197">
        <v>0</v>
      </c>
      <c r="H12" s="195">
        <v>159</v>
      </c>
      <c r="I12" s="196">
        <v>159</v>
      </c>
      <c r="J12" s="197">
        <v>0</v>
      </c>
      <c r="K12" s="195">
        <v>159</v>
      </c>
      <c r="L12" s="196">
        <v>159</v>
      </c>
      <c r="M12" s="197">
        <v>0</v>
      </c>
      <c r="N12" s="195">
        <v>159</v>
      </c>
      <c r="O12" s="196">
        <v>159</v>
      </c>
      <c r="P12" s="197">
        <v>0</v>
      </c>
      <c r="Q12" s="195">
        <v>159</v>
      </c>
      <c r="R12" s="196">
        <v>159</v>
      </c>
      <c r="S12" s="197">
        <v>0</v>
      </c>
      <c r="T12" s="195">
        <v>159</v>
      </c>
      <c r="U12" s="196">
        <v>159</v>
      </c>
      <c r="V12" s="197">
        <v>0</v>
      </c>
      <c r="W12" s="195">
        <v>159</v>
      </c>
      <c r="X12" s="196">
        <v>159</v>
      </c>
      <c r="Y12" s="197">
        <v>0</v>
      </c>
      <c r="Z12" s="195">
        <v>159</v>
      </c>
      <c r="AA12" s="196">
        <v>159</v>
      </c>
      <c r="AB12" s="197">
        <v>0</v>
      </c>
      <c r="AC12" s="195">
        <v>159</v>
      </c>
      <c r="AD12" s="196">
        <v>159</v>
      </c>
      <c r="AE12" s="197">
        <v>0</v>
      </c>
      <c r="AF12" s="195">
        <v>159</v>
      </c>
      <c r="AG12" s="196">
        <v>159</v>
      </c>
      <c r="AH12" s="197">
        <v>0</v>
      </c>
      <c r="AI12" s="200" t="s">
        <v>48</v>
      </c>
      <c r="AJ12" s="193" t="s">
        <v>1625</v>
      </c>
      <c r="AK12" s="201" t="s">
        <v>1609</v>
      </c>
      <c r="AL12" s="205">
        <v>30</v>
      </c>
      <c r="AM12" s="200">
        <v>159</v>
      </c>
      <c r="AN12" s="204">
        <v>159</v>
      </c>
      <c r="AO12" s="203"/>
      <c r="AP12" s="207" t="s">
        <v>76</v>
      </c>
      <c r="AQ12" s="199" t="s">
        <v>1620</v>
      </c>
      <c r="AR12" s="202">
        <v>44805</v>
      </c>
      <c r="AS12" s="205">
        <v>2045</v>
      </c>
      <c r="AT12" s="206"/>
      <c r="AU12" s="201" t="s">
        <v>24</v>
      </c>
      <c r="AV12" s="193" t="s">
        <v>16</v>
      </c>
      <c r="AW12" s="205">
        <v>1282</v>
      </c>
    </row>
    <row r="13" spans="1:49">
      <c r="A13" s="192" t="s">
        <v>45</v>
      </c>
      <c r="B13" s="194" t="s">
        <v>1555</v>
      </c>
      <c r="C13" s="160" t="s">
        <v>47</v>
      </c>
      <c r="D13" s="193" t="s">
        <v>49</v>
      </c>
      <c r="E13" s="195">
        <v>84.8</v>
      </c>
      <c r="F13" s="196">
        <v>84.8</v>
      </c>
      <c r="G13" s="197">
        <v>0</v>
      </c>
      <c r="H13" s="195">
        <v>84.8</v>
      </c>
      <c r="I13" s="196">
        <v>84.8</v>
      </c>
      <c r="J13" s="197">
        <v>0</v>
      </c>
      <c r="K13" s="195">
        <v>84.8</v>
      </c>
      <c r="L13" s="196">
        <v>84.8</v>
      </c>
      <c r="M13" s="197">
        <v>0</v>
      </c>
      <c r="N13" s="195">
        <v>84.8</v>
      </c>
      <c r="O13" s="196">
        <v>84.8</v>
      </c>
      <c r="P13" s="197">
        <v>0</v>
      </c>
      <c r="Q13" s="195">
        <v>84.8</v>
      </c>
      <c r="R13" s="196">
        <v>84.8</v>
      </c>
      <c r="S13" s="197">
        <v>0</v>
      </c>
      <c r="T13" s="195">
        <v>84.8</v>
      </c>
      <c r="U13" s="196">
        <v>84.8</v>
      </c>
      <c r="V13" s="197">
        <v>0</v>
      </c>
      <c r="W13" s="195">
        <v>84.8</v>
      </c>
      <c r="X13" s="196">
        <v>84.8</v>
      </c>
      <c r="Y13" s="197">
        <v>0</v>
      </c>
      <c r="Z13" s="195">
        <v>84.8</v>
      </c>
      <c r="AA13" s="196">
        <v>84.8</v>
      </c>
      <c r="AB13" s="197">
        <v>0</v>
      </c>
      <c r="AC13" s="195">
        <v>84.8</v>
      </c>
      <c r="AD13" s="196">
        <v>84.8</v>
      </c>
      <c r="AE13" s="197">
        <v>0</v>
      </c>
      <c r="AF13" s="195">
        <v>84.8</v>
      </c>
      <c r="AG13" s="196">
        <v>84.8</v>
      </c>
      <c r="AH13" s="197">
        <v>0</v>
      </c>
      <c r="AI13" s="200" t="s">
        <v>48</v>
      </c>
      <c r="AJ13" s="193" t="s">
        <v>1625</v>
      </c>
      <c r="AK13" s="201" t="s">
        <v>1609</v>
      </c>
      <c r="AL13" s="205">
        <v>16</v>
      </c>
      <c r="AM13" s="200">
        <v>0</v>
      </c>
      <c r="AN13" s="204">
        <v>84.8</v>
      </c>
      <c r="AO13" s="203"/>
      <c r="AP13" s="207" t="s">
        <v>76</v>
      </c>
      <c r="AQ13" s="199" t="s">
        <v>1620</v>
      </c>
      <c r="AR13" s="202">
        <v>44805</v>
      </c>
      <c r="AS13" s="205">
        <v>2045</v>
      </c>
      <c r="AT13" s="206"/>
      <c r="AU13" s="201" t="s">
        <v>24</v>
      </c>
      <c r="AV13" s="193" t="s">
        <v>16</v>
      </c>
      <c r="AW13" s="205">
        <v>1843</v>
      </c>
    </row>
    <row r="14" spans="1:49">
      <c r="A14" s="192" t="s">
        <v>110</v>
      </c>
      <c r="B14" s="194" t="s">
        <v>1555</v>
      </c>
      <c r="C14" s="160" t="s">
        <v>876</v>
      </c>
      <c r="D14" s="193" t="s">
        <v>878</v>
      </c>
      <c r="E14" s="195">
        <v>88</v>
      </c>
      <c r="F14" s="196">
        <v>84</v>
      </c>
      <c r="G14" s="197">
        <v>84</v>
      </c>
      <c r="H14" s="195">
        <v>88</v>
      </c>
      <c r="I14" s="196">
        <v>84</v>
      </c>
      <c r="J14" s="197">
        <v>84</v>
      </c>
      <c r="K14" s="195">
        <v>88</v>
      </c>
      <c r="L14" s="196">
        <v>84</v>
      </c>
      <c r="M14" s="197">
        <v>84</v>
      </c>
      <c r="N14" s="195">
        <v>88</v>
      </c>
      <c r="O14" s="196">
        <v>84</v>
      </c>
      <c r="P14" s="197">
        <v>84</v>
      </c>
      <c r="Q14" s="195">
        <v>88</v>
      </c>
      <c r="R14" s="196">
        <v>84</v>
      </c>
      <c r="S14" s="197">
        <v>84</v>
      </c>
      <c r="T14" s="195">
        <v>88</v>
      </c>
      <c r="U14" s="196">
        <v>84</v>
      </c>
      <c r="V14" s="197">
        <v>84</v>
      </c>
      <c r="W14" s="195">
        <v>88</v>
      </c>
      <c r="X14" s="196">
        <v>84</v>
      </c>
      <c r="Y14" s="197">
        <v>84</v>
      </c>
      <c r="Z14" s="195">
        <v>88</v>
      </c>
      <c r="AA14" s="196">
        <v>84</v>
      </c>
      <c r="AB14" s="197">
        <v>84</v>
      </c>
      <c r="AC14" s="195">
        <v>88</v>
      </c>
      <c r="AD14" s="196">
        <v>84</v>
      </c>
      <c r="AE14" s="197">
        <v>84</v>
      </c>
      <c r="AF14" s="195">
        <v>88</v>
      </c>
      <c r="AG14" s="196">
        <v>84</v>
      </c>
      <c r="AH14" s="197">
        <v>84</v>
      </c>
      <c r="AI14" s="200" t="s">
        <v>877</v>
      </c>
      <c r="AJ14" s="193" t="s">
        <v>1631</v>
      </c>
      <c r="AK14" s="201" t="s">
        <v>1614</v>
      </c>
      <c r="AL14" s="205">
        <v>40</v>
      </c>
      <c r="AM14" s="200"/>
      <c r="AN14" s="204">
        <v>100</v>
      </c>
      <c r="AO14" s="203"/>
      <c r="AP14" s="207" t="s">
        <v>76</v>
      </c>
      <c r="AQ14" s="199" t="s">
        <v>1620</v>
      </c>
      <c r="AR14" s="202">
        <v>43617</v>
      </c>
      <c r="AS14" s="205">
        <v>2049</v>
      </c>
      <c r="AT14" s="206"/>
      <c r="AU14" s="201" t="s">
        <v>24</v>
      </c>
      <c r="AV14" s="193" t="s">
        <v>1615</v>
      </c>
      <c r="AW14" s="205">
        <v>1492</v>
      </c>
    </row>
    <row r="15" spans="1:49">
      <c r="A15" s="192" t="s">
        <v>77</v>
      </c>
      <c r="B15" s="194" t="s">
        <v>1555</v>
      </c>
      <c r="C15" s="160" t="s">
        <v>1200</v>
      </c>
      <c r="D15" s="193" t="s">
        <v>1706</v>
      </c>
      <c r="E15" s="195">
        <v>37</v>
      </c>
      <c r="F15" s="196">
        <v>36</v>
      </c>
      <c r="G15" s="197">
        <v>32</v>
      </c>
      <c r="H15" s="195">
        <v>37</v>
      </c>
      <c r="I15" s="196">
        <v>36</v>
      </c>
      <c r="J15" s="197">
        <v>32</v>
      </c>
      <c r="K15" s="195">
        <v>37</v>
      </c>
      <c r="L15" s="196">
        <v>36</v>
      </c>
      <c r="M15" s="197">
        <v>32</v>
      </c>
      <c r="N15" s="195">
        <v>37</v>
      </c>
      <c r="O15" s="196">
        <v>36</v>
      </c>
      <c r="P15" s="197">
        <v>32</v>
      </c>
      <c r="Q15" s="195">
        <v>37</v>
      </c>
      <c r="R15" s="196">
        <v>36</v>
      </c>
      <c r="S15" s="197">
        <v>32</v>
      </c>
      <c r="T15" s="195">
        <v>37</v>
      </c>
      <c r="U15" s="196">
        <v>36</v>
      </c>
      <c r="V15" s="197">
        <v>32</v>
      </c>
      <c r="W15" s="195">
        <v>37</v>
      </c>
      <c r="X15" s="196">
        <v>36</v>
      </c>
      <c r="Y15" s="197">
        <v>32</v>
      </c>
      <c r="Z15" s="195">
        <v>37</v>
      </c>
      <c r="AA15" s="196">
        <v>36</v>
      </c>
      <c r="AB15" s="197">
        <v>32</v>
      </c>
      <c r="AC15" s="195">
        <v>37</v>
      </c>
      <c r="AD15" s="196">
        <v>36</v>
      </c>
      <c r="AE15" s="197">
        <v>32</v>
      </c>
      <c r="AF15" s="195">
        <v>37</v>
      </c>
      <c r="AG15" s="196">
        <v>36</v>
      </c>
      <c r="AH15" s="197">
        <v>32</v>
      </c>
      <c r="AI15" s="200" t="s">
        <v>1705</v>
      </c>
      <c r="AJ15" s="193" t="s">
        <v>1673</v>
      </c>
      <c r="AK15" s="201" t="s">
        <v>1592</v>
      </c>
      <c r="AL15" s="205">
        <v>1</v>
      </c>
      <c r="AM15" s="200"/>
      <c r="AN15" s="204">
        <v>37</v>
      </c>
      <c r="AO15" s="203"/>
      <c r="AP15" s="207" t="s">
        <v>76</v>
      </c>
      <c r="AQ15" s="199" t="s">
        <v>1619</v>
      </c>
      <c r="AR15" s="202"/>
      <c r="AS15" s="205">
        <v>2034</v>
      </c>
      <c r="AT15" s="206"/>
      <c r="AU15" s="201" t="s">
        <v>24</v>
      </c>
      <c r="AV15" s="193" t="s">
        <v>13</v>
      </c>
      <c r="AW15" s="205">
        <v>1010</v>
      </c>
    </row>
    <row r="16" spans="1:49">
      <c r="A16" s="192" t="s">
        <v>91</v>
      </c>
      <c r="B16" s="194" t="s">
        <v>1555</v>
      </c>
      <c r="C16" s="160" t="s">
        <v>731</v>
      </c>
      <c r="D16" s="193" t="s">
        <v>733</v>
      </c>
      <c r="E16" s="195">
        <v>210</v>
      </c>
      <c r="F16" s="196">
        <v>210</v>
      </c>
      <c r="G16" s="197">
        <v>205.2</v>
      </c>
      <c r="H16" s="195">
        <v>210</v>
      </c>
      <c r="I16" s="196">
        <v>210</v>
      </c>
      <c r="J16" s="197">
        <v>205.2</v>
      </c>
      <c r="K16" s="195">
        <v>210</v>
      </c>
      <c r="L16" s="196">
        <v>210</v>
      </c>
      <c r="M16" s="197">
        <v>205.2</v>
      </c>
      <c r="N16" s="195">
        <v>210</v>
      </c>
      <c r="O16" s="196">
        <v>210</v>
      </c>
      <c r="P16" s="197">
        <v>205.2</v>
      </c>
      <c r="Q16" s="195">
        <v>210</v>
      </c>
      <c r="R16" s="196">
        <v>210</v>
      </c>
      <c r="S16" s="197">
        <v>205.2</v>
      </c>
      <c r="T16" s="195">
        <v>210</v>
      </c>
      <c r="U16" s="196">
        <v>210</v>
      </c>
      <c r="V16" s="197">
        <v>205.2</v>
      </c>
      <c r="W16" s="195">
        <v>210</v>
      </c>
      <c r="X16" s="196">
        <v>210</v>
      </c>
      <c r="Y16" s="197">
        <v>205.2</v>
      </c>
      <c r="Z16" s="195">
        <v>210</v>
      </c>
      <c r="AA16" s="196">
        <v>210</v>
      </c>
      <c r="AB16" s="197">
        <v>205.2</v>
      </c>
      <c r="AC16" s="195">
        <v>210</v>
      </c>
      <c r="AD16" s="196">
        <v>210</v>
      </c>
      <c r="AE16" s="197">
        <v>205.2</v>
      </c>
      <c r="AF16" s="195">
        <v>210</v>
      </c>
      <c r="AG16" s="196">
        <v>210</v>
      </c>
      <c r="AH16" s="197">
        <v>205.2</v>
      </c>
      <c r="AI16" s="200" t="s">
        <v>732</v>
      </c>
      <c r="AJ16" s="193" t="s">
        <v>1596</v>
      </c>
      <c r="AK16" s="201" t="s">
        <v>1592</v>
      </c>
      <c r="AL16" s="205">
        <v>12</v>
      </c>
      <c r="AM16" s="200"/>
      <c r="AN16" s="204">
        <v>210</v>
      </c>
      <c r="AO16" s="203"/>
      <c r="AP16" s="207" t="s">
        <v>76</v>
      </c>
      <c r="AQ16" s="199" t="s">
        <v>1619</v>
      </c>
      <c r="AR16" s="202">
        <v>43831</v>
      </c>
      <c r="AS16" s="205">
        <v>2044</v>
      </c>
      <c r="AT16" s="206"/>
      <c r="AU16" s="201" t="s">
        <v>24</v>
      </c>
      <c r="AV16" s="193" t="s">
        <v>14</v>
      </c>
      <c r="AW16" s="205">
        <v>1463</v>
      </c>
    </row>
    <row r="17" spans="1:49">
      <c r="A17" s="192" t="s">
        <v>77</v>
      </c>
      <c r="B17" s="194" t="s">
        <v>1555</v>
      </c>
      <c r="C17" s="160" t="s">
        <v>1714</v>
      </c>
      <c r="D17" s="193" t="s">
        <v>1717</v>
      </c>
      <c r="E17" s="195">
        <v>33</v>
      </c>
      <c r="F17" s="196">
        <v>33</v>
      </c>
      <c r="G17" s="197">
        <v>33</v>
      </c>
      <c r="H17" s="195">
        <v>33</v>
      </c>
      <c r="I17" s="196">
        <v>33</v>
      </c>
      <c r="J17" s="197">
        <v>33</v>
      </c>
      <c r="K17" s="195">
        <v>33</v>
      </c>
      <c r="L17" s="196">
        <v>33</v>
      </c>
      <c r="M17" s="197">
        <v>33</v>
      </c>
      <c r="N17" s="195">
        <v>33</v>
      </c>
      <c r="O17" s="196">
        <v>33</v>
      </c>
      <c r="P17" s="197">
        <v>33</v>
      </c>
      <c r="Q17" s="195">
        <v>33</v>
      </c>
      <c r="R17" s="196">
        <v>33</v>
      </c>
      <c r="S17" s="197">
        <v>33</v>
      </c>
      <c r="T17" s="195">
        <v>33</v>
      </c>
      <c r="U17" s="196">
        <v>33</v>
      </c>
      <c r="V17" s="197">
        <v>33</v>
      </c>
      <c r="W17" s="195">
        <v>33</v>
      </c>
      <c r="X17" s="196">
        <v>33</v>
      </c>
      <c r="Y17" s="197">
        <v>33</v>
      </c>
      <c r="Z17" s="195">
        <v>33</v>
      </c>
      <c r="AA17" s="196">
        <v>33</v>
      </c>
      <c r="AB17" s="197">
        <v>33</v>
      </c>
      <c r="AC17" s="195">
        <v>33</v>
      </c>
      <c r="AD17" s="196">
        <v>33</v>
      </c>
      <c r="AE17" s="197">
        <v>33</v>
      </c>
      <c r="AF17" s="195">
        <v>33</v>
      </c>
      <c r="AG17" s="196">
        <v>33</v>
      </c>
      <c r="AH17" s="197">
        <v>33</v>
      </c>
      <c r="AI17" s="200" t="s">
        <v>1715</v>
      </c>
      <c r="AJ17" s="193" t="s">
        <v>1716</v>
      </c>
      <c r="AK17" s="201" t="s">
        <v>1658</v>
      </c>
      <c r="AL17" s="205">
        <v>1</v>
      </c>
      <c r="AM17" s="200"/>
      <c r="AN17" s="204">
        <v>33</v>
      </c>
      <c r="AO17" s="203"/>
      <c r="AP17" s="207" t="s">
        <v>76</v>
      </c>
      <c r="AQ17" s="199" t="s">
        <v>1619</v>
      </c>
      <c r="AR17" s="202"/>
      <c r="AS17" s="205">
        <v>2042</v>
      </c>
      <c r="AT17" s="206"/>
      <c r="AU17" s="201" t="s">
        <v>24</v>
      </c>
      <c r="AV17" s="193" t="s">
        <v>17</v>
      </c>
      <c r="AW17" s="205">
        <v>1012</v>
      </c>
    </row>
    <row r="18" spans="1:49">
      <c r="A18" s="192" t="s">
        <v>77</v>
      </c>
      <c r="B18" s="194" t="s">
        <v>1555</v>
      </c>
      <c r="C18" s="160" t="s">
        <v>1714</v>
      </c>
      <c r="D18" s="193" t="s">
        <v>1718</v>
      </c>
      <c r="E18" s="195">
        <v>33</v>
      </c>
      <c r="F18" s="196">
        <v>33</v>
      </c>
      <c r="G18" s="197">
        <v>33</v>
      </c>
      <c r="H18" s="195">
        <v>33</v>
      </c>
      <c r="I18" s="196">
        <v>33</v>
      </c>
      <c r="J18" s="197">
        <v>33</v>
      </c>
      <c r="K18" s="195">
        <v>33</v>
      </c>
      <c r="L18" s="196">
        <v>33</v>
      </c>
      <c r="M18" s="197">
        <v>33</v>
      </c>
      <c r="N18" s="195">
        <v>33</v>
      </c>
      <c r="O18" s="196">
        <v>33</v>
      </c>
      <c r="P18" s="197">
        <v>33</v>
      </c>
      <c r="Q18" s="195">
        <v>33</v>
      </c>
      <c r="R18" s="196">
        <v>33</v>
      </c>
      <c r="S18" s="197">
        <v>33</v>
      </c>
      <c r="T18" s="195">
        <v>33</v>
      </c>
      <c r="U18" s="196">
        <v>33</v>
      </c>
      <c r="V18" s="197">
        <v>33</v>
      </c>
      <c r="W18" s="195">
        <v>33</v>
      </c>
      <c r="X18" s="196">
        <v>33</v>
      </c>
      <c r="Y18" s="197">
        <v>33</v>
      </c>
      <c r="Z18" s="195">
        <v>33</v>
      </c>
      <c r="AA18" s="196">
        <v>33</v>
      </c>
      <c r="AB18" s="197">
        <v>33</v>
      </c>
      <c r="AC18" s="195">
        <v>33</v>
      </c>
      <c r="AD18" s="196">
        <v>33</v>
      </c>
      <c r="AE18" s="197">
        <v>33</v>
      </c>
      <c r="AF18" s="195">
        <v>33</v>
      </c>
      <c r="AG18" s="196">
        <v>33</v>
      </c>
      <c r="AH18" s="197">
        <v>33</v>
      </c>
      <c r="AI18" s="200" t="s">
        <v>1715</v>
      </c>
      <c r="AJ18" s="193" t="s">
        <v>1716</v>
      </c>
      <c r="AK18" s="201" t="s">
        <v>1658</v>
      </c>
      <c r="AL18" s="205">
        <v>1</v>
      </c>
      <c r="AM18" s="200"/>
      <c r="AN18" s="204">
        <v>33</v>
      </c>
      <c r="AO18" s="203"/>
      <c r="AP18" s="207" t="s">
        <v>76</v>
      </c>
      <c r="AQ18" s="199" t="s">
        <v>1619</v>
      </c>
      <c r="AR18" s="202"/>
      <c r="AS18" s="205">
        <v>2042</v>
      </c>
      <c r="AT18" s="206"/>
      <c r="AU18" s="201" t="s">
        <v>24</v>
      </c>
      <c r="AV18" s="193" t="s">
        <v>17</v>
      </c>
      <c r="AW18" s="205">
        <v>1012</v>
      </c>
    </row>
    <row r="19" spans="1:49">
      <c r="A19" s="192" t="s">
        <v>105</v>
      </c>
      <c r="B19" s="194" t="s">
        <v>1555</v>
      </c>
      <c r="C19" s="160" t="s">
        <v>1734</v>
      </c>
      <c r="D19" s="193" t="s">
        <v>1736</v>
      </c>
      <c r="E19" s="195">
        <v>81</v>
      </c>
      <c r="F19" s="196">
        <v>81</v>
      </c>
      <c r="G19" s="197">
        <v>81</v>
      </c>
      <c r="H19" s="195">
        <v>81</v>
      </c>
      <c r="I19" s="196">
        <v>81</v>
      </c>
      <c r="J19" s="197">
        <v>81</v>
      </c>
      <c r="K19" s="195">
        <v>81</v>
      </c>
      <c r="L19" s="196">
        <v>81</v>
      </c>
      <c r="M19" s="197">
        <v>81</v>
      </c>
      <c r="N19" s="195">
        <v>81</v>
      </c>
      <c r="O19" s="196">
        <v>81</v>
      </c>
      <c r="P19" s="197">
        <v>81</v>
      </c>
      <c r="Q19" s="195">
        <v>81</v>
      </c>
      <c r="R19" s="196">
        <v>0</v>
      </c>
      <c r="S19" s="197">
        <v>0</v>
      </c>
      <c r="T19" s="195">
        <v>0</v>
      </c>
      <c r="U19" s="196">
        <v>84</v>
      </c>
      <c r="V19" s="197">
        <v>84</v>
      </c>
      <c r="W19" s="195">
        <v>84</v>
      </c>
      <c r="X19" s="196">
        <v>84</v>
      </c>
      <c r="Y19" s="197">
        <v>84</v>
      </c>
      <c r="Z19" s="195">
        <v>84</v>
      </c>
      <c r="AA19" s="196">
        <v>84</v>
      </c>
      <c r="AB19" s="197">
        <v>84</v>
      </c>
      <c r="AC19" s="195">
        <v>84</v>
      </c>
      <c r="AD19" s="196">
        <v>84</v>
      </c>
      <c r="AE19" s="197">
        <v>84</v>
      </c>
      <c r="AF19" s="195">
        <v>84</v>
      </c>
      <c r="AG19" s="196">
        <v>84</v>
      </c>
      <c r="AH19" s="197">
        <v>84</v>
      </c>
      <c r="AI19" s="200" t="s">
        <v>1735</v>
      </c>
      <c r="AJ19" s="193" t="s">
        <v>1700</v>
      </c>
      <c r="AK19" s="201" t="s">
        <v>1658</v>
      </c>
      <c r="AL19" s="205">
        <v>1</v>
      </c>
      <c r="AM19" s="200"/>
      <c r="AN19" s="204">
        <v>79.900000000000006</v>
      </c>
      <c r="AO19" s="203"/>
      <c r="AP19" s="207" t="s">
        <v>76</v>
      </c>
      <c r="AQ19" s="199" t="s">
        <v>1619</v>
      </c>
      <c r="AR19" s="202"/>
      <c r="AS19" s="205">
        <v>2100</v>
      </c>
      <c r="AT19" s="206"/>
      <c r="AU19" s="201" t="s">
        <v>24</v>
      </c>
      <c r="AV19" s="193" t="s">
        <v>17</v>
      </c>
      <c r="AW19" s="205">
        <v>1013</v>
      </c>
    </row>
    <row r="20" spans="1:49">
      <c r="A20" s="192" t="s">
        <v>45</v>
      </c>
      <c r="B20" s="194" t="s">
        <v>1555</v>
      </c>
      <c r="C20" s="160" t="s">
        <v>467</v>
      </c>
      <c r="D20" s="193" t="s">
        <v>1741</v>
      </c>
      <c r="E20" s="195">
        <v>660</v>
      </c>
      <c r="F20" s="196">
        <v>660</v>
      </c>
      <c r="G20" s="197">
        <v>630</v>
      </c>
      <c r="H20" s="195">
        <v>660</v>
      </c>
      <c r="I20" s="196">
        <v>660</v>
      </c>
      <c r="J20" s="197">
        <v>630</v>
      </c>
      <c r="K20" s="195">
        <v>660</v>
      </c>
      <c r="L20" s="196">
        <v>660</v>
      </c>
      <c r="M20" s="197">
        <v>630</v>
      </c>
      <c r="N20" s="195">
        <v>660</v>
      </c>
      <c r="O20" s="196">
        <v>660</v>
      </c>
      <c r="P20" s="197">
        <v>630</v>
      </c>
      <c r="Q20" s="195">
        <v>660</v>
      </c>
      <c r="R20" s="196">
        <v>660</v>
      </c>
      <c r="S20" s="197">
        <v>630</v>
      </c>
      <c r="T20" s="195">
        <v>660</v>
      </c>
      <c r="U20" s="196">
        <v>660</v>
      </c>
      <c r="V20" s="197">
        <v>630</v>
      </c>
      <c r="W20" s="195">
        <v>660</v>
      </c>
      <c r="X20" s="196">
        <v>660</v>
      </c>
      <c r="Y20" s="197">
        <v>630</v>
      </c>
      <c r="Z20" s="195">
        <v>660</v>
      </c>
      <c r="AA20" s="196">
        <v>660</v>
      </c>
      <c r="AB20" s="197">
        <v>630</v>
      </c>
      <c r="AC20" s="195">
        <v>660</v>
      </c>
      <c r="AD20" s="196">
        <v>660</v>
      </c>
      <c r="AE20" s="197">
        <v>630</v>
      </c>
      <c r="AF20" s="195">
        <v>660</v>
      </c>
      <c r="AG20" s="196">
        <v>660</v>
      </c>
      <c r="AH20" s="197">
        <v>630</v>
      </c>
      <c r="AI20" s="200" t="s">
        <v>53</v>
      </c>
      <c r="AJ20" s="193" t="s">
        <v>1739</v>
      </c>
      <c r="AK20" s="201" t="s">
        <v>1740</v>
      </c>
      <c r="AL20" s="205">
        <v>1</v>
      </c>
      <c r="AM20" s="200">
        <v>0</v>
      </c>
      <c r="AN20" s="204">
        <v>660</v>
      </c>
      <c r="AO20" s="203"/>
      <c r="AP20" s="207" t="s">
        <v>76</v>
      </c>
      <c r="AQ20" s="199" t="s">
        <v>1619</v>
      </c>
      <c r="AR20" s="202"/>
      <c r="AS20" s="205">
        <v>2033</v>
      </c>
      <c r="AT20" s="206"/>
      <c r="AU20" s="201" t="s">
        <v>24</v>
      </c>
      <c r="AV20" s="193" t="s">
        <v>11</v>
      </c>
      <c r="AW20" s="205">
        <v>1014</v>
      </c>
    </row>
    <row r="21" spans="1:49">
      <c r="A21" s="192" t="s">
        <v>45</v>
      </c>
      <c r="B21" s="194" t="s">
        <v>1555</v>
      </c>
      <c r="C21" s="160" t="s">
        <v>467</v>
      </c>
      <c r="D21" s="193" t="s">
        <v>1742</v>
      </c>
      <c r="E21" s="195">
        <v>685</v>
      </c>
      <c r="F21" s="196">
        <v>685</v>
      </c>
      <c r="G21" s="197">
        <v>655</v>
      </c>
      <c r="H21" s="195">
        <v>685</v>
      </c>
      <c r="I21" s="196">
        <v>685</v>
      </c>
      <c r="J21" s="197">
        <v>655</v>
      </c>
      <c r="K21" s="195">
        <v>685</v>
      </c>
      <c r="L21" s="196">
        <v>685</v>
      </c>
      <c r="M21" s="197">
        <v>655</v>
      </c>
      <c r="N21" s="195">
        <v>685</v>
      </c>
      <c r="O21" s="196">
        <v>685</v>
      </c>
      <c r="P21" s="197">
        <v>655</v>
      </c>
      <c r="Q21" s="195">
        <v>685</v>
      </c>
      <c r="R21" s="196">
        <v>685</v>
      </c>
      <c r="S21" s="197">
        <v>655</v>
      </c>
      <c r="T21" s="195">
        <v>685</v>
      </c>
      <c r="U21" s="196">
        <v>685</v>
      </c>
      <c r="V21" s="197">
        <v>655</v>
      </c>
      <c r="W21" s="195">
        <v>685</v>
      </c>
      <c r="X21" s="196">
        <v>685</v>
      </c>
      <c r="Y21" s="197">
        <v>655</v>
      </c>
      <c r="Z21" s="195">
        <v>685</v>
      </c>
      <c r="AA21" s="196">
        <v>685</v>
      </c>
      <c r="AB21" s="197">
        <v>655</v>
      </c>
      <c r="AC21" s="195">
        <v>685</v>
      </c>
      <c r="AD21" s="196">
        <v>685</v>
      </c>
      <c r="AE21" s="197">
        <v>655</v>
      </c>
      <c r="AF21" s="195">
        <v>685</v>
      </c>
      <c r="AG21" s="196">
        <v>685</v>
      </c>
      <c r="AH21" s="197">
        <v>655</v>
      </c>
      <c r="AI21" s="200" t="s">
        <v>53</v>
      </c>
      <c r="AJ21" s="193" t="s">
        <v>1739</v>
      </c>
      <c r="AK21" s="201" t="s">
        <v>1740</v>
      </c>
      <c r="AL21" s="205">
        <v>1</v>
      </c>
      <c r="AM21" s="200">
        <v>0</v>
      </c>
      <c r="AN21" s="204">
        <v>685</v>
      </c>
      <c r="AO21" s="203"/>
      <c r="AP21" s="207" t="s">
        <v>76</v>
      </c>
      <c r="AQ21" s="199" t="s">
        <v>1619</v>
      </c>
      <c r="AR21" s="202"/>
      <c r="AS21" s="205">
        <v>2033</v>
      </c>
      <c r="AT21" s="206"/>
      <c r="AU21" s="201" t="s">
        <v>24</v>
      </c>
      <c r="AV21" s="193" t="s">
        <v>11</v>
      </c>
      <c r="AW21" s="205">
        <v>1014</v>
      </c>
    </row>
    <row r="22" spans="1:49">
      <c r="A22" s="192" t="s">
        <v>45</v>
      </c>
      <c r="B22" s="194" t="s">
        <v>1555</v>
      </c>
      <c r="C22" s="160" t="s">
        <v>467</v>
      </c>
      <c r="D22" s="193" t="s">
        <v>1743</v>
      </c>
      <c r="E22" s="195">
        <v>685</v>
      </c>
      <c r="F22" s="196">
        <v>685</v>
      </c>
      <c r="G22" s="197">
        <v>655</v>
      </c>
      <c r="H22" s="195">
        <v>685</v>
      </c>
      <c r="I22" s="196">
        <v>685</v>
      </c>
      <c r="J22" s="197">
        <v>655</v>
      </c>
      <c r="K22" s="195">
        <v>685</v>
      </c>
      <c r="L22" s="196">
        <v>685</v>
      </c>
      <c r="M22" s="197">
        <v>655</v>
      </c>
      <c r="N22" s="195">
        <v>685</v>
      </c>
      <c r="O22" s="196">
        <v>685</v>
      </c>
      <c r="P22" s="197">
        <v>655</v>
      </c>
      <c r="Q22" s="195">
        <v>685</v>
      </c>
      <c r="R22" s="196">
        <v>685</v>
      </c>
      <c r="S22" s="197">
        <v>655</v>
      </c>
      <c r="T22" s="195">
        <v>685</v>
      </c>
      <c r="U22" s="196">
        <v>685</v>
      </c>
      <c r="V22" s="197">
        <v>655</v>
      </c>
      <c r="W22" s="195">
        <v>685</v>
      </c>
      <c r="X22" s="196">
        <v>685</v>
      </c>
      <c r="Y22" s="197">
        <v>655</v>
      </c>
      <c r="Z22" s="195">
        <v>685</v>
      </c>
      <c r="AA22" s="196">
        <v>685</v>
      </c>
      <c r="AB22" s="197">
        <v>655</v>
      </c>
      <c r="AC22" s="195">
        <v>685</v>
      </c>
      <c r="AD22" s="196">
        <v>685</v>
      </c>
      <c r="AE22" s="197">
        <v>655</v>
      </c>
      <c r="AF22" s="195">
        <v>685</v>
      </c>
      <c r="AG22" s="196">
        <v>685</v>
      </c>
      <c r="AH22" s="197">
        <v>655</v>
      </c>
      <c r="AI22" s="200" t="s">
        <v>53</v>
      </c>
      <c r="AJ22" s="193" t="s">
        <v>1739</v>
      </c>
      <c r="AK22" s="201" t="s">
        <v>1740</v>
      </c>
      <c r="AL22" s="205">
        <v>1</v>
      </c>
      <c r="AM22" s="200">
        <v>0</v>
      </c>
      <c r="AN22" s="204">
        <v>685</v>
      </c>
      <c r="AO22" s="203"/>
      <c r="AP22" s="207" t="s">
        <v>76</v>
      </c>
      <c r="AQ22" s="199" t="s">
        <v>1619</v>
      </c>
      <c r="AR22" s="202"/>
      <c r="AS22" s="205">
        <v>2033</v>
      </c>
      <c r="AT22" s="206"/>
      <c r="AU22" s="201" t="s">
        <v>24</v>
      </c>
      <c r="AV22" s="193" t="s">
        <v>11</v>
      </c>
      <c r="AW22" s="205">
        <v>1014</v>
      </c>
    </row>
    <row r="23" spans="1:49">
      <c r="A23" s="192" t="s">
        <v>45</v>
      </c>
      <c r="B23" s="194" t="s">
        <v>1555</v>
      </c>
      <c r="C23" s="160" t="s">
        <v>467</v>
      </c>
      <c r="D23" s="193" t="s">
        <v>1744</v>
      </c>
      <c r="E23" s="195">
        <v>685</v>
      </c>
      <c r="F23" s="196">
        <v>685</v>
      </c>
      <c r="G23" s="197">
        <v>655</v>
      </c>
      <c r="H23" s="195">
        <v>685</v>
      </c>
      <c r="I23" s="196">
        <v>685</v>
      </c>
      <c r="J23" s="197">
        <v>655</v>
      </c>
      <c r="K23" s="195">
        <v>685</v>
      </c>
      <c r="L23" s="196">
        <v>685</v>
      </c>
      <c r="M23" s="197">
        <v>655</v>
      </c>
      <c r="N23" s="195">
        <v>685</v>
      </c>
      <c r="O23" s="196">
        <v>685</v>
      </c>
      <c r="P23" s="197">
        <v>655</v>
      </c>
      <c r="Q23" s="195">
        <v>685</v>
      </c>
      <c r="R23" s="196">
        <v>685</v>
      </c>
      <c r="S23" s="197">
        <v>655</v>
      </c>
      <c r="T23" s="195">
        <v>685</v>
      </c>
      <c r="U23" s="196">
        <v>685</v>
      </c>
      <c r="V23" s="197">
        <v>655</v>
      </c>
      <c r="W23" s="195">
        <v>685</v>
      </c>
      <c r="X23" s="196">
        <v>685</v>
      </c>
      <c r="Y23" s="197">
        <v>655</v>
      </c>
      <c r="Z23" s="195">
        <v>685</v>
      </c>
      <c r="AA23" s="196">
        <v>685</v>
      </c>
      <c r="AB23" s="197">
        <v>655</v>
      </c>
      <c r="AC23" s="195">
        <v>685</v>
      </c>
      <c r="AD23" s="196">
        <v>685</v>
      </c>
      <c r="AE23" s="197">
        <v>655</v>
      </c>
      <c r="AF23" s="195">
        <v>685</v>
      </c>
      <c r="AG23" s="196">
        <v>685</v>
      </c>
      <c r="AH23" s="197">
        <v>655</v>
      </c>
      <c r="AI23" s="200" t="s">
        <v>53</v>
      </c>
      <c r="AJ23" s="193" t="s">
        <v>1739</v>
      </c>
      <c r="AK23" s="201" t="s">
        <v>1740</v>
      </c>
      <c r="AL23" s="205">
        <v>1</v>
      </c>
      <c r="AM23" s="200">
        <v>0</v>
      </c>
      <c r="AN23" s="204">
        <v>685</v>
      </c>
      <c r="AO23" s="203"/>
      <c r="AP23" s="207" t="s">
        <v>76</v>
      </c>
      <c r="AQ23" s="199" t="s">
        <v>1619</v>
      </c>
      <c r="AR23" s="202"/>
      <c r="AS23" s="205">
        <v>2033</v>
      </c>
      <c r="AT23" s="206"/>
      <c r="AU23" s="201" t="s">
        <v>24</v>
      </c>
      <c r="AV23" s="193" t="s">
        <v>11</v>
      </c>
      <c r="AW23" s="205">
        <v>1014</v>
      </c>
    </row>
    <row r="24" spans="1:49">
      <c r="A24" s="192" t="s">
        <v>105</v>
      </c>
      <c r="B24" s="194" t="s">
        <v>1555</v>
      </c>
      <c r="C24" s="160" t="s">
        <v>1752</v>
      </c>
      <c r="D24" s="193" t="s">
        <v>1753</v>
      </c>
      <c r="E24" s="195">
        <v>40</v>
      </c>
      <c r="F24" s="196">
        <v>40</v>
      </c>
      <c r="G24" s="197">
        <v>40</v>
      </c>
      <c r="H24" s="195">
        <v>40</v>
      </c>
      <c r="I24" s="196">
        <v>40</v>
      </c>
      <c r="J24" s="197">
        <v>40</v>
      </c>
      <c r="K24" s="195">
        <v>40</v>
      </c>
      <c r="L24" s="196">
        <v>40</v>
      </c>
      <c r="M24" s="197">
        <v>40</v>
      </c>
      <c r="N24" s="195">
        <v>40</v>
      </c>
      <c r="O24" s="196">
        <v>40</v>
      </c>
      <c r="P24" s="197">
        <v>40</v>
      </c>
      <c r="Q24" s="195">
        <v>40</v>
      </c>
      <c r="R24" s="196">
        <v>40</v>
      </c>
      <c r="S24" s="197">
        <v>40</v>
      </c>
      <c r="T24" s="195">
        <v>40</v>
      </c>
      <c r="U24" s="196">
        <v>40</v>
      </c>
      <c r="V24" s="197">
        <v>40</v>
      </c>
      <c r="W24" s="195">
        <v>40</v>
      </c>
      <c r="X24" s="196">
        <v>40</v>
      </c>
      <c r="Y24" s="197">
        <v>40</v>
      </c>
      <c r="Z24" s="195">
        <v>40</v>
      </c>
      <c r="AA24" s="196">
        <v>40</v>
      </c>
      <c r="AB24" s="197">
        <v>40</v>
      </c>
      <c r="AC24" s="195">
        <v>40</v>
      </c>
      <c r="AD24" s="196">
        <v>40</v>
      </c>
      <c r="AE24" s="197">
        <v>40</v>
      </c>
      <c r="AF24" s="195">
        <v>40</v>
      </c>
      <c r="AG24" s="196">
        <v>40</v>
      </c>
      <c r="AH24" s="197">
        <v>40</v>
      </c>
      <c r="AI24" s="200" t="s">
        <v>438</v>
      </c>
      <c r="AJ24" s="193" t="s">
        <v>1673</v>
      </c>
      <c r="AK24" s="201" t="s">
        <v>1592</v>
      </c>
      <c r="AL24" s="205">
        <v>1</v>
      </c>
      <c r="AM24" s="200"/>
      <c r="AN24" s="204">
        <v>40</v>
      </c>
      <c r="AO24" s="203"/>
      <c r="AP24" s="207" t="s">
        <v>76</v>
      </c>
      <c r="AQ24" s="199" t="s">
        <v>1619</v>
      </c>
      <c r="AR24" s="202"/>
      <c r="AS24" s="205">
        <v>2040</v>
      </c>
      <c r="AT24" s="206"/>
      <c r="AU24" s="201" t="s">
        <v>24</v>
      </c>
      <c r="AV24" s="193" t="s">
        <v>13</v>
      </c>
      <c r="AW24" s="205">
        <v>1015</v>
      </c>
    </row>
    <row r="25" spans="1:49">
      <c r="A25" s="192" t="s">
        <v>105</v>
      </c>
      <c r="B25" s="194" t="s">
        <v>1555</v>
      </c>
      <c r="C25" s="160" t="s">
        <v>1752</v>
      </c>
      <c r="D25" s="193" t="s">
        <v>1754</v>
      </c>
      <c r="E25" s="195">
        <v>40</v>
      </c>
      <c r="F25" s="196">
        <v>40</v>
      </c>
      <c r="G25" s="197">
        <v>40</v>
      </c>
      <c r="H25" s="195">
        <v>40</v>
      </c>
      <c r="I25" s="196">
        <v>40</v>
      </c>
      <c r="J25" s="197">
        <v>40</v>
      </c>
      <c r="K25" s="195">
        <v>40</v>
      </c>
      <c r="L25" s="196">
        <v>40</v>
      </c>
      <c r="M25" s="197">
        <v>40</v>
      </c>
      <c r="N25" s="195">
        <v>40</v>
      </c>
      <c r="O25" s="196">
        <v>40</v>
      </c>
      <c r="P25" s="197">
        <v>40</v>
      </c>
      <c r="Q25" s="195">
        <v>40</v>
      </c>
      <c r="R25" s="196">
        <v>40</v>
      </c>
      <c r="S25" s="197">
        <v>40</v>
      </c>
      <c r="T25" s="195">
        <v>40</v>
      </c>
      <c r="U25" s="196">
        <v>40</v>
      </c>
      <c r="V25" s="197">
        <v>40</v>
      </c>
      <c r="W25" s="195">
        <v>40</v>
      </c>
      <c r="X25" s="196">
        <v>40</v>
      </c>
      <c r="Y25" s="197">
        <v>40</v>
      </c>
      <c r="Z25" s="195">
        <v>40</v>
      </c>
      <c r="AA25" s="196">
        <v>40</v>
      </c>
      <c r="AB25" s="197">
        <v>40</v>
      </c>
      <c r="AC25" s="195">
        <v>40</v>
      </c>
      <c r="AD25" s="196">
        <v>40</v>
      </c>
      <c r="AE25" s="197">
        <v>40</v>
      </c>
      <c r="AF25" s="195">
        <v>40</v>
      </c>
      <c r="AG25" s="196">
        <v>40</v>
      </c>
      <c r="AH25" s="197">
        <v>40</v>
      </c>
      <c r="AI25" s="200" t="s">
        <v>438</v>
      </c>
      <c r="AJ25" s="193" t="s">
        <v>1673</v>
      </c>
      <c r="AK25" s="201" t="s">
        <v>1592</v>
      </c>
      <c r="AL25" s="205">
        <v>1</v>
      </c>
      <c r="AM25" s="200"/>
      <c r="AN25" s="204">
        <v>40</v>
      </c>
      <c r="AO25" s="203"/>
      <c r="AP25" s="207" t="s">
        <v>76</v>
      </c>
      <c r="AQ25" s="199" t="s">
        <v>1619</v>
      </c>
      <c r="AR25" s="202"/>
      <c r="AS25" s="205">
        <v>2040</v>
      </c>
      <c r="AT25" s="206"/>
      <c r="AU25" s="201" t="s">
        <v>24</v>
      </c>
      <c r="AV25" s="193" t="s">
        <v>13</v>
      </c>
      <c r="AW25" s="205">
        <v>1015</v>
      </c>
    </row>
    <row r="26" spans="1:49">
      <c r="A26" s="192" t="s">
        <v>105</v>
      </c>
      <c r="B26" s="194" t="s">
        <v>1555</v>
      </c>
      <c r="C26" s="160" t="s">
        <v>1752</v>
      </c>
      <c r="D26" s="193" t="s">
        <v>1755</v>
      </c>
      <c r="E26" s="195">
        <v>25</v>
      </c>
      <c r="F26" s="196">
        <v>25</v>
      </c>
      <c r="G26" s="197">
        <v>25</v>
      </c>
      <c r="H26" s="195">
        <v>25</v>
      </c>
      <c r="I26" s="196">
        <v>25</v>
      </c>
      <c r="J26" s="197">
        <v>25</v>
      </c>
      <c r="K26" s="195">
        <v>25</v>
      </c>
      <c r="L26" s="196">
        <v>25</v>
      </c>
      <c r="M26" s="197">
        <v>25</v>
      </c>
      <c r="N26" s="195">
        <v>25</v>
      </c>
      <c r="O26" s="196">
        <v>25</v>
      </c>
      <c r="P26" s="197">
        <v>25</v>
      </c>
      <c r="Q26" s="195">
        <v>25</v>
      </c>
      <c r="R26" s="196">
        <v>25</v>
      </c>
      <c r="S26" s="197">
        <v>25</v>
      </c>
      <c r="T26" s="195">
        <v>25</v>
      </c>
      <c r="U26" s="196">
        <v>25</v>
      </c>
      <c r="V26" s="197">
        <v>25</v>
      </c>
      <c r="W26" s="195">
        <v>25</v>
      </c>
      <c r="X26" s="196">
        <v>25</v>
      </c>
      <c r="Y26" s="197">
        <v>25</v>
      </c>
      <c r="Z26" s="195">
        <v>25</v>
      </c>
      <c r="AA26" s="196">
        <v>25</v>
      </c>
      <c r="AB26" s="197">
        <v>25</v>
      </c>
      <c r="AC26" s="195">
        <v>25</v>
      </c>
      <c r="AD26" s="196">
        <v>25</v>
      </c>
      <c r="AE26" s="197">
        <v>25</v>
      </c>
      <c r="AF26" s="195">
        <v>25</v>
      </c>
      <c r="AG26" s="196">
        <v>25</v>
      </c>
      <c r="AH26" s="197">
        <v>25</v>
      </c>
      <c r="AI26" s="200" t="s">
        <v>438</v>
      </c>
      <c r="AJ26" s="193" t="s">
        <v>1673</v>
      </c>
      <c r="AK26" s="201" t="s">
        <v>1592</v>
      </c>
      <c r="AL26" s="205">
        <v>1</v>
      </c>
      <c r="AM26" s="200"/>
      <c r="AN26" s="204">
        <v>40</v>
      </c>
      <c r="AO26" s="203"/>
      <c r="AP26" s="207" t="s">
        <v>76</v>
      </c>
      <c r="AQ26" s="199" t="s">
        <v>1619</v>
      </c>
      <c r="AR26" s="202"/>
      <c r="AS26" s="205">
        <v>2040</v>
      </c>
      <c r="AT26" s="206"/>
      <c r="AU26" s="201" t="s">
        <v>24</v>
      </c>
      <c r="AV26" s="193" t="s">
        <v>13</v>
      </c>
      <c r="AW26" s="205">
        <v>1015</v>
      </c>
    </row>
    <row r="27" spans="1:49">
      <c r="A27" s="192" t="s">
        <v>110</v>
      </c>
      <c r="B27" s="194" t="s">
        <v>1555</v>
      </c>
      <c r="C27" s="160" t="s">
        <v>111</v>
      </c>
      <c r="D27" s="193" t="s">
        <v>561</v>
      </c>
      <c r="E27" s="195">
        <v>175.91300000000001</v>
      </c>
      <c r="F27" s="196">
        <v>175.91300000000001</v>
      </c>
      <c r="G27" s="197">
        <v>175.91300000000001</v>
      </c>
      <c r="H27" s="195">
        <v>175.91300000000001</v>
      </c>
      <c r="I27" s="196">
        <v>175.91300000000001</v>
      </c>
      <c r="J27" s="197">
        <v>175.91300000000001</v>
      </c>
      <c r="K27" s="195">
        <v>175.91300000000001</v>
      </c>
      <c r="L27" s="196">
        <v>175.91300000000001</v>
      </c>
      <c r="M27" s="197">
        <v>175.91300000000001</v>
      </c>
      <c r="N27" s="195">
        <v>175.91300000000001</v>
      </c>
      <c r="O27" s="196">
        <v>175.91300000000001</v>
      </c>
      <c r="P27" s="197">
        <v>175.91300000000001</v>
      </c>
      <c r="Q27" s="195">
        <v>175.91300000000001</v>
      </c>
      <c r="R27" s="196">
        <v>175.91300000000001</v>
      </c>
      <c r="S27" s="197">
        <v>175.91300000000001</v>
      </c>
      <c r="T27" s="195">
        <v>175.91300000000001</v>
      </c>
      <c r="U27" s="196">
        <v>175.91300000000001</v>
      </c>
      <c r="V27" s="197">
        <v>175.91300000000001</v>
      </c>
      <c r="W27" s="195">
        <v>175.91300000000001</v>
      </c>
      <c r="X27" s="196">
        <v>175.91300000000001</v>
      </c>
      <c r="Y27" s="197">
        <v>175.91300000000001</v>
      </c>
      <c r="Z27" s="195">
        <v>175.91300000000001</v>
      </c>
      <c r="AA27" s="196">
        <v>175.91300000000001</v>
      </c>
      <c r="AB27" s="197">
        <v>175.91300000000001</v>
      </c>
      <c r="AC27" s="195">
        <v>175.91300000000001</v>
      </c>
      <c r="AD27" s="196">
        <v>175.91300000000001</v>
      </c>
      <c r="AE27" s="197">
        <v>175.91300000000001</v>
      </c>
      <c r="AF27" s="195"/>
      <c r="AG27" s="196"/>
      <c r="AH27" s="197"/>
      <c r="AI27" s="200" t="s">
        <v>112</v>
      </c>
      <c r="AJ27" s="193" t="s">
        <v>1625</v>
      </c>
      <c r="AK27" s="201" t="s">
        <v>1609</v>
      </c>
      <c r="AL27" s="205">
        <v>43</v>
      </c>
      <c r="AM27" s="200">
        <v>180.6</v>
      </c>
      <c r="AN27" s="204">
        <v>180.6</v>
      </c>
      <c r="AO27" s="203"/>
      <c r="AP27" s="207" t="s">
        <v>76</v>
      </c>
      <c r="AQ27" s="199" t="s">
        <v>1620</v>
      </c>
      <c r="AR27" s="202">
        <v>44287</v>
      </c>
      <c r="AS27" s="205">
        <v>2050</v>
      </c>
      <c r="AT27" s="206"/>
      <c r="AU27" s="201" t="s">
        <v>24</v>
      </c>
      <c r="AV27" s="193" t="s">
        <v>16</v>
      </c>
      <c r="AW27" s="205">
        <v>1018</v>
      </c>
    </row>
    <row r="28" spans="1:49">
      <c r="A28" s="192" t="s">
        <v>110</v>
      </c>
      <c r="B28" s="194" t="s">
        <v>1555</v>
      </c>
      <c r="C28" s="160" t="s">
        <v>111</v>
      </c>
      <c r="D28" s="193" t="s">
        <v>113</v>
      </c>
      <c r="E28" s="195">
        <v>106.366</v>
      </c>
      <c r="F28" s="196">
        <v>106.366</v>
      </c>
      <c r="G28" s="197">
        <v>106.366</v>
      </c>
      <c r="H28" s="195">
        <v>106.366</v>
      </c>
      <c r="I28" s="196">
        <v>106.366</v>
      </c>
      <c r="J28" s="197">
        <v>106.366</v>
      </c>
      <c r="K28" s="195">
        <v>106.366</v>
      </c>
      <c r="L28" s="196">
        <v>106.366</v>
      </c>
      <c r="M28" s="197">
        <v>106.366</v>
      </c>
      <c r="N28" s="195">
        <v>106.366</v>
      </c>
      <c r="O28" s="196">
        <v>106.366</v>
      </c>
      <c r="P28" s="197">
        <v>106.366</v>
      </c>
      <c r="Q28" s="195">
        <v>106.366</v>
      </c>
      <c r="R28" s="196">
        <v>106.366</v>
      </c>
      <c r="S28" s="197">
        <v>106.366</v>
      </c>
      <c r="T28" s="195">
        <v>106.366</v>
      </c>
      <c r="U28" s="196">
        <v>106.366</v>
      </c>
      <c r="V28" s="197">
        <v>106.366</v>
      </c>
      <c r="W28" s="195">
        <v>106.366</v>
      </c>
      <c r="X28" s="196">
        <v>106.366</v>
      </c>
      <c r="Y28" s="197">
        <v>106.366</v>
      </c>
      <c r="Z28" s="195">
        <v>106.366</v>
      </c>
      <c r="AA28" s="196">
        <v>106.366</v>
      </c>
      <c r="AB28" s="197">
        <v>106.366</v>
      </c>
      <c r="AC28" s="195">
        <v>106.366</v>
      </c>
      <c r="AD28" s="196">
        <v>106.366</v>
      </c>
      <c r="AE28" s="197">
        <v>106.366</v>
      </c>
      <c r="AF28" s="195"/>
      <c r="AG28" s="196"/>
      <c r="AH28" s="197"/>
      <c r="AI28" s="200" t="s">
        <v>112</v>
      </c>
      <c r="AJ28" s="193" t="s">
        <v>1625</v>
      </c>
      <c r="AK28" s="201" t="s">
        <v>1609</v>
      </c>
      <c r="AL28" s="205">
        <v>26</v>
      </c>
      <c r="AM28" s="200">
        <v>109.2</v>
      </c>
      <c r="AN28" s="204">
        <v>109.2</v>
      </c>
      <c r="AO28" s="203"/>
      <c r="AP28" s="207" t="s">
        <v>401</v>
      </c>
      <c r="AQ28" s="199" t="s">
        <v>1620</v>
      </c>
      <c r="AR28" s="202">
        <v>44774</v>
      </c>
      <c r="AS28" s="205">
        <v>2052</v>
      </c>
      <c r="AT28" s="206"/>
      <c r="AU28" s="201" t="s">
        <v>24</v>
      </c>
      <c r="AV28" s="193" t="s">
        <v>16</v>
      </c>
      <c r="AW28" s="205">
        <v>1018</v>
      </c>
    </row>
    <row r="29" spans="1:49">
      <c r="A29" s="192" t="s">
        <v>45</v>
      </c>
      <c r="B29" s="194" t="s">
        <v>1555</v>
      </c>
      <c r="C29" s="160" t="s">
        <v>776</v>
      </c>
      <c r="D29" s="193" t="s">
        <v>1775</v>
      </c>
      <c r="E29" s="195">
        <v>87</v>
      </c>
      <c r="F29" s="196">
        <v>87</v>
      </c>
      <c r="G29" s="197">
        <v>87</v>
      </c>
      <c r="H29" s="195">
        <v>87</v>
      </c>
      <c r="I29" s="196">
        <v>87</v>
      </c>
      <c r="J29" s="197">
        <v>87</v>
      </c>
      <c r="K29" s="195">
        <v>87</v>
      </c>
      <c r="L29" s="196">
        <v>87</v>
      </c>
      <c r="M29" s="197">
        <v>87</v>
      </c>
      <c r="N29" s="195">
        <v>87</v>
      </c>
      <c r="O29" s="196">
        <v>87</v>
      </c>
      <c r="P29" s="197">
        <v>87</v>
      </c>
      <c r="Q29" s="195">
        <v>87</v>
      </c>
      <c r="R29" s="196">
        <v>87</v>
      </c>
      <c r="S29" s="197">
        <v>87</v>
      </c>
      <c r="T29" s="195">
        <v>87</v>
      </c>
      <c r="U29" s="196">
        <v>87</v>
      </c>
      <c r="V29" s="197">
        <v>87</v>
      </c>
      <c r="W29" s="195">
        <v>87</v>
      </c>
      <c r="X29" s="196">
        <v>87</v>
      </c>
      <c r="Y29" s="197">
        <v>87</v>
      </c>
      <c r="Z29" s="195">
        <v>87</v>
      </c>
      <c r="AA29" s="196">
        <v>87</v>
      </c>
      <c r="AB29" s="197">
        <v>87</v>
      </c>
      <c r="AC29" s="195">
        <v>87</v>
      </c>
      <c r="AD29" s="196">
        <v>87</v>
      </c>
      <c r="AE29" s="197">
        <v>87</v>
      </c>
      <c r="AF29" s="195">
        <v>87</v>
      </c>
      <c r="AG29" s="196">
        <v>87</v>
      </c>
      <c r="AH29" s="197">
        <v>87</v>
      </c>
      <c r="AI29" s="200" t="s">
        <v>777</v>
      </c>
      <c r="AJ29" s="193" t="s">
        <v>1631</v>
      </c>
      <c r="AK29" s="201" t="s">
        <v>1614</v>
      </c>
      <c r="AL29" s="205">
        <v>60</v>
      </c>
      <c r="AM29" s="200">
        <v>98.4</v>
      </c>
      <c r="AN29" s="204">
        <v>98.4</v>
      </c>
      <c r="AO29" s="203"/>
      <c r="AP29" s="207" t="s">
        <v>76</v>
      </c>
      <c r="AQ29" s="199" t="s">
        <v>1620</v>
      </c>
      <c r="AR29" s="202">
        <v>43586</v>
      </c>
      <c r="AS29" s="205">
        <v>2049</v>
      </c>
      <c r="AT29" s="206"/>
      <c r="AU29" s="201" t="s">
        <v>24</v>
      </c>
      <c r="AV29" s="193" t="s">
        <v>1615</v>
      </c>
      <c r="AW29" s="205">
        <v>1416</v>
      </c>
    </row>
    <row r="30" spans="1:49">
      <c r="A30" s="192" t="s">
        <v>45</v>
      </c>
      <c r="B30" s="194" t="s">
        <v>1555</v>
      </c>
      <c r="C30" s="160" t="s">
        <v>1818</v>
      </c>
      <c r="D30" s="193" t="s">
        <v>1819</v>
      </c>
      <c r="E30" s="195">
        <v>70</v>
      </c>
      <c r="F30" s="196">
        <v>70</v>
      </c>
      <c r="G30" s="197">
        <v>70</v>
      </c>
      <c r="H30" s="195">
        <v>70</v>
      </c>
      <c r="I30" s="196">
        <v>70</v>
      </c>
      <c r="J30" s="197">
        <v>70</v>
      </c>
      <c r="K30" s="195">
        <v>70</v>
      </c>
      <c r="L30" s="196">
        <v>70</v>
      </c>
      <c r="M30" s="197">
        <v>70</v>
      </c>
      <c r="N30" s="195">
        <v>70</v>
      </c>
      <c r="O30" s="196">
        <v>70</v>
      </c>
      <c r="P30" s="197">
        <v>70</v>
      </c>
      <c r="Q30" s="195">
        <v>70</v>
      </c>
      <c r="R30" s="196">
        <v>70</v>
      </c>
      <c r="S30" s="197">
        <v>70</v>
      </c>
      <c r="T30" s="195">
        <v>70</v>
      </c>
      <c r="U30" s="196">
        <v>70</v>
      </c>
      <c r="V30" s="197">
        <v>70</v>
      </c>
      <c r="W30" s="195">
        <v>70</v>
      </c>
      <c r="X30" s="196">
        <v>70</v>
      </c>
      <c r="Y30" s="197">
        <v>70</v>
      </c>
      <c r="Z30" s="195">
        <v>70</v>
      </c>
      <c r="AA30" s="196">
        <v>70</v>
      </c>
      <c r="AB30" s="197">
        <v>70</v>
      </c>
      <c r="AC30" s="195">
        <v>70</v>
      </c>
      <c r="AD30" s="196">
        <v>70</v>
      </c>
      <c r="AE30" s="197">
        <v>70</v>
      </c>
      <c r="AF30" s="195">
        <v>70</v>
      </c>
      <c r="AG30" s="196">
        <v>70</v>
      </c>
      <c r="AH30" s="197">
        <v>70</v>
      </c>
      <c r="AI30" s="200" t="s">
        <v>805</v>
      </c>
      <c r="AJ30" s="193" t="s">
        <v>1700</v>
      </c>
      <c r="AK30" s="201" t="s">
        <v>1658</v>
      </c>
      <c r="AL30" s="205">
        <v>1</v>
      </c>
      <c r="AM30" s="200">
        <v>80</v>
      </c>
      <c r="AN30" s="204">
        <v>80</v>
      </c>
      <c r="AO30" s="203"/>
      <c r="AP30" s="207" t="s">
        <v>76</v>
      </c>
      <c r="AQ30" s="199" t="s">
        <v>1619</v>
      </c>
      <c r="AR30" s="202"/>
      <c r="AS30" s="205">
        <v>2070</v>
      </c>
      <c r="AT30" s="206"/>
      <c r="AU30" s="201" t="s">
        <v>24</v>
      </c>
      <c r="AV30" s="193" t="s">
        <v>17</v>
      </c>
      <c r="AW30" s="205">
        <v>1021</v>
      </c>
    </row>
    <row r="31" spans="1:49">
      <c r="A31" s="192" t="s">
        <v>77</v>
      </c>
      <c r="B31" s="194" t="s">
        <v>1555</v>
      </c>
      <c r="C31" s="160" t="s">
        <v>574</v>
      </c>
      <c r="D31" s="193" t="s">
        <v>1823</v>
      </c>
      <c r="E31" s="195">
        <v>148</v>
      </c>
      <c r="F31" s="196">
        <v>144.87</v>
      </c>
      <c r="G31" s="197">
        <v>144.87</v>
      </c>
      <c r="H31" s="195">
        <v>147.44</v>
      </c>
      <c r="I31" s="196">
        <v>144.25</v>
      </c>
      <c r="J31" s="197">
        <v>144.25</v>
      </c>
      <c r="K31" s="195">
        <v>146.88</v>
      </c>
      <c r="L31" s="196">
        <v>143.62</v>
      </c>
      <c r="M31" s="197">
        <v>143.62</v>
      </c>
      <c r="N31" s="195">
        <v>146.32</v>
      </c>
      <c r="O31" s="196">
        <v>142.99</v>
      </c>
      <c r="P31" s="197">
        <v>142.99</v>
      </c>
      <c r="Q31" s="195">
        <v>145.78</v>
      </c>
      <c r="R31" s="196">
        <v>142.37</v>
      </c>
      <c r="S31" s="197">
        <v>142.37</v>
      </c>
      <c r="T31" s="195">
        <v>145.22</v>
      </c>
      <c r="U31" s="196">
        <v>141.74</v>
      </c>
      <c r="V31" s="197">
        <v>141.74</v>
      </c>
      <c r="W31" s="195">
        <v>144.66999999999999</v>
      </c>
      <c r="X31" s="196">
        <v>141.11000000000001</v>
      </c>
      <c r="Y31" s="197">
        <v>141.11000000000001</v>
      </c>
      <c r="Z31" s="195">
        <v>144.1</v>
      </c>
      <c r="AA31" s="196">
        <v>140.47</v>
      </c>
      <c r="AB31" s="197">
        <v>140.47</v>
      </c>
      <c r="AC31" s="195">
        <v>143.54</v>
      </c>
      <c r="AD31" s="196">
        <v>139.84</v>
      </c>
      <c r="AE31" s="197">
        <v>139.84</v>
      </c>
      <c r="AF31" s="195">
        <v>142.97999999999999</v>
      </c>
      <c r="AG31" s="196">
        <v>139.22</v>
      </c>
      <c r="AH31" s="197">
        <v>139.22</v>
      </c>
      <c r="AI31" s="200" t="s">
        <v>160</v>
      </c>
      <c r="AJ31" s="193" t="s">
        <v>1631</v>
      </c>
      <c r="AK31" s="201" t="s">
        <v>1614</v>
      </c>
      <c r="AL31" s="205">
        <v>1</v>
      </c>
      <c r="AM31" s="200">
        <v>148</v>
      </c>
      <c r="AN31" s="204">
        <v>148</v>
      </c>
      <c r="AO31" s="203"/>
      <c r="AP31" s="207" t="s">
        <v>401</v>
      </c>
      <c r="AQ31" s="199" t="s">
        <v>1620</v>
      </c>
      <c r="AR31" s="202">
        <v>45078</v>
      </c>
      <c r="AS31" s="205">
        <v>2057</v>
      </c>
      <c r="AT31" s="206"/>
      <c r="AU31" s="201" t="s">
        <v>24</v>
      </c>
      <c r="AV31" s="193" t="s">
        <v>1615</v>
      </c>
      <c r="AW31" s="205">
        <v>1903</v>
      </c>
    </row>
    <row r="32" spans="1:49">
      <c r="A32" s="192" t="s">
        <v>45</v>
      </c>
      <c r="B32" s="194" t="s">
        <v>1555</v>
      </c>
      <c r="C32" s="160" t="s">
        <v>1268</v>
      </c>
      <c r="D32" s="193" t="s">
        <v>1830</v>
      </c>
      <c r="E32" s="195">
        <v>113.18</v>
      </c>
      <c r="F32" s="196">
        <v>113.18</v>
      </c>
      <c r="G32" s="197">
        <v>104.08799999999999</v>
      </c>
      <c r="H32" s="195">
        <v>113.18</v>
      </c>
      <c r="I32" s="196">
        <v>113.18</v>
      </c>
      <c r="J32" s="197">
        <v>104.08799999999999</v>
      </c>
      <c r="K32" s="195">
        <v>113.18</v>
      </c>
      <c r="L32" s="196">
        <v>113.18</v>
      </c>
      <c r="M32" s="197">
        <v>104.08799999999999</v>
      </c>
      <c r="N32" s="195">
        <v>113.18</v>
      </c>
      <c r="O32" s="196">
        <v>113.18</v>
      </c>
      <c r="P32" s="197">
        <v>104.08799999999999</v>
      </c>
      <c r="Q32" s="195">
        <v>113.18</v>
      </c>
      <c r="R32" s="196">
        <v>113.18</v>
      </c>
      <c r="S32" s="197">
        <v>104.08799999999999</v>
      </c>
      <c r="T32" s="195">
        <v>113.18</v>
      </c>
      <c r="U32" s="196">
        <v>113.18</v>
      </c>
      <c r="V32" s="197">
        <v>104.08799999999999</v>
      </c>
      <c r="W32" s="195">
        <v>113.18</v>
      </c>
      <c r="X32" s="196">
        <v>113.18</v>
      </c>
      <c r="Y32" s="197">
        <v>104.08799999999999</v>
      </c>
      <c r="Z32" s="195">
        <v>113.18</v>
      </c>
      <c r="AA32" s="196">
        <v>113.18</v>
      </c>
      <c r="AB32" s="197">
        <v>104.08799999999999</v>
      </c>
      <c r="AC32" s="195">
        <v>113.18</v>
      </c>
      <c r="AD32" s="196">
        <v>113.18</v>
      </c>
      <c r="AE32" s="197">
        <v>104.08799999999999</v>
      </c>
      <c r="AF32" s="195">
        <v>113.18</v>
      </c>
      <c r="AG32" s="196">
        <v>113.18</v>
      </c>
      <c r="AH32" s="197">
        <v>104.08799999999999</v>
      </c>
      <c r="AI32" s="200" t="s">
        <v>1828</v>
      </c>
      <c r="AJ32" s="193" t="s">
        <v>1625</v>
      </c>
      <c r="AK32" s="201" t="s">
        <v>1609</v>
      </c>
      <c r="AL32" s="205">
        <v>67</v>
      </c>
      <c r="AM32" s="200"/>
      <c r="AN32" s="204">
        <v>113</v>
      </c>
      <c r="AO32" s="203"/>
      <c r="AP32" s="207" t="s">
        <v>76</v>
      </c>
      <c r="AQ32" s="199" t="s">
        <v>1620</v>
      </c>
      <c r="AR32" s="202"/>
      <c r="AS32" s="205">
        <v>2040</v>
      </c>
      <c r="AT32" s="206"/>
      <c r="AU32" s="201" t="s">
        <v>24</v>
      </c>
      <c r="AV32" s="193" t="s">
        <v>16</v>
      </c>
      <c r="AW32" s="205">
        <v>1022</v>
      </c>
    </row>
    <row r="33" spans="1:49">
      <c r="A33" s="192" t="s">
        <v>45</v>
      </c>
      <c r="B33" s="194" t="s">
        <v>1555</v>
      </c>
      <c r="C33" s="160" t="s">
        <v>780</v>
      </c>
      <c r="D33" s="193" t="s">
        <v>1831</v>
      </c>
      <c r="E33" s="195">
        <v>113.19</v>
      </c>
      <c r="F33" s="196">
        <v>113.19</v>
      </c>
      <c r="G33" s="197">
        <v>113.19</v>
      </c>
      <c r="H33" s="195">
        <v>113.19</v>
      </c>
      <c r="I33" s="196">
        <v>113.19</v>
      </c>
      <c r="J33" s="197">
        <v>113.19</v>
      </c>
      <c r="K33" s="195">
        <v>113.19</v>
      </c>
      <c r="L33" s="196">
        <v>113.19</v>
      </c>
      <c r="M33" s="197">
        <v>113.19</v>
      </c>
      <c r="N33" s="195">
        <v>113.19</v>
      </c>
      <c r="O33" s="196">
        <v>113.19</v>
      </c>
      <c r="P33" s="197">
        <v>113.19</v>
      </c>
      <c r="Q33" s="195">
        <v>113.19</v>
      </c>
      <c r="R33" s="196">
        <v>113.19</v>
      </c>
      <c r="S33" s="197">
        <v>113.19</v>
      </c>
      <c r="T33" s="195">
        <v>113.19</v>
      </c>
      <c r="U33" s="196">
        <v>113.19</v>
      </c>
      <c r="V33" s="197">
        <v>113.19</v>
      </c>
      <c r="W33" s="195">
        <v>113.19</v>
      </c>
      <c r="X33" s="196">
        <v>113.19</v>
      </c>
      <c r="Y33" s="197">
        <v>113.19</v>
      </c>
      <c r="Z33" s="195">
        <v>113.19</v>
      </c>
      <c r="AA33" s="196">
        <v>113.19</v>
      </c>
      <c r="AB33" s="197">
        <v>113.19</v>
      </c>
      <c r="AC33" s="195">
        <v>113.19</v>
      </c>
      <c r="AD33" s="196">
        <v>113.19</v>
      </c>
      <c r="AE33" s="197">
        <v>113.19</v>
      </c>
      <c r="AF33" s="195">
        <v>113.19</v>
      </c>
      <c r="AG33" s="196">
        <v>113.19</v>
      </c>
      <c r="AH33" s="197">
        <v>113.19</v>
      </c>
      <c r="AI33" s="200" t="s">
        <v>781</v>
      </c>
      <c r="AJ33" s="193" t="s">
        <v>1625</v>
      </c>
      <c r="AK33" s="201" t="s">
        <v>1609</v>
      </c>
      <c r="AL33" s="205">
        <v>33</v>
      </c>
      <c r="AM33" s="200">
        <v>113.19</v>
      </c>
      <c r="AN33" s="204">
        <v>113.19</v>
      </c>
      <c r="AO33" s="203"/>
      <c r="AP33" s="207" t="s">
        <v>76</v>
      </c>
      <c r="AQ33" s="199" t="s">
        <v>1620</v>
      </c>
      <c r="AR33" s="202">
        <v>43497</v>
      </c>
      <c r="AS33" s="205">
        <v>2049</v>
      </c>
      <c r="AT33" s="206"/>
      <c r="AU33" s="201" t="s">
        <v>24</v>
      </c>
      <c r="AV33" s="193" t="s">
        <v>16</v>
      </c>
      <c r="AW33" s="205">
        <v>1259</v>
      </c>
    </row>
    <row r="34" spans="1:49">
      <c r="A34" s="192" t="s">
        <v>110</v>
      </c>
      <c r="B34" s="194" t="s">
        <v>1555</v>
      </c>
      <c r="C34" s="160" t="s">
        <v>771</v>
      </c>
      <c r="D34" s="193" t="s">
        <v>773</v>
      </c>
      <c r="E34" s="195">
        <v>300.02</v>
      </c>
      <c r="F34" s="196">
        <v>300.02</v>
      </c>
      <c r="G34" s="197">
        <v>300.02</v>
      </c>
      <c r="H34" s="195">
        <v>300.02</v>
      </c>
      <c r="I34" s="196">
        <v>300.02</v>
      </c>
      <c r="J34" s="197">
        <v>300.02</v>
      </c>
      <c r="K34" s="195">
        <v>300.02</v>
      </c>
      <c r="L34" s="196">
        <v>300.02</v>
      </c>
      <c r="M34" s="197">
        <v>300.02</v>
      </c>
      <c r="N34" s="195">
        <v>300.02</v>
      </c>
      <c r="O34" s="196">
        <v>300.02</v>
      </c>
      <c r="P34" s="197">
        <v>300.02</v>
      </c>
      <c r="Q34" s="195">
        <v>300.02</v>
      </c>
      <c r="R34" s="196">
        <v>300.02</v>
      </c>
      <c r="S34" s="197">
        <v>300.02</v>
      </c>
      <c r="T34" s="195">
        <v>300.02</v>
      </c>
      <c r="U34" s="196">
        <v>300.02</v>
      </c>
      <c r="V34" s="197">
        <v>300.02</v>
      </c>
      <c r="W34" s="195">
        <v>300.02</v>
      </c>
      <c r="X34" s="196">
        <v>300.02</v>
      </c>
      <c r="Y34" s="197">
        <v>300.02</v>
      </c>
      <c r="Z34" s="195">
        <v>300.02</v>
      </c>
      <c r="AA34" s="196">
        <v>300.02</v>
      </c>
      <c r="AB34" s="197">
        <v>300.02</v>
      </c>
      <c r="AC34" s="195">
        <v>300.02</v>
      </c>
      <c r="AD34" s="196">
        <v>300.02</v>
      </c>
      <c r="AE34" s="197">
        <v>300.02</v>
      </c>
      <c r="AF34" s="195">
        <v>300.02</v>
      </c>
      <c r="AG34" s="196">
        <v>300.02</v>
      </c>
      <c r="AH34" s="197">
        <v>300.02</v>
      </c>
      <c r="AI34" s="200" t="s">
        <v>396</v>
      </c>
      <c r="AJ34" s="193" t="s">
        <v>1700</v>
      </c>
      <c r="AK34" s="201" t="s">
        <v>1658</v>
      </c>
      <c r="AL34" s="205">
        <v>8</v>
      </c>
      <c r="AM34" s="200">
        <v>0</v>
      </c>
      <c r="AN34" s="204">
        <v>300.02</v>
      </c>
      <c r="AO34" s="203"/>
      <c r="AP34" s="207" t="s">
        <v>76</v>
      </c>
      <c r="AQ34" s="199" t="s">
        <v>1619</v>
      </c>
      <c r="AR34" s="202"/>
      <c r="AS34" s="205">
        <v>2057</v>
      </c>
      <c r="AT34" s="206"/>
      <c r="AU34" s="201" t="s">
        <v>24</v>
      </c>
      <c r="AV34" s="193" t="s">
        <v>17</v>
      </c>
      <c r="AW34" s="205">
        <v>1023</v>
      </c>
    </row>
    <row r="35" spans="1:49">
      <c r="A35" s="192" t="s">
        <v>91</v>
      </c>
      <c r="B35" s="194" t="s">
        <v>1555</v>
      </c>
      <c r="C35" s="160" t="s">
        <v>210</v>
      </c>
      <c r="D35" s="193" t="s">
        <v>212</v>
      </c>
      <c r="E35" s="195">
        <v>125.6</v>
      </c>
      <c r="F35" s="196">
        <v>108.4</v>
      </c>
      <c r="G35" s="197">
        <v>95.2</v>
      </c>
      <c r="H35" s="195">
        <v>125.6</v>
      </c>
      <c r="I35" s="196">
        <v>108.4</v>
      </c>
      <c r="J35" s="197">
        <v>95.2</v>
      </c>
      <c r="K35" s="195">
        <v>125.6</v>
      </c>
      <c r="L35" s="196">
        <v>108.4</v>
      </c>
      <c r="M35" s="197">
        <v>95.2</v>
      </c>
      <c r="N35" s="195">
        <v>125.6</v>
      </c>
      <c r="O35" s="196">
        <v>108.4</v>
      </c>
      <c r="P35" s="197">
        <v>95.2</v>
      </c>
      <c r="Q35" s="195">
        <v>125.6</v>
      </c>
      <c r="R35" s="196">
        <v>108.4</v>
      </c>
      <c r="S35" s="197">
        <v>95.2</v>
      </c>
      <c r="T35" s="195">
        <v>125.6</v>
      </c>
      <c r="U35" s="196">
        <v>108.4</v>
      </c>
      <c r="V35" s="197">
        <v>95.2</v>
      </c>
      <c r="W35" s="195">
        <v>125.6</v>
      </c>
      <c r="X35" s="196">
        <v>108.4</v>
      </c>
      <c r="Y35" s="197">
        <v>95.2</v>
      </c>
      <c r="Z35" s="195">
        <v>125.6</v>
      </c>
      <c r="AA35" s="196">
        <v>108.4</v>
      </c>
      <c r="AB35" s="197">
        <v>95.2</v>
      </c>
      <c r="AC35" s="195">
        <v>125.6</v>
      </c>
      <c r="AD35" s="196">
        <v>108.4</v>
      </c>
      <c r="AE35" s="197">
        <v>95.2</v>
      </c>
      <c r="AF35" s="195">
        <v>125.6</v>
      </c>
      <c r="AG35" s="196">
        <v>108.4</v>
      </c>
      <c r="AH35" s="197">
        <v>95.2</v>
      </c>
      <c r="AI35" s="200" t="s">
        <v>211</v>
      </c>
      <c r="AJ35" s="193" t="s">
        <v>1673</v>
      </c>
      <c r="AK35" s="201" t="s">
        <v>1592</v>
      </c>
      <c r="AL35" s="205">
        <v>4</v>
      </c>
      <c r="AM35" s="200"/>
      <c r="AN35" s="204">
        <v>123.2</v>
      </c>
      <c r="AO35" s="203"/>
      <c r="AP35" s="207" t="s">
        <v>76</v>
      </c>
      <c r="AQ35" s="199" t="s">
        <v>1619</v>
      </c>
      <c r="AR35" s="202">
        <v>44896</v>
      </c>
      <c r="AS35" s="205">
        <v>2045</v>
      </c>
      <c r="AT35" s="206"/>
      <c r="AU35" s="201" t="s">
        <v>24</v>
      </c>
      <c r="AV35" s="193" t="s">
        <v>13</v>
      </c>
      <c r="AW35" s="205">
        <v>1533</v>
      </c>
    </row>
    <row r="36" spans="1:49">
      <c r="A36" s="192" t="s">
        <v>91</v>
      </c>
      <c r="B36" s="194" t="s">
        <v>1555</v>
      </c>
      <c r="C36" s="160" t="s">
        <v>349</v>
      </c>
      <c r="D36" s="193" t="s">
        <v>457</v>
      </c>
      <c r="E36" s="195">
        <v>2</v>
      </c>
      <c r="F36" s="196">
        <v>2</v>
      </c>
      <c r="G36" s="197">
        <v>2</v>
      </c>
      <c r="H36" s="195">
        <v>2</v>
      </c>
      <c r="I36" s="196">
        <v>2</v>
      </c>
      <c r="J36" s="197">
        <v>2</v>
      </c>
      <c r="K36" s="195">
        <v>2</v>
      </c>
      <c r="L36" s="196">
        <v>2</v>
      </c>
      <c r="M36" s="197">
        <v>2</v>
      </c>
      <c r="N36" s="195">
        <v>2</v>
      </c>
      <c r="O36" s="196">
        <v>2</v>
      </c>
      <c r="P36" s="197">
        <v>2</v>
      </c>
      <c r="Q36" s="195">
        <v>2</v>
      </c>
      <c r="R36" s="196">
        <v>2</v>
      </c>
      <c r="S36" s="197">
        <v>2</v>
      </c>
      <c r="T36" s="195">
        <v>2</v>
      </c>
      <c r="U36" s="196">
        <v>2</v>
      </c>
      <c r="V36" s="197">
        <v>2</v>
      </c>
      <c r="W36" s="195">
        <v>2</v>
      </c>
      <c r="X36" s="196">
        <v>2</v>
      </c>
      <c r="Y36" s="197">
        <v>2</v>
      </c>
      <c r="Z36" s="195">
        <v>2</v>
      </c>
      <c r="AA36" s="196">
        <v>2</v>
      </c>
      <c r="AB36" s="197">
        <v>2</v>
      </c>
      <c r="AC36" s="195">
        <v>2</v>
      </c>
      <c r="AD36" s="196">
        <v>2</v>
      </c>
      <c r="AE36" s="197">
        <v>2</v>
      </c>
      <c r="AF36" s="195">
        <v>2</v>
      </c>
      <c r="AG36" s="196">
        <v>2</v>
      </c>
      <c r="AH36" s="197">
        <v>2</v>
      </c>
      <c r="AI36" s="200" t="s">
        <v>347</v>
      </c>
      <c r="AJ36" s="193" t="s">
        <v>1602</v>
      </c>
      <c r="AK36" s="201" t="s">
        <v>1603</v>
      </c>
      <c r="AL36" s="205">
        <v>1</v>
      </c>
      <c r="AM36" s="200"/>
      <c r="AN36" s="204">
        <v>2.46</v>
      </c>
      <c r="AO36" s="203">
        <v>5.04</v>
      </c>
      <c r="AP36" s="207" t="s">
        <v>76</v>
      </c>
      <c r="AQ36" s="199" t="s">
        <v>1619</v>
      </c>
      <c r="AR36" s="202">
        <v>44958</v>
      </c>
      <c r="AS36" s="205">
        <v>2045</v>
      </c>
      <c r="AT36" s="206"/>
      <c r="AU36" s="201" t="s">
        <v>24</v>
      </c>
      <c r="AV36" s="193" t="s">
        <v>19</v>
      </c>
      <c r="AW36" s="205">
        <v>1393</v>
      </c>
    </row>
    <row r="37" spans="1:49">
      <c r="A37" s="192" t="s">
        <v>91</v>
      </c>
      <c r="B37" s="194" t="s">
        <v>1555</v>
      </c>
      <c r="C37" s="160" t="s">
        <v>349</v>
      </c>
      <c r="D37" s="193" t="s">
        <v>435</v>
      </c>
      <c r="E37" s="195">
        <v>11.25</v>
      </c>
      <c r="F37" s="196">
        <v>10.8</v>
      </c>
      <c r="G37" s="197">
        <v>10.574999999999999</v>
      </c>
      <c r="H37" s="195">
        <v>11.25</v>
      </c>
      <c r="I37" s="196">
        <v>10.8</v>
      </c>
      <c r="J37" s="197">
        <v>10.574999999999999</v>
      </c>
      <c r="K37" s="195">
        <v>11.25</v>
      </c>
      <c r="L37" s="196">
        <v>10.8</v>
      </c>
      <c r="M37" s="197">
        <v>10.574999999999999</v>
      </c>
      <c r="N37" s="195">
        <v>11.25</v>
      </c>
      <c r="O37" s="196">
        <v>10.8</v>
      </c>
      <c r="P37" s="197">
        <v>10.574999999999999</v>
      </c>
      <c r="Q37" s="195">
        <v>11.25</v>
      </c>
      <c r="R37" s="196">
        <v>10.8</v>
      </c>
      <c r="S37" s="197">
        <v>10.574999999999999</v>
      </c>
      <c r="T37" s="195">
        <v>11.25</v>
      </c>
      <c r="U37" s="196">
        <v>10.8</v>
      </c>
      <c r="V37" s="197">
        <v>10.574999999999999</v>
      </c>
      <c r="W37" s="195">
        <v>11.25</v>
      </c>
      <c r="X37" s="196">
        <v>10.8</v>
      </c>
      <c r="Y37" s="197">
        <v>10.574999999999999</v>
      </c>
      <c r="Z37" s="195">
        <v>11.25</v>
      </c>
      <c r="AA37" s="196">
        <v>10.8</v>
      </c>
      <c r="AB37" s="197">
        <v>10.574999999999999</v>
      </c>
      <c r="AC37" s="195">
        <v>11.25</v>
      </c>
      <c r="AD37" s="196">
        <v>10.8</v>
      </c>
      <c r="AE37" s="197">
        <v>10.574999999999999</v>
      </c>
      <c r="AF37" s="195">
        <v>11.25</v>
      </c>
      <c r="AG37" s="196">
        <v>10.8</v>
      </c>
      <c r="AH37" s="197">
        <v>10.574999999999999</v>
      </c>
      <c r="AI37" s="200" t="s">
        <v>347</v>
      </c>
      <c r="AJ37" s="193" t="s">
        <v>1613</v>
      </c>
      <c r="AK37" s="201" t="s">
        <v>1614</v>
      </c>
      <c r="AL37" s="205">
        <v>3</v>
      </c>
      <c r="AM37" s="200"/>
      <c r="AN37" s="204">
        <v>11.25</v>
      </c>
      <c r="AO37" s="203"/>
      <c r="AP37" s="207" t="s">
        <v>76</v>
      </c>
      <c r="AQ37" s="199" t="s">
        <v>1620</v>
      </c>
      <c r="AR37" s="202">
        <v>44835</v>
      </c>
      <c r="AS37" s="205">
        <v>2045</v>
      </c>
      <c r="AT37" s="206"/>
      <c r="AU37" s="201" t="s">
        <v>24</v>
      </c>
      <c r="AV37" s="193" t="s">
        <v>1615</v>
      </c>
      <c r="AW37" s="205">
        <v>1393</v>
      </c>
    </row>
    <row r="38" spans="1:49">
      <c r="A38" s="192" t="s">
        <v>45</v>
      </c>
      <c r="B38" s="194" t="s">
        <v>1555</v>
      </c>
      <c r="C38" s="160" t="s">
        <v>602</v>
      </c>
      <c r="D38" s="193" t="s">
        <v>604</v>
      </c>
      <c r="E38" s="195">
        <v>99.88</v>
      </c>
      <c r="F38" s="196">
        <v>99</v>
      </c>
      <c r="G38" s="197">
        <v>97.68</v>
      </c>
      <c r="H38" s="195">
        <v>99.88</v>
      </c>
      <c r="I38" s="196">
        <v>99</v>
      </c>
      <c r="J38" s="197">
        <v>97.68</v>
      </c>
      <c r="K38" s="195">
        <v>99.88</v>
      </c>
      <c r="L38" s="196">
        <v>99</v>
      </c>
      <c r="M38" s="197">
        <v>97.68</v>
      </c>
      <c r="N38" s="195">
        <v>99.88</v>
      </c>
      <c r="O38" s="196">
        <v>99</v>
      </c>
      <c r="P38" s="197">
        <v>97.68</v>
      </c>
      <c r="Q38" s="195">
        <v>99.88</v>
      </c>
      <c r="R38" s="196">
        <v>99</v>
      </c>
      <c r="S38" s="197">
        <v>97.68</v>
      </c>
      <c r="T38" s="195">
        <v>99.88</v>
      </c>
      <c r="U38" s="196">
        <v>99</v>
      </c>
      <c r="V38" s="197">
        <v>97.68</v>
      </c>
      <c r="W38" s="195">
        <v>99.88</v>
      </c>
      <c r="X38" s="196">
        <v>99</v>
      </c>
      <c r="Y38" s="197">
        <v>97.68</v>
      </c>
      <c r="Z38" s="195">
        <v>99.88</v>
      </c>
      <c r="AA38" s="196">
        <v>99</v>
      </c>
      <c r="AB38" s="197">
        <v>97.68</v>
      </c>
      <c r="AC38" s="195">
        <v>99.88</v>
      </c>
      <c r="AD38" s="196">
        <v>99</v>
      </c>
      <c r="AE38" s="197">
        <v>97.68</v>
      </c>
      <c r="AF38" s="195">
        <v>99.88</v>
      </c>
      <c r="AG38" s="196">
        <v>99</v>
      </c>
      <c r="AH38" s="197">
        <v>97.68</v>
      </c>
      <c r="AI38" s="200" t="s">
        <v>603</v>
      </c>
      <c r="AJ38" s="193" t="s">
        <v>1631</v>
      </c>
      <c r="AK38" s="201" t="s">
        <v>1614</v>
      </c>
      <c r="AL38" s="205">
        <v>44</v>
      </c>
      <c r="AM38" s="200">
        <v>121</v>
      </c>
      <c r="AN38" s="204">
        <v>121</v>
      </c>
      <c r="AO38" s="203"/>
      <c r="AP38" s="207" t="s">
        <v>76</v>
      </c>
      <c r="AQ38" s="199" t="s">
        <v>1620</v>
      </c>
      <c r="AR38" s="202">
        <v>44136</v>
      </c>
      <c r="AS38" s="205">
        <v>2050</v>
      </c>
      <c r="AT38" s="206"/>
      <c r="AU38" s="201" t="s">
        <v>24</v>
      </c>
      <c r="AV38" s="193" t="s">
        <v>1615</v>
      </c>
      <c r="AW38" s="205">
        <v>1554</v>
      </c>
    </row>
    <row r="39" spans="1:49">
      <c r="A39" s="192" t="s">
        <v>77</v>
      </c>
      <c r="B39" s="194" t="s">
        <v>1555</v>
      </c>
      <c r="C39" s="160" t="s">
        <v>186</v>
      </c>
      <c r="D39" s="193" t="s">
        <v>188</v>
      </c>
      <c r="E39" s="195">
        <v>181</v>
      </c>
      <c r="F39" s="196">
        <v>173</v>
      </c>
      <c r="G39" s="197">
        <v>167</v>
      </c>
      <c r="H39" s="195">
        <v>181</v>
      </c>
      <c r="I39" s="196">
        <v>173</v>
      </c>
      <c r="J39" s="197">
        <v>167</v>
      </c>
      <c r="K39" s="195">
        <v>181</v>
      </c>
      <c r="L39" s="196">
        <v>173</v>
      </c>
      <c r="M39" s="197">
        <v>167</v>
      </c>
      <c r="N39" s="195">
        <v>181</v>
      </c>
      <c r="O39" s="196">
        <v>173</v>
      </c>
      <c r="P39" s="197">
        <v>167</v>
      </c>
      <c r="Q39" s="195">
        <v>181</v>
      </c>
      <c r="R39" s="196">
        <v>173</v>
      </c>
      <c r="S39" s="197">
        <v>167</v>
      </c>
      <c r="T39" s="195">
        <v>181</v>
      </c>
      <c r="U39" s="196">
        <v>173</v>
      </c>
      <c r="V39" s="197">
        <v>167</v>
      </c>
      <c r="W39" s="195">
        <v>181</v>
      </c>
      <c r="X39" s="196">
        <v>173</v>
      </c>
      <c r="Y39" s="197">
        <v>167</v>
      </c>
      <c r="Z39" s="195">
        <v>181</v>
      </c>
      <c r="AA39" s="196">
        <v>173</v>
      </c>
      <c r="AB39" s="197">
        <v>167</v>
      </c>
      <c r="AC39" s="195">
        <v>181</v>
      </c>
      <c r="AD39" s="196">
        <v>173</v>
      </c>
      <c r="AE39" s="197">
        <v>167</v>
      </c>
      <c r="AF39" s="195">
        <v>181</v>
      </c>
      <c r="AG39" s="196">
        <v>173</v>
      </c>
      <c r="AH39" s="197">
        <v>167</v>
      </c>
      <c r="AI39" s="200" t="s">
        <v>187</v>
      </c>
      <c r="AJ39" s="193" t="s">
        <v>1673</v>
      </c>
      <c r="AK39" s="201" t="s">
        <v>1857</v>
      </c>
      <c r="AL39" s="205">
        <v>1</v>
      </c>
      <c r="AM39" s="200"/>
      <c r="AN39" s="204">
        <v>188</v>
      </c>
      <c r="AO39" s="203"/>
      <c r="AP39" s="207" t="s">
        <v>76</v>
      </c>
      <c r="AQ39" s="199" t="s">
        <v>1619</v>
      </c>
      <c r="AR39" s="202"/>
      <c r="AS39" s="205">
        <v>2046</v>
      </c>
      <c r="AT39" s="206"/>
      <c r="AU39" s="201" t="s">
        <v>24</v>
      </c>
      <c r="AV39" s="193" t="s">
        <v>13</v>
      </c>
      <c r="AW39" s="205">
        <v>1026</v>
      </c>
    </row>
    <row r="40" spans="1:49">
      <c r="A40" s="192" t="s">
        <v>77</v>
      </c>
      <c r="B40" s="194" t="s">
        <v>1555</v>
      </c>
      <c r="C40" s="160" t="s">
        <v>186</v>
      </c>
      <c r="D40" s="193" t="s">
        <v>1858</v>
      </c>
      <c r="E40" s="195">
        <v>181</v>
      </c>
      <c r="F40" s="196">
        <v>173</v>
      </c>
      <c r="G40" s="197">
        <v>167</v>
      </c>
      <c r="H40" s="195">
        <v>181</v>
      </c>
      <c r="I40" s="196">
        <v>173</v>
      </c>
      <c r="J40" s="197">
        <v>167</v>
      </c>
      <c r="K40" s="195">
        <v>181</v>
      </c>
      <c r="L40" s="196">
        <v>173</v>
      </c>
      <c r="M40" s="197">
        <v>167</v>
      </c>
      <c r="N40" s="195">
        <v>181</v>
      </c>
      <c r="O40" s="196">
        <v>173</v>
      </c>
      <c r="P40" s="197">
        <v>167</v>
      </c>
      <c r="Q40" s="195">
        <v>181</v>
      </c>
      <c r="R40" s="196">
        <v>173</v>
      </c>
      <c r="S40" s="197">
        <v>167</v>
      </c>
      <c r="T40" s="195">
        <v>181</v>
      </c>
      <c r="U40" s="196">
        <v>173</v>
      </c>
      <c r="V40" s="197">
        <v>167</v>
      </c>
      <c r="W40" s="195">
        <v>181</v>
      </c>
      <c r="X40" s="196">
        <v>173</v>
      </c>
      <c r="Y40" s="197">
        <v>167</v>
      </c>
      <c r="Z40" s="195">
        <v>181</v>
      </c>
      <c r="AA40" s="196">
        <v>173</v>
      </c>
      <c r="AB40" s="197">
        <v>167</v>
      </c>
      <c r="AC40" s="195">
        <v>181</v>
      </c>
      <c r="AD40" s="196">
        <v>173</v>
      </c>
      <c r="AE40" s="197">
        <v>167</v>
      </c>
      <c r="AF40" s="195">
        <v>181</v>
      </c>
      <c r="AG40" s="196">
        <v>173</v>
      </c>
      <c r="AH40" s="197">
        <v>167</v>
      </c>
      <c r="AI40" s="200" t="s">
        <v>187</v>
      </c>
      <c r="AJ40" s="193" t="s">
        <v>1673</v>
      </c>
      <c r="AK40" s="201" t="s">
        <v>1857</v>
      </c>
      <c r="AL40" s="205">
        <v>1</v>
      </c>
      <c r="AM40" s="200"/>
      <c r="AN40" s="204">
        <v>188</v>
      </c>
      <c r="AO40" s="203"/>
      <c r="AP40" s="207" t="s">
        <v>76</v>
      </c>
      <c r="AQ40" s="199" t="s">
        <v>1619</v>
      </c>
      <c r="AR40" s="202"/>
      <c r="AS40" s="205">
        <v>2046</v>
      </c>
      <c r="AT40" s="206"/>
      <c r="AU40" s="201" t="s">
        <v>24</v>
      </c>
      <c r="AV40" s="193" t="s">
        <v>13</v>
      </c>
      <c r="AW40" s="205">
        <v>1026</v>
      </c>
    </row>
    <row r="41" spans="1:49">
      <c r="A41" s="192" t="s">
        <v>77</v>
      </c>
      <c r="B41" s="194" t="s">
        <v>1555</v>
      </c>
      <c r="C41" s="160" t="s">
        <v>186</v>
      </c>
      <c r="D41" s="193" t="s">
        <v>1859</v>
      </c>
      <c r="E41" s="195">
        <v>181</v>
      </c>
      <c r="F41" s="196">
        <v>173</v>
      </c>
      <c r="G41" s="197">
        <v>167</v>
      </c>
      <c r="H41" s="195">
        <v>181</v>
      </c>
      <c r="I41" s="196">
        <v>173</v>
      </c>
      <c r="J41" s="197">
        <v>167</v>
      </c>
      <c r="K41" s="195">
        <v>181</v>
      </c>
      <c r="L41" s="196">
        <v>173</v>
      </c>
      <c r="M41" s="197">
        <v>167</v>
      </c>
      <c r="N41" s="195">
        <v>181</v>
      </c>
      <c r="O41" s="196">
        <v>173</v>
      </c>
      <c r="P41" s="197">
        <v>167</v>
      </c>
      <c r="Q41" s="195">
        <v>181</v>
      </c>
      <c r="R41" s="196">
        <v>173</v>
      </c>
      <c r="S41" s="197">
        <v>167</v>
      </c>
      <c r="T41" s="195">
        <v>181</v>
      </c>
      <c r="U41" s="196">
        <v>173</v>
      </c>
      <c r="V41" s="197">
        <v>167</v>
      </c>
      <c r="W41" s="195">
        <v>181</v>
      </c>
      <c r="X41" s="196">
        <v>173</v>
      </c>
      <c r="Y41" s="197">
        <v>167</v>
      </c>
      <c r="Z41" s="195">
        <v>181</v>
      </c>
      <c r="AA41" s="196">
        <v>173</v>
      </c>
      <c r="AB41" s="197">
        <v>167</v>
      </c>
      <c r="AC41" s="195">
        <v>181</v>
      </c>
      <c r="AD41" s="196">
        <v>173</v>
      </c>
      <c r="AE41" s="197">
        <v>167</v>
      </c>
      <c r="AF41" s="195">
        <v>181</v>
      </c>
      <c r="AG41" s="196">
        <v>173</v>
      </c>
      <c r="AH41" s="197">
        <v>167</v>
      </c>
      <c r="AI41" s="200" t="s">
        <v>187</v>
      </c>
      <c r="AJ41" s="193" t="s">
        <v>1673</v>
      </c>
      <c r="AK41" s="201" t="s">
        <v>1857</v>
      </c>
      <c r="AL41" s="205">
        <v>1</v>
      </c>
      <c r="AM41" s="200"/>
      <c r="AN41" s="204">
        <v>188</v>
      </c>
      <c r="AO41" s="203"/>
      <c r="AP41" s="207" t="s">
        <v>76</v>
      </c>
      <c r="AQ41" s="199" t="s">
        <v>1619</v>
      </c>
      <c r="AR41" s="202"/>
      <c r="AS41" s="205">
        <v>2046</v>
      </c>
      <c r="AT41" s="206"/>
      <c r="AU41" s="201" t="s">
        <v>24</v>
      </c>
      <c r="AV41" s="193" t="s">
        <v>13</v>
      </c>
      <c r="AW41" s="205">
        <v>1026</v>
      </c>
    </row>
    <row r="42" spans="1:49">
      <c r="A42" s="192" t="s">
        <v>77</v>
      </c>
      <c r="B42" s="194" t="s">
        <v>1555</v>
      </c>
      <c r="C42" s="160" t="s">
        <v>1860</v>
      </c>
      <c r="D42" s="193" t="s">
        <v>1862</v>
      </c>
      <c r="E42" s="195">
        <v>173</v>
      </c>
      <c r="F42" s="196">
        <v>155</v>
      </c>
      <c r="G42" s="197">
        <v>155</v>
      </c>
      <c r="H42" s="195">
        <v>173</v>
      </c>
      <c r="I42" s="196">
        <v>165</v>
      </c>
      <c r="J42" s="197">
        <v>165</v>
      </c>
      <c r="K42" s="195">
        <v>173</v>
      </c>
      <c r="L42" s="196">
        <v>165</v>
      </c>
      <c r="M42" s="197">
        <v>165</v>
      </c>
      <c r="N42" s="195">
        <v>173</v>
      </c>
      <c r="O42" s="196">
        <v>165</v>
      </c>
      <c r="P42" s="197">
        <v>165</v>
      </c>
      <c r="Q42" s="195">
        <v>173</v>
      </c>
      <c r="R42" s="196">
        <v>165</v>
      </c>
      <c r="S42" s="197">
        <v>165</v>
      </c>
      <c r="T42" s="195">
        <v>173</v>
      </c>
      <c r="U42" s="196">
        <v>165</v>
      </c>
      <c r="V42" s="197">
        <v>165</v>
      </c>
      <c r="W42" s="195">
        <v>173</v>
      </c>
      <c r="X42" s="196">
        <v>165</v>
      </c>
      <c r="Y42" s="197">
        <v>165</v>
      </c>
      <c r="Z42" s="195">
        <v>173</v>
      </c>
      <c r="AA42" s="196">
        <v>165</v>
      </c>
      <c r="AB42" s="197">
        <v>165</v>
      </c>
      <c r="AC42" s="195">
        <v>173</v>
      </c>
      <c r="AD42" s="196">
        <v>165</v>
      </c>
      <c r="AE42" s="197">
        <v>165</v>
      </c>
      <c r="AF42" s="195">
        <v>173</v>
      </c>
      <c r="AG42" s="196">
        <v>165</v>
      </c>
      <c r="AH42" s="197">
        <v>165</v>
      </c>
      <c r="AI42" s="200" t="s">
        <v>1861</v>
      </c>
      <c r="AJ42" s="193" t="s">
        <v>1673</v>
      </c>
      <c r="AK42" s="201" t="s">
        <v>1857</v>
      </c>
      <c r="AL42" s="205">
        <v>1</v>
      </c>
      <c r="AM42" s="200"/>
      <c r="AN42" s="204">
        <v>173</v>
      </c>
      <c r="AO42" s="203"/>
      <c r="AP42" s="207" t="s">
        <v>76</v>
      </c>
      <c r="AQ42" s="199" t="s">
        <v>1619</v>
      </c>
      <c r="AR42" s="202"/>
      <c r="AS42" s="205">
        <v>2049</v>
      </c>
      <c r="AT42" s="206"/>
      <c r="AU42" s="201" t="s">
        <v>24</v>
      </c>
      <c r="AV42" s="193" t="s">
        <v>13</v>
      </c>
      <c r="AW42" s="205">
        <v>1027</v>
      </c>
    </row>
    <row r="43" spans="1:49">
      <c r="A43" s="192" t="s">
        <v>77</v>
      </c>
      <c r="B43" s="194" t="s">
        <v>1555</v>
      </c>
      <c r="C43" s="160" t="s">
        <v>1860</v>
      </c>
      <c r="D43" s="193" t="s">
        <v>1863</v>
      </c>
      <c r="E43" s="195">
        <v>173</v>
      </c>
      <c r="F43" s="196">
        <v>155</v>
      </c>
      <c r="G43" s="197">
        <v>155</v>
      </c>
      <c r="H43" s="195">
        <v>173</v>
      </c>
      <c r="I43" s="196">
        <v>165</v>
      </c>
      <c r="J43" s="197">
        <v>165</v>
      </c>
      <c r="K43" s="195">
        <v>173</v>
      </c>
      <c r="L43" s="196">
        <v>165</v>
      </c>
      <c r="M43" s="197">
        <v>165</v>
      </c>
      <c r="N43" s="195">
        <v>173</v>
      </c>
      <c r="O43" s="196">
        <v>165</v>
      </c>
      <c r="P43" s="197">
        <v>165</v>
      </c>
      <c r="Q43" s="195">
        <v>173</v>
      </c>
      <c r="R43" s="196">
        <v>165</v>
      </c>
      <c r="S43" s="197">
        <v>165</v>
      </c>
      <c r="T43" s="195">
        <v>173</v>
      </c>
      <c r="U43" s="196">
        <v>165</v>
      </c>
      <c r="V43" s="197">
        <v>165</v>
      </c>
      <c r="W43" s="195">
        <v>173</v>
      </c>
      <c r="X43" s="196">
        <v>165</v>
      </c>
      <c r="Y43" s="197">
        <v>165</v>
      </c>
      <c r="Z43" s="195">
        <v>173</v>
      </c>
      <c r="AA43" s="196">
        <v>165</v>
      </c>
      <c r="AB43" s="197">
        <v>165</v>
      </c>
      <c r="AC43" s="195">
        <v>173</v>
      </c>
      <c r="AD43" s="196">
        <v>165</v>
      </c>
      <c r="AE43" s="197">
        <v>165</v>
      </c>
      <c r="AF43" s="195">
        <v>173</v>
      </c>
      <c r="AG43" s="196">
        <v>165</v>
      </c>
      <c r="AH43" s="197">
        <v>165</v>
      </c>
      <c r="AI43" s="200" t="s">
        <v>1861</v>
      </c>
      <c r="AJ43" s="193" t="s">
        <v>1673</v>
      </c>
      <c r="AK43" s="201" t="s">
        <v>1857</v>
      </c>
      <c r="AL43" s="205">
        <v>1</v>
      </c>
      <c r="AM43" s="200"/>
      <c r="AN43" s="204">
        <v>173</v>
      </c>
      <c r="AO43" s="203"/>
      <c r="AP43" s="207" t="s">
        <v>76</v>
      </c>
      <c r="AQ43" s="199" t="s">
        <v>1619</v>
      </c>
      <c r="AR43" s="202"/>
      <c r="AS43" s="205">
        <v>2049</v>
      </c>
      <c r="AT43" s="206"/>
      <c r="AU43" s="201" t="s">
        <v>24</v>
      </c>
      <c r="AV43" s="193" t="s">
        <v>13</v>
      </c>
      <c r="AW43" s="205">
        <v>1027</v>
      </c>
    </row>
    <row r="44" spans="1:49">
      <c r="A44" s="192" t="s">
        <v>77</v>
      </c>
      <c r="B44" s="194" t="s">
        <v>1555</v>
      </c>
      <c r="C44" s="160" t="s">
        <v>1860</v>
      </c>
      <c r="D44" s="193" t="s">
        <v>1864</v>
      </c>
      <c r="E44" s="195">
        <v>173</v>
      </c>
      <c r="F44" s="196">
        <v>155</v>
      </c>
      <c r="G44" s="197">
        <v>155</v>
      </c>
      <c r="H44" s="195">
        <v>173</v>
      </c>
      <c r="I44" s="196">
        <v>165</v>
      </c>
      <c r="J44" s="197">
        <v>165</v>
      </c>
      <c r="K44" s="195">
        <v>173</v>
      </c>
      <c r="L44" s="196">
        <v>165</v>
      </c>
      <c r="M44" s="197">
        <v>165</v>
      </c>
      <c r="N44" s="195">
        <v>173</v>
      </c>
      <c r="O44" s="196">
        <v>165</v>
      </c>
      <c r="P44" s="197">
        <v>165</v>
      </c>
      <c r="Q44" s="195">
        <v>173</v>
      </c>
      <c r="R44" s="196">
        <v>165</v>
      </c>
      <c r="S44" s="197">
        <v>165</v>
      </c>
      <c r="T44" s="195">
        <v>173</v>
      </c>
      <c r="U44" s="196">
        <v>165</v>
      </c>
      <c r="V44" s="197">
        <v>165</v>
      </c>
      <c r="W44" s="195">
        <v>173</v>
      </c>
      <c r="X44" s="196">
        <v>165</v>
      </c>
      <c r="Y44" s="197">
        <v>165</v>
      </c>
      <c r="Z44" s="195">
        <v>173</v>
      </c>
      <c r="AA44" s="196">
        <v>165</v>
      </c>
      <c r="AB44" s="197">
        <v>165</v>
      </c>
      <c r="AC44" s="195">
        <v>173</v>
      </c>
      <c r="AD44" s="196">
        <v>165</v>
      </c>
      <c r="AE44" s="197">
        <v>165</v>
      </c>
      <c r="AF44" s="195">
        <v>173</v>
      </c>
      <c r="AG44" s="196">
        <v>165</v>
      </c>
      <c r="AH44" s="197">
        <v>165</v>
      </c>
      <c r="AI44" s="200" t="s">
        <v>1861</v>
      </c>
      <c r="AJ44" s="193" t="s">
        <v>1673</v>
      </c>
      <c r="AK44" s="201" t="s">
        <v>1857</v>
      </c>
      <c r="AL44" s="205">
        <v>1</v>
      </c>
      <c r="AM44" s="200"/>
      <c r="AN44" s="204">
        <v>173</v>
      </c>
      <c r="AO44" s="203"/>
      <c r="AP44" s="207" t="s">
        <v>76</v>
      </c>
      <c r="AQ44" s="199" t="s">
        <v>1619</v>
      </c>
      <c r="AR44" s="202"/>
      <c r="AS44" s="205">
        <v>2049</v>
      </c>
      <c r="AT44" s="206"/>
      <c r="AU44" s="201" t="s">
        <v>24</v>
      </c>
      <c r="AV44" s="193" t="s">
        <v>13</v>
      </c>
      <c r="AW44" s="205">
        <v>1027</v>
      </c>
    </row>
    <row r="45" spans="1:49">
      <c r="A45" s="192" t="s">
        <v>45</v>
      </c>
      <c r="B45" s="194" t="s">
        <v>1599</v>
      </c>
      <c r="C45" s="160" t="s">
        <v>315</v>
      </c>
      <c r="D45" s="193" t="s">
        <v>3744</v>
      </c>
      <c r="E45" s="195">
        <v>0</v>
      </c>
      <c r="F45" s="196">
        <v>50</v>
      </c>
      <c r="G45" s="197">
        <v>50</v>
      </c>
      <c r="H45" s="195">
        <v>50</v>
      </c>
      <c r="I45" s="196">
        <v>50</v>
      </c>
      <c r="J45" s="197">
        <v>50</v>
      </c>
      <c r="K45" s="195">
        <v>50</v>
      </c>
      <c r="L45" s="196">
        <v>50</v>
      </c>
      <c r="M45" s="197">
        <v>50</v>
      </c>
      <c r="N45" s="195">
        <v>50</v>
      </c>
      <c r="O45" s="196">
        <v>50</v>
      </c>
      <c r="P45" s="197">
        <v>50</v>
      </c>
      <c r="Q45" s="195">
        <v>50</v>
      </c>
      <c r="R45" s="196">
        <v>50</v>
      </c>
      <c r="S45" s="197">
        <v>50</v>
      </c>
      <c r="T45" s="195">
        <v>50</v>
      </c>
      <c r="U45" s="196">
        <v>50</v>
      </c>
      <c r="V45" s="197">
        <v>50</v>
      </c>
      <c r="W45" s="195">
        <v>50</v>
      </c>
      <c r="X45" s="196">
        <v>50</v>
      </c>
      <c r="Y45" s="197">
        <v>50</v>
      </c>
      <c r="Z45" s="195">
        <v>50</v>
      </c>
      <c r="AA45" s="196">
        <v>50</v>
      </c>
      <c r="AB45" s="197">
        <v>50</v>
      </c>
      <c r="AC45" s="195">
        <v>50</v>
      </c>
      <c r="AD45" s="196">
        <v>50</v>
      </c>
      <c r="AE45" s="197">
        <v>50</v>
      </c>
      <c r="AF45" s="195">
        <v>50</v>
      </c>
      <c r="AG45" s="196">
        <v>50</v>
      </c>
      <c r="AH45" s="197">
        <v>50</v>
      </c>
      <c r="AI45" s="200" t="s">
        <v>316</v>
      </c>
      <c r="AJ45" s="193" t="s">
        <v>1602</v>
      </c>
      <c r="AK45" s="201" t="s">
        <v>1603</v>
      </c>
      <c r="AL45" s="205">
        <v>1</v>
      </c>
      <c r="AM45" s="200"/>
      <c r="AN45" s="204">
        <v>50</v>
      </c>
      <c r="AO45" s="203">
        <v>50</v>
      </c>
      <c r="AP45" s="207" t="s">
        <v>317</v>
      </c>
      <c r="AQ45" s="199" t="s">
        <v>1619</v>
      </c>
      <c r="AR45" s="202">
        <v>45200</v>
      </c>
      <c r="AS45" s="205">
        <v>2043</v>
      </c>
      <c r="AT45" s="206"/>
      <c r="AU45" s="201" t="s">
        <v>26</v>
      </c>
      <c r="AV45" s="193" t="s">
        <v>19</v>
      </c>
      <c r="AW45" s="205">
        <v>2172</v>
      </c>
    </row>
    <row r="46" spans="1:49">
      <c r="A46" s="192" t="s">
        <v>45</v>
      </c>
      <c r="B46" s="194" t="s">
        <v>1555</v>
      </c>
      <c r="C46" s="160" t="s">
        <v>1225</v>
      </c>
      <c r="D46" s="193" t="s">
        <v>1891</v>
      </c>
      <c r="E46" s="195">
        <v>53</v>
      </c>
      <c r="F46" s="196">
        <v>53</v>
      </c>
      <c r="G46" s="197">
        <v>53</v>
      </c>
      <c r="H46" s="195">
        <v>53</v>
      </c>
      <c r="I46" s="196">
        <v>53</v>
      </c>
      <c r="J46" s="197">
        <v>53</v>
      </c>
      <c r="K46" s="195">
        <v>53</v>
      </c>
      <c r="L46" s="196">
        <v>53</v>
      </c>
      <c r="M46" s="197">
        <v>53</v>
      </c>
      <c r="N46" s="195">
        <v>53</v>
      </c>
      <c r="O46" s="196">
        <v>53</v>
      </c>
      <c r="P46" s="197">
        <v>53</v>
      </c>
      <c r="Q46" s="195">
        <v>53</v>
      </c>
      <c r="R46" s="196">
        <v>53</v>
      </c>
      <c r="S46" s="197">
        <v>53</v>
      </c>
      <c r="T46" s="195">
        <v>53</v>
      </c>
      <c r="U46" s="196">
        <v>53</v>
      </c>
      <c r="V46" s="197">
        <v>53</v>
      </c>
      <c r="W46" s="195">
        <v>53</v>
      </c>
      <c r="X46" s="196">
        <v>53</v>
      </c>
      <c r="Y46" s="197">
        <v>53</v>
      </c>
      <c r="Z46" s="195">
        <v>53</v>
      </c>
      <c r="AA46" s="196">
        <v>53</v>
      </c>
      <c r="AB46" s="197">
        <v>53</v>
      </c>
      <c r="AC46" s="195">
        <v>53</v>
      </c>
      <c r="AD46" s="196">
        <v>53</v>
      </c>
      <c r="AE46" s="197">
        <v>53</v>
      </c>
      <c r="AF46" s="195">
        <v>53</v>
      </c>
      <c r="AG46" s="196">
        <v>53</v>
      </c>
      <c r="AH46" s="197">
        <v>53</v>
      </c>
      <c r="AI46" s="200" t="s">
        <v>193</v>
      </c>
      <c r="AJ46" s="193" t="s">
        <v>1613</v>
      </c>
      <c r="AK46" s="201" t="s">
        <v>1614</v>
      </c>
      <c r="AL46" s="205">
        <v>40</v>
      </c>
      <c r="AM46" s="200"/>
      <c r="AN46" s="204">
        <v>53</v>
      </c>
      <c r="AO46" s="203"/>
      <c r="AP46" s="207" t="s">
        <v>76</v>
      </c>
      <c r="AQ46" s="199" t="s">
        <v>1620</v>
      </c>
      <c r="AR46" s="202"/>
      <c r="AS46" s="205">
        <v>2043</v>
      </c>
      <c r="AT46" s="206"/>
      <c r="AU46" s="201" t="s">
        <v>24</v>
      </c>
      <c r="AV46" s="193" t="s">
        <v>1615</v>
      </c>
      <c r="AW46" s="205">
        <v>1266</v>
      </c>
    </row>
    <row r="47" spans="1:49">
      <c r="A47" s="192" t="s">
        <v>110</v>
      </c>
      <c r="B47" s="194" t="s">
        <v>1555</v>
      </c>
      <c r="C47" s="160" t="s">
        <v>370</v>
      </c>
      <c r="D47" s="193" t="s">
        <v>372</v>
      </c>
      <c r="E47" s="195">
        <v>20</v>
      </c>
      <c r="F47" s="196">
        <v>20</v>
      </c>
      <c r="G47" s="197">
        <v>20</v>
      </c>
      <c r="H47" s="195">
        <v>20</v>
      </c>
      <c r="I47" s="196">
        <v>20</v>
      </c>
      <c r="J47" s="197">
        <v>20</v>
      </c>
      <c r="K47" s="195">
        <v>20</v>
      </c>
      <c r="L47" s="196">
        <v>20</v>
      </c>
      <c r="M47" s="197">
        <v>20</v>
      </c>
      <c r="N47" s="195">
        <v>20</v>
      </c>
      <c r="O47" s="196">
        <v>20</v>
      </c>
      <c r="P47" s="197">
        <v>20</v>
      </c>
      <c r="Q47" s="195">
        <v>20</v>
      </c>
      <c r="R47" s="196">
        <v>20</v>
      </c>
      <c r="S47" s="197">
        <v>20</v>
      </c>
      <c r="T47" s="195">
        <v>20</v>
      </c>
      <c r="U47" s="196">
        <v>20</v>
      </c>
      <c r="V47" s="197">
        <v>20</v>
      </c>
      <c r="W47" s="195">
        <v>20</v>
      </c>
      <c r="X47" s="196">
        <v>20</v>
      </c>
      <c r="Y47" s="197">
        <v>20</v>
      </c>
      <c r="Z47" s="195">
        <v>20</v>
      </c>
      <c r="AA47" s="196">
        <v>20</v>
      </c>
      <c r="AB47" s="197">
        <v>20</v>
      </c>
      <c r="AC47" s="195">
        <v>20</v>
      </c>
      <c r="AD47" s="196">
        <v>20</v>
      </c>
      <c r="AE47" s="197">
        <v>20</v>
      </c>
      <c r="AF47" s="195">
        <v>20</v>
      </c>
      <c r="AG47" s="196">
        <v>20</v>
      </c>
      <c r="AH47" s="197">
        <v>20</v>
      </c>
      <c r="AI47" s="200" t="s">
        <v>371</v>
      </c>
      <c r="AJ47" s="193" t="s">
        <v>1602</v>
      </c>
      <c r="AK47" s="201" t="s">
        <v>1603</v>
      </c>
      <c r="AL47" s="205">
        <v>40</v>
      </c>
      <c r="AM47" s="200"/>
      <c r="AN47" s="204">
        <v>20</v>
      </c>
      <c r="AO47" s="203">
        <v>34</v>
      </c>
      <c r="AP47" s="207" t="s">
        <v>76</v>
      </c>
      <c r="AQ47" s="199" t="s">
        <v>1619</v>
      </c>
      <c r="AR47" s="202">
        <v>44501</v>
      </c>
      <c r="AS47" s="205">
        <v>2049</v>
      </c>
      <c r="AT47" s="206"/>
      <c r="AU47" s="201" t="s">
        <v>24</v>
      </c>
      <c r="AV47" s="193" t="s">
        <v>19</v>
      </c>
      <c r="AW47" s="205">
        <v>1590</v>
      </c>
    </row>
    <row r="48" spans="1:49">
      <c r="A48" s="192" t="s">
        <v>110</v>
      </c>
      <c r="B48" s="194" t="s">
        <v>1555</v>
      </c>
      <c r="C48" s="160" t="s">
        <v>590</v>
      </c>
      <c r="D48" s="193" t="s">
        <v>591</v>
      </c>
      <c r="E48" s="195">
        <v>204.4</v>
      </c>
      <c r="F48" s="196">
        <v>204.4</v>
      </c>
      <c r="G48" s="197">
        <v>204.4</v>
      </c>
      <c r="H48" s="195">
        <v>204.4</v>
      </c>
      <c r="I48" s="196">
        <v>204.4</v>
      </c>
      <c r="J48" s="197">
        <v>204.4</v>
      </c>
      <c r="K48" s="195">
        <v>204.4</v>
      </c>
      <c r="L48" s="196">
        <v>204.4</v>
      </c>
      <c r="M48" s="197">
        <v>204.4</v>
      </c>
      <c r="N48" s="195">
        <v>204.4</v>
      </c>
      <c r="O48" s="196">
        <v>204.4</v>
      </c>
      <c r="P48" s="197">
        <v>204.4</v>
      </c>
      <c r="Q48" s="195">
        <v>204.4</v>
      </c>
      <c r="R48" s="196">
        <v>204.4</v>
      </c>
      <c r="S48" s="197">
        <v>204.4</v>
      </c>
      <c r="T48" s="195">
        <v>204.4</v>
      </c>
      <c r="U48" s="196">
        <v>204.4</v>
      </c>
      <c r="V48" s="197">
        <v>204.4</v>
      </c>
      <c r="W48" s="195">
        <v>204.4</v>
      </c>
      <c r="X48" s="196">
        <v>204.4</v>
      </c>
      <c r="Y48" s="197">
        <v>204.4</v>
      </c>
      <c r="Z48" s="195">
        <v>204.4</v>
      </c>
      <c r="AA48" s="196">
        <v>204.4</v>
      </c>
      <c r="AB48" s="197">
        <v>204.4</v>
      </c>
      <c r="AC48" s="195">
        <v>204.4</v>
      </c>
      <c r="AD48" s="196">
        <v>204.4</v>
      </c>
      <c r="AE48" s="197">
        <v>204.4</v>
      </c>
      <c r="AF48" s="195"/>
      <c r="AG48" s="196"/>
      <c r="AH48" s="197"/>
      <c r="AI48" s="200" t="s">
        <v>371</v>
      </c>
      <c r="AJ48" s="193" t="s">
        <v>1625</v>
      </c>
      <c r="AK48" s="201" t="s">
        <v>1609</v>
      </c>
      <c r="AL48" s="205">
        <v>56</v>
      </c>
      <c r="AM48" s="200"/>
      <c r="AN48" s="204">
        <v>204.4</v>
      </c>
      <c r="AO48" s="203"/>
      <c r="AP48" s="207" t="s">
        <v>76</v>
      </c>
      <c r="AQ48" s="199" t="s">
        <v>1620</v>
      </c>
      <c r="AR48" s="202">
        <v>44501</v>
      </c>
      <c r="AS48" s="205">
        <v>2049</v>
      </c>
      <c r="AT48" s="206"/>
      <c r="AU48" s="201" t="s">
        <v>24</v>
      </c>
      <c r="AV48" s="193" t="s">
        <v>16</v>
      </c>
      <c r="AW48" s="205">
        <v>1289</v>
      </c>
    </row>
    <row r="49" spans="1:49">
      <c r="A49" s="192" t="s">
        <v>91</v>
      </c>
      <c r="B49" s="194" t="s">
        <v>1555</v>
      </c>
      <c r="C49" s="160" t="s">
        <v>852</v>
      </c>
      <c r="D49" s="193" t="s">
        <v>853</v>
      </c>
      <c r="E49" s="195">
        <v>109.62</v>
      </c>
      <c r="F49" s="196">
        <v>109.62</v>
      </c>
      <c r="G49" s="197">
        <v>104.76</v>
      </c>
      <c r="H49" s="195">
        <v>109.62</v>
      </c>
      <c r="I49" s="196">
        <v>109.62</v>
      </c>
      <c r="J49" s="197">
        <v>104.76</v>
      </c>
      <c r="K49" s="195">
        <v>109.62</v>
      </c>
      <c r="L49" s="196">
        <v>109.62</v>
      </c>
      <c r="M49" s="197">
        <v>104.76</v>
      </c>
      <c r="N49" s="195">
        <v>109.62</v>
      </c>
      <c r="O49" s="196">
        <v>109.62</v>
      </c>
      <c r="P49" s="197">
        <v>104.76</v>
      </c>
      <c r="Q49" s="195">
        <v>109.62</v>
      </c>
      <c r="R49" s="196">
        <v>109.62</v>
      </c>
      <c r="S49" s="197">
        <v>104.76</v>
      </c>
      <c r="T49" s="195">
        <v>109.62</v>
      </c>
      <c r="U49" s="196">
        <v>109.62</v>
      </c>
      <c r="V49" s="197">
        <v>104.76</v>
      </c>
      <c r="W49" s="195">
        <v>109.62</v>
      </c>
      <c r="X49" s="196">
        <v>109.62</v>
      </c>
      <c r="Y49" s="197">
        <v>104.76</v>
      </c>
      <c r="Z49" s="195">
        <v>109.62</v>
      </c>
      <c r="AA49" s="196">
        <v>109.62</v>
      </c>
      <c r="AB49" s="197">
        <v>104.76</v>
      </c>
      <c r="AC49" s="195">
        <v>109.62</v>
      </c>
      <c r="AD49" s="196">
        <v>109.62</v>
      </c>
      <c r="AE49" s="197">
        <v>104.76</v>
      </c>
      <c r="AF49" s="195"/>
      <c r="AG49" s="196"/>
      <c r="AH49" s="197"/>
      <c r="AI49" s="200" t="s">
        <v>1912</v>
      </c>
      <c r="AJ49" s="193" t="s">
        <v>1631</v>
      </c>
      <c r="AK49" s="201" t="s">
        <v>1614</v>
      </c>
      <c r="AL49" s="205">
        <v>54</v>
      </c>
      <c r="AM49" s="200">
        <v>110.16</v>
      </c>
      <c r="AN49" s="204">
        <v>135</v>
      </c>
      <c r="AO49" s="203"/>
      <c r="AP49" s="207" t="s">
        <v>76</v>
      </c>
      <c r="AQ49" s="199" t="s">
        <v>1620</v>
      </c>
      <c r="AR49" s="202">
        <v>43435</v>
      </c>
      <c r="AS49" s="205">
        <v>2044</v>
      </c>
      <c r="AT49" s="206"/>
      <c r="AU49" s="201" t="s">
        <v>24</v>
      </c>
      <c r="AV49" s="193" t="s">
        <v>1615</v>
      </c>
      <c r="AW49" s="205">
        <v>1589</v>
      </c>
    </row>
    <row r="50" spans="1:49">
      <c r="A50" s="192" t="s">
        <v>91</v>
      </c>
      <c r="B50" s="194" t="s">
        <v>1555</v>
      </c>
      <c r="C50" s="160" t="s">
        <v>214</v>
      </c>
      <c r="D50" s="193" t="s">
        <v>216</v>
      </c>
      <c r="E50" s="195">
        <v>109.62</v>
      </c>
      <c r="F50" s="196">
        <v>109.62</v>
      </c>
      <c r="G50" s="197">
        <v>104.76</v>
      </c>
      <c r="H50" s="195">
        <v>109.62</v>
      </c>
      <c r="I50" s="196">
        <v>109.62</v>
      </c>
      <c r="J50" s="197">
        <v>104.76</v>
      </c>
      <c r="K50" s="195">
        <v>109.62</v>
      </c>
      <c r="L50" s="196">
        <v>109.62</v>
      </c>
      <c r="M50" s="197">
        <v>104.76</v>
      </c>
      <c r="N50" s="195">
        <v>109.62</v>
      </c>
      <c r="O50" s="196">
        <v>109.62</v>
      </c>
      <c r="P50" s="197">
        <v>104.76</v>
      </c>
      <c r="Q50" s="195">
        <v>109.62</v>
      </c>
      <c r="R50" s="196">
        <v>109.62</v>
      </c>
      <c r="S50" s="197">
        <v>104.76</v>
      </c>
      <c r="T50" s="195">
        <v>109.62</v>
      </c>
      <c r="U50" s="196">
        <v>109.62</v>
      </c>
      <c r="V50" s="197">
        <v>104.76</v>
      </c>
      <c r="W50" s="195">
        <v>109.62</v>
      </c>
      <c r="X50" s="196">
        <v>109.62</v>
      </c>
      <c r="Y50" s="197">
        <v>104.76</v>
      </c>
      <c r="Z50" s="195">
        <v>109.62</v>
      </c>
      <c r="AA50" s="196">
        <v>109.62</v>
      </c>
      <c r="AB50" s="197">
        <v>104.76</v>
      </c>
      <c r="AC50" s="195">
        <v>109.62</v>
      </c>
      <c r="AD50" s="196">
        <v>109.62</v>
      </c>
      <c r="AE50" s="197">
        <v>104.76</v>
      </c>
      <c r="AF50" s="195"/>
      <c r="AG50" s="196"/>
      <c r="AH50" s="197"/>
      <c r="AI50" s="200" t="s">
        <v>1915</v>
      </c>
      <c r="AJ50" s="193" t="s">
        <v>1631</v>
      </c>
      <c r="AK50" s="201" t="s">
        <v>1614</v>
      </c>
      <c r="AL50" s="205">
        <v>54</v>
      </c>
      <c r="AM50" s="200">
        <v>110.16</v>
      </c>
      <c r="AN50" s="204">
        <v>135</v>
      </c>
      <c r="AO50" s="203"/>
      <c r="AP50" s="207" t="s">
        <v>76</v>
      </c>
      <c r="AQ50" s="199" t="s">
        <v>1620</v>
      </c>
      <c r="AR50" s="202">
        <v>44440</v>
      </c>
      <c r="AS50" s="205">
        <v>2044</v>
      </c>
      <c r="AT50" s="206"/>
      <c r="AU50" s="201" t="s">
        <v>24</v>
      </c>
      <c r="AV50" s="193" t="s">
        <v>1615</v>
      </c>
      <c r="AW50" s="205">
        <v>1587</v>
      </c>
    </row>
    <row r="51" spans="1:49">
      <c r="A51" s="192" t="s">
        <v>77</v>
      </c>
      <c r="B51" s="194" t="s">
        <v>1555</v>
      </c>
      <c r="C51" s="160" t="s">
        <v>1942</v>
      </c>
      <c r="D51" s="193" t="s">
        <v>1944</v>
      </c>
      <c r="E51" s="195">
        <v>350</v>
      </c>
      <c r="F51" s="196">
        <v>350</v>
      </c>
      <c r="G51" s="197">
        <v>350</v>
      </c>
      <c r="H51" s="195">
        <v>350</v>
      </c>
      <c r="I51" s="196">
        <v>350</v>
      </c>
      <c r="J51" s="197">
        <v>350</v>
      </c>
      <c r="K51" s="195">
        <v>350</v>
      </c>
      <c r="L51" s="196">
        <v>350</v>
      </c>
      <c r="M51" s="197">
        <v>350</v>
      </c>
      <c r="N51" s="195">
        <v>340</v>
      </c>
      <c r="O51" s="196">
        <v>340</v>
      </c>
      <c r="P51" s="197">
        <v>340</v>
      </c>
      <c r="Q51" s="195">
        <v>320</v>
      </c>
      <c r="R51" s="196">
        <v>320</v>
      </c>
      <c r="S51" s="197">
        <v>320</v>
      </c>
      <c r="T51" s="195">
        <v>320</v>
      </c>
      <c r="U51" s="196">
        <v>320</v>
      </c>
      <c r="V51" s="197">
        <v>320</v>
      </c>
      <c r="W51" s="195">
        <v>0</v>
      </c>
      <c r="X51" s="196">
        <v>0</v>
      </c>
      <c r="Y51" s="197">
        <v>0</v>
      </c>
      <c r="Z51" s="195">
        <v>0</v>
      </c>
      <c r="AA51" s="196">
        <v>0</v>
      </c>
      <c r="AB51" s="197">
        <v>0</v>
      </c>
      <c r="AC51" s="195">
        <v>0</v>
      </c>
      <c r="AD51" s="196">
        <v>0</v>
      </c>
      <c r="AE51" s="197">
        <v>0</v>
      </c>
      <c r="AF51" s="195"/>
      <c r="AG51" s="196"/>
      <c r="AH51" s="197"/>
      <c r="AI51" s="200" t="s">
        <v>1943</v>
      </c>
      <c r="AJ51" s="193" t="s">
        <v>1739</v>
      </c>
      <c r="AK51" s="201" t="s">
        <v>1740</v>
      </c>
      <c r="AL51" s="205">
        <v>1</v>
      </c>
      <c r="AM51" s="200"/>
      <c r="AN51" s="204">
        <v>350</v>
      </c>
      <c r="AO51" s="203"/>
      <c r="AP51" s="207" t="s">
        <v>76</v>
      </c>
      <c r="AQ51" s="199" t="s">
        <v>1619</v>
      </c>
      <c r="AR51" s="202"/>
      <c r="AS51" s="205">
        <v>2028</v>
      </c>
      <c r="AT51" s="206"/>
      <c r="AU51" s="201" t="s">
        <v>24</v>
      </c>
      <c r="AV51" s="193" t="s">
        <v>11</v>
      </c>
      <c r="AW51" s="205">
        <v>1035</v>
      </c>
    </row>
    <row r="52" spans="1:49">
      <c r="A52" s="192" t="s">
        <v>77</v>
      </c>
      <c r="B52" s="194" t="s">
        <v>1555</v>
      </c>
      <c r="C52" s="160" t="s">
        <v>1942</v>
      </c>
      <c r="D52" s="193" t="s">
        <v>1945</v>
      </c>
      <c r="E52" s="195">
        <v>350</v>
      </c>
      <c r="F52" s="196">
        <v>350</v>
      </c>
      <c r="G52" s="197">
        <v>350</v>
      </c>
      <c r="H52" s="195">
        <v>350</v>
      </c>
      <c r="I52" s="196">
        <v>350</v>
      </c>
      <c r="J52" s="197">
        <v>350</v>
      </c>
      <c r="K52" s="195">
        <v>350</v>
      </c>
      <c r="L52" s="196">
        <v>350</v>
      </c>
      <c r="M52" s="197">
        <v>350</v>
      </c>
      <c r="N52" s="195">
        <v>340</v>
      </c>
      <c r="O52" s="196">
        <v>340</v>
      </c>
      <c r="P52" s="197">
        <v>340</v>
      </c>
      <c r="Q52" s="195">
        <v>320</v>
      </c>
      <c r="R52" s="196">
        <v>320</v>
      </c>
      <c r="S52" s="197">
        <v>320</v>
      </c>
      <c r="T52" s="195">
        <v>320</v>
      </c>
      <c r="U52" s="196">
        <v>320</v>
      </c>
      <c r="V52" s="197">
        <v>320</v>
      </c>
      <c r="W52" s="195">
        <v>0</v>
      </c>
      <c r="X52" s="196">
        <v>0</v>
      </c>
      <c r="Y52" s="197">
        <v>0</v>
      </c>
      <c r="Z52" s="195">
        <v>0</v>
      </c>
      <c r="AA52" s="196">
        <v>0</v>
      </c>
      <c r="AB52" s="197">
        <v>0</v>
      </c>
      <c r="AC52" s="195">
        <v>0</v>
      </c>
      <c r="AD52" s="196">
        <v>0</v>
      </c>
      <c r="AE52" s="197">
        <v>0</v>
      </c>
      <c r="AF52" s="195"/>
      <c r="AG52" s="196"/>
      <c r="AH52" s="197"/>
      <c r="AI52" s="200" t="s">
        <v>1943</v>
      </c>
      <c r="AJ52" s="193" t="s">
        <v>1739</v>
      </c>
      <c r="AK52" s="201" t="s">
        <v>1740</v>
      </c>
      <c r="AL52" s="205">
        <v>1</v>
      </c>
      <c r="AM52" s="200"/>
      <c r="AN52" s="204">
        <v>350</v>
      </c>
      <c r="AO52" s="203"/>
      <c r="AP52" s="207" t="s">
        <v>76</v>
      </c>
      <c r="AQ52" s="199" t="s">
        <v>1619</v>
      </c>
      <c r="AR52" s="202"/>
      <c r="AS52" s="205">
        <v>2028</v>
      </c>
      <c r="AT52" s="206"/>
      <c r="AU52" s="201" t="s">
        <v>24</v>
      </c>
      <c r="AV52" s="193" t="s">
        <v>11</v>
      </c>
      <c r="AW52" s="205">
        <v>1035</v>
      </c>
    </row>
    <row r="53" spans="1:49">
      <c r="A53" s="192" t="s">
        <v>77</v>
      </c>
      <c r="B53" s="194" t="s">
        <v>1555</v>
      </c>
      <c r="C53" s="160" t="s">
        <v>708</v>
      </c>
      <c r="D53" s="193" t="s">
        <v>1947</v>
      </c>
      <c r="E53" s="195">
        <v>0</v>
      </c>
      <c r="F53" s="196">
        <v>300</v>
      </c>
      <c r="G53" s="197">
        <v>300</v>
      </c>
      <c r="H53" s="195">
        <v>466</v>
      </c>
      <c r="I53" s="196">
        <v>466</v>
      </c>
      <c r="J53" s="197">
        <v>434</v>
      </c>
      <c r="K53" s="195">
        <v>466</v>
      </c>
      <c r="L53" s="196">
        <v>466</v>
      </c>
      <c r="M53" s="197">
        <v>434</v>
      </c>
      <c r="N53" s="195">
        <v>466</v>
      </c>
      <c r="O53" s="196">
        <v>466</v>
      </c>
      <c r="P53" s="197">
        <v>434</v>
      </c>
      <c r="Q53" s="195">
        <v>466</v>
      </c>
      <c r="R53" s="196">
        <v>466</v>
      </c>
      <c r="S53" s="197">
        <v>434</v>
      </c>
      <c r="T53" s="195">
        <v>466</v>
      </c>
      <c r="U53" s="196">
        <v>466</v>
      </c>
      <c r="V53" s="197">
        <v>434</v>
      </c>
      <c r="W53" s="195">
        <v>466</v>
      </c>
      <c r="X53" s="196">
        <v>466</v>
      </c>
      <c r="Y53" s="197">
        <v>434</v>
      </c>
      <c r="Z53" s="195">
        <v>466</v>
      </c>
      <c r="AA53" s="196">
        <v>466</v>
      </c>
      <c r="AB53" s="197">
        <v>434</v>
      </c>
      <c r="AC53" s="195">
        <v>466</v>
      </c>
      <c r="AD53" s="196">
        <v>466</v>
      </c>
      <c r="AE53" s="197">
        <v>434</v>
      </c>
      <c r="AF53" s="195">
        <v>466</v>
      </c>
      <c r="AG53" s="196">
        <v>466</v>
      </c>
      <c r="AH53" s="197">
        <v>434</v>
      </c>
      <c r="AI53" s="200" t="s">
        <v>709</v>
      </c>
      <c r="AJ53" s="193" t="s">
        <v>1946</v>
      </c>
      <c r="AK53" s="201" t="s">
        <v>1740</v>
      </c>
      <c r="AL53" s="205">
        <v>1</v>
      </c>
      <c r="AM53" s="200"/>
      <c r="AN53" s="204">
        <v>424</v>
      </c>
      <c r="AO53" s="203"/>
      <c r="AP53" s="207" t="s">
        <v>76</v>
      </c>
      <c r="AQ53" s="199" t="s">
        <v>1619</v>
      </c>
      <c r="AR53" s="202"/>
      <c r="AS53" s="205"/>
      <c r="AT53" s="206"/>
      <c r="AU53" s="201" t="s">
        <v>24</v>
      </c>
      <c r="AV53" s="193" t="s">
        <v>11</v>
      </c>
      <c r="AW53" s="205">
        <v>1036</v>
      </c>
    </row>
    <row r="54" spans="1:49">
      <c r="A54" s="192" t="s">
        <v>77</v>
      </c>
      <c r="B54" s="194" t="s">
        <v>1555</v>
      </c>
      <c r="C54" s="160" t="s">
        <v>708</v>
      </c>
      <c r="D54" s="193" t="s">
        <v>1948</v>
      </c>
      <c r="E54" s="195">
        <v>0</v>
      </c>
      <c r="F54" s="196">
        <v>350</v>
      </c>
      <c r="G54" s="197">
        <v>350</v>
      </c>
      <c r="H54" s="195">
        <v>466</v>
      </c>
      <c r="I54" s="196">
        <v>466</v>
      </c>
      <c r="J54" s="197">
        <v>434</v>
      </c>
      <c r="K54" s="195">
        <v>466</v>
      </c>
      <c r="L54" s="196">
        <v>466</v>
      </c>
      <c r="M54" s="197">
        <v>434</v>
      </c>
      <c r="N54" s="195">
        <v>466</v>
      </c>
      <c r="O54" s="196">
        <v>466</v>
      </c>
      <c r="P54" s="197">
        <v>434</v>
      </c>
      <c r="Q54" s="195">
        <v>466</v>
      </c>
      <c r="R54" s="196">
        <v>466</v>
      </c>
      <c r="S54" s="197">
        <v>434</v>
      </c>
      <c r="T54" s="195">
        <v>466</v>
      </c>
      <c r="U54" s="196">
        <v>466</v>
      </c>
      <c r="V54" s="197">
        <v>434</v>
      </c>
      <c r="W54" s="195">
        <v>466</v>
      </c>
      <c r="X54" s="196">
        <v>466</v>
      </c>
      <c r="Y54" s="197">
        <v>434</v>
      </c>
      <c r="Z54" s="195">
        <v>466</v>
      </c>
      <c r="AA54" s="196">
        <v>466</v>
      </c>
      <c r="AB54" s="197">
        <v>434</v>
      </c>
      <c r="AC54" s="195">
        <v>466</v>
      </c>
      <c r="AD54" s="196">
        <v>466</v>
      </c>
      <c r="AE54" s="197">
        <v>434</v>
      </c>
      <c r="AF54" s="195">
        <v>466</v>
      </c>
      <c r="AG54" s="196">
        <v>466</v>
      </c>
      <c r="AH54" s="197">
        <v>434</v>
      </c>
      <c r="AI54" s="200" t="s">
        <v>709</v>
      </c>
      <c r="AJ54" s="193" t="s">
        <v>1946</v>
      </c>
      <c r="AK54" s="201" t="s">
        <v>1740</v>
      </c>
      <c r="AL54" s="205">
        <v>1</v>
      </c>
      <c r="AM54" s="200"/>
      <c r="AN54" s="204">
        <v>420</v>
      </c>
      <c r="AO54" s="203"/>
      <c r="AP54" s="207" t="s">
        <v>76</v>
      </c>
      <c r="AQ54" s="199" t="s">
        <v>1619</v>
      </c>
      <c r="AR54" s="202">
        <v>45292</v>
      </c>
      <c r="AS54" s="205"/>
      <c r="AT54" s="206"/>
      <c r="AU54" s="201" t="s">
        <v>24</v>
      </c>
      <c r="AV54" s="193" t="s">
        <v>11</v>
      </c>
      <c r="AW54" s="205">
        <v>1036</v>
      </c>
    </row>
    <row r="55" spans="1:49">
      <c r="A55" s="192" t="s">
        <v>91</v>
      </c>
      <c r="B55" s="194" t="s">
        <v>1555</v>
      </c>
      <c r="C55" s="160" t="s">
        <v>1962</v>
      </c>
      <c r="D55" s="193" t="s">
        <v>1964</v>
      </c>
      <c r="E55" s="195">
        <v>46</v>
      </c>
      <c r="F55" s="196">
        <v>46</v>
      </c>
      <c r="G55" s="197">
        <v>0</v>
      </c>
      <c r="H55" s="195">
        <v>46</v>
      </c>
      <c r="I55" s="196">
        <v>46</v>
      </c>
      <c r="J55" s="197">
        <v>0</v>
      </c>
      <c r="K55" s="195">
        <v>46</v>
      </c>
      <c r="L55" s="196">
        <v>46</v>
      </c>
      <c r="M55" s="197">
        <v>0</v>
      </c>
      <c r="N55" s="195">
        <v>46</v>
      </c>
      <c r="O55" s="196">
        <v>46</v>
      </c>
      <c r="P55" s="197">
        <v>0</v>
      </c>
      <c r="Q55" s="195">
        <v>46</v>
      </c>
      <c r="R55" s="196">
        <v>46</v>
      </c>
      <c r="S55" s="197">
        <v>0</v>
      </c>
      <c r="T55" s="195">
        <v>46</v>
      </c>
      <c r="U55" s="196">
        <v>46</v>
      </c>
      <c r="V55" s="197">
        <v>0</v>
      </c>
      <c r="W55" s="195">
        <v>46</v>
      </c>
      <c r="X55" s="196">
        <v>46</v>
      </c>
      <c r="Y55" s="197">
        <v>0</v>
      </c>
      <c r="Z55" s="195">
        <v>46</v>
      </c>
      <c r="AA55" s="196">
        <v>46</v>
      </c>
      <c r="AB55" s="197">
        <v>0</v>
      </c>
      <c r="AC55" s="195">
        <v>46</v>
      </c>
      <c r="AD55" s="196">
        <v>46</v>
      </c>
      <c r="AE55" s="197">
        <v>0</v>
      </c>
      <c r="AF55" s="195">
        <v>46</v>
      </c>
      <c r="AG55" s="196">
        <v>46</v>
      </c>
      <c r="AH55" s="197">
        <v>0</v>
      </c>
      <c r="AI55" s="200" t="s">
        <v>1963</v>
      </c>
      <c r="AJ55" s="193" t="s">
        <v>1625</v>
      </c>
      <c r="AK55" s="201" t="s">
        <v>1609</v>
      </c>
      <c r="AL55" s="205">
        <v>23</v>
      </c>
      <c r="AM55" s="200">
        <v>46</v>
      </c>
      <c r="AN55" s="204">
        <v>46</v>
      </c>
      <c r="AO55" s="203"/>
      <c r="AP55" s="207" t="s">
        <v>76</v>
      </c>
      <c r="AQ55" s="199" t="s">
        <v>1620</v>
      </c>
      <c r="AR55" s="202"/>
      <c r="AS55" s="205">
        <v>2035</v>
      </c>
      <c r="AT55" s="206"/>
      <c r="AU55" s="201" t="s">
        <v>24</v>
      </c>
      <c r="AV55" s="193" t="s">
        <v>16</v>
      </c>
      <c r="AW55" s="205">
        <v>1037</v>
      </c>
    </row>
    <row r="56" spans="1:49">
      <c r="A56" s="192" t="s">
        <v>45</v>
      </c>
      <c r="B56" s="194" t="s">
        <v>1599</v>
      </c>
      <c r="C56" s="160" t="s">
        <v>147</v>
      </c>
      <c r="D56" s="193" t="s">
        <v>1973</v>
      </c>
      <c r="E56" s="195">
        <v>82.5</v>
      </c>
      <c r="F56" s="196">
        <v>99.99</v>
      </c>
      <c r="G56" s="197">
        <v>99</v>
      </c>
      <c r="H56" s="195">
        <v>99.99</v>
      </c>
      <c r="I56" s="196">
        <v>99.99</v>
      </c>
      <c r="J56" s="197">
        <v>99</v>
      </c>
      <c r="K56" s="195">
        <v>99.99</v>
      </c>
      <c r="L56" s="196">
        <v>99.99</v>
      </c>
      <c r="M56" s="197">
        <v>99</v>
      </c>
      <c r="N56" s="195">
        <v>99.99</v>
      </c>
      <c r="O56" s="196">
        <v>99.99</v>
      </c>
      <c r="P56" s="197">
        <v>99</v>
      </c>
      <c r="Q56" s="195">
        <v>99.99</v>
      </c>
      <c r="R56" s="196">
        <v>99.99</v>
      </c>
      <c r="S56" s="197">
        <v>99</v>
      </c>
      <c r="T56" s="195">
        <v>99.99</v>
      </c>
      <c r="U56" s="196">
        <v>99.99</v>
      </c>
      <c r="V56" s="197">
        <v>99</v>
      </c>
      <c r="W56" s="195">
        <v>99.99</v>
      </c>
      <c r="X56" s="196">
        <v>99.99</v>
      </c>
      <c r="Y56" s="197">
        <v>99</v>
      </c>
      <c r="Z56" s="195">
        <v>99.99</v>
      </c>
      <c r="AA56" s="196">
        <v>99.99</v>
      </c>
      <c r="AB56" s="197">
        <v>99</v>
      </c>
      <c r="AC56" s="195">
        <v>99.99</v>
      </c>
      <c r="AD56" s="196">
        <v>99.99</v>
      </c>
      <c r="AE56" s="197">
        <v>99</v>
      </c>
      <c r="AF56" s="195">
        <v>99.99</v>
      </c>
      <c r="AG56" s="196">
        <v>99.99</v>
      </c>
      <c r="AH56" s="197">
        <v>99</v>
      </c>
      <c r="AI56" s="200" t="s">
        <v>1972</v>
      </c>
      <c r="AJ56" s="193" t="s">
        <v>1602</v>
      </c>
      <c r="AK56" s="201" t="s">
        <v>1603</v>
      </c>
      <c r="AL56" s="205">
        <v>33</v>
      </c>
      <c r="AM56" s="200">
        <v>0</v>
      </c>
      <c r="AN56" s="204">
        <v>100.32</v>
      </c>
      <c r="AO56" s="203">
        <v>200</v>
      </c>
      <c r="AP56" s="207" t="s">
        <v>26</v>
      </c>
      <c r="AQ56" s="199" t="s">
        <v>1619</v>
      </c>
      <c r="AR56" s="202">
        <v>45108</v>
      </c>
      <c r="AS56" s="205">
        <v>2043</v>
      </c>
      <c r="AT56" s="206"/>
      <c r="AU56" s="201" t="s">
        <v>26</v>
      </c>
      <c r="AV56" s="193" t="s">
        <v>19</v>
      </c>
      <c r="AW56" s="205">
        <v>1890</v>
      </c>
    </row>
    <row r="57" spans="1:49">
      <c r="A57" s="192" t="s">
        <v>105</v>
      </c>
      <c r="B57" s="194" t="s">
        <v>1555</v>
      </c>
      <c r="C57" s="160" t="s">
        <v>1994</v>
      </c>
      <c r="D57" s="193" t="s">
        <v>1995</v>
      </c>
      <c r="E57" s="195">
        <v>174</v>
      </c>
      <c r="F57" s="196">
        <v>174</v>
      </c>
      <c r="G57" s="197">
        <v>174</v>
      </c>
      <c r="H57" s="195">
        <v>174</v>
      </c>
      <c r="I57" s="196">
        <v>174</v>
      </c>
      <c r="J57" s="197">
        <v>174</v>
      </c>
      <c r="K57" s="195">
        <v>174</v>
      </c>
      <c r="L57" s="196">
        <v>161</v>
      </c>
      <c r="M57" s="197">
        <v>161</v>
      </c>
      <c r="N57" s="195">
        <v>174</v>
      </c>
      <c r="O57" s="196">
        <v>174</v>
      </c>
      <c r="P57" s="197">
        <v>174</v>
      </c>
      <c r="Q57" s="195">
        <v>174</v>
      </c>
      <c r="R57" s="196">
        <v>174</v>
      </c>
      <c r="S57" s="197">
        <v>174</v>
      </c>
      <c r="T57" s="195">
        <v>174</v>
      </c>
      <c r="U57" s="196">
        <v>174</v>
      </c>
      <c r="V57" s="197">
        <v>174</v>
      </c>
      <c r="W57" s="195">
        <v>174</v>
      </c>
      <c r="X57" s="196">
        <v>174</v>
      </c>
      <c r="Y57" s="197">
        <v>174</v>
      </c>
      <c r="Z57" s="195">
        <v>150</v>
      </c>
      <c r="AA57" s="196">
        <v>174</v>
      </c>
      <c r="AB57" s="197">
        <v>174</v>
      </c>
      <c r="AC57" s="195">
        <v>174</v>
      </c>
      <c r="AD57" s="196">
        <v>174</v>
      </c>
      <c r="AE57" s="197">
        <v>174</v>
      </c>
      <c r="AF57" s="195">
        <v>174</v>
      </c>
      <c r="AG57" s="196">
        <v>174</v>
      </c>
      <c r="AH57" s="197">
        <v>174</v>
      </c>
      <c r="AI57" s="200" t="s">
        <v>1735</v>
      </c>
      <c r="AJ57" s="193" t="s">
        <v>1700</v>
      </c>
      <c r="AK57" s="201" t="s">
        <v>1658</v>
      </c>
      <c r="AL57" s="205">
        <v>8</v>
      </c>
      <c r="AM57" s="200">
        <v>176.7</v>
      </c>
      <c r="AN57" s="204">
        <v>176.7</v>
      </c>
      <c r="AO57" s="203"/>
      <c r="AP57" s="207" t="s">
        <v>76</v>
      </c>
      <c r="AQ57" s="199" t="s">
        <v>1619</v>
      </c>
      <c r="AR57" s="202"/>
      <c r="AS57" s="205">
        <v>2100</v>
      </c>
      <c r="AT57" s="206"/>
      <c r="AU57" s="201" t="s">
        <v>24</v>
      </c>
      <c r="AV57" s="193" t="s">
        <v>17</v>
      </c>
      <c r="AW57" s="205">
        <v>1041</v>
      </c>
    </row>
    <row r="58" spans="1:49">
      <c r="A58" s="192" t="s">
        <v>91</v>
      </c>
      <c r="B58" s="194" t="s">
        <v>1555</v>
      </c>
      <c r="C58" s="160" t="s">
        <v>1996</v>
      </c>
      <c r="D58" s="193" t="s">
        <v>1998</v>
      </c>
      <c r="E58" s="195">
        <v>62</v>
      </c>
      <c r="F58" s="196">
        <v>62</v>
      </c>
      <c r="G58" s="197">
        <v>0</v>
      </c>
      <c r="H58" s="195">
        <v>62</v>
      </c>
      <c r="I58" s="196">
        <v>62</v>
      </c>
      <c r="J58" s="197">
        <v>0</v>
      </c>
      <c r="K58" s="195">
        <v>62</v>
      </c>
      <c r="L58" s="196">
        <v>62</v>
      </c>
      <c r="M58" s="197">
        <v>0</v>
      </c>
      <c r="N58" s="195">
        <v>62</v>
      </c>
      <c r="O58" s="196">
        <v>62</v>
      </c>
      <c r="P58" s="197">
        <v>0</v>
      </c>
      <c r="Q58" s="195">
        <v>62</v>
      </c>
      <c r="R58" s="196">
        <v>62</v>
      </c>
      <c r="S58" s="197">
        <v>0</v>
      </c>
      <c r="T58" s="195">
        <v>62</v>
      </c>
      <c r="U58" s="196">
        <v>62</v>
      </c>
      <c r="V58" s="197">
        <v>0</v>
      </c>
      <c r="W58" s="195">
        <v>62</v>
      </c>
      <c r="X58" s="196">
        <v>62</v>
      </c>
      <c r="Y58" s="197">
        <v>0</v>
      </c>
      <c r="Z58" s="195">
        <v>62</v>
      </c>
      <c r="AA58" s="196">
        <v>0</v>
      </c>
      <c r="AB58" s="197">
        <v>0</v>
      </c>
      <c r="AC58" s="195">
        <v>0</v>
      </c>
      <c r="AD58" s="196">
        <v>0</v>
      </c>
      <c r="AE58" s="197">
        <v>0</v>
      </c>
      <c r="AF58" s="195">
        <v>0</v>
      </c>
      <c r="AG58" s="196">
        <v>0</v>
      </c>
      <c r="AH58" s="197">
        <v>0</v>
      </c>
      <c r="AI58" s="200" t="s">
        <v>1997</v>
      </c>
      <c r="AJ58" s="193" t="s">
        <v>1625</v>
      </c>
      <c r="AK58" s="201" t="s">
        <v>1609</v>
      </c>
      <c r="AL58" s="205">
        <v>31</v>
      </c>
      <c r="AM58" s="200">
        <v>62</v>
      </c>
      <c r="AN58" s="204">
        <v>62</v>
      </c>
      <c r="AO58" s="203"/>
      <c r="AP58" s="207" t="s">
        <v>76</v>
      </c>
      <c r="AQ58" s="199" t="s">
        <v>1620</v>
      </c>
      <c r="AR58" s="202"/>
      <c r="AS58" s="205">
        <v>2030</v>
      </c>
      <c r="AT58" s="206"/>
      <c r="AU58" s="201" t="s">
        <v>24</v>
      </c>
      <c r="AV58" s="193" t="s">
        <v>16</v>
      </c>
      <c r="AW58" s="205">
        <v>1042</v>
      </c>
    </row>
    <row r="59" spans="1:49">
      <c r="A59" s="192" t="s">
        <v>105</v>
      </c>
      <c r="B59" s="194" t="s">
        <v>1555</v>
      </c>
      <c r="C59" s="160" t="s">
        <v>628</v>
      </c>
      <c r="D59" s="193" t="s">
        <v>630</v>
      </c>
      <c r="E59" s="195">
        <v>144</v>
      </c>
      <c r="F59" s="196">
        <v>144</v>
      </c>
      <c r="G59" s="197">
        <v>144</v>
      </c>
      <c r="H59" s="195">
        <v>144</v>
      </c>
      <c r="I59" s="196">
        <v>144</v>
      </c>
      <c r="J59" s="197">
        <v>144</v>
      </c>
      <c r="K59" s="195">
        <v>144</v>
      </c>
      <c r="L59" s="196">
        <v>144</v>
      </c>
      <c r="M59" s="197">
        <v>144</v>
      </c>
      <c r="N59" s="195">
        <v>144</v>
      </c>
      <c r="O59" s="196">
        <v>144</v>
      </c>
      <c r="P59" s="197">
        <v>144</v>
      </c>
      <c r="Q59" s="195">
        <v>144</v>
      </c>
      <c r="R59" s="196">
        <v>144</v>
      </c>
      <c r="S59" s="197">
        <v>144</v>
      </c>
      <c r="T59" s="195">
        <v>144</v>
      </c>
      <c r="U59" s="196">
        <v>144</v>
      </c>
      <c r="V59" s="197">
        <v>144</v>
      </c>
      <c r="W59" s="195">
        <v>144</v>
      </c>
      <c r="X59" s="196">
        <v>144</v>
      </c>
      <c r="Y59" s="197">
        <v>144</v>
      </c>
      <c r="Z59" s="195">
        <v>144</v>
      </c>
      <c r="AA59" s="196">
        <v>144</v>
      </c>
      <c r="AB59" s="197">
        <v>144</v>
      </c>
      <c r="AC59" s="195">
        <v>144</v>
      </c>
      <c r="AD59" s="196">
        <v>144</v>
      </c>
      <c r="AE59" s="197">
        <v>144</v>
      </c>
      <c r="AF59" s="195">
        <v>144</v>
      </c>
      <c r="AG59" s="196">
        <v>144</v>
      </c>
      <c r="AH59" s="197">
        <v>144</v>
      </c>
      <c r="AI59" s="200" t="s">
        <v>629</v>
      </c>
      <c r="AJ59" s="193" t="s">
        <v>1625</v>
      </c>
      <c r="AK59" s="201" t="s">
        <v>1609</v>
      </c>
      <c r="AL59" s="205">
        <v>45</v>
      </c>
      <c r="AM59" s="200">
        <v>135</v>
      </c>
      <c r="AN59" s="204">
        <v>144</v>
      </c>
      <c r="AO59" s="203"/>
      <c r="AP59" s="207" t="s">
        <v>76</v>
      </c>
      <c r="AQ59" s="199" t="s">
        <v>1620</v>
      </c>
      <c r="AR59" s="202">
        <v>44228</v>
      </c>
      <c r="AS59" s="205">
        <v>2044</v>
      </c>
      <c r="AT59" s="206"/>
      <c r="AU59" s="201" t="s">
        <v>24</v>
      </c>
      <c r="AV59" s="193" t="s">
        <v>16</v>
      </c>
      <c r="AW59" s="205">
        <v>1260</v>
      </c>
    </row>
    <row r="60" spans="1:49">
      <c r="A60" s="192" t="s">
        <v>105</v>
      </c>
      <c r="B60" s="194" t="s">
        <v>1555</v>
      </c>
      <c r="C60" s="160" t="s">
        <v>2009</v>
      </c>
      <c r="D60" s="193" t="s">
        <v>2010</v>
      </c>
      <c r="E60" s="195">
        <v>95</v>
      </c>
      <c r="F60" s="196">
        <v>95</v>
      </c>
      <c r="G60" s="197">
        <v>95</v>
      </c>
      <c r="H60" s="195">
        <v>95</v>
      </c>
      <c r="I60" s="196">
        <v>0</v>
      </c>
      <c r="J60" s="197">
        <v>0</v>
      </c>
      <c r="K60" s="195">
        <v>95</v>
      </c>
      <c r="L60" s="196">
        <v>95</v>
      </c>
      <c r="M60" s="197">
        <v>95</v>
      </c>
      <c r="N60" s="195">
        <v>95</v>
      </c>
      <c r="O60" s="196">
        <v>95</v>
      </c>
      <c r="P60" s="197">
        <v>95</v>
      </c>
      <c r="Q60" s="195">
        <v>95</v>
      </c>
      <c r="R60" s="196">
        <v>95</v>
      </c>
      <c r="S60" s="197">
        <v>95</v>
      </c>
      <c r="T60" s="195">
        <v>95</v>
      </c>
      <c r="U60" s="196">
        <v>95</v>
      </c>
      <c r="V60" s="197">
        <v>95</v>
      </c>
      <c r="W60" s="195">
        <v>95</v>
      </c>
      <c r="X60" s="196">
        <v>95</v>
      </c>
      <c r="Y60" s="197">
        <v>95</v>
      </c>
      <c r="Z60" s="195">
        <v>95</v>
      </c>
      <c r="AA60" s="196">
        <v>95</v>
      </c>
      <c r="AB60" s="197">
        <v>95</v>
      </c>
      <c r="AC60" s="195">
        <v>95</v>
      </c>
      <c r="AD60" s="196">
        <v>95</v>
      </c>
      <c r="AE60" s="197">
        <v>95</v>
      </c>
      <c r="AF60" s="195">
        <v>95</v>
      </c>
      <c r="AG60" s="196">
        <v>95</v>
      </c>
      <c r="AH60" s="197">
        <v>95</v>
      </c>
      <c r="AI60" s="200" t="s">
        <v>1735</v>
      </c>
      <c r="AJ60" s="193" t="s">
        <v>1700</v>
      </c>
      <c r="AK60" s="201" t="s">
        <v>1658</v>
      </c>
      <c r="AL60" s="205">
        <v>1</v>
      </c>
      <c r="AM60" s="200">
        <v>85</v>
      </c>
      <c r="AN60" s="204">
        <v>85</v>
      </c>
      <c r="AO60" s="203"/>
      <c r="AP60" s="207" t="s">
        <v>76</v>
      </c>
      <c r="AQ60" s="199" t="s">
        <v>1619</v>
      </c>
      <c r="AR60" s="202"/>
      <c r="AS60" s="205">
        <v>2100</v>
      </c>
      <c r="AT60" s="206"/>
      <c r="AU60" s="201" t="s">
        <v>24</v>
      </c>
      <c r="AV60" s="193" t="s">
        <v>17</v>
      </c>
      <c r="AW60" s="205">
        <v>1043</v>
      </c>
    </row>
    <row r="61" spans="1:49">
      <c r="A61" s="192" t="s">
        <v>110</v>
      </c>
      <c r="B61" s="194" t="s">
        <v>1555</v>
      </c>
      <c r="C61" s="160" t="s">
        <v>676</v>
      </c>
      <c r="D61" s="193" t="s">
        <v>678</v>
      </c>
      <c r="E61" s="195">
        <v>57.6</v>
      </c>
      <c r="F61" s="196">
        <v>57.6</v>
      </c>
      <c r="G61" s="197">
        <v>57.6</v>
      </c>
      <c r="H61" s="195">
        <v>57.6</v>
      </c>
      <c r="I61" s="196">
        <v>57.6</v>
      </c>
      <c r="J61" s="197">
        <v>57.6</v>
      </c>
      <c r="K61" s="195">
        <v>57.6</v>
      </c>
      <c r="L61" s="196">
        <v>57.6</v>
      </c>
      <c r="M61" s="197">
        <v>57.6</v>
      </c>
      <c r="N61" s="195">
        <v>57.6</v>
      </c>
      <c r="O61" s="196">
        <v>57.6</v>
      </c>
      <c r="P61" s="197">
        <v>57.6</v>
      </c>
      <c r="Q61" s="195">
        <v>57.6</v>
      </c>
      <c r="R61" s="196">
        <v>57.6</v>
      </c>
      <c r="S61" s="197">
        <v>57.6</v>
      </c>
      <c r="T61" s="195">
        <v>57.6</v>
      </c>
      <c r="U61" s="196">
        <v>57.6</v>
      </c>
      <c r="V61" s="197">
        <v>57.6</v>
      </c>
      <c r="W61" s="195">
        <v>57.6</v>
      </c>
      <c r="X61" s="196">
        <v>57.6</v>
      </c>
      <c r="Y61" s="197">
        <v>57.6</v>
      </c>
      <c r="Z61" s="195">
        <v>57.6</v>
      </c>
      <c r="AA61" s="196">
        <v>57.6</v>
      </c>
      <c r="AB61" s="197">
        <v>57.6</v>
      </c>
      <c r="AC61" s="195">
        <v>57.6</v>
      </c>
      <c r="AD61" s="196">
        <v>57.6</v>
      </c>
      <c r="AE61" s="197">
        <v>57.6</v>
      </c>
      <c r="AF61" s="195">
        <v>57.6</v>
      </c>
      <c r="AG61" s="196">
        <v>57.6</v>
      </c>
      <c r="AH61" s="197">
        <v>57.6</v>
      </c>
      <c r="AI61" s="200" t="s">
        <v>677</v>
      </c>
      <c r="AJ61" s="193" t="s">
        <v>1625</v>
      </c>
      <c r="AK61" s="201" t="s">
        <v>1609</v>
      </c>
      <c r="AL61" s="205">
        <v>16</v>
      </c>
      <c r="AM61" s="200">
        <v>57.6</v>
      </c>
      <c r="AN61" s="204">
        <v>57.6</v>
      </c>
      <c r="AO61" s="203"/>
      <c r="AP61" s="207" t="s">
        <v>76</v>
      </c>
      <c r="AQ61" s="199" t="s">
        <v>1620</v>
      </c>
      <c r="AR61" s="202">
        <v>44013</v>
      </c>
      <c r="AS61" s="205">
        <v>2050</v>
      </c>
      <c r="AT61" s="206"/>
      <c r="AU61" s="201" t="s">
        <v>24</v>
      </c>
      <c r="AV61" s="193" t="s">
        <v>16</v>
      </c>
      <c r="AW61" s="205">
        <v>1263</v>
      </c>
    </row>
    <row r="62" spans="1:49">
      <c r="A62" s="192" t="s">
        <v>77</v>
      </c>
      <c r="B62" s="194" t="s">
        <v>1555</v>
      </c>
      <c r="C62" s="160" t="s">
        <v>814</v>
      </c>
      <c r="D62" s="193" t="s">
        <v>816</v>
      </c>
      <c r="E62" s="195">
        <v>55.87</v>
      </c>
      <c r="F62" s="196">
        <v>55.87</v>
      </c>
      <c r="G62" s="197">
        <v>55.87</v>
      </c>
      <c r="H62" s="195">
        <v>55.87</v>
      </c>
      <c r="I62" s="196">
        <v>55.87</v>
      </c>
      <c r="J62" s="197">
        <v>55.87</v>
      </c>
      <c r="K62" s="195">
        <v>55.87</v>
      </c>
      <c r="L62" s="196">
        <v>55.87</v>
      </c>
      <c r="M62" s="197">
        <v>55.87</v>
      </c>
      <c r="N62" s="195">
        <v>55.87</v>
      </c>
      <c r="O62" s="196">
        <v>55.87</v>
      </c>
      <c r="P62" s="197">
        <v>55.87</v>
      </c>
      <c r="Q62" s="195">
        <v>55.87</v>
      </c>
      <c r="R62" s="196">
        <v>55.87</v>
      </c>
      <c r="S62" s="197">
        <v>55.87</v>
      </c>
      <c r="T62" s="195">
        <v>55.87</v>
      </c>
      <c r="U62" s="196">
        <v>55.87</v>
      </c>
      <c r="V62" s="197">
        <v>55.87</v>
      </c>
      <c r="W62" s="195">
        <v>55.87</v>
      </c>
      <c r="X62" s="196">
        <v>55.87</v>
      </c>
      <c r="Y62" s="197">
        <v>55.87</v>
      </c>
      <c r="Z62" s="195">
        <v>55.87</v>
      </c>
      <c r="AA62" s="196">
        <v>55.87</v>
      </c>
      <c r="AB62" s="197">
        <v>55.87</v>
      </c>
      <c r="AC62" s="195">
        <v>55.87</v>
      </c>
      <c r="AD62" s="196">
        <v>55.87</v>
      </c>
      <c r="AE62" s="197">
        <v>55.87</v>
      </c>
      <c r="AF62" s="195">
        <v>55.87</v>
      </c>
      <c r="AG62" s="196">
        <v>55.87</v>
      </c>
      <c r="AH62" s="197">
        <v>55.87</v>
      </c>
      <c r="AI62" s="200" t="s">
        <v>2022</v>
      </c>
      <c r="AJ62" s="193" t="s">
        <v>1631</v>
      </c>
      <c r="AK62" s="201" t="s">
        <v>1614</v>
      </c>
      <c r="AL62" s="205">
        <v>37</v>
      </c>
      <c r="AM62" s="200"/>
      <c r="AN62" s="204">
        <v>64.38</v>
      </c>
      <c r="AO62" s="203"/>
      <c r="AP62" s="207" t="s">
        <v>76</v>
      </c>
      <c r="AQ62" s="199" t="s">
        <v>1620</v>
      </c>
      <c r="AR62" s="202">
        <v>43617</v>
      </c>
      <c r="AS62" s="205">
        <v>2049</v>
      </c>
      <c r="AT62" s="206"/>
      <c r="AU62" s="201" t="s">
        <v>24</v>
      </c>
      <c r="AV62" s="193" t="s">
        <v>1615</v>
      </c>
      <c r="AW62" s="205">
        <v>1441</v>
      </c>
    </row>
    <row r="63" spans="1:49">
      <c r="A63" s="192" t="s">
        <v>91</v>
      </c>
      <c r="B63" s="194" t="s">
        <v>1555</v>
      </c>
      <c r="C63" s="160" t="s">
        <v>351</v>
      </c>
      <c r="D63" s="193" t="s">
        <v>458</v>
      </c>
      <c r="E63" s="195">
        <v>2</v>
      </c>
      <c r="F63" s="196">
        <v>2</v>
      </c>
      <c r="G63" s="197">
        <v>2</v>
      </c>
      <c r="H63" s="195">
        <v>2</v>
      </c>
      <c r="I63" s="196">
        <v>2</v>
      </c>
      <c r="J63" s="197">
        <v>2</v>
      </c>
      <c r="K63" s="195">
        <v>2</v>
      </c>
      <c r="L63" s="196">
        <v>2</v>
      </c>
      <c r="M63" s="197">
        <v>2</v>
      </c>
      <c r="N63" s="195">
        <v>2</v>
      </c>
      <c r="O63" s="196">
        <v>2</v>
      </c>
      <c r="P63" s="197">
        <v>2</v>
      </c>
      <c r="Q63" s="195">
        <v>2</v>
      </c>
      <c r="R63" s="196">
        <v>2</v>
      </c>
      <c r="S63" s="197">
        <v>2</v>
      </c>
      <c r="T63" s="195">
        <v>2</v>
      </c>
      <c r="U63" s="196">
        <v>2</v>
      </c>
      <c r="V63" s="197">
        <v>2</v>
      </c>
      <c r="W63" s="195">
        <v>2</v>
      </c>
      <c r="X63" s="196">
        <v>2</v>
      </c>
      <c r="Y63" s="197">
        <v>2</v>
      </c>
      <c r="Z63" s="195">
        <v>2</v>
      </c>
      <c r="AA63" s="196">
        <v>2</v>
      </c>
      <c r="AB63" s="197">
        <v>2</v>
      </c>
      <c r="AC63" s="195">
        <v>2</v>
      </c>
      <c r="AD63" s="196">
        <v>2</v>
      </c>
      <c r="AE63" s="197">
        <v>2</v>
      </c>
      <c r="AF63" s="195">
        <v>2</v>
      </c>
      <c r="AG63" s="196">
        <v>2</v>
      </c>
      <c r="AH63" s="197">
        <v>2</v>
      </c>
      <c r="AI63" s="200" t="s">
        <v>347</v>
      </c>
      <c r="AJ63" s="193" t="s">
        <v>1602</v>
      </c>
      <c r="AK63" s="201" t="s">
        <v>1603</v>
      </c>
      <c r="AL63" s="205">
        <v>1</v>
      </c>
      <c r="AM63" s="200"/>
      <c r="AN63" s="204">
        <v>2.09</v>
      </c>
      <c r="AO63" s="203">
        <v>4.32</v>
      </c>
      <c r="AP63" s="207" t="s">
        <v>76</v>
      </c>
      <c r="AQ63" s="199" t="s">
        <v>1619</v>
      </c>
      <c r="AR63" s="202">
        <v>44927</v>
      </c>
      <c r="AS63" s="205">
        <v>2041</v>
      </c>
      <c r="AT63" s="206"/>
      <c r="AU63" s="201" t="s">
        <v>24</v>
      </c>
      <c r="AV63" s="193" t="s">
        <v>19</v>
      </c>
      <c r="AW63" s="205">
        <v>1845</v>
      </c>
    </row>
    <row r="64" spans="1:49">
      <c r="A64" s="192" t="s">
        <v>77</v>
      </c>
      <c r="B64" s="194" t="s">
        <v>1555</v>
      </c>
      <c r="C64" s="160" t="s">
        <v>817</v>
      </c>
      <c r="D64" s="193" t="s">
        <v>2031</v>
      </c>
      <c r="E64" s="195">
        <v>99.980999999999995</v>
      </c>
      <c r="F64" s="196">
        <v>96.6</v>
      </c>
      <c r="G64" s="197">
        <v>95.22</v>
      </c>
      <c r="H64" s="195">
        <v>99.980999999999995</v>
      </c>
      <c r="I64" s="196">
        <v>96.6</v>
      </c>
      <c r="J64" s="197">
        <v>95.22</v>
      </c>
      <c r="K64" s="195">
        <v>99.980999999999995</v>
      </c>
      <c r="L64" s="196">
        <v>96.6</v>
      </c>
      <c r="M64" s="197">
        <v>95.22</v>
      </c>
      <c r="N64" s="195">
        <v>99.980999999999995</v>
      </c>
      <c r="O64" s="196">
        <v>96.6</v>
      </c>
      <c r="P64" s="197">
        <v>95.22</v>
      </c>
      <c r="Q64" s="195">
        <v>99.980999999999995</v>
      </c>
      <c r="R64" s="196">
        <v>96.6</v>
      </c>
      <c r="S64" s="197">
        <v>95.22</v>
      </c>
      <c r="T64" s="195">
        <v>99.980999999999995</v>
      </c>
      <c r="U64" s="196">
        <v>96.6</v>
      </c>
      <c r="V64" s="197">
        <v>95.22</v>
      </c>
      <c r="W64" s="195">
        <v>99.980999999999995</v>
      </c>
      <c r="X64" s="196">
        <v>96.6</v>
      </c>
      <c r="Y64" s="197">
        <v>95.22</v>
      </c>
      <c r="Z64" s="195">
        <v>99.980999999999995</v>
      </c>
      <c r="AA64" s="196">
        <v>96.6</v>
      </c>
      <c r="AB64" s="197">
        <v>95.22</v>
      </c>
      <c r="AC64" s="195">
        <v>99.980999999999995</v>
      </c>
      <c r="AD64" s="196">
        <v>96.6</v>
      </c>
      <c r="AE64" s="197">
        <v>95.22</v>
      </c>
      <c r="AF64" s="195">
        <v>99.980999999999995</v>
      </c>
      <c r="AG64" s="196">
        <v>96.6</v>
      </c>
      <c r="AH64" s="197">
        <v>95.22</v>
      </c>
      <c r="AI64" s="200" t="s">
        <v>818</v>
      </c>
      <c r="AJ64" s="193" t="s">
        <v>1631</v>
      </c>
      <c r="AK64" s="201" t="s">
        <v>1614</v>
      </c>
      <c r="AL64" s="205">
        <v>69</v>
      </c>
      <c r="AM64" s="200">
        <v>99.980999999999995</v>
      </c>
      <c r="AN64" s="204">
        <v>110.4</v>
      </c>
      <c r="AO64" s="203"/>
      <c r="AP64" s="207" t="s">
        <v>76</v>
      </c>
      <c r="AQ64" s="199" t="s">
        <v>1620</v>
      </c>
      <c r="AR64" s="202"/>
      <c r="AS64" s="205">
        <v>2047</v>
      </c>
      <c r="AT64" s="206"/>
      <c r="AU64" s="201" t="s">
        <v>24</v>
      </c>
      <c r="AV64" s="193" t="s">
        <v>1615</v>
      </c>
      <c r="AW64" s="205">
        <v>1383</v>
      </c>
    </row>
    <row r="65" spans="1:49">
      <c r="A65" s="192" t="s">
        <v>77</v>
      </c>
      <c r="B65" s="194" t="s">
        <v>1599</v>
      </c>
      <c r="C65" s="160" t="s">
        <v>397</v>
      </c>
      <c r="D65" s="193" t="s">
        <v>399</v>
      </c>
      <c r="E65" s="195">
        <v>0</v>
      </c>
      <c r="F65" s="196">
        <v>23.1</v>
      </c>
      <c r="G65" s="197">
        <v>7.7</v>
      </c>
      <c r="H65" s="195">
        <v>200.2</v>
      </c>
      <c r="I65" s="196">
        <v>338.03</v>
      </c>
      <c r="J65" s="197">
        <v>338.03</v>
      </c>
      <c r="K65" s="195">
        <v>338.03</v>
      </c>
      <c r="L65" s="196">
        <v>338.03</v>
      </c>
      <c r="M65" s="197">
        <v>338.03</v>
      </c>
      <c r="N65" s="195">
        <v>338.03</v>
      </c>
      <c r="O65" s="196">
        <v>338.03</v>
      </c>
      <c r="P65" s="197">
        <v>338.03</v>
      </c>
      <c r="Q65" s="195">
        <v>338.03</v>
      </c>
      <c r="R65" s="196">
        <v>338.03</v>
      </c>
      <c r="S65" s="197">
        <v>338.03</v>
      </c>
      <c r="T65" s="195">
        <v>338.03</v>
      </c>
      <c r="U65" s="196">
        <v>338.03</v>
      </c>
      <c r="V65" s="197">
        <v>338.03</v>
      </c>
      <c r="W65" s="195">
        <v>338.03</v>
      </c>
      <c r="X65" s="196">
        <v>338.03</v>
      </c>
      <c r="Y65" s="197">
        <v>338.03</v>
      </c>
      <c r="Z65" s="195">
        <v>338.03</v>
      </c>
      <c r="AA65" s="196">
        <v>338.03</v>
      </c>
      <c r="AB65" s="197">
        <v>338.03</v>
      </c>
      <c r="AC65" s="195">
        <v>338.03</v>
      </c>
      <c r="AD65" s="196">
        <v>338.03</v>
      </c>
      <c r="AE65" s="197">
        <v>338.03</v>
      </c>
      <c r="AF65" s="195"/>
      <c r="AG65" s="196"/>
      <c r="AH65" s="197"/>
      <c r="AI65" s="200" t="s">
        <v>2033</v>
      </c>
      <c r="AJ65" s="193" t="s">
        <v>1625</v>
      </c>
      <c r="AK65" s="201" t="s">
        <v>1609</v>
      </c>
      <c r="AL65" s="205">
        <v>77</v>
      </c>
      <c r="AM65" s="200">
        <v>0</v>
      </c>
      <c r="AN65" s="204">
        <v>346.5</v>
      </c>
      <c r="AO65" s="203"/>
      <c r="AP65" s="207" t="s">
        <v>26</v>
      </c>
      <c r="AQ65" s="199" t="s">
        <v>1620</v>
      </c>
      <c r="AR65" s="202">
        <v>45505</v>
      </c>
      <c r="AS65" s="205">
        <v>2049</v>
      </c>
      <c r="AT65" s="206"/>
      <c r="AU65" s="201" t="s">
        <v>26</v>
      </c>
      <c r="AV65" s="193" t="s">
        <v>16</v>
      </c>
      <c r="AW65" s="205">
        <v>1988</v>
      </c>
    </row>
    <row r="66" spans="1:49">
      <c r="A66" s="192" t="s">
        <v>77</v>
      </c>
      <c r="B66" s="194" t="s">
        <v>1599</v>
      </c>
      <c r="C66" s="160" t="s">
        <v>397</v>
      </c>
      <c r="D66" s="193" t="s">
        <v>400</v>
      </c>
      <c r="E66" s="195">
        <v>0</v>
      </c>
      <c r="F66" s="196">
        <v>0</v>
      </c>
      <c r="G66" s="197">
        <v>0</v>
      </c>
      <c r="H66" s="195">
        <v>59.8</v>
      </c>
      <c r="I66" s="196">
        <v>100.97</v>
      </c>
      <c r="J66" s="197">
        <v>100.97</v>
      </c>
      <c r="K66" s="195">
        <v>100.97</v>
      </c>
      <c r="L66" s="196">
        <v>100.97</v>
      </c>
      <c r="M66" s="197">
        <v>100.97</v>
      </c>
      <c r="N66" s="195">
        <v>100.97</v>
      </c>
      <c r="O66" s="196">
        <v>100.97</v>
      </c>
      <c r="P66" s="197">
        <v>100.97</v>
      </c>
      <c r="Q66" s="195">
        <v>100.97</v>
      </c>
      <c r="R66" s="196">
        <v>100.97</v>
      </c>
      <c r="S66" s="197">
        <v>100.97</v>
      </c>
      <c r="T66" s="195">
        <v>100.97</v>
      </c>
      <c r="U66" s="196">
        <v>100.97</v>
      </c>
      <c r="V66" s="197">
        <v>100.97</v>
      </c>
      <c r="W66" s="195">
        <v>100.97</v>
      </c>
      <c r="X66" s="196">
        <v>100.97</v>
      </c>
      <c r="Y66" s="197">
        <v>100.97</v>
      </c>
      <c r="Z66" s="195">
        <v>100.97</v>
      </c>
      <c r="AA66" s="196">
        <v>100.97</v>
      </c>
      <c r="AB66" s="197">
        <v>100.97</v>
      </c>
      <c r="AC66" s="195">
        <v>100.97</v>
      </c>
      <c r="AD66" s="196">
        <v>100.97</v>
      </c>
      <c r="AE66" s="197">
        <v>100.97</v>
      </c>
      <c r="AF66" s="195"/>
      <c r="AG66" s="196"/>
      <c r="AH66" s="197"/>
      <c r="AI66" s="200" t="s">
        <v>2033</v>
      </c>
      <c r="AJ66" s="193" t="s">
        <v>1625</v>
      </c>
      <c r="AK66" s="201" t="s">
        <v>1609</v>
      </c>
      <c r="AL66" s="205">
        <v>23</v>
      </c>
      <c r="AM66" s="200">
        <v>0</v>
      </c>
      <c r="AN66" s="204">
        <v>103.5</v>
      </c>
      <c r="AO66" s="203"/>
      <c r="AP66" s="207" t="s">
        <v>26</v>
      </c>
      <c r="AQ66" s="199" t="s">
        <v>1620</v>
      </c>
      <c r="AR66" s="202">
        <v>45505</v>
      </c>
      <c r="AS66" s="205">
        <v>2049</v>
      </c>
      <c r="AT66" s="206"/>
      <c r="AU66" s="201" t="s">
        <v>26</v>
      </c>
      <c r="AV66" s="193" t="s">
        <v>16</v>
      </c>
      <c r="AW66" s="205">
        <v>1988</v>
      </c>
    </row>
    <row r="67" spans="1:49">
      <c r="A67" s="192" t="s">
        <v>91</v>
      </c>
      <c r="B67" s="194" t="s">
        <v>1555</v>
      </c>
      <c r="C67" s="160" t="s">
        <v>2042</v>
      </c>
      <c r="D67" s="193" t="s">
        <v>2043</v>
      </c>
      <c r="E67" s="195">
        <v>56.7</v>
      </c>
      <c r="F67" s="196">
        <v>56.7</v>
      </c>
      <c r="G67" s="197">
        <v>56.7</v>
      </c>
      <c r="H67" s="195">
        <v>56.7</v>
      </c>
      <c r="I67" s="196">
        <v>56.7</v>
      </c>
      <c r="J67" s="197">
        <v>56.7</v>
      </c>
      <c r="K67" s="195">
        <v>56.7</v>
      </c>
      <c r="L67" s="196">
        <v>56.7</v>
      </c>
      <c r="M67" s="197">
        <v>56.7</v>
      </c>
      <c r="N67" s="195">
        <v>56.7</v>
      </c>
      <c r="O67" s="196">
        <v>56.7</v>
      </c>
      <c r="P67" s="197">
        <v>56.7</v>
      </c>
      <c r="Q67" s="195">
        <v>56.7</v>
      </c>
      <c r="R67" s="196">
        <v>56.7</v>
      </c>
      <c r="S67" s="197">
        <v>56.7</v>
      </c>
      <c r="T67" s="195">
        <v>56.7</v>
      </c>
      <c r="U67" s="196">
        <v>56.7</v>
      </c>
      <c r="V67" s="197">
        <v>56.7</v>
      </c>
      <c r="W67" s="195">
        <v>56.7</v>
      </c>
      <c r="X67" s="196">
        <v>56.7</v>
      </c>
      <c r="Y67" s="197">
        <v>56.7</v>
      </c>
      <c r="Z67" s="195">
        <v>56.7</v>
      </c>
      <c r="AA67" s="196">
        <v>56.7</v>
      </c>
      <c r="AB67" s="197">
        <v>56.7</v>
      </c>
      <c r="AC67" s="195">
        <v>56.7</v>
      </c>
      <c r="AD67" s="196">
        <v>56.7</v>
      </c>
      <c r="AE67" s="197">
        <v>56.7</v>
      </c>
      <c r="AF67" s="195">
        <v>56.7</v>
      </c>
      <c r="AG67" s="196">
        <v>56.7</v>
      </c>
      <c r="AH67" s="197">
        <v>56.7</v>
      </c>
      <c r="AI67" s="200" t="s">
        <v>2040</v>
      </c>
      <c r="AJ67" s="193" t="s">
        <v>1625</v>
      </c>
      <c r="AK67" s="201" t="s">
        <v>1609</v>
      </c>
      <c r="AL67" s="205">
        <v>27</v>
      </c>
      <c r="AM67" s="200"/>
      <c r="AN67" s="204">
        <v>56.7</v>
      </c>
      <c r="AO67" s="203"/>
      <c r="AP67" s="207" t="s">
        <v>76</v>
      </c>
      <c r="AQ67" s="199" t="s">
        <v>1620</v>
      </c>
      <c r="AR67" s="202"/>
      <c r="AS67" s="205">
        <v>2039</v>
      </c>
      <c r="AT67" s="206"/>
      <c r="AU67" s="201" t="s">
        <v>24</v>
      </c>
      <c r="AV67" s="193" t="s">
        <v>16</v>
      </c>
      <c r="AW67" s="205">
        <v>1047</v>
      </c>
    </row>
    <row r="68" spans="1:49">
      <c r="A68" s="192" t="s">
        <v>77</v>
      </c>
      <c r="B68" s="194" t="s">
        <v>1555</v>
      </c>
      <c r="C68" s="160" t="s">
        <v>821</v>
      </c>
      <c r="D68" s="193" t="s">
        <v>823</v>
      </c>
      <c r="E68" s="195">
        <v>74.998999999999995</v>
      </c>
      <c r="F68" s="196">
        <v>72.89</v>
      </c>
      <c r="G68" s="197">
        <v>71.41</v>
      </c>
      <c r="H68" s="195">
        <v>74.998999999999995</v>
      </c>
      <c r="I68" s="196">
        <v>72.89</v>
      </c>
      <c r="J68" s="197">
        <v>71.41</v>
      </c>
      <c r="K68" s="195">
        <v>74.998999999999995</v>
      </c>
      <c r="L68" s="196">
        <v>72.89</v>
      </c>
      <c r="M68" s="197">
        <v>71.41</v>
      </c>
      <c r="N68" s="195">
        <v>74.998999999999995</v>
      </c>
      <c r="O68" s="196">
        <v>72.89</v>
      </c>
      <c r="P68" s="197">
        <v>71.41</v>
      </c>
      <c r="Q68" s="195">
        <v>74.998999999999995</v>
      </c>
      <c r="R68" s="196">
        <v>72.89</v>
      </c>
      <c r="S68" s="197">
        <v>71.41</v>
      </c>
      <c r="T68" s="195">
        <v>74.998999999999995</v>
      </c>
      <c r="U68" s="196">
        <v>72.89</v>
      </c>
      <c r="V68" s="197">
        <v>71.41</v>
      </c>
      <c r="W68" s="195">
        <v>74.998999999999995</v>
      </c>
      <c r="X68" s="196">
        <v>72.89</v>
      </c>
      <c r="Y68" s="197">
        <v>71.41</v>
      </c>
      <c r="Z68" s="195">
        <v>74.998999999999995</v>
      </c>
      <c r="AA68" s="196">
        <v>72.89</v>
      </c>
      <c r="AB68" s="197">
        <v>71.41</v>
      </c>
      <c r="AC68" s="195">
        <v>74.998999999999995</v>
      </c>
      <c r="AD68" s="196">
        <v>72.89</v>
      </c>
      <c r="AE68" s="197">
        <v>71.41</v>
      </c>
      <c r="AF68" s="195"/>
      <c r="AG68" s="196"/>
      <c r="AH68" s="197"/>
      <c r="AI68" s="200" t="s">
        <v>822</v>
      </c>
      <c r="AJ68" s="193" t="s">
        <v>1631</v>
      </c>
      <c r="AK68" s="201" t="s">
        <v>1614</v>
      </c>
      <c r="AL68" s="205">
        <v>37</v>
      </c>
      <c r="AM68" s="200">
        <v>75.849999999999994</v>
      </c>
      <c r="AN68" s="204">
        <v>92.5</v>
      </c>
      <c r="AO68" s="203"/>
      <c r="AP68" s="207" t="s">
        <v>76</v>
      </c>
      <c r="AQ68" s="199" t="s">
        <v>1620</v>
      </c>
      <c r="AR68" s="202">
        <v>43525</v>
      </c>
      <c r="AS68" s="205">
        <v>2049</v>
      </c>
      <c r="AT68" s="206"/>
      <c r="AU68" s="201" t="s">
        <v>24</v>
      </c>
      <c r="AV68" s="193" t="s">
        <v>1615</v>
      </c>
      <c r="AW68" s="205">
        <v>1562</v>
      </c>
    </row>
    <row r="69" spans="1:49">
      <c r="A69" s="192" t="s">
        <v>110</v>
      </c>
      <c r="B69" s="194" t="s">
        <v>1555</v>
      </c>
      <c r="C69" s="160" t="s">
        <v>114</v>
      </c>
      <c r="D69" s="193" t="s">
        <v>116</v>
      </c>
      <c r="E69" s="195">
        <v>27.17</v>
      </c>
      <c r="F69" s="196">
        <v>27.17</v>
      </c>
      <c r="G69" s="197">
        <v>24.51</v>
      </c>
      <c r="H69" s="195">
        <v>27.17</v>
      </c>
      <c r="I69" s="196">
        <v>27.17</v>
      </c>
      <c r="J69" s="197">
        <v>24.51</v>
      </c>
      <c r="K69" s="195">
        <v>27.17</v>
      </c>
      <c r="L69" s="196">
        <v>27.17</v>
      </c>
      <c r="M69" s="197">
        <v>24.51</v>
      </c>
      <c r="N69" s="195">
        <v>27.17</v>
      </c>
      <c r="O69" s="196">
        <v>27.17</v>
      </c>
      <c r="P69" s="197">
        <v>24.51</v>
      </c>
      <c r="Q69" s="195">
        <v>27.17</v>
      </c>
      <c r="R69" s="196">
        <v>27.17</v>
      </c>
      <c r="S69" s="197">
        <v>24.51</v>
      </c>
      <c r="T69" s="195">
        <v>27.17</v>
      </c>
      <c r="U69" s="196">
        <v>27.17</v>
      </c>
      <c r="V69" s="197">
        <v>24.51</v>
      </c>
      <c r="W69" s="195">
        <v>27.17</v>
      </c>
      <c r="X69" s="196">
        <v>27.17</v>
      </c>
      <c r="Y69" s="197">
        <v>24.51</v>
      </c>
      <c r="Z69" s="195">
        <v>27.17</v>
      </c>
      <c r="AA69" s="196">
        <v>27.17</v>
      </c>
      <c r="AB69" s="197">
        <v>24.51</v>
      </c>
      <c r="AC69" s="195">
        <v>27.17</v>
      </c>
      <c r="AD69" s="196">
        <v>27.17</v>
      </c>
      <c r="AE69" s="197">
        <v>24.51</v>
      </c>
      <c r="AF69" s="195">
        <v>27.17</v>
      </c>
      <c r="AG69" s="196">
        <v>27.17</v>
      </c>
      <c r="AH69" s="197">
        <v>24.51</v>
      </c>
      <c r="AI69" s="200" t="s">
        <v>2052</v>
      </c>
      <c r="AJ69" s="193" t="s">
        <v>1631</v>
      </c>
      <c r="AK69" s="201" t="s">
        <v>1614</v>
      </c>
      <c r="AL69" s="205">
        <v>19</v>
      </c>
      <c r="AM69" s="200">
        <v>27.17</v>
      </c>
      <c r="AN69" s="204">
        <v>31.16</v>
      </c>
      <c r="AO69" s="203"/>
      <c r="AP69" s="207" t="s">
        <v>76</v>
      </c>
      <c r="AQ69" s="199" t="s">
        <v>1620</v>
      </c>
      <c r="AR69" s="202"/>
      <c r="AS69" s="205">
        <v>2045</v>
      </c>
      <c r="AT69" s="206"/>
      <c r="AU69" s="201" t="s">
        <v>24</v>
      </c>
      <c r="AV69" s="193" t="s">
        <v>1615</v>
      </c>
      <c r="AW69" s="205">
        <v>1691</v>
      </c>
    </row>
    <row r="70" spans="1:49">
      <c r="A70" s="192" t="s">
        <v>45</v>
      </c>
      <c r="B70" s="194" t="s">
        <v>1555</v>
      </c>
      <c r="C70" s="160" t="s">
        <v>783</v>
      </c>
      <c r="D70" s="193" t="s">
        <v>2056</v>
      </c>
      <c r="E70" s="195">
        <v>150.03</v>
      </c>
      <c r="F70" s="196">
        <v>150.03</v>
      </c>
      <c r="G70" s="197">
        <v>150.03</v>
      </c>
      <c r="H70" s="195">
        <v>150.03</v>
      </c>
      <c r="I70" s="196">
        <v>150.03</v>
      </c>
      <c r="J70" s="197">
        <v>150.03</v>
      </c>
      <c r="K70" s="195">
        <v>150.03</v>
      </c>
      <c r="L70" s="196">
        <v>150.03</v>
      </c>
      <c r="M70" s="197">
        <v>150.03</v>
      </c>
      <c r="N70" s="195">
        <v>150.03</v>
      </c>
      <c r="O70" s="196">
        <v>150.03</v>
      </c>
      <c r="P70" s="197">
        <v>150.03</v>
      </c>
      <c r="Q70" s="195">
        <v>150.03</v>
      </c>
      <c r="R70" s="196">
        <v>150.03</v>
      </c>
      <c r="S70" s="197">
        <v>150.03</v>
      </c>
      <c r="T70" s="195">
        <v>150.03</v>
      </c>
      <c r="U70" s="196">
        <v>150.03</v>
      </c>
      <c r="V70" s="197">
        <v>150.03</v>
      </c>
      <c r="W70" s="195">
        <v>150.03</v>
      </c>
      <c r="X70" s="196">
        <v>150.93</v>
      </c>
      <c r="Y70" s="197">
        <v>150.93</v>
      </c>
      <c r="Z70" s="195">
        <v>150.03</v>
      </c>
      <c r="AA70" s="196">
        <v>150.03</v>
      </c>
      <c r="AB70" s="197">
        <v>150.03</v>
      </c>
      <c r="AC70" s="195">
        <v>150.03</v>
      </c>
      <c r="AD70" s="196">
        <v>150.03</v>
      </c>
      <c r="AE70" s="197">
        <v>150.03</v>
      </c>
      <c r="AF70" s="195"/>
      <c r="AG70" s="196"/>
      <c r="AH70" s="197"/>
      <c r="AI70" s="200" t="s">
        <v>784</v>
      </c>
      <c r="AJ70" s="193" t="s">
        <v>1631</v>
      </c>
      <c r="AK70" s="201" t="s">
        <v>1614</v>
      </c>
      <c r="AL70" s="205">
        <v>90</v>
      </c>
      <c r="AM70" s="200"/>
      <c r="AN70" s="204">
        <v>150.30000000000001</v>
      </c>
      <c r="AO70" s="203"/>
      <c r="AP70" s="207" t="s">
        <v>76</v>
      </c>
      <c r="AQ70" s="199" t="s">
        <v>1620</v>
      </c>
      <c r="AR70" s="202"/>
      <c r="AS70" s="205">
        <v>2038</v>
      </c>
      <c r="AT70" s="206"/>
      <c r="AU70" s="201" t="s">
        <v>24</v>
      </c>
      <c r="AV70" s="193" t="s">
        <v>1615</v>
      </c>
      <c r="AW70" s="205">
        <v>1420</v>
      </c>
    </row>
    <row r="71" spans="1:49">
      <c r="A71" s="192" t="s">
        <v>45</v>
      </c>
      <c r="B71" s="194" t="s">
        <v>1555</v>
      </c>
      <c r="C71" s="160" t="s">
        <v>515</v>
      </c>
      <c r="D71" s="193" t="s">
        <v>516</v>
      </c>
      <c r="E71" s="195">
        <v>218.7</v>
      </c>
      <c r="F71" s="196">
        <v>210.6</v>
      </c>
      <c r="G71" s="197">
        <v>124.2</v>
      </c>
      <c r="H71" s="195">
        <v>218.7</v>
      </c>
      <c r="I71" s="196">
        <v>210.6</v>
      </c>
      <c r="J71" s="197">
        <v>124.2</v>
      </c>
      <c r="K71" s="195">
        <v>218.7</v>
      </c>
      <c r="L71" s="196">
        <v>210.6</v>
      </c>
      <c r="M71" s="197">
        <v>124.2</v>
      </c>
      <c r="N71" s="195">
        <v>218.7</v>
      </c>
      <c r="O71" s="196">
        <v>210.6</v>
      </c>
      <c r="P71" s="197">
        <v>124.2</v>
      </c>
      <c r="Q71" s="195">
        <v>218.7</v>
      </c>
      <c r="R71" s="196">
        <v>210.6</v>
      </c>
      <c r="S71" s="197">
        <v>124.2</v>
      </c>
      <c r="T71" s="195">
        <v>218.7</v>
      </c>
      <c r="U71" s="196">
        <v>210.6</v>
      </c>
      <c r="V71" s="197">
        <v>124.2</v>
      </c>
      <c r="W71" s="195">
        <v>218.7</v>
      </c>
      <c r="X71" s="196">
        <v>210.6</v>
      </c>
      <c r="Y71" s="197">
        <v>124.2</v>
      </c>
      <c r="Z71" s="195">
        <v>218.7</v>
      </c>
      <c r="AA71" s="196">
        <v>210.6</v>
      </c>
      <c r="AB71" s="197">
        <v>124.2</v>
      </c>
      <c r="AC71" s="195">
        <v>218.7</v>
      </c>
      <c r="AD71" s="196">
        <v>210.6</v>
      </c>
      <c r="AE71" s="197">
        <v>124.2</v>
      </c>
      <c r="AF71" s="195">
        <v>218.7</v>
      </c>
      <c r="AG71" s="196">
        <v>124.2</v>
      </c>
      <c r="AH71" s="197">
        <v>124.2</v>
      </c>
      <c r="AI71" s="200" t="s">
        <v>442</v>
      </c>
      <c r="AJ71" s="193" t="s">
        <v>1625</v>
      </c>
      <c r="AK71" s="201" t="s">
        <v>1609</v>
      </c>
      <c r="AL71" s="205">
        <v>54</v>
      </c>
      <c r="AM71" s="200">
        <v>226.8</v>
      </c>
      <c r="AN71" s="204">
        <v>226.8</v>
      </c>
      <c r="AO71" s="203"/>
      <c r="AP71" s="207" t="s">
        <v>76</v>
      </c>
      <c r="AQ71" s="199" t="s">
        <v>1620</v>
      </c>
      <c r="AR71" s="202">
        <v>44166</v>
      </c>
      <c r="AS71" s="205">
        <v>2046</v>
      </c>
      <c r="AT71" s="206"/>
      <c r="AU71" s="201" t="s">
        <v>24</v>
      </c>
      <c r="AV71" s="193" t="s">
        <v>16</v>
      </c>
      <c r="AW71" s="205">
        <v>1052</v>
      </c>
    </row>
    <row r="72" spans="1:49">
      <c r="A72" s="192" t="s">
        <v>77</v>
      </c>
      <c r="B72" s="194" t="s">
        <v>1555</v>
      </c>
      <c r="C72" s="160" t="s">
        <v>824</v>
      </c>
      <c r="D72" s="193" t="s">
        <v>2063</v>
      </c>
      <c r="E72" s="195">
        <v>42.5</v>
      </c>
      <c r="F72" s="196">
        <v>41.31</v>
      </c>
      <c r="G72" s="197">
        <v>39.950000000000003</v>
      </c>
      <c r="H72" s="195">
        <v>42.5</v>
      </c>
      <c r="I72" s="196">
        <v>41.31</v>
      </c>
      <c r="J72" s="197">
        <v>39.950000000000003</v>
      </c>
      <c r="K72" s="195">
        <v>42.5</v>
      </c>
      <c r="L72" s="196">
        <v>41.31</v>
      </c>
      <c r="M72" s="197">
        <v>39.950000000000003</v>
      </c>
      <c r="N72" s="195">
        <v>42.5</v>
      </c>
      <c r="O72" s="196">
        <v>41.31</v>
      </c>
      <c r="P72" s="197">
        <v>39.950000000000003</v>
      </c>
      <c r="Q72" s="195">
        <v>42.5</v>
      </c>
      <c r="R72" s="196">
        <v>41.31</v>
      </c>
      <c r="S72" s="197">
        <v>39.950000000000003</v>
      </c>
      <c r="T72" s="195">
        <v>42.5</v>
      </c>
      <c r="U72" s="196">
        <v>41.31</v>
      </c>
      <c r="V72" s="197">
        <v>39.950000000000003</v>
      </c>
      <c r="W72" s="195">
        <v>42.5</v>
      </c>
      <c r="X72" s="196">
        <v>41.31</v>
      </c>
      <c r="Y72" s="197">
        <v>39.950000000000003</v>
      </c>
      <c r="Z72" s="195">
        <v>42.5</v>
      </c>
      <c r="AA72" s="196">
        <v>41.31</v>
      </c>
      <c r="AB72" s="197">
        <v>39.950000000000003</v>
      </c>
      <c r="AC72" s="195">
        <v>42.5</v>
      </c>
      <c r="AD72" s="196">
        <v>41.31</v>
      </c>
      <c r="AE72" s="197">
        <v>39.950000000000003</v>
      </c>
      <c r="AF72" s="195">
        <v>42.5</v>
      </c>
      <c r="AG72" s="196">
        <v>41.31</v>
      </c>
      <c r="AH72" s="197">
        <v>39.950000000000003</v>
      </c>
      <c r="AI72" s="200" t="s">
        <v>442</v>
      </c>
      <c r="AJ72" s="193" t="s">
        <v>1613</v>
      </c>
      <c r="AK72" s="201" t="s">
        <v>1614</v>
      </c>
      <c r="AL72" s="205">
        <v>17</v>
      </c>
      <c r="AM72" s="200">
        <v>42.5</v>
      </c>
      <c r="AN72" s="204">
        <v>42.5</v>
      </c>
      <c r="AO72" s="203"/>
      <c r="AP72" s="207" t="s">
        <v>76</v>
      </c>
      <c r="AQ72" s="199" t="s">
        <v>1620</v>
      </c>
      <c r="AR72" s="202">
        <v>43313</v>
      </c>
      <c r="AS72" s="205">
        <v>2044</v>
      </c>
      <c r="AT72" s="206"/>
      <c r="AU72" s="201" t="s">
        <v>24</v>
      </c>
      <c r="AV72" s="193" t="s">
        <v>1615</v>
      </c>
      <c r="AW72" s="205">
        <v>1349</v>
      </c>
    </row>
    <row r="73" spans="1:49">
      <c r="A73" s="192" t="s">
        <v>45</v>
      </c>
      <c r="B73" s="194" t="s">
        <v>1555</v>
      </c>
      <c r="C73" s="160" t="s">
        <v>2064</v>
      </c>
      <c r="D73" s="193" t="s">
        <v>2065</v>
      </c>
      <c r="E73" s="195">
        <v>181</v>
      </c>
      <c r="F73" s="196">
        <v>170</v>
      </c>
      <c r="G73" s="197">
        <v>160</v>
      </c>
      <c r="H73" s="195">
        <v>181</v>
      </c>
      <c r="I73" s="196">
        <v>170</v>
      </c>
      <c r="J73" s="197">
        <v>160</v>
      </c>
      <c r="K73" s="195">
        <v>181</v>
      </c>
      <c r="L73" s="196">
        <v>170</v>
      </c>
      <c r="M73" s="197">
        <v>160</v>
      </c>
      <c r="N73" s="195">
        <v>181</v>
      </c>
      <c r="O73" s="196">
        <v>170</v>
      </c>
      <c r="P73" s="197">
        <v>160</v>
      </c>
      <c r="Q73" s="195">
        <v>181</v>
      </c>
      <c r="R73" s="196">
        <v>170</v>
      </c>
      <c r="S73" s="197">
        <v>160</v>
      </c>
      <c r="T73" s="195">
        <v>181</v>
      </c>
      <c r="U73" s="196">
        <v>170</v>
      </c>
      <c r="V73" s="197">
        <v>160</v>
      </c>
      <c r="W73" s="195">
        <v>181</v>
      </c>
      <c r="X73" s="196">
        <v>170</v>
      </c>
      <c r="Y73" s="197">
        <v>160</v>
      </c>
      <c r="Z73" s="195">
        <v>181</v>
      </c>
      <c r="AA73" s="196">
        <v>170</v>
      </c>
      <c r="AB73" s="197">
        <v>160</v>
      </c>
      <c r="AC73" s="195">
        <v>181</v>
      </c>
      <c r="AD73" s="196">
        <v>170</v>
      </c>
      <c r="AE73" s="197">
        <v>160</v>
      </c>
      <c r="AF73" s="195">
        <v>181</v>
      </c>
      <c r="AG73" s="196">
        <v>170</v>
      </c>
      <c r="AH73" s="197">
        <v>160</v>
      </c>
      <c r="AI73" s="200" t="s">
        <v>805</v>
      </c>
      <c r="AJ73" s="193" t="s">
        <v>1673</v>
      </c>
      <c r="AK73" s="201" t="s">
        <v>1592</v>
      </c>
      <c r="AL73" s="205">
        <v>1</v>
      </c>
      <c r="AM73" s="200"/>
      <c r="AN73" s="204">
        <v>181</v>
      </c>
      <c r="AO73" s="203"/>
      <c r="AP73" s="207" t="s">
        <v>76</v>
      </c>
      <c r="AQ73" s="199" t="s">
        <v>1619</v>
      </c>
      <c r="AR73" s="202"/>
      <c r="AS73" s="205">
        <v>2070</v>
      </c>
      <c r="AT73" s="206"/>
      <c r="AU73" s="201" t="s">
        <v>24</v>
      </c>
      <c r="AV73" s="193" t="s">
        <v>13</v>
      </c>
      <c r="AW73" s="205">
        <v>1053</v>
      </c>
    </row>
    <row r="74" spans="1:49">
      <c r="A74" s="192" t="s">
        <v>45</v>
      </c>
      <c r="B74" s="194" t="s">
        <v>1555</v>
      </c>
      <c r="C74" s="160" t="s">
        <v>2064</v>
      </c>
      <c r="D74" s="193" t="s">
        <v>2066</v>
      </c>
      <c r="E74" s="195">
        <v>181</v>
      </c>
      <c r="F74" s="196">
        <v>170</v>
      </c>
      <c r="G74" s="197">
        <v>160</v>
      </c>
      <c r="H74" s="195">
        <v>181</v>
      </c>
      <c r="I74" s="196">
        <v>170</v>
      </c>
      <c r="J74" s="197">
        <v>160</v>
      </c>
      <c r="K74" s="195">
        <v>181</v>
      </c>
      <c r="L74" s="196">
        <v>170</v>
      </c>
      <c r="M74" s="197">
        <v>160</v>
      </c>
      <c r="N74" s="195">
        <v>181</v>
      </c>
      <c r="O74" s="196">
        <v>170</v>
      </c>
      <c r="P74" s="197">
        <v>160</v>
      </c>
      <c r="Q74" s="195">
        <v>181</v>
      </c>
      <c r="R74" s="196">
        <v>170</v>
      </c>
      <c r="S74" s="197">
        <v>160</v>
      </c>
      <c r="T74" s="195">
        <v>181</v>
      </c>
      <c r="U74" s="196">
        <v>170</v>
      </c>
      <c r="V74" s="197">
        <v>160</v>
      </c>
      <c r="W74" s="195">
        <v>181</v>
      </c>
      <c r="X74" s="196">
        <v>170</v>
      </c>
      <c r="Y74" s="197">
        <v>160</v>
      </c>
      <c r="Z74" s="195">
        <v>181</v>
      </c>
      <c r="AA74" s="196">
        <v>170</v>
      </c>
      <c r="AB74" s="197">
        <v>160</v>
      </c>
      <c r="AC74" s="195">
        <v>181</v>
      </c>
      <c r="AD74" s="196">
        <v>170</v>
      </c>
      <c r="AE74" s="197">
        <v>160</v>
      </c>
      <c r="AF74" s="195">
        <v>181</v>
      </c>
      <c r="AG74" s="196">
        <v>170</v>
      </c>
      <c r="AH74" s="197">
        <v>160</v>
      </c>
      <c r="AI74" s="200" t="s">
        <v>805</v>
      </c>
      <c r="AJ74" s="193" t="s">
        <v>1673</v>
      </c>
      <c r="AK74" s="201" t="s">
        <v>1592</v>
      </c>
      <c r="AL74" s="205">
        <v>1</v>
      </c>
      <c r="AM74" s="200">
        <v>162</v>
      </c>
      <c r="AN74" s="204">
        <v>181</v>
      </c>
      <c r="AO74" s="203"/>
      <c r="AP74" s="207" t="s">
        <v>76</v>
      </c>
      <c r="AQ74" s="199" t="s">
        <v>1619</v>
      </c>
      <c r="AR74" s="202"/>
      <c r="AS74" s="205">
        <v>2070</v>
      </c>
      <c r="AT74" s="206"/>
      <c r="AU74" s="201" t="s">
        <v>24</v>
      </c>
      <c r="AV74" s="193" t="s">
        <v>13</v>
      </c>
      <c r="AW74" s="205">
        <v>1053</v>
      </c>
    </row>
    <row r="75" spans="1:49">
      <c r="A75" s="192" t="s">
        <v>45</v>
      </c>
      <c r="B75" s="194" t="s">
        <v>1555</v>
      </c>
      <c r="C75" s="160" t="s">
        <v>2064</v>
      </c>
      <c r="D75" s="193" t="s">
        <v>2067</v>
      </c>
      <c r="E75" s="195">
        <v>181</v>
      </c>
      <c r="F75" s="196">
        <v>170</v>
      </c>
      <c r="G75" s="197">
        <v>160</v>
      </c>
      <c r="H75" s="195">
        <v>181</v>
      </c>
      <c r="I75" s="196">
        <v>170</v>
      </c>
      <c r="J75" s="197">
        <v>160</v>
      </c>
      <c r="K75" s="195">
        <v>181</v>
      </c>
      <c r="L75" s="196">
        <v>170</v>
      </c>
      <c r="M75" s="197">
        <v>160</v>
      </c>
      <c r="N75" s="195">
        <v>181</v>
      </c>
      <c r="O75" s="196">
        <v>170</v>
      </c>
      <c r="P75" s="197">
        <v>160</v>
      </c>
      <c r="Q75" s="195">
        <v>181</v>
      </c>
      <c r="R75" s="196">
        <v>170</v>
      </c>
      <c r="S75" s="197">
        <v>160</v>
      </c>
      <c r="T75" s="195">
        <v>181</v>
      </c>
      <c r="U75" s="196">
        <v>170</v>
      </c>
      <c r="V75" s="197">
        <v>160</v>
      </c>
      <c r="W75" s="195">
        <v>181</v>
      </c>
      <c r="X75" s="196">
        <v>170</v>
      </c>
      <c r="Y75" s="197">
        <v>160</v>
      </c>
      <c r="Z75" s="195">
        <v>181</v>
      </c>
      <c r="AA75" s="196">
        <v>170</v>
      </c>
      <c r="AB75" s="197">
        <v>160</v>
      </c>
      <c r="AC75" s="195">
        <v>181</v>
      </c>
      <c r="AD75" s="196">
        <v>170</v>
      </c>
      <c r="AE75" s="197">
        <v>160</v>
      </c>
      <c r="AF75" s="195">
        <v>181</v>
      </c>
      <c r="AG75" s="196">
        <v>170</v>
      </c>
      <c r="AH75" s="197">
        <v>160</v>
      </c>
      <c r="AI75" s="200" t="s">
        <v>805</v>
      </c>
      <c r="AJ75" s="193" t="s">
        <v>1673</v>
      </c>
      <c r="AK75" s="201" t="s">
        <v>1592</v>
      </c>
      <c r="AL75" s="205">
        <v>1</v>
      </c>
      <c r="AM75" s="200"/>
      <c r="AN75" s="204">
        <v>181</v>
      </c>
      <c r="AO75" s="203"/>
      <c r="AP75" s="207" t="s">
        <v>76</v>
      </c>
      <c r="AQ75" s="199" t="s">
        <v>1619</v>
      </c>
      <c r="AR75" s="202"/>
      <c r="AS75" s="205">
        <v>2070</v>
      </c>
      <c r="AT75" s="206"/>
      <c r="AU75" s="201" t="s">
        <v>24</v>
      </c>
      <c r="AV75" s="193" t="s">
        <v>13</v>
      </c>
      <c r="AW75" s="205">
        <v>1053</v>
      </c>
    </row>
    <row r="76" spans="1:49">
      <c r="A76" s="192" t="s">
        <v>45</v>
      </c>
      <c r="B76" s="194" t="s">
        <v>1555</v>
      </c>
      <c r="C76" s="160" t="s">
        <v>2064</v>
      </c>
      <c r="D76" s="193" t="s">
        <v>2068</v>
      </c>
      <c r="E76" s="195">
        <v>181</v>
      </c>
      <c r="F76" s="196">
        <v>170</v>
      </c>
      <c r="G76" s="197">
        <v>160</v>
      </c>
      <c r="H76" s="195">
        <v>181</v>
      </c>
      <c r="I76" s="196">
        <v>170</v>
      </c>
      <c r="J76" s="197">
        <v>160</v>
      </c>
      <c r="K76" s="195">
        <v>181</v>
      </c>
      <c r="L76" s="196">
        <v>170</v>
      </c>
      <c r="M76" s="197">
        <v>160</v>
      </c>
      <c r="N76" s="195">
        <v>181</v>
      </c>
      <c r="O76" s="196">
        <v>170</v>
      </c>
      <c r="P76" s="197">
        <v>160</v>
      </c>
      <c r="Q76" s="195">
        <v>181</v>
      </c>
      <c r="R76" s="196">
        <v>170</v>
      </c>
      <c r="S76" s="197">
        <v>160</v>
      </c>
      <c r="T76" s="195">
        <v>181</v>
      </c>
      <c r="U76" s="196">
        <v>170</v>
      </c>
      <c r="V76" s="197">
        <v>160</v>
      </c>
      <c r="W76" s="195">
        <v>181</v>
      </c>
      <c r="X76" s="196">
        <v>170</v>
      </c>
      <c r="Y76" s="197">
        <v>160</v>
      </c>
      <c r="Z76" s="195">
        <v>181</v>
      </c>
      <c r="AA76" s="196">
        <v>170</v>
      </c>
      <c r="AB76" s="197">
        <v>160</v>
      </c>
      <c r="AC76" s="195">
        <v>181</v>
      </c>
      <c r="AD76" s="196">
        <v>170</v>
      </c>
      <c r="AE76" s="197">
        <v>160</v>
      </c>
      <c r="AF76" s="195">
        <v>181</v>
      </c>
      <c r="AG76" s="196">
        <v>170</v>
      </c>
      <c r="AH76" s="197">
        <v>160</v>
      </c>
      <c r="AI76" s="200" t="s">
        <v>805</v>
      </c>
      <c r="AJ76" s="193" t="s">
        <v>1673</v>
      </c>
      <c r="AK76" s="201" t="s">
        <v>1592</v>
      </c>
      <c r="AL76" s="205">
        <v>1</v>
      </c>
      <c r="AM76" s="200"/>
      <c r="AN76" s="204">
        <v>181</v>
      </c>
      <c r="AO76" s="203"/>
      <c r="AP76" s="207" t="s">
        <v>76</v>
      </c>
      <c r="AQ76" s="199" t="s">
        <v>1619</v>
      </c>
      <c r="AR76" s="202"/>
      <c r="AS76" s="205">
        <v>2070</v>
      </c>
      <c r="AT76" s="206"/>
      <c r="AU76" s="201" t="s">
        <v>24</v>
      </c>
      <c r="AV76" s="193" t="s">
        <v>13</v>
      </c>
      <c r="AW76" s="205">
        <v>1053</v>
      </c>
    </row>
    <row r="77" spans="1:49">
      <c r="A77" s="192" t="s">
        <v>77</v>
      </c>
      <c r="B77" s="194" t="s">
        <v>1555</v>
      </c>
      <c r="C77" s="160" t="s">
        <v>578</v>
      </c>
      <c r="D77" s="193" t="s">
        <v>2069</v>
      </c>
      <c r="E77" s="195">
        <v>161.94999999999999</v>
      </c>
      <c r="F77" s="196">
        <v>161.94999999999999</v>
      </c>
      <c r="G77" s="197">
        <v>161.94999999999999</v>
      </c>
      <c r="H77" s="195">
        <v>161.94999999999999</v>
      </c>
      <c r="I77" s="196">
        <v>161.94999999999999</v>
      </c>
      <c r="J77" s="197">
        <v>161.94999999999999</v>
      </c>
      <c r="K77" s="195">
        <v>161.94999999999999</v>
      </c>
      <c r="L77" s="196">
        <v>161.94999999999999</v>
      </c>
      <c r="M77" s="197">
        <v>161.94999999999999</v>
      </c>
      <c r="N77" s="195">
        <v>161.94999999999999</v>
      </c>
      <c r="O77" s="196">
        <v>161.94999999999999</v>
      </c>
      <c r="P77" s="197">
        <v>161.94999999999999</v>
      </c>
      <c r="Q77" s="195">
        <v>161.94999999999999</v>
      </c>
      <c r="R77" s="196">
        <v>161.94999999999999</v>
      </c>
      <c r="S77" s="197">
        <v>161.94999999999999</v>
      </c>
      <c r="T77" s="195">
        <v>161.94999999999999</v>
      </c>
      <c r="U77" s="196">
        <v>161.94999999999999</v>
      </c>
      <c r="V77" s="197">
        <v>161.94999999999999</v>
      </c>
      <c r="W77" s="195">
        <v>161.94999999999999</v>
      </c>
      <c r="X77" s="196">
        <v>161.94999999999999</v>
      </c>
      <c r="Y77" s="197">
        <v>161.94999999999999</v>
      </c>
      <c r="Z77" s="195">
        <v>161.94999999999999</v>
      </c>
      <c r="AA77" s="196">
        <v>161.94999999999999</v>
      </c>
      <c r="AB77" s="197">
        <v>161.94999999999999</v>
      </c>
      <c r="AC77" s="195">
        <v>161.94999999999999</v>
      </c>
      <c r="AD77" s="196">
        <v>161.94999999999999</v>
      </c>
      <c r="AE77" s="197">
        <v>161.94999999999999</v>
      </c>
      <c r="AF77" s="195">
        <v>161.94999999999999</v>
      </c>
      <c r="AG77" s="196">
        <v>161.94999999999999</v>
      </c>
      <c r="AH77" s="197">
        <v>161.94999999999999</v>
      </c>
      <c r="AI77" s="200" t="s">
        <v>579</v>
      </c>
      <c r="AJ77" s="193" t="s">
        <v>1631</v>
      </c>
      <c r="AK77" s="201" t="s">
        <v>1614</v>
      </c>
      <c r="AL77" s="205">
        <v>79</v>
      </c>
      <c r="AM77" s="200">
        <v>217.25</v>
      </c>
      <c r="AN77" s="204">
        <v>217.25</v>
      </c>
      <c r="AO77" s="203"/>
      <c r="AP77" s="207" t="s">
        <v>401</v>
      </c>
      <c r="AQ77" s="199" t="s">
        <v>1620</v>
      </c>
      <c r="AR77" s="202">
        <v>45139</v>
      </c>
      <c r="AS77" s="205">
        <v>2046</v>
      </c>
      <c r="AT77" s="206"/>
      <c r="AU77" s="201" t="s">
        <v>24</v>
      </c>
      <c r="AV77" s="193" t="s">
        <v>1615</v>
      </c>
      <c r="AW77" s="205">
        <v>1459</v>
      </c>
    </row>
    <row r="78" spans="1:49">
      <c r="A78" s="192" t="s">
        <v>77</v>
      </c>
      <c r="B78" s="194" t="s">
        <v>1555</v>
      </c>
      <c r="C78" s="160" t="s">
        <v>2070</v>
      </c>
      <c r="D78" s="193" t="s">
        <v>2073</v>
      </c>
      <c r="E78" s="195">
        <v>87.813999999999993</v>
      </c>
      <c r="F78" s="196">
        <v>83.781999999999996</v>
      </c>
      <c r="G78" s="197">
        <v>83.573999999999998</v>
      </c>
      <c r="H78" s="195">
        <v>87.813999999999993</v>
      </c>
      <c r="I78" s="196">
        <v>83.781999999999996</v>
      </c>
      <c r="J78" s="197">
        <v>83.573999999999998</v>
      </c>
      <c r="K78" s="195">
        <v>87.813999999999993</v>
      </c>
      <c r="L78" s="196">
        <v>83.781999999999996</v>
      </c>
      <c r="M78" s="197">
        <v>83.573999999999998</v>
      </c>
      <c r="N78" s="195">
        <v>87.813999999999993</v>
      </c>
      <c r="O78" s="196">
        <v>83.781999999999996</v>
      </c>
      <c r="P78" s="197">
        <v>83.573999999999998</v>
      </c>
      <c r="Q78" s="195">
        <v>87.813999999999993</v>
      </c>
      <c r="R78" s="196">
        <v>83.781999999999996</v>
      </c>
      <c r="S78" s="197">
        <v>83.573999999999998</v>
      </c>
      <c r="T78" s="195">
        <v>87.813999999999993</v>
      </c>
      <c r="U78" s="196">
        <v>83.781999999999996</v>
      </c>
      <c r="V78" s="197">
        <v>83.573999999999998</v>
      </c>
      <c r="W78" s="195">
        <v>87.813999999999993</v>
      </c>
      <c r="X78" s="196">
        <v>83.781999999999996</v>
      </c>
      <c r="Y78" s="197">
        <v>83.573999999999998</v>
      </c>
      <c r="Z78" s="195">
        <v>87.813999999999993</v>
      </c>
      <c r="AA78" s="196">
        <v>83.781999999999996</v>
      </c>
      <c r="AB78" s="197">
        <v>83.573999999999998</v>
      </c>
      <c r="AC78" s="195">
        <v>87.813999999999993</v>
      </c>
      <c r="AD78" s="196">
        <v>83.781999999999996</v>
      </c>
      <c r="AE78" s="197">
        <v>83.573999999999998</v>
      </c>
      <c r="AF78" s="195">
        <v>87.813999999999993</v>
      </c>
      <c r="AG78" s="196">
        <v>83.781999999999996</v>
      </c>
      <c r="AH78" s="197">
        <v>83.573999999999998</v>
      </c>
      <c r="AI78" s="200" t="s">
        <v>2071</v>
      </c>
      <c r="AJ78" s="193" t="s">
        <v>2072</v>
      </c>
      <c r="AK78" s="201" t="s">
        <v>1857</v>
      </c>
      <c r="AL78" s="205">
        <v>2</v>
      </c>
      <c r="AM78" s="200"/>
      <c r="AN78" s="204">
        <v>87.4</v>
      </c>
      <c r="AO78" s="203"/>
      <c r="AP78" s="207" t="s">
        <v>76</v>
      </c>
      <c r="AQ78" s="199" t="s">
        <v>1619</v>
      </c>
      <c r="AR78" s="202"/>
      <c r="AS78" s="205">
        <v>2039</v>
      </c>
      <c r="AT78" s="206"/>
      <c r="AU78" s="201" t="s">
        <v>24</v>
      </c>
      <c r="AV78" s="193" t="s">
        <v>12</v>
      </c>
      <c r="AW78" s="205">
        <v>1054</v>
      </c>
    </row>
    <row r="79" spans="1:49">
      <c r="A79" s="192" t="s">
        <v>77</v>
      </c>
      <c r="B79" s="194" t="s">
        <v>1555</v>
      </c>
      <c r="C79" s="160" t="s">
        <v>2070</v>
      </c>
      <c r="D79" s="193" t="s">
        <v>2073</v>
      </c>
      <c r="E79" s="195">
        <v>56.433</v>
      </c>
      <c r="F79" s="196">
        <v>55.325000000000003</v>
      </c>
      <c r="G79" s="197">
        <v>54.970999999999997</v>
      </c>
      <c r="H79" s="195">
        <v>56.433</v>
      </c>
      <c r="I79" s="196">
        <v>55.325000000000003</v>
      </c>
      <c r="J79" s="197">
        <v>54.970999999999997</v>
      </c>
      <c r="K79" s="195">
        <v>56.433</v>
      </c>
      <c r="L79" s="196">
        <v>55.325000000000003</v>
      </c>
      <c r="M79" s="197">
        <v>54.970999999999997</v>
      </c>
      <c r="N79" s="195">
        <v>56.433</v>
      </c>
      <c r="O79" s="196">
        <v>55.325000000000003</v>
      </c>
      <c r="P79" s="197">
        <v>54.970999999999997</v>
      </c>
      <c r="Q79" s="195">
        <v>56.433</v>
      </c>
      <c r="R79" s="196">
        <v>55.325000000000003</v>
      </c>
      <c r="S79" s="197">
        <v>54.970999999999997</v>
      </c>
      <c r="T79" s="195">
        <v>56.433</v>
      </c>
      <c r="U79" s="196">
        <v>55.325000000000003</v>
      </c>
      <c r="V79" s="197">
        <v>54.970999999999997</v>
      </c>
      <c r="W79" s="195">
        <v>56.433</v>
      </c>
      <c r="X79" s="196">
        <v>55.325000000000003</v>
      </c>
      <c r="Y79" s="197">
        <v>54.970999999999997</v>
      </c>
      <c r="Z79" s="195">
        <v>56.433</v>
      </c>
      <c r="AA79" s="196">
        <v>55.325000000000003</v>
      </c>
      <c r="AB79" s="197">
        <v>54.970999999999997</v>
      </c>
      <c r="AC79" s="195">
        <v>56.433</v>
      </c>
      <c r="AD79" s="196">
        <v>55.325000000000003</v>
      </c>
      <c r="AE79" s="197">
        <v>54.970999999999997</v>
      </c>
      <c r="AF79" s="195">
        <v>56.433</v>
      </c>
      <c r="AG79" s="196">
        <v>55.325000000000003</v>
      </c>
      <c r="AH79" s="197">
        <v>54.970999999999997</v>
      </c>
      <c r="AI79" s="200" t="s">
        <v>2071</v>
      </c>
      <c r="AJ79" s="193" t="s">
        <v>1739</v>
      </c>
      <c r="AK79" s="201" t="s">
        <v>1857</v>
      </c>
      <c r="AL79" s="205">
        <v>1</v>
      </c>
      <c r="AM79" s="200"/>
      <c r="AN79" s="204">
        <v>57</v>
      </c>
      <c r="AO79" s="203"/>
      <c r="AP79" s="207" t="s">
        <v>76</v>
      </c>
      <c r="AQ79" s="199" t="s">
        <v>1619</v>
      </c>
      <c r="AR79" s="202"/>
      <c r="AS79" s="205">
        <v>2039</v>
      </c>
      <c r="AT79" s="206"/>
      <c r="AU79" s="201" t="s">
        <v>24</v>
      </c>
      <c r="AV79" s="193" t="s">
        <v>14</v>
      </c>
      <c r="AW79" s="205">
        <v>1054</v>
      </c>
    </row>
    <row r="80" spans="1:49">
      <c r="A80" s="192" t="s">
        <v>77</v>
      </c>
      <c r="B80" s="194" t="s">
        <v>1555</v>
      </c>
      <c r="C80" s="160" t="s">
        <v>192</v>
      </c>
      <c r="D80" s="193" t="s">
        <v>194</v>
      </c>
      <c r="E80" s="195">
        <v>439.97500000000002</v>
      </c>
      <c r="F80" s="196">
        <v>439.97500000000002</v>
      </c>
      <c r="G80" s="197">
        <v>439.97500000000002</v>
      </c>
      <c r="H80" s="195">
        <v>439.97500000000002</v>
      </c>
      <c r="I80" s="196">
        <v>439.97500000000002</v>
      </c>
      <c r="J80" s="197">
        <v>439.97500000000002</v>
      </c>
      <c r="K80" s="195">
        <v>439.97500000000002</v>
      </c>
      <c r="L80" s="196">
        <v>439.97500000000002</v>
      </c>
      <c r="M80" s="197">
        <v>439.97500000000002</v>
      </c>
      <c r="N80" s="195">
        <v>439.97500000000002</v>
      </c>
      <c r="O80" s="196">
        <v>439.97500000000002</v>
      </c>
      <c r="P80" s="197">
        <v>439.97500000000002</v>
      </c>
      <c r="Q80" s="195">
        <v>439.97500000000002</v>
      </c>
      <c r="R80" s="196">
        <v>439.97500000000002</v>
      </c>
      <c r="S80" s="197">
        <v>439.97500000000002</v>
      </c>
      <c r="T80" s="195">
        <v>439.97500000000002</v>
      </c>
      <c r="U80" s="196">
        <v>439.97500000000002</v>
      </c>
      <c r="V80" s="197">
        <v>439.97500000000002</v>
      </c>
      <c r="W80" s="195">
        <v>439.97500000000002</v>
      </c>
      <c r="X80" s="196">
        <v>439.97500000000002</v>
      </c>
      <c r="Y80" s="197">
        <v>439.97500000000002</v>
      </c>
      <c r="Z80" s="195">
        <v>439.97500000000002</v>
      </c>
      <c r="AA80" s="196">
        <v>439.97500000000002</v>
      </c>
      <c r="AB80" s="197">
        <v>439.97500000000002</v>
      </c>
      <c r="AC80" s="195">
        <v>439.97500000000002</v>
      </c>
      <c r="AD80" s="196">
        <v>439.97500000000002</v>
      </c>
      <c r="AE80" s="197">
        <v>439.97500000000002</v>
      </c>
      <c r="AF80" s="195">
        <v>439.97500000000002</v>
      </c>
      <c r="AG80" s="196">
        <v>439.97500000000002</v>
      </c>
      <c r="AH80" s="197">
        <v>439.97500000000002</v>
      </c>
      <c r="AI80" s="200" t="s">
        <v>193</v>
      </c>
      <c r="AJ80" s="193" t="s">
        <v>1625</v>
      </c>
      <c r="AK80" s="201" t="s">
        <v>1609</v>
      </c>
      <c r="AL80" s="205">
        <v>123</v>
      </c>
      <c r="AM80" s="200"/>
      <c r="AN80" s="204">
        <v>452.89</v>
      </c>
      <c r="AO80" s="203"/>
      <c r="AP80" s="207" t="s">
        <v>76</v>
      </c>
      <c r="AQ80" s="199" t="s">
        <v>1620</v>
      </c>
      <c r="AR80" s="202">
        <v>44652</v>
      </c>
      <c r="AS80" s="205">
        <v>2044</v>
      </c>
      <c r="AT80" s="206"/>
      <c r="AU80" s="201" t="s">
        <v>24</v>
      </c>
      <c r="AV80" s="193" t="s">
        <v>16</v>
      </c>
      <c r="AW80" s="205">
        <v>1057</v>
      </c>
    </row>
    <row r="81" spans="1:49">
      <c r="A81" s="192" t="s">
        <v>45</v>
      </c>
      <c r="B81" s="194" t="s">
        <v>1555</v>
      </c>
      <c r="C81" s="160" t="s">
        <v>318</v>
      </c>
      <c r="D81" s="193" t="s">
        <v>320</v>
      </c>
      <c r="E81" s="195">
        <v>30.007999999999999</v>
      </c>
      <c r="F81" s="196">
        <v>30.007999999999999</v>
      </c>
      <c r="G81" s="197">
        <v>30.007999999999999</v>
      </c>
      <c r="H81" s="195">
        <v>30.007999999999999</v>
      </c>
      <c r="I81" s="196">
        <v>30.007999999999999</v>
      </c>
      <c r="J81" s="197">
        <v>30.007999999999999</v>
      </c>
      <c r="K81" s="195">
        <v>30.007999999999999</v>
      </c>
      <c r="L81" s="196">
        <v>30.007999999999999</v>
      </c>
      <c r="M81" s="197">
        <v>30.007999999999999</v>
      </c>
      <c r="N81" s="195">
        <v>30.007999999999999</v>
      </c>
      <c r="O81" s="196">
        <v>30.007999999999999</v>
      </c>
      <c r="P81" s="197">
        <v>30.007999999999999</v>
      </c>
      <c r="Q81" s="195">
        <v>30.007999999999999</v>
      </c>
      <c r="R81" s="196">
        <v>30.007999999999999</v>
      </c>
      <c r="S81" s="197">
        <v>30.007999999999999</v>
      </c>
      <c r="T81" s="195">
        <v>30.007999999999999</v>
      </c>
      <c r="U81" s="196">
        <v>30.007999999999999</v>
      </c>
      <c r="V81" s="197">
        <v>30.007999999999999</v>
      </c>
      <c r="W81" s="195">
        <v>30.007999999999999</v>
      </c>
      <c r="X81" s="196">
        <v>30.007999999999999</v>
      </c>
      <c r="Y81" s="197">
        <v>30.007999999999999</v>
      </c>
      <c r="Z81" s="195">
        <v>30.007999999999999</v>
      </c>
      <c r="AA81" s="196">
        <v>30.007999999999999</v>
      </c>
      <c r="AB81" s="197">
        <v>30.007999999999999</v>
      </c>
      <c r="AC81" s="195">
        <v>30.007999999999999</v>
      </c>
      <c r="AD81" s="196">
        <v>30.007999999999999</v>
      </c>
      <c r="AE81" s="197">
        <v>30.007999999999999</v>
      </c>
      <c r="AF81" s="195">
        <v>30.007999999999999</v>
      </c>
      <c r="AG81" s="196">
        <v>30.007999999999999</v>
      </c>
      <c r="AH81" s="197">
        <v>30.007999999999999</v>
      </c>
      <c r="AI81" s="200" t="s">
        <v>319</v>
      </c>
      <c r="AJ81" s="193" t="s">
        <v>1631</v>
      </c>
      <c r="AK81" s="201" t="s">
        <v>1614</v>
      </c>
      <c r="AL81" s="205">
        <v>22</v>
      </c>
      <c r="AM81" s="200">
        <v>36.014000000000003</v>
      </c>
      <c r="AN81" s="204">
        <v>36.014000000000003</v>
      </c>
      <c r="AO81" s="203"/>
      <c r="AP81" s="207" t="s">
        <v>76</v>
      </c>
      <c r="AQ81" s="199" t="s">
        <v>1620</v>
      </c>
      <c r="AR81" s="202">
        <v>44440</v>
      </c>
      <c r="AS81" s="205">
        <v>2051</v>
      </c>
      <c r="AT81" s="206"/>
      <c r="AU81" s="201" t="s">
        <v>24</v>
      </c>
      <c r="AV81" s="193" t="s">
        <v>1615</v>
      </c>
      <c r="AW81" s="205">
        <v>1520</v>
      </c>
    </row>
    <row r="82" spans="1:49">
      <c r="A82" s="192" t="s">
        <v>45</v>
      </c>
      <c r="B82" s="194" t="s">
        <v>1555</v>
      </c>
      <c r="C82" s="160" t="s">
        <v>787</v>
      </c>
      <c r="D82" s="193" t="s">
        <v>2101</v>
      </c>
      <c r="E82" s="195">
        <v>91</v>
      </c>
      <c r="F82" s="196">
        <v>91</v>
      </c>
      <c r="G82" s="197">
        <v>91</v>
      </c>
      <c r="H82" s="195">
        <v>91</v>
      </c>
      <c r="I82" s="196">
        <v>91</v>
      </c>
      <c r="J82" s="197">
        <v>91</v>
      </c>
      <c r="K82" s="195">
        <v>91</v>
      </c>
      <c r="L82" s="196">
        <v>91</v>
      </c>
      <c r="M82" s="197">
        <v>91</v>
      </c>
      <c r="N82" s="195">
        <v>91</v>
      </c>
      <c r="O82" s="196">
        <v>91</v>
      </c>
      <c r="P82" s="197">
        <v>91</v>
      </c>
      <c r="Q82" s="195">
        <v>91</v>
      </c>
      <c r="R82" s="196">
        <v>91</v>
      </c>
      <c r="S82" s="197">
        <v>91</v>
      </c>
      <c r="T82" s="195">
        <v>91</v>
      </c>
      <c r="U82" s="196">
        <v>91</v>
      </c>
      <c r="V82" s="197">
        <v>91</v>
      </c>
      <c r="W82" s="195">
        <v>91</v>
      </c>
      <c r="X82" s="196">
        <v>91</v>
      </c>
      <c r="Y82" s="197">
        <v>91</v>
      </c>
      <c r="Z82" s="195">
        <v>91</v>
      </c>
      <c r="AA82" s="196">
        <v>91</v>
      </c>
      <c r="AB82" s="197">
        <v>91</v>
      </c>
      <c r="AC82" s="195">
        <v>91</v>
      </c>
      <c r="AD82" s="196">
        <v>91</v>
      </c>
      <c r="AE82" s="197">
        <v>91</v>
      </c>
      <c r="AF82" s="195"/>
      <c r="AG82" s="196"/>
      <c r="AH82" s="197"/>
      <c r="AI82" s="200" t="s">
        <v>788</v>
      </c>
      <c r="AJ82" s="193" t="s">
        <v>1625</v>
      </c>
      <c r="AK82" s="201" t="s">
        <v>1609</v>
      </c>
      <c r="AL82" s="205">
        <v>28</v>
      </c>
      <c r="AM82" s="200">
        <v>96.04</v>
      </c>
      <c r="AN82" s="204">
        <v>96.04</v>
      </c>
      <c r="AO82" s="203"/>
      <c r="AP82" s="207" t="s">
        <v>76</v>
      </c>
      <c r="AQ82" s="199" t="s">
        <v>1620</v>
      </c>
      <c r="AR82" s="202">
        <v>43344</v>
      </c>
      <c r="AS82" s="205">
        <v>2043</v>
      </c>
      <c r="AT82" s="206"/>
      <c r="AU82" s="201" t="s">
        <v>24</v>
      </c>
      <c r="AV82" s="193" t="s">
        <v>16</v>
      </c>
      <c r="AW82" s="205">
        <v>1061</v>
      </c>
    </row>
    <row r="83" spans="1:49">
      <c r="A83" s="192" t="s">
        <v>110</v>
      </c>
      <c r="B83" s="194" t="s">
        <v>1555</v>
      </c>
      <c r="C83" s="160" t="s">
        <v>680</v>
      </c>
      <c r="D83" s="193" t="s">
        <v>682</v>
      </c>
      <c r="E83" s="195">
        <v>79.95</v>
      </c>
      <c r="F83" s="196">
        <v>79.95</v>
      </c>
      <c r="G83" s="197">
        <v>79.95</v>
      </c>
      <c r="H83" s="195">
        <v>79.95</v>
      </c>
      <c r="I83" s="196">
        <v>79.95</v>
      </c>
      <c r="J83" s="197">
        <v>79.95</v>
      </c>
      <c r="K83" s="195">
        <v>79.95</v>
      </c>
      <c r="L83" s="196">
        <v>79.95</v>
      </c>
      <c r="M83" s="197">
        <v>79.95</v>
      </c>
      <c r="N83" s="195">
        <v>79.95</v>
      </c>
      <c r="O83" s="196">
        <v>79.95</v>
      </c>
      <c r="P83" s="197">
        <v>79.95</v>
      </c>
      <c r="Q83" s="195">
        <v>79.95</v>
      </c>
      <c r="R83" s="196">
        <v>79.95</v>
      </c>
      <c r="S83" s="197">
        <v>79.95</v>
      </c>
      <c r="T83" s="195">
        <v>79.95</v>
      </c>
      <c r="U83" s="196">
        <v>79.95</v>
      </c>
      <c r="V83" s="197">
        <v>79.95</v>
      </c>
      <c r="W83" s="195">
        <v>79.95</v>
      </c>
      <c r="X83" s="196">
        <v>79.95</v>
      </c>
      <c r="Y83" s="197">
        <v>79.95</v>
      </c>
      <c r="Z83" s="195">
        <v>79.95</v>
      </c>
      <c r="AA83" s="196">
        <v>79.95</v>
      </c>
      <c r="AB83" s="197">
        <v>79.95</v>
      </c>
      <c r="AC83" s="195">
        <v>79.95</v>
      </c>
      <c r="AD83" s="196">
        <v>79.95</v>
      </c>
      <c r="AE83" s="197">
        <v>79.95</v>
      </c>
      <c r="AF83" s="195">
        <v>79.95</v>
      </c>
      <c r="AG83" s="196">
        <v>79.95</v>
      </c>
      <c r="AH83" s="197">
        <v>79.95</v>
      </c>
      <c r="AI83" s="200" t="s">
        <v>681</v>
      </c>
      <c r="AJ83" s="193" t="s">
        <v>1625</v>
      </c>
      <c r="AK83" s="201" t="s">
        <v>1609</v>
      </c>
      <c r="AL83" s="205">
        <v>39</v>
      </c>
      <c r="AM83" s="200"/>
      <c r="AN83" s="204">
        <v>79.95</v>
      </c>
      <c r="AO83" s="203"/>
      <c r="AP83" s="207" t="s">
        <v>76</v>
      </c>
      <c r="AQ83" s="199" t="s">
        <v>1620</v>
      </c>
      <c r="AR83" s="202"/>
      <c r="AS83" s="205">
        <v>2050</v>
      </c>
      <c r="AT83" s="206"/>
      <c r="AU83" s="201" t="s">
        <v>24</v>
      </c>
      <c r="AV83" s="193" t="s">
        <v>16</v>
      </c>
      <c r="AW83" s="205">
        <v>1566</v>
      </c>
    </row>
    <row r="84" spans="1:49">
      <c r="A84" s="192" t="s">
        <v>45</v>
      </c>
      <c r="B84" s="194" t="s">
        <v>1555</v>
      </c>
      <c r="C84" s="160" t="s">
        <v>490</v>
      </c>
      <c r="D84" s="193" t="s">
        <v>492</v>
      </c>
      <c r="E84" s="195">
        <v>138.01</v>
      </c>
      <c r="F84" s="196">
        <v>138.01</v>
      </c>
      <c r="G84" s="197">
        <v>0</v>
      </c>
      <c r="H84" s="195">
        <v>138.01</v>
      </c>
      <c r="I84" s="196">
        <v>138.01</v>
      </c>
      <c r="J84" s="197">
        <v>0</v>
      </c>
      <c r="K84" s="195">
        <v>138.01</v>
      </c>
      <c r="L84" s="196">
        <v>138.01</v>
      </c>
      <c r="M84" s="197">
        <v>0</v>
      </c>
      <c r="N84" s="195">
        <v>138.01</v>
      </c>
      <c r="O84" s="196">
        <v>138.01</v>
      </c>
      <c r="P84" s="197">
        <v>0</v>
      </c>
      <c r="Q84" s="195">
        <v>138.01</v>
      </c>
      <c r="R84" s="196">
        <v>138.01</v>
      </c>
      <c r="S84" s="197">
        <v>0</v>
      </c>
      <c r="T84" s="195">
        <v>138.01</v>
      </c>
      <c r="U84" s="196">
        <v>138.01</v>
      </c>
      <c r="V84" s="197">
        <v>0</v>
      </c>
      <c r="W84" s="195">
        <v>138.01</v>
      </c>
      <c r="X84" s="196">
        <v>138.01</v>
      </c>
      <c r="Y84" s="197">
        <v>0</v>
      </c>
      <c r="Z84" s="195">
        <v>138.01</v>
      </c>
      <c r="AA84" s="196">
        <v>138.01</v>
      </c>
      <c r="AB84" s="197">
        <v>0</v>
      </c>
      <c r="AC84" s="195">
        <v>138.01</v>
      </c>
      <c r="AD84" s="196">
        <v>138.01</v>
      </c>
      <c r="AE84" s="197">
        <v>0</v>
      </c>
      <c r="AF84" s="195">
        <v>138.01</v>
      </c>
      <c r="AG84" s="196">
        <v>138.01</v>
      </c>
      <c r="AH84" s="197">
        <v>0</v>
      </c>
      <c r="AI84" s="200" t="s">
        <v>491</v>
      </c>
      <c r="AJ84" s="193" t="s">
        <v>1625</v>
      </c>
      <c r="AK84" s="201" t="s">
        <v>1609</v>
      </c>
      <c r="AL84" s="205">
        <v>37</v>
      </c>
      <c r="AM84" s="200">
        <v>133.19999999999999</v>
      </c>
      <c r="AN84" s="204">
        <v>141.71</v>
      </c>
      <c r="AO84" s="203"/>
      <c r="AP84" s="207" t="s">
        <v>76</v>
      </c>
      <c r="AQ84" s="199" t="s">
        <v>1620</v>
      </c>
      <c r="AR84" s="202">
        <v>44713</v>
      </c>
      <c r="AS84" s="205">
        <v>2041</v>
      </c>
      <c r="AT84" s="206"/>
      <c r="AU84" s="201" t="s">
        <v>24</v>
      </c>
      <c r="AV84" s="193" t="s">
        <v>16</v>
      </c>
      <c r="AW84" s="205">
        <v>1281</v>
      </c>
    </row>
    <row r="85" spans="1:49">
      <c r="A85" s="192" t="s">
        <v>91</v>
      </c>
      <c r="B85" s="194" t="s">
        <v>1555</v>
      </c>
      <c r="C85" s="160" t="s">
        <v>2114</v>
      </c>
      <c r="D85" s="193" t="s">
        <v>2116</v>
      </c>
      <c r="E85" s="195">
        <v>30</v>
      </c>
      <c r="F85" s="196">
        <v>30</v>
      </c>
      <c r="G85" s="197">
        <v>30</v>
      </c>
      <c r="H85" s="195">
        <v>30</v>
      </c>
      <c r="I85" s="196">
        <v>30</v>
      </c>
      <c r="J85" s="197">
        <v>30</v>
      </c>
      <c r="K85" s="195">
        <v>30</v>
      </c>
      <c r="L85" s="196">
        <v>30</v>
      </c>
      <c r="M85" s="197">
        <v>30</v>
      </c>
      <c r="N85" s="195">
        <v>30</v>
      </c>
      <c r="O85" s="196">
        <v>30</v>
      </c>
      <c r="P85" s="197">
        <v>30</v>
      </c>
      <c r="Q85" s="195">
        <v>30</v>
      </c>
      <c r="R85" s="196">
        <v>30</v>
      </c>
      <c r="S85" s="197">
        <v>30</v>
      </c>
      <c r="T85" s="195">
        <v>30</v>
      </c>
      <c r="U85" s="196">
        <v>30</v>
      </c>
      <c r="V85" s="197">
        <v>30</v>
      </c>
      <c r="W85" s="195">
        <v>30</v>
      </c>
      <c r="X85" s="196">
        <v>30</v>
      </c>
      <c r="Y85" s="197">
        <v>30</v>
      </c>
      <c r="Z85" s="195">
        <v>30</v>
      </c>
      <c r="AA85" s="196">
        <v>0</v>
      </c>
      <c r="AB85" s="197">
        <v>0</v>
      </c>
      <c r="AC85" s="195">
        <v>0</v>
      </c>
      <c r="AD85" s="196">
        <v>0</v>
      </c>
      <c r="AE85" s="197">
        <v>0</v>
      </c>
      <c r="AF85" s="195">
        <v>0</v>
      </c>
      <c r="AG85" s="196">
        <v>0</v>
      </c>
      <c r="AH85" s="197">
        <v>0</v>
      </c>
      <c r="AI85" s="200" t="s">
        <v>2115</v>
      </c>
      <c r="AJ85" s="193" t="s">
        <v>1602</v>
      </c>
      <c r="AK85" s="201" t="s">
        <v>1603</v>
      </c>
      <c r="AL85" s="205">
        <v>12</v>
      </c>
      <c r="AM85" s="200"/>
      <c r="AN85" s="204">
        <v>30</v>
      </c>
      <c r="AO85" s="203">
        <v>9</v>
      </c>
      <c r="AP85" s="207" t="s">
        <v>76</v>
      </c>
      <c r="AQ85" s="199" t="s">
        <v>1619</v>
      </c>
      <c r="AR85" s="202"/>
      <c r="AS85" s="205">
        <v>2030</v>
      </c>
      <c r="AT85" s="206"/>
      <c r="AU85" s="201" t="s">
        <v>24</v>
      </c>
      <c r="AV85" s="193" t="s">
        <v>19</v>
      </c>
      <c r="AW85" s="205">
        <v>1553</v>
      </c>
    </row>
    <row r="86" spans="1:49">
      <c r="A86" s="192" t="s">
        <v>77</v>
      </c>
      <c r="B86" s="194" t="s">
        <v>1555</v>
      </c>
      <c r="C86" s="160" t="s">
        <v>2119</v>
      </c>
      <c r="D86" s="193" t="s">
        <v>2120</v>
      </c>
      <c r="E86" s="195">
        <v>630</v>
      </c>
      <c r="F86" s="196">
        <v>579</v>
      </c>
      <c r="G86" s="197">
        <v>563</v>
      </c>
      <c r="H86" s="195">
        <v>630</v>
      </c>
      <c r="I86" s="196">
        <v>579</v>
      </c>
      <c r="J86" s="197">
        <v>563</v>
      </c>
      <c r="K86" s="195">
        <v>630</v>
      </c>
      <c r="L86" s="196">
        <v>579</v>
      </c>
      <c r="M86" s="197">
        <v>563</v>
      </c>
      <c r="N86" s="195">
        <v>630</v>
      </c>
      <c r="O86" s="196">
        <v>579</v>
      </c>
      <c r="P86" s="197">
        <v>563</v>
      </c>
      <c r="Q86" s="195">
        <v>630</v>
      </c>
      <c r="R86" s="196">
        <v>579</v>
      </c>
      <c r="S86" s="197">
        <v>563</v>
      </c>
      <c r="T86" s="195">
        <v>630</v>
      </c>
      <c r="U86" s="196">
        <v>579</v>
      </c>
      <c r="V86" s="197">
        <v>563</v>
      </c>
      <c r="W86" s="195">
        <v>630</v>
      </c>
      <c r="X86" s="196">
        <v>579</v>
      </c>
      <c r="Y86" s="197">
        <v>563</v>
      </c>
      <c r="Z86" s="195">
        <v>630</v>
      </c>
      <c r="AA86" s="196">
        <v>579</v>
      </c>
      <c r="AB86" s="197">
        <v>563</v>
      </c>
      <c r="AC86" s="195">
        <v>630</v>
      </c>
      <c r="AD86" s="196">
        <v>579</v>
      </c>
      <c r="AE86" s="197">
        <v>563</v>
      </c>
      <c r="AF86" s="195">
        <v>630</v>
      </c>
      <c r="AG86" s="196">
        <v>579</v>
      </c>
      <c r="AH86" s="197">
        <v>563</v>
      </c>
      <c r="AI86" s="200" t="s">
        <v>717</v>
      </c>
      <c r="AJ86" s="193" t="s">
        <v>2072</v>
      </c>
      <c r="AK86" s="201" t="s">
        <v>1857</v>
      </c>
      <c r="AL86" s="205">
        <v>4</v>
      </c>
      <c r="AM86" s="200"/>
      <c r="AN86" s="204">
        <v>644.5</v>
      </c>
      <c r="AO86" s="203"/>
      <c r="AP86" s="207" t="s">
        <v>76</v>
      </c>
      <c r="AQ86" s="199" t="s">
        <v>1619</v>
      </c>
      <c r="AR86" s="202"/>
      <c r="AS86" s="205">
        <v>2045</v>
      </c>
      <c r="AT86" s="206"/>
      <c r="AU86" s="201" t="s">
        <v>24</v>
      </c>
      <c r="AV86" s="193" t="s">
        <v>12</v>
      </c>
      <c r="AW86" s="205">
        <v>1066</v>
      </c>
    </row>
    <row r="87" spans="1:49">
      <c r="A87" s="192" t="s">
        <v>77</v>
      </c>
      <c r="B87" s="194" t="s">
        <v>1555</v>
      </c>
      <c r="C87" s="160" t="s">
        <v>826</v>
      </c>
      <c r="D87" s="193" t="s">
        <v>2124</v>
      </c>
      <c r="E87" s="195">
        <v>110</v>
      </c>
      <c r="F87" s="196">
        <v>108.504</v>
      </c>
      <c r="G87" s="197">
        <v>108.504</v>
      </c>
      <c r="H87" s="195">
        <v>110</v>
      </c>
      <c r="I87" s="196">
        <v>108.504</v>
      </c>
      <c r="J87" s="197">
        <v>108.504</v>
      </c>
      <c r="K87" s="195">
        <v>110</v>
      </c>
      <c r="L87" s="196">
        <v>108.504</v>
      </c>
      <c r="M87" s="197">
        <v>108.504</v>
      </c>
      <c r="N87" s="195">
        <v>110</v>
      </c>
      <c r="O87" s="196">
        <v>108.504</v>
      </c>
      <c r="P87" s="197">
        <v>108.504</v>
      </c>
      <c r="Q87" s="195">
        <v>110</v>
      </c>
      <c r="R87" s="196">
        <v>108.504</v>
      </c>
      <c r="S87" s="197">
        <v>108.504</v>
      </c>
      <c r="T87" s="195">
        <v>110</v>
      </c>
      <c r="U87" s="196">
        <v>108.504</v>
      </c>
      <c r="V87" s="197">
        <v>108.504</v>
      </c>
      <c r="W87" s="195">
        <v>110</v>
      </c>
      <c r="X87" s="196">
        <v>108.504</v>
      </c>
      <c r="Y87" s="197">
        <v>108.504</v>
      </c>
      <c r="Z87" s="195">
        <v>110</v>
      </c>
      <c r="AA87" s="196">
        <v>108.504</v>
      </c>
      <c r="AB87" s="197">
        <v>108.504</v>
      </c>
      <c r="AC87" s="195">
        <v>110</v>
      </c>
      <c r="AD87" s="196">
        <v>108.504</v>
      </c>
      <c r="AE87" s="197">
        <v>108.504</v>
      </c>
      <c r="AF87" s="195">
        <v>110</v>
      </c>
      <c r="AG87" s="196">
        <v>108.504</v>
      </c>
      <c r="AH87" s="197">
        <v>108.504</v>
      </c>
      <c r="AI87" s="200" t="s">
        <v>827</v>
      </c>
      <c r="AJ87" s="193" t="s">
        <v>1613</v>
      </c>
      <c r="AK87" s="201" t="s">
        <v>1614</v>
      </c>
      <c r="AL87" s="205">
        <v>44</v>
      </c>
      <c r="AM87" s="200">
        <v>108.504</v>
      </c>
      <c r="AN87" s="204">
        <v>121</v>
      </c>
      <c r="AO87" s="203"/>
      <c r="AP87" s="207" t="s">
        <v>76</v>
      </c>
      <c r="AQ87" s="199" t="s">
        <v>1620</v>
      </c>
      <c r="AR87" s="202"/>
      <c r="AS87" s="205">
        <v>2036</v>
      </c>
      <c r="AT87" s="206"/>
      <c r="AU87" s="201" t="s">
        <v>24</v>
      </c>
      <c r="AV87" s="193" t="s">
        <v>1615</v>
      </c>
      <c r="AW87" s="205">
        <v>1545</v>
      </c>
    </row>
    <row r="88" spans="1:49">
      <c r="A88" s="192" t="s">
        <v>45</v>
      </c>
      <c r="B88" s="194" t="s">
        <v>1599</v>
      </c>
      <c r="C88" s="160" t="s">
        <v>325</v>
      </c>
      <c r="D88" s="193" t="s">
        <v>2126</v>
      </c>
      <c r="E88" s="195">
        <v>25</v>
      </c>
      <c r="F88" s="196">
        <v>25</v>
      </c>
      <c r="G88" s="197">
        <v>25</v>
      </c>
      <c r="H88" s="195">
        <v>25</v>
      </c>
      <c r="I88" s="196">
        <v>25</v>
      </c>
      <c r="J88" s="197">
        <v>25</v>
      </c>
      <c r="K88" s="195">
        <v>25</v>
      </c>
      <c r="L88" s="196">
        <v>25</v>
      </c>
      <c r="M88" s="197">
        <v>25</v>
      </c>
      <c r="N88" s="195">
        <v>25</v>
      </c>
      <c r="O88" s="196">
        <v>25</v>
      </c>
      <c r="P88" s="197">
        <v>25</v>
      </c>
      <c r="Q88" s="195">
        <v>25</v>
      </c>
      <c r="R88" s="196">
        <v>25</v>
      </c>
      <c r="S88" s="197">
        <v>25</v>
      </c>
      <c r="T88" s="195">
        <v>25</v>
      </c>
      <c r="U88" s="196">
        <v>25</v>
      </c>
      <c r="V88" s="197">
        <v>25</v>
      </c>
      <c r="W88" s="195">
        <v>25</v>
      </c>
      <c r="X88" s="196">
        <v>25</v>
      </c>
      <c r="Y88" s="197">
        <v>25</v>
      </c>
      <c r="Z88" s="195">
        <v>25</v>
      </c>
      <c r="AA88" s="196">
        <v>25</v>
      </c>
      <c r="AB88" s="197">
        <v>25</v>
      </c>
      <c r="AC88" s="195">
        <v>25</v>
      </c>
      <c r="AD88" s="196">
        <v>25</v>
      </c>
      <c r="AE88" s="197">
        <v>25</v>
      </c>
      <c r="AF88" s="195">
        <v>25</v>
      </c>
      <c r="AG88" s="196">
        <v>25</v>
      </c>
      <c r="AH88" s="197">
        <v>25</v>
      </c>
      <c r="AI88" s="200" t="s">
        <v>2125</v>
      </c>
      <c r="AJ88" s="193" t="s">
        <v>1602</v>
      </c>
      <c r="AK88" s="201" t="s">
        <v>1603</v>
      </c>
      <c r="AL88" s="205">
        <v>1</v>
      </c>
      <c r="AM88" s="200"/>
      <c r="AN88" s="204">
        <v>25</v>
      </c>
      <c r="AO88" s="203">
        <v>50</v>
      </c>
      <c r="AP88" s="207" t="s">
        <v>26</v>
      </c>
      <c r="AQ88" s="199" t="s">
        <v>1619</v>
      </c>
      <c r="AR88" s="202">
        <v>45139</v>
      </c>
      <c r="AS88" s="205">
        <v>2051</v>
      </c>
      <c r="AT88" s="206"/>
      <c r="AU88" s="201" t="s">
        <v>26</v>
      </c>
      <c r="AV88" s="193" t="s">
        <v>19</v>
      </c>
      <c r="AW88" s="205">
        <v>2019</v>
      </c>
    </row>
    <row r="89" spans="1:49">
      <c r="A89" s="192" t="s">
        <v>45</v>
      </c>
      <c r="B89" s="194" t="s">
        <v>1555</v>
      </c>
      <c r="C89" s="160" t="s">
        <v>606</v>
      </c>
      <c r="D89" s="193" t="s">
        <v>650</v>
      </c>
      <c r="E89" s="195">
        <v>274.96800000000002</v>
      </c>
      <c r="F89" s="196">
        <v>266.00400000000002</v>
      </c>
      <c r="G89" s="197">
        <v>263.30399999999997</v>
      </c>
      <c r="H89" s="195">
        <v>274.96800000000002</v>
      </c>
      <c r="I89" s="196">
        <v>266.00400000000002</v>
      </c>
      <c r="J89" s="197">
        <v>263.30399999999997</v>
      </c>
      <c r="K89" s="195">
        <v>274.96800000000002</v>
      </c>
      <c r="L89" s="196">
        <v>266.00400000000002</v>
      </c>
      <c r="M89" s="197">
        <v>263.30399999999997</v>
      </c>
      <c r="N89" s="195">
        <v>274.96800000000002</v>
      </c>
      <c r="O89" s="196">
        <v>266.00400000000002</v>
      </c>
      <c r="P89" s="197">
        <v>263.30399999999997</v>
      </c>
      <c r="Q89" s="195">
        <v>274.96800000000002</v>
      </c>
      <c r="R89" s="196">
        <v>266.00400000000002</v>
      </c>
      <c r="S89" s="197">
        <v>263.30399999999997</v>
      </c>
      <c r="T89" s="195">
        <v>274.96800000000002</v>
      </c>
      <c r="U89" s="196">
        <v>266.00400000000002</v>
      </c>
      <c r="V89" s="197">
        <v>263.30399999999997</v>
      </c>
      <c r="W89" s="195">
        <v>274.96800000000002</v>
      </c>
      <c r="X89" s="196">
        <v>266.00400000000002</v>
      </c>
      <c r="Y89" s="197">
        <v>263.30399999999997</v>
      </c>
      <c r="Z89" s="195">
        <v>274.96800000000002</v>
      </c>
      <c r="AA89" s="196">
        <v>266.00400000000002</v>
      </c>
      <c r="AB89" s="197">
        <v>263.30399999999997</v>
      </c>
      <c r="AC89" s="195">
        <v>274.96800000000002</v>
      </c>
      <c r="AD89" s="196">
        <v>266.00400000000002</v>
      </c>
      <c r="AE89" s="197">
        <v>263.30399999999997</v>
      </c>
      <c r="AF89" s="195">
        <v>274.96800000000002</v>
      </c>
      <c r="AG89" s="196">
        <v>266.00400000000002</v>
      </c>
      <c r="AH89" s="197">
        <v>263.30399999999997</v>
      </c>
      <c r="AI89" s="200" t="s">
        <v>607</v>
      </c>
      <c r="AJ89" s="193" t="s">
        <v>1631</v>
      </c>
      <c r="AK89" s="201" t="s">
        <v>1614</v>
      </c>
      <c r="AL89" s="205">
        <v>108</v>
      </c>
      <c r="AM89" s="200"/>
      <c r="AN89" s="204">
        <v>274.96800000000002</v>
      </c>
      <c r="AO89" s="203"/>
      <c r="AP89" s="207" t="s">
        <v>76</v>
      </c>
      <c r="AQ89" s="199" t="s">
        <v>1620</v>
      </c>
      <c r="AR89" s="202">
        <v>44287</v>
      </c>
      <c r="AS89" s="205">
        <v>2055</v>
      </c>
      <c r="AT89" s="206"/>
      <c r="AU89" s="201" t="s">
        <v>24</v>
      </c>
      <c r="AV89" s="193" t="s">
        <v>1615</v>
      </c>
      <c r="AW89" s="205">
        <v>1518</v>
      </c>
    </row>
    <row r="90" spans="1:49">
      <c r="A90" s="192" t="s">
        <v>110</v>
      </c>
      <c r="B90" s="194" t="s">
        <v>1555</v>
      </c>
      <c r="C90" s="160" t="s">
        <v>2134</v>
      </c>
      <c r="D90" s="193" t="s">
        <v>2135</v>
      </c>
      <c r="E90" s="195">
        <v>170</v>
      </c>
      <c r="F90" s="196">
        <v>170</v>
      </c>
      <c r="G90" s="197">
        <v>170</v>
      </c>
      <c r="H90" s="195">
        <v>170</v>
      </c>
      <c r="I90" s="196">
        <v>170</v>
      </c>
      <c r="J90" s="197">
        <v>170</v>
      </c>
      <c r="K90" s="195">
        <v>170</v>
      </c>
      <c r="L90" s="196">
        <v>170</v>
      </c>
      <c r="M90" s="197">
        <v>170</v>
      </c>
      <c r="N90" s="195">
        <v>170</v>
      </c>
      <c r="O90" s="196">
        <v>170</v>
      </c>
      <c r="P90" s="197">
        <v>170</v>
      </c>
      <c r="Q90" s="195">
        <v>170</v>
      </c>
      <c r="R90" s="196">
        <v>170</v>
      </c>
      <c r="S90" s="197">
        <v>170</v>
      </c>
      <c r="T90" s="195">
        <v>170</v>
      </c>
      <c r="U90" s="196">
        <v>170</v>
      </c>
      <c r="V90" s="197">
        <v>170</v>
      </c>
      <c r="W90" s="195">
        <v>170</v>
      </c>
      <c r="X90" s="196">
        <v>170</v>
      </c>
      <c r="Y90" s="197">
        <v>170</v>
      </c>
      <c r="Z90" s="195">
        <v>170</v>
      </c>
      <c r="AA90" s="196">
        <v>170</v>
      </c>
      <c r="AB90" s="197">
        <v>170</v>
      </c>
      <c r="AC90" s="195">
        <v>170</v>
      </c>
      <c r="AD90" s="196">
        <v>170</v>
      </c>
      <c r="AE90" s="197">
        <v>170</v>
      </c>
      <c r="AF90" s="195">
        <v>170</v>
      </c>
      <c r="AG90" s="196">
        <v>170</v>
      </c>
      <c r="AH90" s="197">
        <v>170</v>
      </c>
      <c r="AI90" s="200" t="s">
        <v>396</v>
      </c>
      <c r="AJ90" s="193" t="s">
        <v>1700</v>
      </c>
      <c r="AK90" s="201" t="s">
        <v>1658</v>
      </c>
      <c r="AL90" s="205">
        <v>1</v>
      </c>
      <c r="AM90" s="200"/>
      <c r="AN90" s="204">
        <v>185</v>
      </c>
      <c r="AO90" s="203"/>
      <c r="AP90" s="207" t="s">
        <v>76</v>
      </c>
      <c r="AQ90" s="199" t="s">
        <v>1619</v>
      </c>
      <c r="AR90" s="202"/>
      <c r="AS90" s="205">
        <v>2057</v>
      </c>
      <c r="AT90" s="206"/>
      <c r="AU90" s="201" t="s">
        <v>24</v>
      </c>
      <c r="AV90" s="193" t="s">
        <v>17</v>
      </c>
      <c r="AW90" s="205">
        <v>1068</v>
      </c>
    </row>
    <row r="91" spans="1:49">
      <c r="A91" s="192" t="s">
        <v>77</v>
      </c>
      <c r="B91" s="194" t="s">
        <v>1555</v>
      </c>
      <c r="C91" s="160" t="s">
        <v>830</v>
      </c>
      <c r="D91" s="193" t="s">
        <v>2136</v>
      </c>
      <c r="E91" s="195">
        <v>149.999</v>
      </c>
      <c r="F91" s="196">
        <v>147.071</v>
      </c>
      <c r="G91" s="197">
        <v>145.79</v>
      </c>
      <c r="H91" s="195">
        <v>149.999</v>
      </c>
      <c r="I91" s="196">
        <v>147.071</v>
      </c>
      <c r="J91" s="197">
        <v>145.79</v>
      </c>
      <c r="K91" s="195">
        <v>149.999</v>
      </c>
      <c r="L91" s="196">
        <v>147.071</v>
      </c>
      <c r="M91" s="197">
        <v>145.79</v>
      </c>
      <c r="N91" s="195">
        <v>149.999</v>
      </c>
      <c r="O91" s="196">
        <v>147.071</v>
      </c>
      <c r="P91" s="197">
        <v>145.79</v>
      </c>
      <c r="Q91" s="195">
        <v>149.999</v>
      </c>
      <c r="R91" s="196">
        <v>147.071</v>
      </c>
      <c r="S91" s="197">
        <v>145.79</v>
      </c>
      <c r="T91" s="195">
        <v>149.999</v>
      </c>
      <c r="U91" s="196">
        <v>147.071</v>
      </c>
      <c r="V91" s="197">
        <v>145.79</v>
      </c>
      <c r="W91" s="195">
        <v>149.999</v>
      </c>
      <c r="X91" s="196">
        <v>147.071</v>
      </c>
      <c r="Y91" s="197">
        <v>145.79</v>
      </c>
      <c r="Z91" s="195">
        <v>149.999</v>
      </c>
      <c r="AA91" s="196">
        <v>147.071</v>
      </c>
      <c r="AB91" s="197">
        <v>145.79</v>
      </c>
      <c r="AC91" s="195">
        <v>149.999</v>
      </c>
      <c r="AD91" s="196">
        <v>147.071</v>
      </c>
      <c r="AE91" s="197">
        <v>145.79</v>
      </c>
      <c r="AF91" s="195">
        <v>149.999</v>
      </c>
      <c r="AG91" s="196">
        <v>147.071</v>
      </c>
      <c r="AH91" s="197">
        <v>145.79</v>
      </c>
      <c r="AI91" s="200" t="s">
        <v>831</v>
      </c>
      <c r="AJ91" s="193" t="s">
        <v>1631</v>
      </c>
      <c r="AK91" s="201" t="s">
        <v>1614</v>
      </c>
      <c r="AL91" s="205">
        <v>61</v>
      </c>
      <c r="AM91" s="200"/>
      <c r="AN91" s="204">
        <v>167.75</v>
      </c>
      <c r="AO91" s="203"/>
      <c r="AP91" s="207" t="s">
        <v>76</v>
      </c>
      <c r="AQ91" s="199" t="s">
        <v>1620</v>
      </c>
      <c r="AR91" s="202"/>
      <c r="AS91" s="205">
        <v>2048</v>
      </c>
      <c r="AT91" s="206"/>
      <c r="AU91" s="201" t="s">
        <v>24</v>
      </c>
      <c r="AV91" s="193" t="s">
        <v>1615</v>
      </c>
      <c r="AW91" s="205">
        <v>1516</v>
      </c>
    </row>
    <row r="92" spans="1:49">
      <c r="A92" s="192" t="s">
        <v>105</v>
      </c>
      <c r="B92" s="194" t="s">
        <v>1555</v>
      </c>
      <c r="C92" s="160" t="s">
        <v>2148</v>
      </c>
      <c r="D92" s="193" t="s">
        <v>2149</v>
      </c>
      <c r="E92" s="195">
        <v>63</v>
      </c>
      <c r="F92" s="196">
        <v>63</v>
      </c>
      <c r="G92" s="197">
        <v>63</v>
      </c>
      <c r="H92" s="195">
        <v>63</v>
      </c>
      <c r="I92" s="196">
        <v>63</v>
      </c>
      <c r="J92" s="197">
        <v>63</v>
      </c>
      <c r="K92" s="195">
        <v>63</v>
      </c>
      <c r="L92" s="196">
        <v>63</v>
      </c>
      <c r="M92" s="197">
        <v>63</v>
      </c>
      <c r="N92" s="195">
        <v>63</v>
      </c>
      <c r="O92" s="196">
        <v>63</v>
      </c>
      <c r="P92" s="197">
        <v>63</v>
      </c>
      <c r="Q92" s="195">
        <v>63</v>
      </c>
      <c r="R92" s="196">
        <v>63</v>
      </c>
      <c r="S92" s="197">
        <v>63</v>
      </c>
      <c r="T92" s="195">
        <v>63</v>
      </c>
      <c r="U92" s="196">
        <v>63</v>
      </c>
      <c r="V92" s="197">
        <v>63</v>
      </c>
      <c r="W92" s="195">
        <v>63</v>
      </c>
      <c r="X92" s="196">
        <v>63</v>
      </c>
      <c r="Y92" s="197">
        <v>63</v>
      </c>
      <c r="Z92" s="195">
        <v>63</v>
      </c>
      <c r="AA92" s="196">
        <v>63</v>
      </c>
      <c r="AB92" s="197">
        <v>63</v>
      </c>
      <c r="AC92" s="195">
        <v>63</v>
      </c>
      <c r="AD92" s="196">
        <v>63</v>
      </c>
      <c r="AE92" s="197">
        <v>63</v>
      </c>
      <c r="AF92" s="195">
        <v>63</v>
      </c>
      <c r="AG92" s="196">
        <v>63</v>
      </c>
      <c r="AH92" s="197">
        <v>63</v>
      </c>
      <c r="AI92" s="200" t="s">
        <v>1735</v>
      </c>
      <c r="AJ92" s="193" t="s">
        <v>1700</v>
      </c>
      <c r="AK92" s="201" t="s">
        <v>1658</v>
      </c>
      <c r="AL92" s="205">
        <v>1</v>
      </c>
      <c r="AM92" s="200">
        <v>60</v>
      </c>
      <c r="AN92" s="204">
        <v>60</v>
      </c>
      <c r="AO92" s="203"/>
      <c r="AP92" s="207" t="s">
        <v>76</v>
      </c>
      <c r="AQ92" s="199" t="s">
        <v>1619</v>
      </c>
      <c r="AR92" s="202"/>
      <c r="AS92" s="205">
        <v>2100</v>
      </c>
      <c r="AT92" s="206"/>
      <c r="AU92" s="201" t="s">
        <v>24</v>
      </c>
      <c r="AV92" s="193" t="s">
        <v>17</v>
      </c>
      <c r="AW92" s="205">
        <v>1069</v>
      </c>
    </row>
    <row r="93" spans="1:49">
      <c r="A93" s="192" t="s">
        <v>91</v>
      </c>
      <c r="B93" s="194" t="s">
        <v>1555</v>
      </c>
      <c r="C93" s="160" t="s">
        <v>2166</v>
      </c>
      <c r="D93" s="193" t="s">
        <v>2168</v>
      </c>
      <c r="E93" s="195">
        <v>47</v>
      </c>
      <c r="F93" s="196">
        <v>39</v>
      </c>
      <c r="G93" s="197">
        <v>37</v>
      </c>
      <c r="H93" s="195">
        <v>47</v>
      </c>
      <c r="I93" s="196">
        <v>39</v>
      </c>
      <c r="J93" s="197">
        <v>37</v>
      </c>
      <c r="K93" s="195">
        <v>47</v>
      </c>
      <c r="L93" s="196">
        <v>39</v>
      </c>
      <c r="M93" s="197">
        <v>37</v>
      </c>
      <c r="N93" s="195">
        <v>47</v>
      </c>
      <c r="O93" s="196">
        <v>39</v>
      </c>
      <c r="P93" s="197">
        <v>37</v>
      </c>
      <c r="Q93" s="195">
        <v>47</v>
      </c>
      <c r="R93" s="196">
        <v>39</v>
      </c>
      <c r="S93" s="197">
        <v>37</v>
      </c>
      <c r="T93" s="195">
        <v>47</v>
      </c>
      <c r="U93" s="196">
        <v>39</v>
      </c>
      <c r="V93" s="197">
        <v>37</v>
      </c>
      <c r="W93" s="195">
        <v>47</v>
      </c>
      <c r="X93" s="196">
        <v>39</v>
      </c>
      <c r="Y93" s="197">
        <v>37</v>
      </c>
      <c r="Z93" s="195">
        <v>47</v>
      </c>
      <c r="AA93" s="196">
        <v>39</v>
      </c>
      <c r="AB93" s="197">
        <v>37</v>
      </c>
      <c r="AC93" s="195">
        <v>0</v>
      </c>
      <c r="AD93" s="196">
        <v>0</v>
      </c>
      <c r="AE93" s="197">
        <v>0</v>
      </c>
      <c r="AF93" s="195">
        <v>0</v>
      </c>
      <c r="AG93" s="196">
        <v>0</v>
      </c>
      <c r="AH93" s="197">
        <v>0</v>
      </c>
      <c r="AI93" s="200" t="s">
        <v>2167</v>
      </c>
      <c r="AJ93" s="193" t="s">
        <v>1673</v>
      </c>
      <c r="AK93" s="201" t="s">
        <v>1592</v>
      </c>
      <c r="AL93" s="205">
        <v>1</v>
      </c>
      <c r="AM93" s="200"/>
      <c r="AN93" s="204">
        <v>52</v>
      </c>
      <c r="AO93" s="203"/>
      <c r="AP93" s="207" t="s">
        <v>76</v>
      </c>
      <c r="AQ93" s="199" t="s">
        <v>1619</v>
      </c>
      <c r="AR93" s="202"/>
      <c r="AS93" s="205">
        <v>2030</v>
      </c>
      <c r="AT93" s="206"/>
      <c r="AU93" s="201" t="s">
        <v>24</v>
      </c>
      <c r="AV93" s="193" t="s">
        <v>13</v>
      </c>
      <c r="AW93" s="205">
        <v>1070</v>
      </c>
    </row>
    <row r="94" spans="1:49">
      <c r="A94" s="192" t="s">
        <v>91</v>
      </c>
      <c r="B94" s="194" t="s">
        <v>1555</v>
      </c>
      <c r="C94" s="160" t="s">
        <v>2166</v>
      </c>
      <c r="D94" s="193" t="s">
        <v>2169</v>
      </c>
      <c r="E94" s="195">
        <v>47</v>
      </c>
      <c r="F94" s="196">
        <v>40</v>
      </c>
      <c r="G94" s="197">
        <v>38</v>
      </c>
      <c r="H94" s="195">
        <v>47</v>
      </c>
      <c r="I94" s="196">
        <v>40</v>
      </c>
      <c r="J94" s="197">
        <v>38</v>
      </c>
      <c r="K94" s="195">
        <v>47</v>
      </c>
      <c r="L94" s="196">
        <v>40</v>
      </c>
      <c r="M94" s="197">
        <v>38</v>
      </c>
      <c r="N94" s="195">
        <v>47</v>
      </c>
      <c r="O94" s="196">
        <v>40</v>
      </c>
      <c r="P94" s="197">
        <v>38</v>
      </c>
      <c r="Q94" s="195">
        <v>47</v>
      </c>
      <c r="R94" s="196">
        <v>40</v>
      </c>
      <c r="S94" s="197">
        <v>38</v>
      </c>
      <c r="T94" s="195">
        <v>47</v>
      </c>
      <c r="U94" s="196">
        <v>40</v>
      </c>
      <c r="V94" s="197">
        <v>38</v>
      </c>
      <c r="W94" s="195">
        <v>47</v>
      </c>
      <c r="X94" s="196">
        <v>40</v>
      </c>
      <c r="Y94" s="197">
        <v>38</v>
      </c>
      <c r="Z94" s="195">
        <v>47</v>
      </c>
      <c r="AA94" s="196">
        <v>40</v>
      </c>
      <c r="AB94" s="197">
        <v>38</v>
      </c>
      <c r="AC94" s="195">
        <v>0</v>
      </c>
      <c r="AD94" s="196">
        <v>0</v>
      </c>
      <c r="AE94" s="197">
        <v>0</v>
      </c>
      <c r="AF94" s="195">
        <v>0</v>
      </c>
      <c r="AG94" s="196">
        <v>0</v>
      </c>
      <c r="AH94" s="197">
        <v>0</v>
      </c>
      <c r="AI94" s="200" t="s">
        <v>2167</v>
      </c>
      <c r="AJ94" s="193" t="s">
        <v>1673</v>
      </c>
      <c r="AK94" s="201" t="s">
        <v>1592</v>
      </c>
      <c r="AL94" s="205">
        <v>1</v>
      </c>
      <c r="AM94" s="200"/>
      <c r="AN94" s="204">
        <v>52</v>
      </c>
      <c r="AO94" s="203"/>
      <c r="AP94" s="207" t="s">
        <v>76</v>
      </c>
      <c r="AQ94" s="199" t="s">
        <v>1619</v>
      </c>
      <c r="AR94" s="202"/>
      <c r="AS94" s="205">
        <v>2030</v>
      </c>
      <c r="AT94" s="206"/>
      <c r="AU94" s="201" t="s">
        <v>24</v>
      </c>
      <c r="AV94" s="193" t="s">
        <v>13</v>
      </c>
      <c r="AW94" s="205">
        <v>1070</v>
      </c>
    </row>
    <row r="95" spans="1:49">
      <c r="A95" s="192" t="s">
        <v>91</v>
      </c>
      <c r="B95" s="194" t="s">
        <v>1555</v>
      </c>
      <c r="C95" s="160" t="s">
        <v>2166</v>
      </c>
      <c r="D95" s="193" t="s">
        <v>2170</v>
      </c>
      <c r="E95" s="195">
        <v>49</v>
      </c>
      <c r="F95" s="196">
        <v>43</v>
      </c>
      <c r="G95" s="197">
        <v>42</v>
      </c>
      <c r="H95" s="195">
        <v>49</v>
      </c>
      <c r="I95" s="196">
        <v>43</v>
      </c>
      <c r="J95" s="197">
        <v>42</v>
      </c>
      <c r="K95" s="195">
        <v>49</v>
      </c>
      <c r="L95" s="196">
        <v>43</v>
      </c>
      <c r="M95" s="197">
        <v>42</v>
      </c>
      <c r="N95" s="195">
        <v>49</v>
      </c>
      <c r="O95" s="196">
        <v>43</v>
      </c>
      <c r="P95" s="197">
        <v>42</v>
      </c>
      <c r="Q95" s="195">
        <v>49</v>
      </c>
      <c r="R95" s="196">
        <v>43</v>
      </c>
      <c r="S95" s="197">
        <v>42</v>
      </c>
      <c r="T95" s="195">
        <v>49</v>
      </c>
      <c r="U95" s="196">
        <v>43</v>
      </c>
      <c r="V95" s="197">
        <v>42</v>
      </c>
      <c r="W95" s="195">
        <v>49</v>
      </c>
      <c r="X95" s="196">
        <v>43</v>
      </c>
      <c r="Y95" s="197">
        <v>42</v>
      </c>
      <c r="Z95" s="195">
        <v>49</v>
      </c>
      <c r="AA95" s="196">
        <v>43</v>
      </c>
      <c r="AB95" s="197">
        <v>42</v>
      </c>
      <c r="AC95" s="195">
        <v>0</v>
      </c>
      <c r="AD95" s="196">
        <v>0</v>
      </c>
      <c r="AE95" s="197">
        <v>0</v>
      </c>
      <c r="AF95" s="195">
        <v>0</v>
      </c>
      <c r="AG95" s="196">
        <v>0</v>
      </c>
      <c r="AH95" s="197">
        <v>0</v>
      </c>
      <c r="AI95" s="200" t="s">
        <v>2167</v>
      </c>
      <c r="AJ95" s="193" t="s">
        <v>1673</v>
      </c>
      <c r="AK95" s="201" t="s">
        <v>1592</v>
      </c>
      <c r="AL95" s="205">
        <v>1</v>
      </c>
      <c r="AM95" s="200"/>
      <c r="AN95" s="204">
        <v>52</v>
      </c>
      <c r="AO95" s="203"/>
      <c r="AP95" s="207" t="s">
        <v>76</v>
      </c>
      <c r="AQ95" s="199" t="s">
        <v>1619</v>
      </c>
      <c r="AR95" s="202"/>
      <c r="AS95" s="205">
        <v>2030</v>
      </c>
      <c r="AT95" s="206"/>
      <c r="AU95" s="201" t="s">
        <v>24</v>
      </c>
      <c r="AV95" s="193" t="s">
        <v>13</v>
      </c>
      <c r="AW95" s="205">
        <v>1070</v>
      </c>
    </row>
    <row r="96" spans="1:49">
      <c r="A96" s="192" t="s">
        <v>77</v>
      </c>
      <c r="B96" s="194" t="s">
        <v>1599</v>
      </c>
      <c r="C96" s="160" t="s">
        <v>527</v>
      </c>
      <c r="D96" s="193" t="s">
        <v>2174</v>
      </c>
      <c r="E96" s="195">
        <v>172.989</v>
      </c>
      <c r="F96" s="196">
        <v>164.00200000000001</v>
      </c>
      <c r="G96" s="197">
        <v>160.00299999999999</v>
      </c>
      <c r="H96" s="195">
        <v>172.989</v>
      </c>
      <c r="I96" s="196">
        <v>164.00200000000001</v>
      </c>
      <c r="J96" s="197">
        <v>160.00299999999999</v>
      </c>
      <c r="K96" s="195">
        <v>172.989</v>
      </c>
      <c r="L96" s="196">
        <v>164.00200000000001</v>
      </c>
      <c r="M96" s="197">
        <v>160.00299999999999</v>
      </c>
      <c r="N96" s="195">
        <v>172.989</v>
      </c>
      <c r="O96" s="196">
        <v>164.00200000000001</v>
      </c>
      <c r="P96" s="197">
        <v>160.00299999999999</v>
      </c>
      <c r="Q96" s="195">
        <v>172.989</v>
      </c>
      <c r="R96" s="196">
        <v>164.00200000000001</v>
      </c>
      <c r="S96" s="197">
        <v>160.00299999999999</v>
      </c>
      <c r="T96" s="195">
        <v>172.989</v>
      </c>
      <c r="U96" s="196">
        <v>164.00200000000001</v>
      </c>
      <c r="V96" s="197">
        <v>160.00299999999999</v>
      </c>
      <c r="W96" s="195">
        <v>172.989</v>
      </c>
      <c r="X96" s="196">
        <v>164.00200000000001</v>
      </c>
      <c r="Y96" s="197">
        <v>160.00299999999999</v>
      </c>
      <c r="Z96" s="195">
        <v>172.989</v>
      </c>
      <c r="AA96" s="196">
        <v>164.00200000000001</v>
      </c>
      <c r="AB96" s="197">
        <v>160.00299999999999</v>
      </c>
      <c r="AC96" s="195">
        <v>172.989</v>
      </c>
      <c r="AD96" s="196">
        <v>164.00200000000001</v>
      </c>
      <c r="AE96" s="197">
        <v>160.00299999999999</v>
      </c>
      <c r="AF96" s="195">
        <v>172.989</v>
      </c>
      <c r="AG96" s="196">
        <v>164.00200000000001</v>
      </c>
      <c r="AH96" s="197">
        <v>160.00299999999999</v>
      </c>
      <c r="AI96" s="200" t="s">
        <v>2173</v>
      </c>
      <c r="AJ96" s="193" t="s">
        <v>1625</v>
      </c>
      <c r="AK96" s="201" t="s">
        <v>1609</v>
      </c>
      <c r="AL96" s="205">
        <v>43</v>
      </c>
      <c r="AM96" s="200">
        <v>172.989</v>
      </c>
      <c r="AN96" s="204">
        <v>172.989</v>
      </c>
      <c r="AO96" s="203"/>
      <c r="AP96" s="207" t="s">
        <v>26</v>
      </c>
      <c r="AQ96" s="199" t="s">
        <v>1620</v>
      </c>
      <c r="AR96" s="202">
        <v>45200</v>
      </c>
      <c r="AS96" s="205">
        <v>2053</v>
      </c>
      <c r="AT96" s="206"/>
      <c r="AU96" s="201" t="s">
        <v>26</v>
      </c>
      <c r="AV96" s="193" t="s">
        <v>16</v>
      </c>
      <c r="AW96" s="205">
        <v>1706</v>
      </c>
    </row>
    <row r="97" spans="1:49">
      <c r="A97" s="192" t="s">
        <v>110</v>
      </c>
      <c r="B97" s="194" t="s">
        <v>1555</v>
      </c>
      <c r="C97" s="160" t="s">
        <v>300</v>
      </c>
      <c r="D97" s="193" t="s">
        <v>683</v>
      </c>
      <c r="E97" s="195">
        <v>168</v>
      </c>
      <c r="F97" s="196">
        <v>152</v>
      </c>
      <c r="G97" s="197">
        <v>108</v>
      </c>
      <c r="H97" s="195">
        <v>168</v>
      </c>
      <c r="I97" s="196">
        <v>152</v>
      </c>
      <c r="J97" s="197">
        <v>108</v>
      </c>
      <c r="K97" s="195">
        <v>168</v>
      </c>
      <c r="L97" s="196">
        <v>152</v>
      </c>
      <c r="M97" s="197">
        <v>108</v>
      </c>
      <c r="N97" s="195">
        <v>168</v>
      </c>
      <c r="O97" s="196">
        <v>152</v>
      </c>
      <c r="P97" s="197">
        <v>108</v>
      </c>
      <c r="Q97" s="195">
        <v>168</v>
      </c>
      <c r="R97" s="196">
        <v>152</v>
      </c>
      <c r="S97" s="197">
        <v>108</v>
      </c>
      <c r="T97" s="195">
        <v>168</v>
      </c>
      <c r="U97" s="196">
        <v>152</v>
      </c>
      <c r="V97" s="197">
        <v>108</v>
      </c>
      <c r="W97" s="195">
        <v>168</v>
      </c>
      <c r="X97" s="196">
        <v>152</v>
      </c>
      <c r="Y97" s="197">
        <v>108</v>
      </c>
      <c r="Z97" s="195">
        <v>168</v>
      </c>
      <c r="AA97" s="196">
        <v>152</v>
      </c>
      <c r="AB97" s="197">
        <v>108</v>
      </c>
      <c r="AC97" s="195">
        <v>168</v>
      </c>
      <c r="AD97" s="196">
        <v>152</v>
      </c>
      <c r="AE97" s="197">
        <v>108</v>
      </c>
      <c r="AF97" s="195">
        <v>168</v>
      </c>
      <c r="AG97" s="196">
        <v>152</v>
      </c>
      <c r="AH97" s="197">
        <v>108</v>
      </c>
      <c r="AI97" s="200" t="s">
        <v>301</v>
      </c>
      <c r="AJ97" s="193" t="s">
        <v>1625</v>
      </c>
      <c r="AK97" s="201" t="s">
        <v>1609</v>
      </c>
      <c r="AL97" s="205">
        <v>40</v>
      </c>
      <c r="AM97" s="200">
        <v>168</v>
      </c>
      <c r="AN97" s="204">
        <v>168</v>
      </c>
      <c r="AO97" s="203"/>
      <c r="AP97" s="207" t="s">
        <v>76</v>
      </c>
      <c r="AQ97" s="199" t="s">
        <v>1620</v>
      </c>
      <c r="AR97" s="202">
        <v>44713</v>
      </c>
      <c r="AS97" s="205">
        <v>2045</v>
      </c>
      <c r="AT97" s="206"/>
      <c r="AU97" s="201" t="s">
        <v>24</v>
      </c>
      <c r="AV97" s="193" t="s">
        <v>16</v>
      </c>
      <c r="AW97" s="205">
        <v>1303</v>
      </c>
    </row>
    <row r="98" spans="1:49">
      <c r="A98" s="192" t="s">
        <v>110</v>
      </c>
      <c r="B98" s="194" t="s">
        <v>1555</v>
      </c>
      <c r="C98" s="160" t="s">
        <v>300</v>
      </c>
      <c r="D98" s="193" t="s">
        <v>2179</v>
      </c>
      <c r="E98" s="195">
        <v>46.2</v>
      </c>
      <c r="F98" s="196">
        <v>41.8</v>
      </c>
      <c r="G98" s="197">
        <v>29.7</v>
      </c>
      <c r="H98" s="195">
        <v>46.2</v>
      </c>
      <c r="I98" s="196">
        <v>41.8</v>
      </c>
      <c r="J98" s="197">
        <v>29.7</v>
      </c>
      <c r="K98" s="195">
        <v>46.2</v>
      </c>
      <c r="L98" s="196">
        <v>41.8</v>
      </c>
      <c r="M98" s="197">
        <v>29.7</v>
      </c>
      <c r="N98" s="195">
        <v>46.2</v>
      </c>
      <c r="O98" s="196">
        <v>41.8</v>
      </c>
      <c r="P98" s="197">
        <v>29.7</v>
      </c>
      <c r="Q98" s="195">
        <v>46.2</v>
      </c>
      <c r="R98" s="196">
        <v>41.8</v>
      </c>
      <c r="S98" s="197">
        <v>29.7</v>
      </c>
      <c r="T98" s="195">
        <v>46.2</v>
      </c>
      <c r="U98" s="196">
        <v>41.8</v>
      </c>
      <c r="V98" s="197">
        <v>29.7</v>
      </c>
      <c r="W98" s="195">
        <v>46.2</v>
      </c>
      <c r="X98" s="196">
        <v>41.8</v>
      </c>
      <c r="Y98" s="197">
        <v>29.7</v>
      </c>
      <c r="Z98" s="195">
        <v>46.2</v>
      </c>
      <c r="AA98" s="196">
        <v>41.8</v>
      </c>
      <c r="AB98" s="197">
        <v>29.7</v>
      </c>
      <c r="AC98" s="195">
        <v>46.2</v>
      </c>
      <c r="AD98" s="196">
        <v>41.8</v>
      </c>
      <c r="AE98" s="197">
        <v>29.7</v>
      </c>
      <c r="AF98" s="195">
        <v>46.2</v>
      </c>
      <c r="AG98" s="196">
        <v>41.8</v>
      </c>
      <c r="AH98" s="197">
        <v>29.7</v>
      </c>
      <c r="AI98" s="200" t="s">
        <v>301</v>
      </c>
      <c r="AJ98" s="193" t="s">
        <v>1625</v>
      </c>
      <c r="AK98" s="201" t="s">
        <v>1609</v>
      </c>
      <c r="AL98" s="205">
        <v>11</v>
      </c>
      <c r="AM98" s="200">
        <v>46.2</v>
      </c>
      <c r="AN98" s="204">
        <v>46.2</v>
      </c>
      <c r="AO98" s="203"/>
      <c r="AP98" s="207" t="s">
        <v>76</v>
      </c>
      <c r="AQ98" s="199" t="s">
        <v>1620</v>
      </c>
      <c r="AR98" s="202">
        <v>44713</v>
      </c>
      <c r="AS98" s="205">
        <v>2045</v>
      </c>
      <c r="AT98" s="206"/>
      <c r="AU98" s="201" t="s">
        <v>24</v>
      </c>
      <c r="AV98" s="193" t="s">
        <v>16</v>
      </c>
      <c r="AW98" s="205">
        <v>1303</v>
      </c>
    </row>
    <row r="99" spans="1:49">
      <c r="A99" s="192" t="s">
        <v>110</v>
      </c>
      <c r="B99" s="194" t="s">
        <v>1555</v>
      </c>
      <c r="C99" s="160" t="s">
        <v>300</v>
      </c>
      <c r="D99" s="193" t="s">
        <v>2180</v>
      </c>
      <c r="E99" s="195">
        <v>121.8</v>
      </c>
      <c r="F99" s="196">
        <v>110.2</v>
      </c>
      <c r="G99" s="197">
        <v>78.3</v>
      </c>
      <c r="H99" s="195">
        <v>121.8</v>
      </c>
      <c r="I99" s="196">
        <v>110.2</v>
      </c>
      <c r="J99" s="197">
        <v>78.3</v>
      </c>
      <c r="K99" s="195">
        <v>121.8</v>
      </c>
      <c r="L99" s="196">
        <v>110.2</v>
      </c>
      <c r="M99" s="197">
        <v>78.3</v>
      </c>
      <c r="N99" s="195">
        <v>121.8</v>
      </c>
      <c r="O99" s="196">
        <v>110.2</v>
      </c>
      <c r="P99" s="197">
        <v>78.3</v>
      </c>
      <c r="Q99" s="195">
        <v>121.8</v>
      </c>
      <c r="R99" s="196">
        <v>110.2</v>
      </c>
      <c r="S99" s="197">
        <v>78.3</v>
      </c>
      <c r="T99" s="195">
        <v>121.8</v>
      </c>
      <c r="U99" s="196">
        <v>110.2</v>
      </c>
      <c r="V99" s="197">
        <v>78.3</v>
      </c>
      <c r="W99" s="195">
        <v>121.8</v>
      </c>
      <c r="X99" s="196">
        <v>110.2</v>
      </c>
      <c r="Y99" s="197">
        <v>78.3</v>
      </c>
      <c r="Z99" s="195">
        <v>121.8</v>
      </c>
      <c r="AA99" s="196">
        <v>110.2</v>
      </c>
      <c r="AB99" s="197">
        <v>78.3</v>
      </c>
      <c r="AC99" s="195">
        <v>121.8</v>
      </c>
      <c r="AD99" s="196">
        <v>110.2</v>
      </c>
      <c r="AE99" s="197">
        <v>78.3</v>
      </c>
      <c r="AF99" s="195">
        <v>121.8</v>
      </c>
      <c r="AG99" s="196">
        <v>110.2</v>
      </c>
      <c r="AH99" s="197">
        <v>78.3</v>
      </c>
      <c r="AI99" s="200" t="s">
        <v>301</v>
      </c>
      <c r="AJ99" s="193" t="s">
        <v>1625</v>
      </c>
      <c r="AK99" s="201" t="s">
        <v>1609</v>
      </c>
      <c r="AL99" s="205">
        <v>29</v>
      </c>
      <c r="AM99" s="200">
        <v>121.8</v>
      </c>
      <c r="AN99" s="204">
        <v>121.8</v>
      </c>
      <c r="AO99" s="203"/>
      <c r="AP99" s="207" t="s">
        <v>76</v>
      </c>
      <c r="AQ99" s="199" t="s">
        <v>1620</v>
      </c>
      <c r="AR99" s="202">
        <v>44713</v>
      </c>
      <c r="AS99" s="205">
        <v>2045</v>
      </c>
      <c r="AT99" s="206"/>
      <c r="AU99" s="201" t="s">
        <v>24</v>
      </c>
      <c r="AV99" s="193" t="s">
        <v>16</v>
      </c>
      <c r="AW99" s="205">
        <v>1303</v>
      </c>
    </row>
    <row r="100" spans="1:49">
      <c r="A100" s="192" t="s">
        <v>77</v>
      </c>
      <c r="B100" s="194" t="s">
        <v>1555</v>
      </c>
      <c r="C100" s="160" t="s">
        <v>528</v>
      </c>
      <c r="D100" s="193" t="s">
        <v>2201</v>
      </c>
      <c r="E100" s="195">
        <v>146</v>
      </c>
      <c r="F100" s="196">
        <v>146</v>
      </c>
      <c r="G100" s="197">
        <v>146</v>
      </c>
      <c r="H100" s="195">
        <v>146</v>
      </c>
      <c r="I100" s="196">
        <v>146</v>
      </c>
      <c r="J100" s="197">
        <v>146</v>
      </c>
      <c r="K100" s="195">
        <v>146</v>
      </c>
      <c r="L100" s="196">
        <v>146</v>
      </c>
      <c r="M100" s="197">
        <v>146</v>
      </c>
      <c r="N100" s="195">
        <v>146</v>
      </c>
      <c r="O100" s="196">
        <v>146</v>
      </c>
      <c r="P100" s="197">
        <v>146</v>
      </c>
      <c r="Q100" s="195">
        <v>146</v>
      </c>
      <c r="R100" s="196">
        <v>146</v>
      </c>
      <c r="S100" s="197">
        <v>146</v>
      </c>
      <c r="T100" s="195">
        <v>146</v>
      </c>
      <c r="U100" s="196">
        <v>146</v>
      </c>
      <c r="V100" s="197">
        <v>146</v>
      </c>
      <c r="W100" s="195">
        <v>146</v>
      </c>
      <c r="X100" s="196">
        <v>146</v>
      </c>
      <c r="Y100" s="197">
        <v>146</v>
      </c>
      <c r="Z100" s="195">
        <v>146</v>
      </c>
      <c r="AA100" s="196">
        <v>146</v>
      </c>
      <c r="AB100" s="197">
        <v>146</v>
      </c>
      <c r="AC100" s="195">
        <v>146</v>
      </c>
      <c r="AD100" s="196">
        <v>146</v>
      </c>
      <c r="AE100" s="197">
        <v>146</v>
      </c>
      <c r="AF100" s="195">
        <v>146</v>
      </c>
      <c r="AG100" s="196">
        <v>146</v>
      </c>
      <c r="AH100" s="197">
        <v>146</v>
      </c>
      <c r="AI100" s="200" t="s">
        <v>529</v>
      </c>
      <c r="AJ100" s="193" t="s">
        <v>1631</v>
      </c>
      <c r="AK100" s="201" t="s">
        <v>1614</v>
      </c>
      <c r="AL100" s="205">
        <v>1</v>
      </c>
      <c r="AM100" s="200">
        <v>0</v>
      </c>
      <c r="AN100" s="204">
        <v>180</v>
      </c>
      <c r="AO100" s="203"/>
      <c r="AP100" s="207" t="s">
        <v>401</v>
      </c>
      <c r="AQ100" s="199" t="s">
        <v>1620</v>
      </c>
      <c r="AR100" s="202">
        <v>45323</v>
      </c>
      <c r="AS100" s="205">
        <v>2053</v>
      </c>
      <c r="AT100" s="206"/>
      <c r="AU100" s="201" t="s">
        <v>24</v>
      </c>
      <c r="AV100" s="193" t="s">
        <v>1615</v>
      </c>
      <c r="AW100" s="205">
        <v>1902</v>
      </c>
    </row>
    <row r="101" spans="1:49">
      <c r="A101" s="192" t="s">
        <v>110</v>
      </c>
      <c r="B101" s="194" t="s">
        <v>1555</v>
      </c>
      <c r="C101" s="160" t="s">
        <v>2202</v>
      </c>
      <c r="D101" s="193" t="s">
        <v>2203</v>
      </c>
      <c r="E101" s="195">
        <v>60</v>
      </c>
      <c r="F101" s="196">
        <v>60</v>
      </c>
      <c r="G101" s="197">
        <v>60</v>
      </c>
      <c r="H101" s="195">
        <v>60</v>
      </c>
      <c r="I101" s="196">
        <v>60</v>
      </c>
      <c r="J101" s="197">
        <v>60</v>
      </c>
      <c r="K101" s="195">
        <v>60</v>
      </c>
      <c r="L101" s="196">
        <v>60</v>
      </c>
      <c r="M101" s="197">
        <v>60</v>
      </c>
      <c r="N101" s="195">
        <v>60</v>
      </c>
      <c r="O101" s="196">
        <v>60</v>
      </c>
      <c r="P101" s="197">
        <v>60</v>
      </c>
      <c r="Q101" s="195">
        <v>60</v>
      </c>
      <c r="R101" s="196">
        <v>60</v>
      </c>
      <c r="S101" s="197">
        <v>60</v>
      </c>
      <c r="T101" s="195">
        <v>60</v>
      </c>
      <c r="U101" s="196">
        <v>60</v>
      </c>
      <c r="V101" s="197">
        <v>60</v>
      </c>
      <c r="W101" s="195">
        <v>60</v>
      </c>
      <c r="X101" s="196">
        <v>60</v>
      </c>
      <c r="Y101" s="197">
        <v>60</v>
      </c>
      <c r="Z101" s="195">
        <v>60</v>
      </c>
      <c r="AA101" s="196">
        <v>60</v>
      </c>
      <c r="AB101" s="197">
        <v>60</v>
      </c>
      <c r="AC101" s="195">
        <v>60</v>
      </c>
      <c r="AD101" s="196">
        <v>60</v>
      </c>
      <c r="AE101" s="197">
        <v>60</v>
      </c>
      <c r="AF101" s="195">
        <v>60</v>
      </c>
      <c r="AG101" s="196">
        <v>60</v>
      </c>
      <c r="AH101" s="197">
        <v>60</v>
      </c>
      <c r="AI101" s="200" t="s">
        <v>396</v>
      </c>
      <c r="AJ101" s="193" t="s">
        <v>1700</v>
      </c>
      <c r="AK101" s="201" t="s">
        <v>1658</v>
      </c>
      <c r="AL101" s="205">
        <v>2</v>
      </c>
      <c r="AM101" s="200"/>
      <c r="AN101" s="204">
        <v>67.5</v>
      </c>
      <c r="AO101" s="203"/>
      <c r="AP101" s="207" t="s">
        <v>76</v>
      </c>
      <c r="AQ101" s="199" t="s">
        <v>1619</v>
      </c>
      <c r="AR101" s="202"/>
      <c r="AS101" s="205">
        <v>2057</v>
      </c>
      <c r="AT101" s="206"/>
      <c r="AU101" s="201" t="s">
        <v>24</v>
      </c>
      <c r="AV101" s="193" t="s">
        <v>17</v>
      </c>
      <c r="AW101" s="205">
        <v>1072</v>
      </c>
    </row>
    <row r="102" spans="1:49">
      <c r="A102" s="192" t="s">
        <v>110</v>
      </c>
      <c r="B102" s="194" t="s">
        <v>1555</v>
      </c>
      <c r="C102" s="160" t="s">
        <v>2202</v>
      </c>
      <c r="D102" s="193" t="s">
        <v>2204</v>
      </c>
      <c r="E102" s="195">
        <v>60</v>
      </c>
      <c r="F102" s="196">
        <v>60</v>
      </c>
      <c r="G102" s="197">
        <v>60</v>
      </c>
      <c r="H102" s="195">
        <v>60</v>
      </c>
      <c r="I102" s="196">
        <v>60</v>
      </c>
      <c r="J102" s="197">
        <v>60</v>
      </c>
      <c r="K102" s="195">
        <v>60</v>
      </c>
      <c r="L102" s="196">
        <v>60</v>
      </c>
      <c r="M102" s="197">
        <v>60</v>
      </c>
      <c r="N102" s="195">
        <v>60</v>
      </c>
      <c r="O102" s="196">
        <v>60</v>
      </c>
      <c r="P102" s="197">
        <v>60</v>
      </c>
      <c r="Q102" s="195">
        <v>60</v>
      </c>
      <c r="R102" s="196">
        <v>60</v>
      </c>
      <c r="S102" s="197">
        <v>60</v>
      </c>
      <c r="T102" s="195">
        <v>60</v>
      </c>
      <c r="U102" s="196">
        <v>60</v>
      </c>
      <c r="V102" s="197">
        <v>60</v>
      </c>
      <c r="W102" s="195">
        <v>60</v>
      </c>
      <c r="X102" s="196">
        <v>60</v>
      </c>
      <c r="Y102" s="197">
        <v>60</v>
      </c>
      <c r="Z102" s="195">
        <v>60</v>
      </c>
      <c r="AA102" s="196">
        <v>60</v>
      </c>
      <c r="AB102" s="197">
        <v>60</v>
      </c>
      <c r="AC102" s="195">
        <v>60</v>
      </c>
      <c r="AD102" s="196">
        <v>60</v>
      </c>
      <c r="AE102" s="197">
        <v>60</v>
      </c>
      <c r="AF102" s="195">
        <v>60</v>
      </c>
      <c r="AG102" s="196">
        <v>60</v>
      </c>
      <c r="AH102" s="197">
        <v>60</v>
      </c>
      <c r="AI102" s="200" t="s">
        <v>396</v>
      </c>
      <c r="AJ102" s="193" t="s">
        <v>1700</v>
      </c>
      <c r="AK102" s="201" t="s">
        <v>1658</v>
      </c>
      <c r="AL102" s="205">
        <v>2</v>
      </c>
      <c r="AM102" s="200"/>
      <c r="AN102" s="204">
        <v>67.5</v>
      </c>
      <c r="AO102" s="203"/>
      <c r="AP102" s="207" t="s">
        <v>76</v>
      </c>
      <c r="AQ102" s="199" t="s">
        <v>1619</v>
      </c>
      <c r="AR102" s="202"/>
      <c r="AS102" s="205">
        <v>2057</v>
      </c>
      <c r="AT102" s="206"/>
      <c r="AU102" s="201" t="s">
        <v>24</v>
      </c>
      <c r="AV102" s="193" t="s">
        <v>17</v>
      </c>
      <c r="AW102" s="205">
        <v>1072</v>
      </c>
    </row>
    <row r="103" spans="1:49">
      <c r="A103" s="192" t="s">
        <v>110</v>
      </c>
      <c r="B103" s="194" t="s">
        <v>1555</v>
      </c>
      <c r="C103" s="160" t="s">
        <v>631</v>
      </c>
      <c r="D103" s="193" t="s">
        <v>632</v>
      </c>
      <c r="E103" s="195">
        <v>83.6</v>
      </c>
      <c r="F103" s="196">
        <v>73.7</v>
      </c>
      <c r="G103" s="197">
        <v>59.4</v>
      </c>
      <c r="H103" s="195">
        <v>83.6</v>
      </c>
      <c r="I103" s="196">
        <v>73.7</v>
      </c>
      <c r="J103" s="197">
        <v>59.4</v>
      </c>
      <c r="K103" s="195">
        <v>83.6</v>
      </c>
      <c r="L103" s="196">
        <v>73.7</v>
      </c>
      <c r="M103" s="197">
        <v>59.4</v>
      </c>
      <c r="N103" s="195">
        <v>83.6</v>
      </c>
      <c r="O103" s="196">
        <v>73.7</v>
      </c>
      <c r="P103" s="197">
        <v>59.4</v>
      </c>
      <c r="Q103" s="195">
        <v>83.6</v>
      </c>
      <c r="R103" s="196">
        <v>73.7</v>
      </c>
      <c r="S103" s="197">
        <v>59.4</v>
      </c>
      <c r="T103" s="195">
        <v>83.6</v>
      </c>
      <c r="U103" s="196">
        <v>73.7</v>
      </c>
      <c r="V103" s="197">
        <v>59.4</v>
      </c>
      <c r="W103" s="195">
        <v>83.6</v>
      </c>
      <c r="X103" s="196">
        <v>73.7</v>
      </c>
      <c r="Y103" s="197">
        <v>59.4</v>
      </c>
      <c r="Z103" s="195">
        <v>83.6</v>
      </c>
      <c r="AA103" s="196">
        <v>73.7</v>
      </c>
      <c r="AB103" s="197">
        <v>59.4</v>
      </c>
      <c r="AC103" s="195">
        <v>83.6</v>
      </c>
      <c r="AD103" s="196">
        <v>73.7</v>
      </c>
      <c r="AE103" s="197">
        <v>59.4</v>
      </c>
      <c r="AF103" s="195">
        <v>83.6</v>
      </c>
      <c r="AG103" s="196">
        <v>73.7</v>
      </c>
      <c r="AH103" s="197">
        <v>59.4</v>
      </c>
      <c r="AI103" s="200" t="s">
        <v>391</v>
      </c>
      <c r="AJ103" s="193" t="s">
        <v>1625</v>
      </c>
      <c r="AK103" s="201" t="s">
        <v>1609</v>
      </c>
      <c r="AL103" s="205">
        <v>22</v>
      </c>
      <c r="AM103" s="200">
        <v>83.6</v>
      </c>
      <c r="AN103" s="204">
        <v>83.6</v>
      </c>
      <c r="AO103" s="203"/>
      <c r="AP103" s="207" t="s">
        <v>76</v>
      </c>
      <c r="AQ103" s="199" t="s">
        <v>1620</v>
      </c>
      <c r="AR103" s="202">
        <v>44166</v>
      </c>
      <c r="AS103" s="205">
        <v>2049</v>
      </c>
      <c r="AT103" s="206"/>
      <c r="AU103" s="201" t="s">
        <v>24</v>
      </c>
      <c r="AV103" s="193" t="s">
        <v>16</v>
      </c>
      <c r="AW103" s="205">
        <v>1113</v>
      </c>
    </row>
    <row r="104" spans="1:49">
      <c r="A104" s="192" t="s">
        <v>77</v>
      </c>
      <c r="B104" s="194" t="s">
        <v>1555</v>
      </c>
      <c r="C104" s="160" t="s">
        <v>833</v>
      </c>
      <c r="D104" s="193" t="s">
        <v>2213</v>
      </c>
      <c r="E104" s="195">
        <v>72</v>
      </c>
      <c r="F104" s="196">
        <v>69.12</v>
      </c>
      <c r="G104" s="197">
        <v>67.680000000000007</v>
      </c>
      <c r="H104" s="195">
        <v>72</v>
      </c>
      <c r="I104" s="196">
        <v>69.12</v>
      </c>
      <c r="J104" s="197">
        <v>67.680000000000007</v>
      </c>
      <c r="K104" s="195">
        <v>72</v>
      </c>
      <c r="L104" s="196">
        <v>69.12</v>
      </c>
      <c r="M104" s="197">
        <v>67.680000000000007</v>
      </c>
      <c r="N104" s="195">
        <v>72</v>
      </c>
      <c r="O104" s="196">
        <v>69.12</v>
      </c>
      <c r="P104" s="197">
        <v>67.680000000000007</v>
      </c>
      <c r="Q104" s="195">
        <v>72</v>
      </c>
      <c r="R104" s="196">
        <v>69.12</v>
      </c>
      <c r="S104" s="197">
        <v>67.680000000000007</v>
      </c>
      <c r="T104" s="195">
        <v>72</v>
      </c>
      <c r="U104" s="196">
        <v>69.12</v>
      </c>
      <c r="V104" s="197">
        <v>67.680000000000007</v>
      </c>
      <c r="W104" s="195">
        <v>72</v>
      </c>
      <c r="X104" s="196">
        <v>69.12</v>
      </c>
      <c r="Y104" s="197">
        <v>67.680000000000007</v>
      </c>
      <c r="Z104" s="195">
        <v>72</v>
      </c>
      <c r="AA104" s="196">
        <v>69.12</v>
      </c>
      <c r="AB104" s="197">
        <v>67.680000000000007</v>
      </c>
      <c r="AC104" s="195">
        <v>72</v>
      </c>
      <c r="AD104" s="196">
        <v>69.12</v>
      </c>
      <c r="AE104" s="197">
        <v>67.680000000000007</v>
      </c>
      <c r="AF104" s="195">
        <v>72</v>
      </c>
      <c r="AG104" s="196">
        <v>69.12</v>
      </c>
      <c r="AH104" s="197">
        <v>67.680000000000007</v>
      </c>
      <c r="AI104" s="200" t="s">
        <v>834</v>
      </c>
      <c r="AJ104" s="193" t="s">
        <v>1631</v>
      </c>
      <c r="AK104" s="201" t="s">
        <v>1614</v>
      </c>
      <c r="AL104" s="205">
        <v>32</v>
      </c>
      <c r="AM104" s="200">
        <v>72</v>
      </c>
      <c r="AN104" s="204">
        <v>72</v>
      </c>
      <c r="AO104" s="203"/>
      <c r="AP104" s="207" t="s">
        <v>76</v>
      </c>
      <c r="AQ104" s="199" t="s">
        <v>1620</v>
      </c>
      <c r="AR104" s="202">
        <v>43497</v>
      </c>
      <c r="AS104" s="205">
        <v>2048</v>
      </c>
      <c r="AT104" s="206"/>
      <c r="AU104" s="201" t="s">
        <v>24</v>
      </c>
      <c r="AV104" s="193" t="s">
        <v>1615</v>
      </c>
      <c r="AW104" s="205">
        <v>1443</v>
      </c>
    </row>
    <row r="105" spans="1:49" ht="20">
      <c r="A105" s="192" t="s">
        <v>45</v>
      </c>
      <c r="B105" s="194" t="s">
        <v>1555</v>
      </c>
      <c r="C105" s="160" t="s">
        <v>472</v>
      </c>
      <c r="D105" s="193" t="s">
        <v>2218</v>
      </c>
      <c r="E105" s="195">
        <v>720</v>
      </c>
      <c r="F105" s="196">
        <v>680</v>
      </c>
      <c r="G105" s="197">
        <v>680</v>
      </c>
      <c r="H105" s="195">
        <v>720</v>
      </c>
      <c r="I105" s="196">
        <v>672</v>
      </c>
      <c r="J105" s="197">
        <v>680</v>
      </c>
      <c r="K105" s="195">
        <v>720</v>
      </c>
      <c r="L105" s="196">
        <v>0</v>
      </c>
      <c r="M105" s="197">
        <v>0</v>
      </c>
      <c r="N105" s="195">
        <v>0</v>
      </c>
      <c r="O105" s="196">
        <v>0</v>
      </c>
      <c r="P105" s="197">
        <v>0</v>
      </c>
      <c r="Q105" s="195">
        <v>0</v>
      </c>
      <c r="R105" s="196">
        <v>0</v>
      </c>
      <c r="S105" s="197">
        <v>0</v>
      </c>
      <c r="T105" s="195">
        <v>0</v>
      </c>
      <c r="U105" s="196">
        <v>0</v>
      </c>
      <c r="V105" s="197">
        <v>0</v>
      </c>
      <c r="W105" s="195">
        <v>0</v>
      </c>
      <c r="X105" s="196">
        <v>0</v>
      </c>
      <c r="Y105" s="197">
        <v>0</v>
      </c>
      <c r="Z105" s="195">
        <v>0</v>
      </c>
      <c r="AA105" s="196">
        <v>0</v>
      </c>
      <c r="AB105" s="197">
        <v>0</v>
      </c>
      <c r="AC105" s="195">
        <v>0</v>
      </c>
      <c r="AD105" s="196">
        <v>0</v>
      </c>
      <c r="AE105" s="197">
        <v>0</v>
      </c>
      <c r="AF105" s="195">
        <v>0</v>
      </c>
      <c r="AG105" s="196">
        <v>0</v>
      </c>
      <c r="AH105" s="197">
        <v>0</v>
      </c>
      <c r="AI105" s="200" t="s">
        <v>473</v>
      </c>
      <c r="AJ105" s="193" t="s">
        <v>1739</v>
      </c>
      <c r="AK105" s="201" t="s">
        <v>1740</v>
      </c>
      <c r="AL105" s="205">
        <v>1</v>
      </c>
      <c r="AM105" s="200"/>
      <c r="AN105" s="204">
        <v>720</v>
      </c>
      <c r="AO105" s="203"/>
      <c r="AP105" s="207" t="s">
        <v>2219</v>
      </c>
      <c r="AQ105" s="199" t="s">
        <v>1619</v>
      </c>
      <c r="AR105" s="202"/>
      <c r="AS105" s="205">
        <v>2025</v>
      </c>
      <c r="AT105" s="206">
        <v>45888</v>
      </c>
      <c r="AU105" s="201" t="s">
        <v>23</v>
      </c>
      <c r="AV105" s="193" t="s">
        <v>11</v>
      </c>
      <c r="AW105" s="205">
        <v>1074</v>
      </c>
    </row>
    <row r="106" spans="1:49" ht="20">
      <c r="A106" s="192" t="s">
        <v>45</v>
      </c>
      <c r="B106" s="194" t="s">
        <v>1555</v>
      </c>
      <c r="C106" s="160" t="s">
        <v>472</v>
      </c>
      <c r="D106" s="193" t="s">
        <v>2220</v>
      </c>
      <c r="E106" s="195">
        <v>720</v>
      </c>
      <c r="F106" s="196">
        <v>680</v>
      </c>
      <c r="G106" s="197">
        <v>680</v>
      </c>
      <c r="H106" s="195">
        <v>720</v>
      </c>
      <c r="I106" s="196">
        <v>680</v>
      </c>
      <c r="J106" s="197">
        <v>680</v>
      </c>
      <c r="K106" s="195">
        <v>720</v>
      </c>
      <c r="L106" s="196">
        <v>0</v>
      </c>
      <c r="M106" s="197">
        <v>0</v>
      </c>
      <c r="N106" s="195">
        <v>0</v>
      </c>
      <c r="O106" s="196">
        <v>0</v>
      </c>
      <c r="P106" s="197">
        <v>0</v>
      </c>
      <c r="Q106" s="195">
        <v>0</v>
      </c>
      <c r="R106" s="196">
        <v>0</v>
      </c>
      <c r="S106" s="197">
        <v>0</v>
      </c>
      <c r="T106" s="195">
        <v>0</v>
      </c>
      <c r="U106" s="196">
        <v>0</v>
      </c>
      <c r="V106" s="197">
        <v>0</v>
      </c>
      <c r="W106" s="195">
        <v>0</v>
      </c>
      <c r="X106" s="196">
        <v>0</v>
      </c>
      <c r="Y106" s="197">
        <v>0</v>
      </c>
      <c r="Z106" s="195">
        <v>0</v>
      </c>
      <c r="AA106" s="196">
        <v>0</v>
      </c>
      <c r="AB106" s="197">
        <v>0</v>
      </c>
      <c r="AC106" s="195">
        <v>0</v>
      </c>
      <c r="AD106" s="196">
        <v>0</v>
      </c>
      <c r="AE106" s="197">
        <v>0</v>
      </c>
      <c r="AF106" s="195">
        <v>0</v>
      </c>
      <c r="AG106" s="196">
        <v>0</v>
      </c>
      <c r="AH106" s="197">
        <v>0</v>
      </c>
      <c r="AI106" s="200" t="s">
        <v>473</v>
      </c>
      <c r="AJ106" s="193" t="s">
        <v>1739</v>
      </c>
      <c r="AK106" s="201" t="s">
        <v>1740</v>
      </c>
      <c r="AL106" s="205">
        <v>1</v>
      </c>
      <c r="AM106" s="200"/>
      <c r="AN106" s="204">
        <v>720</v>
      </c>
      <c r="AO106" s="203"/>
      <c r="AP106" s="207" t="s">
        <v>2219</v>
      </c>
      <c r="AQ106" s="199" t="s">
        <v>1619</v>
      </c>
      <c r="AR106" s="202"/>
      <c r="AS106" s="205">
        <v>2025</v>
      </c>
      <c r="AT106" s="206">
        <v>45888</v>
      </c>
      <c r="AU106" s="201" t="s">
        <v>23</v>
      </c>
      <c r="AV106" s="193" t="s">
        <v>11</v>
      </c>
      <c r="AW106" s="205">
        <v>1074</v>
      </c>
    </row>
    <row r="107" spans="1:49" ht="20">
      <c r="A107" s="192" t="s">
        <v>45</v>
      </c>
      <c r="B107" s="194" t="s">
        <v>1555</v>
      </c>
      <c r="C107" s="160" t="s">
        <v>472</v>
      </c>
      <c r="D107" s="193" t="s">
        <v>2221</v>
      </c>
      <c r="E107" s="195">
        <v>700</v>
      </c>
      <c r="F107" s="196">
        <v>660</v>
      </c>
      <c r="G107" s="197">
        <v>660</v>
      </c>
      <c r="H107" s="195">
        <v>680</v>
      </c>
      <c r="I107" s="196">
        <v>670</v>
      </c>
      <c r="J107" s="197">
        <v>670</v>
      </c>
      <c r="K107" s="195">
        <v>690</v>
      </c>
      <c r="L107" s="196">
        <v>0</v>
      </c>
      <c r="M107" s="197">
        <v>0</v>
      </c>
      <c r="N107" s="195">
        <v>0</v>
      </c>
      <c r="O107" s="196">
        <v>0</v>
      </c>
      <c r="P107" s="197">
        <v>0</v>
      </c>
      <c r="Q107" s="195">
        <v>0</v>
      </c>
      <c r="R107" s="196">
        <v>0</v>
      </c>
      <c r="S107" s="197">
        <v>0</v>
      </c>
      <c r="T107" s="195">
        <v>0</v>
      </c>
      <c r="U107" s="196">
        <v>0</v>
      </c>
      <c r="V107" s="197">
        <v>0</v>
      </c>
      <c r="W107" s="195">
        <v>0</v>
      </c>
      <c r="X107" s="196">
        <v>0</v>
      </c>
      <c r="Y107" s="197">
        <v>0</v>
      </c>
      <c r="Z107" s="195">
        <v>0</v>
      </c>
      <c r="AA107" s="196">
        <v>0</v>
      </c>
      <c r="AB107" s="197">
        <v>0</v>
      </c>
      <c r="AC107" s="195">
        <v>0</v>
      </c>
      <c r="AD107" s="196">
        <v>0</v>
      </c>
      <c r="AE107" s="197">
        <v>0</v>
      </c>
      <c r="AF107" s="195">
        <v>0</v>
      </c>
      <c r="AG107" s="196">
        <v>0</v>
      </c>
      <c r="AH107" s="197">
        <v>0</v>
      </c>
      <c r="AI107" s="200" t="s">
        <v>473</v>
      </c>
      <c r="AJ107" s="193" t="s">
        <v>1739</v>
      </c>
      <c r="AK107" s="201" t="s">
        <v>1740</v>
      </c>
      <c r="AL107" s="205">
        <v>1</v>
      </c>
      <c r="AM107" s="200"/>
      <c r="AN107" s="204">
        <v>720</v>
      </c>
      <c r="AO107" s="203"/>
      <c r="AP107" s="207" t="s">
        <v>2219</v>
      </c>
      <c r="AQ107" s="199" t="s">
        <v>1619</v>
      </c>
      <c r="AR107" s="202"/>
      <c r="AS107" s="205">
        <v>2025</v>
      </c>
      <c r="AT107" s="206">
        <v>45888</v>
      </c>
      <c r="AU107" s="201" t="s">
        <v>23</v>
      </c>
      <c r="AV107" s="193" t="s">
        <v>11</v>
      </c>
      <c r="AW107" s="205">
        <v>1074</v>
      </c>
    </row>
    <row r="108" spans="1:49" ht="20">
      <c r="A108" s="192" t="s">
        <v>45</v>
      </c>
      <c r="B108" s="194" t="s">
        <v>1555</v>
      </c>
      <c r="C108" s="160" t="s">
        <v>472</v>
      </c>
      <c r="D108" s="193" t="s">
        <v>2222</v>
      </c>
      <c r="E108" s="195">
        <v>680</v>
      </c>
      <c r="F108" s="196">
        <v>660</v>
      </c>
      <c r="G108" s="197">
        <v>660</v>
      </c>
      <c r="H108" s="195">
        <v>680</v>
      </c>
      <c r="I108" s="196">
        <v>660</v>
      </c>
      <c r="J108" s="197">
        <v>660</v>
      </c>
      <c r="K108" s="195">
        <v>680</v>
      </c>
      <c r="L108" s="196">
        <v>0</v>
      </c>
      <c r="M108" s="197">
        <v>0</v>
      </c>
      <c r="N108" s="195">
        <v>0</v>
      </c>
      <c r="O108" s="196">
        <v>0</v>
      </c>
      <c r="P108" s="197">
        <v>0</v>
      </c>
      <c r="Q108" s="195">
        <v>0</v>
      </c>
      <c r="R108" s="196">
        <v>0</v>
      </c>
      <c r="S108" s="197">
        <v>0</v>
      </c>
      <c r="T108" s="195">
        <v>0</v>
      </c>
      <c r="U108" s="196">
        <v>0</v>
      </c>
      <c r="V108" s="197">
        <v>0</v>
      </c>
      <c r="W108" s="195">
        <v>0</v>
      </c>
      <c r="X108" s="196">
        <v>0</v>
      </c>
      <c r="Y108" s="197">
        <v>0</v>
      </c>
      <c r="Z108" s="195">
        <v>0</v>
      </c>
      <c r="AA108" s="196">
        <v>0</v>
      </c>
      <c r="AB108" s="197">
        <v>0</v>
      </c>
      <c r="AC108" s="195">
        <v>0</v>
      </c>
      <c r="AD108" s="196">
        <v>0</v>
      </c>
      <c r="AE108" s="197">
        <v>0</v>
      </c>
      <c r="AF108" s="195">
        <v>0</v>
      </c>
      <c r="AG108" s="196">
        <v>0</v>
      </c>
      <c r="AH108" s="197">
        <v>0</v>
      </c>
      <c r="AI108" s="200" t="s">
        <v>473</v>
      </c>
      <c r="AJ108" s="193" t="s">
        <v>1739</v>
      </c>
      <c r="AK108" s="201" t="s">
        <v>1740</v>
      </c>
      <c r="AL108" s="205">
        <v>1</v>
      </c>
      <c r="AM108" s="200"/>
      <c r="AN108" s="204">
        <v>720</v>
      </c>
      <c r="AO108" s="203"/>
      <c r="AP108" s="207" t="s">
        <v>2219</v>
      </c>
      <c r="AQ108" s="199" t="s">
        <v>1619</v>
      </c>
      <c r="AR108" s="202"/>
      <c r="AS108" s="205">
        <v>2025</v>
      </c>
      <c r="AT108" s="206">
        <v>45888</v>
      </c>
      <c r="AU108" s="201" t="s">
        <v>23</v>
      </c>
      <c r="AV108" s="193" t="s">
        <v>11</v>
      </c>
      <c r="AW108" s="205">
        <v>1074</v>
      </c>
    </row>
    <row r="109" spans="1:49">
      <c r="A109" s="192" t="s">
        <v>45</v>
      </c>
      <c r="B109" s="194" t="s">
        <v>1555</v>
      </c>
      <c r="C109" s="160" t="s">
        <v>723</v>
      </c>
      <c r="D109" s="193" t="s">
        <v>725</v>
      </c>
      <c r="E109" s="195">
        <v>132.66</v>
      </c>
      <c r="F109" s="196">
        <v>129.98699999999999</v>
      </c>
      <c r="G109" s="197">
        <v>116.721</v>
      </c>
      <c r="H109" s="195">
        <v>132.66</v>
      </c>
      <c r="I109" s="196">
        <v>129.98699999999999</v>
      </c>
      <c r="J109" s="197">
        <v>116.721</v>
      </c>
      <c r="K109" s="195">
        <v>132.66</v>
      </c>
      <c r="L109" s="196">
        <v>129.98699999999999</v>
      </c>
      <c r="M109" s="197">
        <v>116.721</v>
      </c>
      <c r="N109" s="195">
        <v>132.66</v>
      </c>
      <c r="O109" s="196">
        <v>129.98699999999999</v>
      </c>
      <c r="P109" s="197">
        <v>116.721</v>
      </c>
      <c r="Q109" s="195">
        <v>132.66</v>
      </c>
      <c r="R109" s="196">
        <v>129.98699999999999</v>
      </c>
      <c r="S109" s="197">
        <v>116.721</v>
      </c>
      <c r="T109" s="195">
        <v>132.66</v>
      </c>
      <c r="U109" s="196">
        <v>129.98699999999999</v>
      </c>
      <c r="V109" s="197">
        <v>116.721</v>
      </c>
      <c r="W109" s="195">
        <v>132.66</v>
      </c>
      <c r="X109" s="196">
        <v>129.98699999999999</v>
      </c>
      <c r="Y109" s="197">
        <v>116.721</v>
      </c>
      <c r="Z109" s="195">
        <v>132.66</v>
      </c>
      <c r="AA109" s="196">
        <v>129.98699999999999</v>
      </c>
      <c r="AB109" s="197">
        <v>116.721</v>
      </c>
      <c r="AC109" s="195">
        <v>132.66</v>
      </c>
      <c r="AD109" s="196">
        <v>129.98699999999999</v>
      </c>
      <c r="AE109" s="197">
        <v>116.721</v>
      </c>
      <c r="AF109" s="195">
        <v>132.66</v>
      </c>
      <c r="AG109" s="196">
        <v>129.98699999999999</v>
      </c>
      <c r="AH109" s="197">
        <v>116.721</v>
      </c>
      <c r="AI109" s="200" t="s">
        <v>724</v>
      </c>
      <c r="AJ109" s="193" t="s">
        <v>1631</v>
      </c>
      <c r="AK109" s="201" t="s">
        <v>1614</v>
      </c>
      <c r="AL109" s="205">
        <v>99</v>
      </c>
      <c r="AM109" s="200"/>
      <c r="AN109" s="204">
        <v>162.36000000000001</v>
      </c>
      <c r="AO109" s="203"/>
      <c r="AP109" s="207" t="s">
        <v>76</v>
      </c>
      <c r="AQ109" s="199" t="s">
        <v>1620</v>
      </c>
      <c r="AR109" s="202">
        <v>43770</v>
      </c>
      <c r="AS109" s="205">
        <v>2049</v>
      </c>
      <c r="AT109" s="206"/>
      <c r="AU109" s="201" t="s">
        <v>24</v>
      </c>
      <c r="AV109" s="193" t="s">
        <v>1615</v>
      </c>
      <c r="AW109" s="205">
        <v>1680</v>
      </c>
    </row>
    <row r="110" spans="1:49">
      <c r="A110" s="192" t="s">
        <v>105</v>
      </c>
      <c r="B110" s="194" t="s">
        <v>1555</v>
      </c>
      <c r="C110" s="160" t="s">
        <v>2243</v>
      </c>
      <c r="D110" s="193" t="s">
        <v>2244</v>
      </c>
      <c r="E110" s="195">
        <v>46</v>
      </c>
      <c r="F110" s="196">
        <v>46</v>
      </c>
      <c r="G110" s="197">
        <v>46</v>
      </c>
      <c r="H110" s="195">
        <v>46</v>
      </c>
      <c r="I110" s="196">
        <v>0</v>
      </c>
      <c r="J110" s="197">
        <v>0</v>
      </c>
      <c r="K110" s="195">
        <v>46</v>
      </c>
      <c r="L110" s="196">
        <v>46</v>
      </c>
      <c r="M110" s="197">
        <v>46</v>
      </c>
      <c r="N110" s="195">
        <v>46</v>
      </c>
      <c r="O110" s="196">
        <v>46</v>
      </c>
      <c r="P110" s="197">
        <v>46</v>
      </c>
      <c r="Q110" s="195">
        <v>46</v>
      </c>
      <c r="R110" s="196">
        <v>0</v>
      </c>
      <c r="S110" s="197">
        <v>0</v>
      </c>
      <c r="T110" s="195">
        <v>0</v>
      </c>
      <c r="U110" s="196">
        <v>46</v>
      </c>
      <c r="V110" s="197">
        <v>46</v>
      </c>
      <c r="W110" s="195">
        <v>46</v>
      </c>
      <c r="X110" s="196">
        <v>46</v>
      </c>
      <c r="Y110" s="197">
        <v>46</v>
      </c>
      <c r="Z110" s="195">
        <v>46</v>
      </c>
      <c r="AA110" s="196">
        <v>46</v>
      </c>
      <c r="AB110" s="197">
        <v>46</v>
      </c>
      <c r="AC110" s="195">
        <v>46</v>
      </c>
      <c r="AD110" s="196">
        <v>46</v>
      </c>
      <c r="AE110" s="197">
        <v>46</v>
      </c>
      <c r="AF110" s="195">
        <v>46</v>
      </c>
      <c r="AG110" s="196">
        <v>46</v>
      </c>
      <c r="AH110" s="197">
        <v>46</v>
      </c>
      <c r="AI110" s="200" t="s">
        <v>1735</v>
      </c>
      <c r="AJ110" s="193" t="s">
        <v>1700</v>
      </c>
      <c r="AK110" s="201" t="s">
        <v>1658</v>
      </c>
      <c r="AL110" s="205">
        <v>1</v>
      </c>
      <c r="AM110" s="200">
        <v>43.2</v>
      </c>
      <c r="AN110" s="204">
        <v>43.2</v>
      </c>
      <c r="AO110" s="203"/>
      <c r="AP110" s="207" t="s">
        <v>76</v>
      </c>
      <c r="AQ110" s="199" t="s">
        <v>1619</v>
      </c>
      <c r="AR110" s="202"/>
      <c r="AS110" s="205">
        <v>2100</v>
      </c>
      <c r="AT110" s="206"/>
      <c r="AU110" s="201" t="s">
        <v>24</v>
      </c>
      <c r="AV110" s="193" t="s">
        <v>17</v>
      </c>
      <c r="AW110" s="205">
        <v>1076</v>
      </c>
    </row>
    <row r="111" spans="1:49">
      <c r="A111" s="192" t="s">
        <v>77</v>
      </c>
      <c r="B111" s="194" t="s">
        <v>1555</v>
      </c>
      <c r="C111" s="160" t="s">
        <v>267</v>
      </c>
      <c r="D111" s="193" t="s">
        <v>268</v>
      </c>
      <c r="E111" s="195">
        <v>119.88</v>
      </c>
      <c r="F111" s="196">
        <v>119.88</v>
      </c>
      <c r="G111" s="197">
        <v>119.88</v>
      </c>
      <c r="H111" s="195">
        <v>119.88</v>
      </c>
      <c r="I111" s="196">
        <v>119.88</v>
      </c>
      <c r="J111" s="197">
        <v>119.88</v>
      </c>
      <c r="K111" s="195">
        <v>119.88</v>
      </c>
      <c r="L111" s="196">
        <v>119.88</v>
      </c>
      <c r="M111" s="197">
        <v>119.88</v>
      </c>
      <c r="N111" s="195">
        <v>119.88</v>
      </c>
      <c r="O111" s="196">
        <v>119.88</v>
      </c>
      <c r="P111" s="197">
        <v>119.88</v>
      </c>
      <c r="Q111" s="195">
        <v>119.88</v>
      </c>
      <c r="R111" s="196">
        <v>119.88</v>
      </c>
      <c r="S111" s="197">
        <v>119.88</v>
      </c>
      <c r="T111" s="195">
        <v>119.88</v>
      </c>
      <c r="U111" s="196">
        <v>119.88</v>
      </c>
      <c r="V111" s="197">
        <v>119.88</v>
      </c>
      <c r="W111" s="195">
        <v>119.88</v>
      </c>
      <c r="X111" s="196">
        <v>119.88</v>
      </c>
      <c r="Y111" s="197">
        <v>119.88</v>
      </c>
      <c r="Z111" s="195">
        <v>119.88</v>
      </c>
      <c r="AA111" s="196">
        <v>119.88</v>
      </c>
      <c r="AB111" s="197">
        <v>119.88</v>
      </c>
      <c r="AC111" s="195">
        <v>119.88</v>
      </c>
      <c r="AD111" s="196">
        <v>119.88</v>
      </c>
      <c r="AE111" s="197">
        <v>119.88</v>
      </c>
      <c r="AF111" s="195">
        <v>119.88</v>
      </c>
      <c r="AG111" s="196">
        <v>119.88</v>
      </c>
      <c r="AH111" s="197">
        <v>119.88</v>
      </c>
      <c r="AI111" s="200" t="s">
        <v>131</v>
      </c>
      <c r="AJ111" s="193" t="s">
        <v>1631</v>
      </c>
      <c r="AK111" s="201" t="s">
        <v>1614</v>
      </c>
      <c r="AL111" s="205">
        <v>54</v>
      </c>
      <c r="AM111" s="200">
        <v>0</v>
      </c>
      <c r="AN111" s="204">
        <v>162</v>
      </c>
      <c r="AO111" s="203"/>
      <c r="AP111" s="207" t="s">
        <v>76</v>
      </c>
      <c r="AQ111" s="199" t="s">
        <v>1620</v>
      </c>
      <c r="AR111" s="202"/>
      <c r="AS111" s="205">
        <v>2051</v>
      </c>
      <c r="AT111" s="206"/>
      <c r="AU111" s="201" t="s">
        <v>24</v>
      </c>
      <c r="AV111" s="193" t="s">
        <v>1615</v>
      </c>
      <c r="AW111" s="205">
        <v>1538</v>
      </c>
    </row>
    <row r="112" spans="1:49">
      <c r="A112" s="192" t="s">
        <v>110</v>
      </c>
      <c r="B112" s="194" t="s">
        <v>1555</v>
      </c>
      <c r="C112" s="160" t="s">
        <v>949</v>
      </c>
      <c r="D112" s="193" t="s">
        <v>2275</v>
      </c>
      <c r="E112" s="195">
        <v>25.33</v>
      </c>
      <c r="F112" s="196">
        <v>25.33</v>
      </c>
      <c r="G112" s="197">
        <v>25.33</v>
      </c>
      <c r="H112" s="195">
        <v>25.33</v>
      </c>
      <c r="I112" s="196">
        <v>25.33</v>
      </c>
      <c r="J112" s="197">
        <v>25.33</v>
      </c>
      <c r="K112" s="195">
        <v>25.33</v>
      </c>
      <c r="L112" s="196">
        <v>25.33</v>
      </c>
      <c r="M112" s="197">
        <v>25.33</v>
      </c>
      <c r="N112" s="195">
        <v>25.33</v>
      </c>
      <c r="O112" s="196">
        <v>25.33</v>
      </c>
      <c r="P112" s="197">
        <v>25.33</v>
      </c>
      <c r="Q112" s="195">
        <v>25.33</v>
      </c>
      <c r="R112" s="196">
        <v>25.33</v>
      </c>
      <c r="S112" s="197">
        <v>25.33</v>
      </c>
      <c r="T112" s="195">
        <v>25.33</v>
      </c>
      <c r="U112" s="196">
        <v>25.33</v>
      </c>
      <c r="V112" s="197">
        <v>25.33</v>
      </c>
      <c r="W112" s="195">
        <v>25.33</v>
      </c>
      <c r="X112" s="196">
        <v>25.33</v>
      </c>
      <c r="Y112" s="197">
        <v>25.33</v>
      </c>
      <c r="Z112" s="195">
        <v>25.33</v>
      </c>
      <c r="AA112" s="196">
        <v>25.33</v>
      </c>
      <c r="AB112" s="197">
        <v>25.33</v>
      </c>
      <c r="AC112" s="195">
        <v>25.33</v>
      </c>
      <c r="AD112" s="196">
        <v>25.33</v>
      </c>
      <c r="AE112" s="197">
        <v>25.33</v>
      </c>
      <c r="AF112" s="195">
        <v>25.33</v>
      </c>
      <c r="AG112" s="196">
        <v>25.33</v>
      </c>
      <c r="AH112" s="197">
        <v>25.33</v>
      </c>
      <c r="AI112" s="200" t="s">
        <v>2274</v>
      </c>
      <c r="AJ112" s="193" t="s">
        <v>1602</v>
      </c>
      <c r="AK112" s="201" t="s">
        <v>1603</v>
      </c>
      <c r="AL112" s="205">
        <v>1</v>
      </c>
      <c r="AM112" s="200">
        <v>0</v>
      </c>
      <c r="AN112" s="204">
        <v>25.33</v>
      </c>
      <c r="AO112" s="203">
        <v>50</v>
      </c>
      <c r="AP112" s="207" t="s">
        <v>76</v>
      </c>
      <c r="AQ112" s="199" t="s">
        <v>1619</v>
      </c>
      <c r="AR112" s="202"/>
      <c r="AS112" s="205">
        <v>2033</v>
      </c>
      <c r="AT112" s="206"/>
      <c r="AU112" s="201" t="s">
        <v>24</v>
      </c>
      <c r="AV112" s="193" t="s">
        <v>19</v>
      </c>
      <c r="AW112" s="205">
        <v>1470</v>
      </c>
    </row>
    <row r="113" spans="1:49">
      <c r="A113" s="192" t="s">
        <v>110</v>
      </c>
      <c r="B113" s="194" t="s">
        <v>1555</v>
      </c>
      <c r="C113" s="160" t="s">
        <v>951</v>
      </c>
      <c r="D113" s="193" t="s">
        <v>2277</v>
      </c>
      <c r="E113" s="195">
        <v>50.006</v>
      </c>
      <c r="F113" s="196">
        <v>49.015999999999998</v>
      </c>
      <c r="G113" s="197">
        <v>47.762</v>
      </c>
      <c r="H113" s="195">
        <v>50.006</v>
      </c>
      <c r="I113" s="196">
        <v>49.015999999999998</v>
      </c>
      <c r="J113" s="197">
        <v>47.762</v>
      </c>
      <c r="K113" s="195">
        <v>50.006</v>
      </c>
      <c r="L113" s="196">
        <v>49.015999999999998</v>
      </c>
      <c r="M113" s="197">
        <v>47.762</v>
      </c>
      <c r="N113" s="195">
        <v>50.006</v>
      </c>
      <c r="O113" s="196">
        <v>49.015999999999998</v>
      </c>
      <c r="P113" s="197">
        <v>47.762</v>
      </c>
      <c r="Q113" s="195">
        <v>50.006</v>
      </c>
      <c r="R113" s="196">
        <v>49.015999999999998</v>
      </c>
      <c r="S113" s="197">
        <v>47.762</v>
      </c>
      <c r="T113" s="195">
        <v>50.006</v>
      </c>
      <c r="U113" s="196">
        <v>49.015999999999998</v>
      </c>
      <c r="V113" s="197">
        <v>47.762</v>
      </c>
      <c r="W113" s="195">
        <v>50.006</v>
      </c>
      <c r="X113" s="196">
        <v>49.015999999999998</v>
      </c>
      <c r="Y113" s="197">
        <v>47.762</v>
      </c>
      <c r="Z113" s="195">
        <v>50.006</v>
      </c>
      <c r="AA113" s="196">
        <v>49.015999999999998</v>
      </c>
      <c r="AB113" s="197">
        <v>47.762</v>
      </c>
      <c r="AC113" s="195">
        <v>50.006</v>
      </c>
      <c r="AD113" s="196">
        <v>49.015999999999998</v>
      </c>
      <c r="AE113" s="197">
        <v>47.762</v>
      </c>
      <c r="AF113" s="195">
        <v>50.006</v>
      </c>
      <c r="AG113" s="196">
        <v>49.015999999999998</v>
      </c>
      <c r="AH113" s="197">
        <v>47.762</v>
      </c>
      <c r="AI113" s="200" t="s">
        <v>2276</v>
      </c>
      <c r="AJ113" s="193" t="s">
        <v>1631</v>
      </c>
      <c r="AK113" s="201" t="s">
        <v>1614</v>
      </c>
      <c r="AL113" s="205">
        <v>22</v>
      </c>
      <c r="AM113" s="200"/>
      <c r="AN113" s="204">
        <v>55</v>
      </c>
      <c r="AO113" s="203"/>
      <c r="AP113" s="207" t="s">
        <v>76</v>
      </c>
      <c r="AQ113" s="199" t="s">
        <v>1620</v>
      </c>
      <c r="AR113" s="202"/>
      <c r="AS113" s="205">
        <v>2048</v>
      </c>
      <c r="AT113" s="206"/>
      <c r="AU113" s="201" t="s">
        <v>24</v>
      </c>
      <c r="AV113" s="193" t="s">
        <v>1615</v>
      </c>
      <c r="AW113" s="205">
        <v>1396</v>
      </c>
    </row>
    <row r="114" spans="1:49">
      <c r="A114" s="192" t="s">
        <v>77</v>
      </c>
      <c r="B114" s="194" t="s">
        <v>1555</v>
      </c>
      <c r="C114" s="160" t="s">
        <v>2315</v>
      </c>
      <c r="D114" s="193" t="s">
        <v>2317</v>
      </c>
      <c r="E114" s="195">
        <v>280</v>
      </c>
      <c r="F114" s="196">
        <v>280</v>
      </c>
      <c r="G114" s="197">
        <v>280</v>
      </c>
      <c r="H114" s="195">
        <v>280</v>
      </c>
      <c r="I114" s="196">
        <v>280</v>
      </c>
      <c r="J114" s="197">
        <v>280</v>
      </c>
      <c r="K114" s="195">
        <v>280</v>
      </c>
      <c r="L114" s="196">
        <v>280</v>
      </c>
      <c r="M114" s="197">
        <v>280</v>
      </c>
      <c r="N114" s="195">
        <v>280</v>
      </c>
      <c r="O114" s="196">
        <v>280</v>
      </c>
      <c r="P114" s="197">
        <v>280</v>
      </c>
      <c r="Q114" s="195">
        <v>280</v>
      </c>
      <c r="R114" s="196">
        <v>280</v>
      </c>
      <c r="S114" s="197">
        <v>280</v>
      </c>
      <c r="T114" s="195">
        <v>280</v>
      </c>
      <c r="U114" s="196">
        <v>280</v>
      </c>
      <c r="V114" s="197">
        <v>280</v>
      </c>
      <c r="W114" s="195">
        <v>280</v>
      </c>
      <c r="X114" s="196">
        <v>280</v>
      </c>
      <c r="Y114" s="197">
        <v>280</v>
      </c>
      <c r="Z114" s="195">
        <v>280</v>
      </c>
      <c r="AA114" s="196">
        <v>280</v>
      </c>
      <c r="AB114" s="197">
        <v>280</v>
      </c>
      <c r="AC114" s="195">
        <v>280</v>
      </c>
      <c r="AD114" s="196">
        <v>280</v>
      </c>
      <c r="AE114" s="197">
        <v>280</v>
      </c>
      <c r="AF114" s="195"/>
      <c r="AG114" s="196"/>
      <c r="AH114" s="197"/>
      <c r="AI114" s="200" t="s">
        <v>2316</v>
      </c>
      <c r="AJ114" s="193" t="s">
        <v>1739</v>
      </c>
      <c r="AK114" s="201" t="s">
        <v>1740</v>
      </c>
      <c r="AL114" s="205">
        <v>1</v>
      </c>
      <c r="AM114" s="200"/>
      <c r="AN114" s="204">
        <v>280</v>
      </c>
      <c r="AO114" s="203"/>
      <c r="AP114" s="207" t="s">
        <v>76</v>
      </c>
      <c r="AQ114" s="199" t="s">
        <v>1619</v>
      </c>
      <c r="AR114" s="202"/>
      <c r="AS114" s="205">
        <v>2035</v>
      </c>
      <c r="AT114" s="206"/>
      <c r="AU114" s="201" t="s">
        <v>24</v>
      </c>
      <c r="AV114" s="193" t="s">
        <v>11</v>
      </c>
      <c r="AW114" s="205">
        <v>1077</v>
      </c>
    </row>
    <row r="115" spans="1:49">
      <c r="A115" s="192" t="s">
        <v>77</v>
      </c>
      <c r="B115" s="194" t="s">
        <v>1555</v>
      </c>
      <c r="C115" s="160" t="s">
        <v>2315</v>
      </c>
      <c r="D115" s="193" t="s">
        <v>2318</v>
      </c>
      <c r="E115" s="195">
        <v>280</v>
      </c>
      <c r="F115" s="196">
        <v>280</v>
      </c>
      <c r="G115" s="197">
        <v>280</v>
      </c>
      <c r="H115" s="195">
        <v>280</v>
      </c>
      <c r="I115" s="196">
        <v>280</v>
      </c>
      <c r="J115" s="197">
        <v>280</v>
      </c>
      <c r="K115" s="195">
        <v>280</v>
      </c>
      <c r="L115" s="196">
        <v>280</v>
      </c>
      <c r="M115" s="197">
        <v>280</v>
      </c>
      <c r="N115" s="195">
        <v>280</v>
      </c>
      <c r="O115" s="196">
        <v>280</v>
      </c>
      <c r="P115" s="197">
        <v>280</v>
      </c>
      <c r="Q115" s="195">
        <v>280</v>
      </c>
      <c r="R115" s="196">
        <v>280</v>
      </c>
      <c r="S115" s="197">
        <v>280</v>
      </c>
      <c r="T115" s="195">
        <v>280</v>
      </c>
      <c r="U115" s="196">
        <v>280</v>
      </c>
      <c r="V115" s="197">
        <v>280</v>
      </c>
      <c r="W115" s="195">
        <v>280</v>
      </c>
      <c r="X115" s="196">
        <v>280</v>
      </c>
      <c r="Y115" s="197">
        <v>280</v>
      </c>
      <c r="Z115" s="195">
        <v>280</v>
      </c>
      <c r="AA115" s="196">
        <v>280</v>
      </c>
      <c r="AB115" s="197">
        <v>280</v>
      </c>
      <c r="AC115" s="195">
        <v>280</v>
      </c>
      <c r="AD115" s="196">
        <v>280</v>
      </c>
      <c r="AE115" s="197">
        <v>280</v>
      </c>
      <c r="AF115" s="195"/>
      <c r="AG115" s="196"/>
      <c r="AH115" s="197"/>
      <c r="AI115" s="200" t="s">
        <v>2316</v>
      </c>
      <c r="AJ115" s="193" t="s">
        <v>1739</v>
      </c>
      <c r="AK115" s="201" t="s">
        <v>1740</v>
      </c>
      <c r="AL115" s="205">
        <v>1</v>
      </c>
      <c r="AM115" s="200"/>
      <c r="AN115" s="204">
        <v>280</v>
      </c>
      <c r="AO115" s="203"/>
      <c r="AP115" s="207" t="s">
        <v>76</v>
      </c>
      <c r="AQ115" s="199" t="s">
        <v>1619</v>
      </c>
      <c r="AR115" s="202"/>
      <c r="AS115" s="205">
        <v>2035</v>
      </c>
      <c r="AT115" s="206"/>
      <c r="AU115" s="201" t="s">
        <v>24</v>
      </c>
      <c r="AV115" s="193" t="s">
        <v>11</v>
      </c>
      <c r="AW115" s="205">
        <v>1077</v>
      </c>
    </row>
    <row r="116" spans="1:49">
      <c r="A116" s="192" t="s">
        <v>77</v>
      </c>
      <c r="B116" s="194" t="s">
        <v>1555</v>
      </c>
      <c r="C116" s="160" t="s">
        <v>2315</v>
      </c>
      <c r="D116" s="193" t="s">
        <v>2319</v>
      </c>
      <c r="E116" s="195">
        <v>280</v>
      </c>
      <c r="F116" s="196">
        <v>280</v>
      </c>
      <c r="G116" s="197">
        <v>280</v>
      </c>
      <c r="H116" s="195">
        <v>280</v>
      </c>
      <c r="I116" s="196">
        <v>280</v>
      </c>
      <c r="J116" s="197">
        <v>280</v>
      </c>
      <c r="K116" s="195">
        <v>280</v>
      </c>
      <c r="L116" s="196">
        <v>280</v>
      </c>
      <c r="M116" s="197">
        <v>280</v>
      </c>
      <c r="N116" s="195">
        <v>280</v>
      </c>
      <c r="O116" s="196">
        <v>280</v>
      </c>
      <c r="P116" s="197">
        <v>280</v>
      </c>
      <c r="Q116" s="195">
        <v>280</v>
      </c>
      <c r="R116" s="196">
        <v>280</v>
      </c>
      <c r="S116" s="197">
        <v>280</v>
      </c>
      <c r="T116" s="195">
        <v>280</v>
      </c>
      <c r="U116" s="196">
        <v>280</v>
      </c>
      <c r="V116" s="197">
        <v>280</v>
      </c>
      <c r="W116" s="195">
        <v>280</v>
      </c>
      <c r="X116" s="196">
        <v>280</v>
      </c>
      <c r="Y116" s="197">
        <v>280</v>
      </c>
      <c r="Z116" s="195">
        <v>280</v>
      </c>
      <c r="AA116" s="196">
        <v>280</v>
      </c>
      <c r="AB116" s="197">
        <v>280</v>
      </c>
      <c r="AC116" s="195">
        <v>280</v>
      </c>
      <c r="AD116" s="196">
        <v>280</v>
      </c>
      <c r="AE116" s="197">
        <v>280</v>
      </c>
      <c r="AF116" s="195"/>
      <c r="AG116" s="196"/>
      <c r="AH116" s="197"/>
      <c r="AI116" s="200" t="s">
        <v>2316</v>
      </c>
      <c r="AJ116" s="193" t="s">
        <v>1739</v>
      </c>
      <c r="AK116" s="201" t="s">
        <v>1740</v>
      </c>
      <c r="AL116" s="205">
        <v>1</v>
      </c>
      <c r="AM116" s="200"/>
      <c r="AN116" s="204">
        <v>280</v>
      </c>
      <c r="AO116" s="203"/>
      <c r="AP116" s="207" t="s">
        <v>76</v>
      </c>
      <c r="AQ116" s="199" t="s">
        <v>1619</v>
      </c>
      <c r="AR116" s="202"/>
      <c r="AS116" s="205">
        <v>2035</v>
      </c>
      <c r="AT116" s="206"/>
      <c r="AU116" s="201" t="s">
        <v>24</v>
      </c>
      <c r="AV116" s="193" t="s">
        <v>11</v>
      </c>
      <c r="AW116" s="205">
        <v>1077</v>
      </c>
    </row>
    <row r="117" spans="1:49">
      <c r="A117" s="192" t="s">
        <v>77</v>
      </c>
      <c r="B117" s="194" t="s">
        <v>1555</v>
      </c>
      <c r="C117" s="160" t="s">
        <v>2315</v>
      </c>
      <c r="D117" s="193" t="s">
        <v>2320</v>
      </c>
      <c r="E117" s="195">
        <v>280</v>
      </c>
      <c r="F117" s="196">
        <v>280</v>
      </c>
      <c r="G117" s="197">
        <v>280</v>
      </c>
      <c r="H117" s="195">
        <v>280</v>
      </c>
      <c r="I117" s="196">
        <v>280</v>
      </c>
      <c r="J117" s="197">
        <v>280</v>
      </c>
      <c r="K117" s="195">
        <v>280</v>
      </c>
      <c r="L117" s="196">
        <v>280</v>
      </c>
      <c r="M117" s="197">
        <v>280</v>
      </c>
      <c r="N117" s="195">
        <v>280</v>
      </c>
      <c r="O117" s="196">
        <v>280</v>
      </c>
      <c r="P117" s="197">
        <v>280</v>
      </c>
      <c r="Q117" s="195">
        <v>280</v>
      </c>
      <c r="R117" s="196">
        <v>280</v>
      </c>
      <c r="S117" s="197">
        <v>280</v>
      </c>
      <c r="T117" s="195">
        <v>280</v>
      </c>
      <c r="U117" s="196">
        <v>280</v>
      </c>
      <c r="V117" s="197">
        <v>280</v>
      </c>
      <c r="W117" s="195">
        <v>280</v>
      </c>
      <c r="X117" s="196">
        <v>280</v>
      </c>
      <c r="Y117" s="197">
        <v>280</v>
      </c>
      <c r="Z117" s="195">
        <v>280</v>
      </c>
      <c r="AA117" s="196">
        <v>280</v>
      </c>
      <c r="AB117" s="197">
        <v>280</v>
      </c>
      <c r="AC117" s="195">
        <v>280</v>
      </c>
      <c r="AD117" s="196">
        <v>280</v>
      </c>
      <c r="AE117" s="197">
        <v>280</v>
      </c>
      <c r="AF117" s="195"/>
      <c r="AG117" s="196"/>
      <c r="AH117" s="197"/>
      <c r="AI117" s="200" t="s">
        <v>2316</v>
      </c>
      <c r="AJ117" s="193" t="s">
        <v>1739</v>
      </c>
      <c r="AK117" s="201" t="s">
        <v>1740</v>
      </c>
      <c r="AL117" s="205">
        <v>1</v>
      </c>
      <c r="AM117" s="200"/>
      <c r="AN117" s="204">
        <v>280</v>
      </c>
      <c r="AO117" s="203"/>
      <c r="AP117" s="207" t="s">
        <v>76</v>
      </c>
      <c r="AQ117" s="199" t="s">
        <v>1619</v>
      </c>
      <c r="AR117" s="202"/>
      <c r="AS117" s="205">
        <v>2035</v>
      </c>
      <c r="AT117" s="206"/>
      <c r="AU117" s="201" t="s">
        <v>24</v>
      </c>
      <c r="AV117" s="193" t="s">
        <v>11</v>
      </c>
      <c r="AW117" s="205">
        <v>1077</v>
      </c>
    </row>
    <row r="118" spans="1:49">
      <c r="A118" s="192" t="s">
        <v>77</v>
      </c>
      <c r="B118" s="194" t="s">
        <v>1555</v>
      </c>
      <c r="C118" s="160" t="s">
        <v>2315</v>
      </c>
      <c r="D118" s="193" t="s">
        <v>2321</v>
      </c>
      <c r="E118" s="195">
        <v>280</v>
      </c>
      <c r="F118" s="196">
        <v>280</v>
      </c>
      <c r="G118" s="197">
        <v>280</v>
      </c>
      <c r="H118" s="195">
        <v>280</v>
      </c>
      <c r="I118" s="196">
        <v>280</v>
      </c>
      <c r="J118" s="197">
        <v>280</v>
      </c>
      <c r="K118" s="195">
        <v>280</v>
      </c>
      <c r="L118" s="196">
        <v>280</v>
      </c>
      <c r="M118" s="197">
        <v>280</v>
      </c>
      <c r="N118" s="195">
        <v>280</v>
      </c>
      <c r="O118" s="196">
        <v>280</v>
      </c>
      <c r="P118" s="197">
        <v>280</v>
      </c>
      <c r="Q118" s="195">
        <v>280</v>
      </c>
      <c r="R118" s="196">
        <v>280</v>
      </c>
      <c r="S118" s="197">
        <v>280</v>
      </c>
      <c r="T118" s="195">
        <v>280</v>
      </c>
      <c r="U118" s="196">
        <v>280</v>
      </c>
      <c r="V118" s="197">
        <v>280</v>
      </c>
      <c r="W118" s="195">
        <v>280</v>
      </c>
      <c r="X118" s="196">
        <v>280</v>
      </c>
      <c r="Y118" s="197">
        <v>280</v>
      </c>
      <c r="Z118" s="195">
        <v>280</v>
      </c>
      <c r="AA118" s="196">
        <v>280</v>
      </c>
      <c r="AB118" s="197">
        <v>280</v>
      </c>
      <c r="AC118" s="195">
        <v>280</v>
      </c>
      <c r="AD118" s="196">
        <v>280</v>
      </c>
      <c r="AE118" s="197">
        <v>280</v>
      </c>
      <c r="AF118" s="195"/>
      <c r="AG118" s="196"/>
      <c r="AH118" s="197"/>
      <c r="AI118" s="200" t="s">
        <v>2316</v>
      </c>
      <c r="AJ118" s="193" t="s">
        <v>1739</v>
      </c>
      <c r="AK118" s="201" t="s">
        <v>1740</v>
      </c>
      <c r="AL118" s="205">
        <v>1</v>
      </c>
      <c r="AM118" s="200"/>
      <c r="AN118" s="204">
        <v>280</v>
      </c>
      <c r="AO118" s="203"/>
      <c r="AP118" s="207" t="s">
        <v>76</v>
      </c>
      <c r="AQ118" s="199" t="s">
        <v>1619</v>
      </c>
      <c r="AR118" s="202"/>
      <c r="AS118" s="205">
        <v>2035</v>
      </c>
      <c r="AT118" s="206"/>
      <c r="AU118" s="201" t="s">
        <v>24</v>
      </c>
      <c r="AV118" s="193" t="s">
        <v>11</v>
      </c>
      <c r="AW118" s="205">
        <v>1077</v>
      </c>
    </row>
    <row r="119" spans="1:49">
      <c r="A119" s="192" t="s">
        <v>77</v>
      </c>
      <c r="B119" s="194" t="s">
        <v>1555</v>
      </c>
      <c r="C119" s="160" t="s">
        <v>2315</v>
      </c>
      <c r="D119" s="193" t="s">
        <v>2322</v>
      </c>
      <c r="E119" s="195">
        <v>280</v>
      </c>
      <c r="F119" s="196">
        <v>280</v>
      </c>
      <c r="G119" s="197">
        <v>280</v>
      </c>
      <c r="H119" s="195">
        <v>280</v>
      </c>
      <c r="I119" s="196">
        <v>280</v>
      </c>
      <c r="J119" s="197">
        <v>280</v>
      </c>
      <c r="K119" s="195">
        <v>280</v>
      </c>
      <c r="L119" s="196">
        <v>280</v>
      </c>
      <c r="M119" s="197">
        <v>280</v>
      </c>
      <c r="N119" s="195">
        <v>280</v>
      </c>
      <c r="O119" s="196">
        <v>280</v>
      </c>
      <c r="P119" s="197">
        <v>280</v>
      </c>
      <c r="Q119" s="195">
        <v>280</v>
      </c>
      <c r="R119" s="196">
        <v>280</v>
      </c>
      <c r="S119" s="197">
        <v>280</v>
      </c>
      <c r="T119" s="195">
        <v>280</v>
      </c>
      <c r="U119" s="196">
        <v>280</v>
      </c>
      <c r="V119" s="197">
        <v>280</v>
      </c>
      <c r="W119" s="195">
        <v>280</v>
      </c>
      <c r="X119" s="196">
        <v>280</v>
      </c>
      <c r="Y119" s="197">
        <v>280</v>
      </c>
      <c r="Z119" s="195">
        <v>280</v>
      </c>
      <c r="AA119" s="196">
        <v>280</v>
      </c>
      <c r="AB119" s="197">
        <v>280</v>
      </c>
      <c r="AC119" s="195">
        <v>280</v>
      </c>
      <c r="AD119" s="196">
        <v>280</v>
      </c>
      <c r="AE119" s="197">
        <v>280</v>
      </c>
      <c r="AF119" s="195"/>
      <c r="AG119" s="196"/>
      <c r="AH119" s="197"/>
      <c r="AI119" s="200" t="s">
        <v>2316</v>
      </c>
      <c r="AJ119" s="193" t="s">
        <v>1739</v>
      </c>
      <c r="AK119" s="201" t="s">
        <v>1740</v>
      </c>
      <c r="AL119" s="205">
        <v>1</v>
      </c>
      <c r="AM119" s="200"/>
      <c r="AN119" s="204">
        <v>280</v>
      </c>
      <c r="AO119" s="203"/>
      <c r="AP119" s="207" t="s">
        <v>76</v>
      </c>
      <c r="AQ119" s="199" t="s">
        <v>1619</v>
      </c>
      <c r="AR119" s="202"/>
      <c r="AS119" s="205">
        <v>2035</v>
      </c>
      <c r="AT119" s="206"/>
      <c r="AU119" s="201" t="s">
        <v>24</v>
      </c>
      <c r="AV119" s="193" t="s">
        <v>11</v>
      </c>
      <c r="AW119" s="205">
        <v>1077</v>
      </c>
    </row>
    <row r="120" spans="1:49">
      <c r="A120" s="192" t="s">
        <v>110</v>
      </c>
      <c r="B120" s="194" t="s">
        <v>1599</v>
      </c>
      <c r="C120" s="160" t="s">
        <v>247</v>
      </c>
      <c r="D120" s="193" t="s">
        <v>3744</v>
      </c>
      <c r="E120" s="195">
        <v>101.982</v>
      </c>
      <c r="F120" s="196">
        <v>101.982</v>
      </c>
      <c r="G120" s="197">
        <v>101.982</v>
      </c>
      <c r="H120" s="195">
        <v>101.982</v>
      </c>
      <c r="I120" s="196">
        <v>101.982</v>
      </c>
      <c r="J120" s="197">
        <v>101.982</v>
      </c>
      <c r="K120" s="195">
        <v>101.982</v>
      </c>
      <c r="L120" s="196">
        <v>101.982</v>
      </c>
      <c r="M120" s="197">
        <v>101.982</v>
      </c>
      <c r="N120" s="195">
        <v>101.982</v>
      </c>
      <c r="O120" s="196">
        <v>101.982</v>
      </c>
      <c r="P120" s="197">
        <v>101.982</v>
      </c>
      <c r="Q120" s="195">
        <v>101.982</v>
      </c>
      <c r="R120" s="196">
        <v>101.982</v>
      </c>
      <c r="S120" s="197">
        <v>101.982</v>
      </c>
      <c r="T120" s="195">
        <v>101.982</v>
      </c>
      <c r="U120" s="196">
        <v>101.982</v>
      </c>
      <c r="V120" s="197">
        <v>101.982</v>
      </c>
      <c r="W120" s="195">
        <v>101.982</v>
      </c>
      <c r="X120" s="196">
        <v>101.982</v>
      </c>
      <c r="Y120" s="197">
        <v>101.982</v>
      </c>
      <c r="Z120" s="195">
        <v>101.982</v>
      </c>
      <c r="AA120" s="196">
        <v>101.982</v>
      </c>
      <c r="AB120" s="197">
        <v>101.982</v>
      </c>
      <c r="AC120" s="195">
        <v>101.982</v>
      </c>
      <c r="AD120" s="196">
        <v>101.982</v>
      </c>
      <c r="AE120" s="197">
        <v>101.982</v>
      </c>
      <c r="AF120" s="195">
        <v>101.982</v>
      </c>
      <c r="AG120" s="196">
        <v>101.982</v>
      </c>
      <c r="AH120" s="197">
        <v>101.982</v>
      </c>
      <c r="AI120" s="200" t="s">
        <v>248</v>
      </c>
      <c r="AJ120" s="193" t="s">
        <v>1631</v>
      </c>
      <c r="AK120" s="201" t="s">
        <v>1614</v>
      </c>
      <c r="AL120" s="205">
        <v>46</v>
      </c>
      <c r="AM120" s="200">
        <v>126.5</v>
      </c>
      <c r="AN120" s="204">
        <v>126.5</v>
      </c>
      <c r="AO120" s="203"/>
      <c r="AP120" s="207" t="s">
        <v>26</v>
      </c>
      <c r="AQ120" s="199" t="s">
        <v>1620</v>
      </c>
      <c r="AR120" s="202">
        <v>45261</v>
      </c>
      <c r="AS120" s="205">
        <v>2054</v>
      </c>
      <c r="AT120" s="206"/>
      <c r="AU120" s="201" t="s">
        <v>26</v>
      </c>
      <c r="AV120" s="193" t="s">
        <v>1615</v>
      </c>
      <c r="AW120" s="205">
        <v>1623</v>
      </c>
    </row>
    <row r="121" spans="1:49">
      <c r="A121" s="192" t="s">
        <v>110</v>
      </c>
      <c r="B121" s="194" t="s">
        <v>1555</v>
      </c>
      <c r="C121" s="160" t="s">
        <v>2340</v>
      </c>
      <c r="D121" s="193" t="s">
        <v>594</v>
      </c>
      <c r="E121" s="195">
        <v>110.01600000000001</v>
      </c>
      <c r="F121" s="196">
        <v>106.944</v>
      </c>
      <c r="G121" s="197">
        <v>102.96</v>
      </c>
      <c r="H121" s="195">
        <v>110.01600000000001</v>
      </c>
      <c r="I121" s="196">
        <v>106.944</v>
      </c>
      <c r="J121" s="197">
        <v>102.96</v>
      </c>
      <c r="K121" s="195">
        <v>110.01600000000001</v>
      </c>
      <c r="L121" s="196">
        <v>106.944</v>
      </c>
      <c r="M121" s="197">
        <v>102.96</v>
      </c>
      <c r="N121" s="195">
        <v>110.01600000000001</v>
      </c>
      <c r="O121" s="196">
        <v>106.944</v>
      </c>
      <c r="P121" s="197">
        <v>102.96</v>
      </c>
      <c r="Q121" s="195">
        <v>110.01600000000001</v>
      </c>
      <c r="R121" s="196">
        <v>106.944</v>
      </c>
      <c r="S121" s="197">
        <v>102.96</v>
      </c>
      <c r="T121" s="195">
        <v>110.01600000000001</v>
      </c>
      <c r="U121" s="196">
        <v>106.944</v>
      </c>
      <c r="V121" s="197">
        <v>102.96</v>
      </c>
      <c r="W121" s="195">
        <v>110.01600000000001</v>
      </c>
      <c r="X121" s="196">
        <v>106.944</v>
      </c>
      <c r="Y121" s="197">
        <v>102.96</v>
      </c>
      <c r="Z121" s="195">
        <v>110.01600000000001</v>
      </c>
      <c r="AA121" s="196">
        <v>106.944</v>
      </c>
      <c r="AB121" s="197">
        <v>102.96</v>
      </c>
      <c r="AC121" s="195">
        <v>110.01600000000001</v>
      </c>
      <c r="AD121" s="196">
        <v>106.944</v>
      </c>
      <c r="AE121" s="197">
        <v>102.96</v>
      </c>
      <c r="AF121" s="195"/>
      <c r="AG121" s="196"/>
      <c r="AH121" s="197"/>
      <c r="AI121" s="200" t="s">
        <v>593</v>
      </c>
      <c r="AJ121" s="193" t="s">
        <v>1631</v>
      </c>
      <c r="AK121" s="201" t="s">
        <v>1614</v>
      </c>
      <c r="AL121" s="205">
        <v>48</v>
      </c>
      <c r="AM121" s="200">
        <v>90</v>
      </c>
      <c r="AN121" s="204">
        <v>132</v>
      </c>
      <c r="AO121" s="203"/>
      <c r="AP121" s="207" t="s">
        <v>76</v>
      </c>
      <c r="AQ121" s="199" t="s">
        <v>1620</v>
      </c>
      <c r="AR121" s="202">
        <v>44287</v>
      </c>
      <c r="AS121" s="205">
        <v>2051</v>
      </c>
      <c r="AT121" s="206"/>
      <c r="AU121" s="201" t="s">
        <v>24</v>
      </c>
      <c r="AV121" s="193" t="s">
        <v>1615</v>
      </c>
      <c r="AW121" s="205">
        <v>1541</v>
      </c>
    </row>
    <row r="122" spans="1:49">
      <c r="A122" s="192" t="s">
        <v>110</v>
      </c>
      <c r="B122" s="194" t="s">
        <v>1599</v>
      </c>
      <c r="C122" s="160" t="s">
        <v>304</v>
      </c>
      <c r="D122" s="193" t="s">
        <v>3744</v>
      </c>
      <c r="E122" s="195">
        <v>0</v>
      </c>
      <c r="F122" s="196">
        <v>0</v>
      </c>
      <c r="G122" s="197">
        <v>0</v>
      </c>
      <c r="H122" s="195">
        <v>0</v>
      </c>
      <c r="I122" s="196">
        <v>0</v>
      </c>
      <c r="J122" s="197">
        <v>0</v>
      </c>
      <c r="K122" s="195">
        <v>756.4</v>
      </c>
      <c r="L122" s="196">
        <v>756.4</v>
      </c>
      <c r="M122" s="197">
        <v>756.4</v>
      </c>
      <c r="N122" s="195">
        <v>756.4</v>
      </c>
      <c r="O122" s="196">
        <v>756.4</v>
      </c>
      <c r="P122" s="197">
        <v>756.4</v>
      </c>
      <c r="Q122" s="195">
        <v>756.4</v>
      </c>
      <c r="R122" s="196">
        <v>756.4</v>
      </c>
      <c r="S122" s="197">
        <v>756.4</v>
      </c>
      <c r="T122" s="195">
        <v>756.4</v>
      </c>
      <c r="U122" s="196">
        <v>756.4</v>
      </c>
      <c r="V122" s="197">
        <v>756.4</v>
      </c>
      <c r="W122" s="195">
        <v>756.4</v>
      </c>
      <c r="X122" s="196">
        <v>756.4</v>
      </c>
      <c r="Y122" s="197">
        <v>756.4</v>
      </c>
      <c r="Z122" s="195">
        <v>756.4</v>
      </c>
      <c r="AA122" s="196">
        <v>756.4</v>
      </c>
      <c r="AB122" s="197">
        <v>756.4</v>
      </c>
      <c r="AC122" s="195">
        <v>756.4</v>
      </c>
      <c r="AD122" s="196">
        <v>756.4</v>
      </c>
      <c r="AE122" s="197">
        <v>756.4</v>
      </c>
      <c r="AF122" s="195">
        <v>756.4</v>
      </c>
      <c r="AG122" s="196">
        <v>756.4</v>
      </c>
      <c r="AH122" s="197">
        <v>756.4</v>
      </c>
      <c r="AI122" s="200" t="s">
        <v>305</v>
      </c>
      <c r="AJ122" s="193" t="s">
        <v>1625</v>
      </c>
      <c r="AK122" s="201" t="s">
        <v>1609</v>
      </c>
      <c r="AL122" s="205">
        <v>122</v>
      </c>
      <c r="AM122" s="200">
        <v>756.4</v>
      </c>
      <c r="AN122" s="204">
        <v>756.4</v>
      </c>
      <c r="AO122" s="203"/>
      <c r="AP122" s="207" t="s">
        <v>26</v>
      </c>
      <c r="AQ122" s="199" t="s">
        <v>1620</v>
      </c>
      <c r="AR122" s="202">
        <v>45870</v>
      </c>
      <c r="AS122" s="205">
        <v>2054</v>
      </c>
      <c r="AT122" s="206"/>
      <c r="AU122" s="201" t="s">
        <v>26</v>
      </c>
      <c r="AV122" s="193" t="s">
        <v>16</v>
      </c>
      <c r="AW122" s="205">
        <v>1487</v>
      </c>
    </row>
    <row r="123" spans="1:49">
      <c r="A123" s="192" t="s">
        <v>45</v>
      </c>
      <c r="B123" s="194" t="s">
        <v>1555</v>
      </c>
      <c r="C123" s="160" t="s">
        <v>494</v>
      </c>
      <c r="D123" s="193" t="s">
        <v>496</v>
      </c>
      <c r="E123" s="195">
        <v>69.75</v>
      </c>
      <c r="F123" s="196">
        <v>69.316000000000003</v>
      </c>
      <c r="G123" s="197">
        <v>67.734999999999999</v>
      </c>
      <c r="H123" s="195">
        <v>69.75</v>
      </c>
      <c r="I123" s="196">
        <v>69.316000000000003</v>
      </c>
      <c r="J123" s="197">
        <v>67.734999999999999</v>
      </c>
      <c r="K123" s="195">
        <v>69.75</v>
      </c>
      <c r="L123" s="196">
        <v>69.316000000000003</v>
      </c>
      <c r="M123" s="197">
        <v>67.734999999999999</v>
      </c>
      <c r="N123" s="195">
        <v>69.75</v>
      </c>
      <c r="O123" s="196">
        <v>69.316000000000003</v>
      </c>
      <c r="P123" s="197">
        <v>67.734999999999999</v>
      </c>
      <c r="Q123" s="195">
        <v>69.75</v>
      </c>
      <c r="R123" s="196">
        <v>69.316000000000003</v>
      </c>
      <c r="S123" s="197">
        <v>67.734999999999999</v>
      </c>
      <c r="T123" s="195">
        <v>69.75</v>
      </c>
      <c r="U123" s="196">
        <v>69.316000000000003</v>
      </c>
      <c r="V123" s="197">
        <v>67.734999999999999</v>
      </c>
      <c r="W123" s="195">
        <v>69.75</v>
      </c>
      <c r="X123" s="196">
        <v>69.316000000000003</v>
      </c>
      <c r="Y123" s="197">
        <v>67.734999999999999</v>
      </c>
      <c r="Z123" s="195">
        <v>69.75</v>
      </c>
      <c r="AA123" s="196">
        <v>69.316000000000003</v>
      </c>
      <c r="AB123" s="197">
        <v>67.734999999999999</v>
      </c>
      <c r="AC123" s="195">
        <v>69.75</v>
      </c>
      <c r="AD123" s="196">
        <v>69.316000000000003</v>
      </c>
      <c r="AE123" s="197">
        <v>67.734999999999999</v>
      </c>
      <c r="AF123" s="195">
        <v>69.75</v>
      </c>
      <c r="AG123" s="196">
        <v>69.316000000000003</v>
      </c>
      <c r="AH123" s="197">
        <v>67.734999999999999</v>
      </c>
      <c r="AI123" s="200" t="s">
        <v>495</v>
      </c>
      <c r="AJ123" s="193" t="s">
        <v>1631</v>
      </c>
      <c r="AK123" s="201" t="s">
        <v>1614</v>
      </c>
      <c r="AL123" s="205">
        <v>31</v>
      </c>
      <c r="AM123" s="200"/>
      <c r="AN123" s="204">
        <v>69.75</v>
      </c>
      <c r="AO123" s="203"/>
      <c r="AP123" s="207" t="s">
        <v>76</v>
      </c>
      <c r="AQ123" s="199" t="s">
        <v>1620</v>
      </c>
      <c r="AR123" s="202">
        <v>44501</v>
      </c>
      <c r="AS123" s="205">
        <v>2050</v>
      </c>
      <c r="AT123" s="206"/>
      <c r="AU123" s="201" t="s">
        <v>24</v>
      </c>
      <c r="AV123" s="193" t="s">
        <v>1615</v>
      </c>
      <c r="AW123" s="205">
        <v>1400</v>
      </c>
    </row>
    <row r="124" spans="1:49">
      <c r="A124" s="192" t="s">
        <v>105</v>
      </c>
      <c r="B124" s="194" t="s">
        <v>1555</v>
      </c>
      <c r="C124" s="160" t="s">
        <v>2354</v>
      </c>
      <c r="D124" s="193" t="s">
        <v>2355</v>
      </c>
      <c r="E124" s="195">
        <v>378</v>
      </c>
      <c r="F124" s="196">
        <v>252</v>
      </c>
      <c r="G124" s="197">
        <v>252</v>
      </c>
      <c r="H124" s="195">
        <v>252</v>
      </c>
      <c r="I124" s="196">
        <v>378</v>
      </c>
      <c r="J124" s="197">
        <v>378</v>
      </c>
      <c r="K124" s="195">
        <v>252</v>
      </c>
      <c r="L124" s="196">
        <v>252</v>
      </c>
      <c r="M124" s="197">
        <v>252</v>
      </c>
      <c r="N124" s="195">
        <v>378</v>
      </c>
      <c r="O124" s="196">
        <v>378</v>
      </c>
      <c r="P124" s="197">
        <v>378</v>
      </c>
      <c r="Q124" s="195">
        <v>378</v>
      </c>
      <c r="R124" s="196">
        <v>378</v>
      </c>
      <c r="S124" s="197">
        <v>378</v>
      </c>
      <c r="T124" s="195">
        <v>378</v>
      </c>
      <c r="U124" s="196">
        <v>252</v>
      </c>
      <c r="V124" s="197">
        <v>252</v>
      </c>
      <c r="W124" s="195">
        <v>252</v>
      </c>
      <c r="X124" s="196">
        <v>378</v>
      </c>
      <c r="Y124" s="197">
        <v>378</v>
      </c>
      <c r="Z124" s="195">
        <v>378</v>
      </c>
      <c r="AA124" s="196">
        <v>378</v>
      </c>
      <c r="AB124" s="197">
        <v>378</v>
      </c>
      <c r="AC124" s="195">
        <v>378</v>
      </c>
      <c r="AD124" s="196">
        <v>378</v>
      </c>
      <c r="AE124" s="197">
        <v>378</v>
      </c>
      <c r="AF124" s="195">
        <v>378</v>
      </c>
      <c r="AG124" s="196">
        <v>378</v>
      </c>
      <c r="AH124" s="197">
        <v>378</v>
      </c>
      <c r="AI124" s="200" t="s">
        <v>1735</v>
      </c>
      <c r="AJ124" s="193" t="s">
        <v>1700</v>
      </c>
      <c r="AK124" s="201" t="s">
        <v>1658</v>
      </c>
      <c r="AL124" s="205">
        <v>3</v>
      </c>
      <c r="AM124" s="200">
        <v>432</v>
      </c>
      <c r="AN124" s="204">
        <v>432</v>
      </c>
      <c r="AO124" s="203"/>
      <c r="AP124" s="207" t="s">
        <v>76</v>
      </c>
      <c r="AQ124" s="199" t="s">
        <v>1619</v>
      </c>
      <c r="AR124" s="202"/>
      <c r="AS124" s="205">
        <v>2100</v>
      </c>
      <c r="AT124" s="206"/>
      <c r="AU124" s="201" t="s">
        <v>24</v>
      </c>
      <c r="AV124" s="193" t="s">
        <v>17</v>
      </c>
      <c r="AW124" s="205">
        <v>1081</v>
      </c>
    </row>
    <row r="125" spans="1:49">
      <c r="A125" s="192" t="s">
        <v>91</v>
      </c>
      <c r="B125" s="194" t="s">
        <v>1599</v>
      </c>
      <c r="C125" s="160" t="s">
        <v>285</v>
      </c>
      <c r="D125" s="193" t="s">
        <v>286</v>
      </c>
      <c r="E125" s="195">
        <v>0</v>
      </c>
      <c r="F125" s="196">
        <v>140.714</v>
      </c>
      <c r="G125" s="197">
        <v>140.714</v>
      </c>
      <c r="H125" s="195">
        <v>200.982</v>
      </c>
      <c r="I125" s="196">
        <v>200.982</v>
      </c>
      <c r="J125" s="197">
        <v>200.982</v>
      </c>
      <c r="K125" s="195">
        <v>200.982</v>
      </c>
      <c r="L125" s="196">
        <v>200.982</v>
      </c>
      <c r="M125" s="197">
        <v>200.982</v>
      </c>
      <c r="N125" s="195">
        <v>200.982</v>
      </c>
      <c r="O125" s="196">
        <v>200.982</v>
      </c>
      <c r="P125" s="197">
        <v>200.982</v>
      </c>
      <c r="Q125" s="195">
        <v>200.982</v>
      </c>
      <c r="R125" s="196">
        <v>200.982</v>
      </c>
      <c r="S125" s="197">
        <v>200.982</v>
      </c>
      <c r="T125" s="195">
        <v>200.982</v>
      </c>
      <c r="U125" s="196">
        <v>200.982</v>
      </c>
      <c r="V125" s="197">
        <v>200.982</v>
      </c>
      <c r="W125" s="195">
        <v>200.982</v>
      </c>
      <c r="X125" s="196">
        <v>200.982</v>
      </c>
      <c r="Y125" s="197">
        <v>200.982</v>
      </c>
      <c r="Z125" s="195">
        <v>200.982</v>
      </c>
      <c r="AA125" s="196">
        <v>200.982</v>
      </c>
      <c r="AB125" s="197">
        <v>200.982</v>
      </c>
      <c r="AC125" s="195">
        <v>200.982</v>
      </c>
      <c r="AD125" s="196">
        <v>200.982</v>
      </c>
      <c r="AE125" s="197">
        <v>200.982</v>
      </c>
      <c r="AF125" s="195">
        <v>200.982</v>
      </c>
      <c r="AG125" s="196">
        <v>200.982</v>
      </c>
      <c r="AH125" s="197">
        <v>200.982</v>
      </c>
      <c r="AI125" s="200" t="s">
        <v>142</v>
      </c>
      <c r="AJ125" s="193" t="s">
        <v>1625</v>
      </c>
      <c r="AK125" s="201" t="s">
        <v>1609</v>
      </c>
      <c r="AL125" s="205">
        <v>38</v>
      </c>
      <c r="AM125" s="200">
        <v>0</v>
      </c>
      <c r="AN125" s="204">
        <v>209</v>
      </c>
      <c r="AO125" s="203"/>
      <c r="AP125" s="207" t="s">
        <v>26</v>
      </c>
      <c r="AQ125" s="199" t="s">
        <v>1620</v>
      </c>
      <c r="AR125" s="202">
        <v>45108</v>
      </c>
      <c r="AS125" s="205">
        <v>2048</v>
      </c>
      <c r="AT125" s="206"/>
      <c r="AU125" s="201" t="s">
        <v>26</v>
      </c>
      <c r="AV125" s="193" t="s">
        <v>16</v>
      </c>
      <c r="AW125" s="205">
        <v>1964</v>
      </c>
    </row>
    <row r="126" spans="1:49">
      <c r="A126" s="192" t="s">
        <v>91</v>
      </c>
      <c r="B126" s="194" t="s">
        <v>1599</v>
      </c>
      <c r="C126" s="160" t="s">
        <v>287</v>
      </c>
      <c r="D126" s="193" t="s">
        <v>288</v>
      </c>
      <c r="E126" s="195">
        <v>0</v>
      </c>
      <c r="F126" s="196">
        <v>0</v>
      </c>
      <c r="G126" s="197">
        <v>0</v>
      </c>
      <c r="H126" s="195">
        <v>0</v>
      </c>
      <c r="I126" s="196">
        <v>137.011</v>
      </c>
      <c r="J126" s="197">
        <v>137.011</v>
      </c>
      <c r="K126" s="195">
        <v>195.69300000000001</v>
      </c>
      <c r="L126" s="196">
        <v>195.69300000000001</v>
      </c>
      <c r="M126" s="197">
        <v>195.69300000000001</v>
      </c>
      <c r="N126" s="195">
        <v>195.69300000000001</v>
      </c>
      <c r="O126" s="196">
        <v>195.69300000000001</v>
      </c>
      <c r="P126" s="197">
        <v>195.69300000000001</v>
      </c>
      <c r="Q126" s="195">
        <v>195.69300000000001</v>
      </c>
      <c r="R126" s="196">
        <v>195.69300000000001</v>
      </c>
      <c r="S126" s="197">
        <v>195.69300000000001</v>
      </c>
      <c r="T126" s="195">
        <v>195.69300000000001</v>
      </c>
      <c r="U126" s="196">
        <v>195.69300000000001</v>
      </c>
      <c r="V126" s="197">
        <v>195.69300000000001</v>
      </c>
      <c r="W126" s="195">
        <v>195.69300000000001</v>
      </c>
      <c r="X126" s="196">
        <v>195.69300000000001</v>
      </c>
      <c r="Y126" s="197">
        <v>195.69300000000001</v>
      </c>
      <c r="Z126" s="195">
        <v>195.69300000000001</v>
      </c>
      <c r="AA126" s="196">
        <v>195.69300000000001</v>
      </c>
      <c r="AB126" s="197">
        <v>195.69300000000001</v>
      </c>
      <c r="AC126" s="195">
        <v>195.69300000000001</v>
      </c>
      <c r="AD126" s="196">
        <v>195.69300000000001</v>
      </c>
      <c r="AE126" s="197">
        <v>195.69300000000001</v>
      </c>
      <c r="AF126" s="195">
        <v>195.69300000000001</v>
      </c>
      <c r="AG126" s="196">
        <v>195.69300000000001</v>
      </c>
      <c r="AH126" s="197">
        <v>195.69300000000001</v>
      </c>
      <c r="AI126" s="200" t="s">
        <v>142</v>
      </c>
      <c r="AJ126" s="193" t="s">
        <v>1625</v>
      </c>
      <c r="AK126" s="201" t="s">
        <v>1609</v>
      </c>
      <c r="AL126" s="205">
        <v>37</v>
      </c>
      <c r="AM126" s="200">
        <v>0</v>
      </c>
      <c r="AN126" s="204">
        <v>203.5</v>
      </c>
      <c r="AO126" s="203"/>
      <c r="AP126" s="207" t="s">
        <v>26</v>
      </c>
      <c r="AQ126" s="199" t="s">
        <v>1620</v>
      </c>
      <c r="AR126" s="202">
        <v>45474</v>
      </c>
      <c r="AS126" s="205">
        <v>2049</v>
      </c>
      <c r="AT126" s="206"/>
      <c r="AU126" s="201" t="s">
        <v>26</v>
      </c>
      <c r="AV126" s="193" t="s">
        <v>16</v>
      </c>
      <c r="AW126" s="205">
        <v>2404</v>
      </c>
    </row>
    <row r="127" spans="1:49">
      <c r="A127" s="192" t="s">
        <v>105</v>
      </c>
      <c r="B127" s="194" t="s">
        <v>1555</v>
      </c>
      <c r="C127" s="160" t="s">
        <v>1137</v>
      </c>
      <c r="D127" s="193" t="s">
        <v>2369</v>
      </c>
      <c r="E127" s="195">
        <v>111.6</v>
      </c>
      <c r="F127" s="196">
        <v>111.6</v>
      </c>
      <c r="G127" s="197">
        <v>111.6</v>
      </c>
      <c r="H127" s="195">
        <v>111.6</v>
      </c>
      <c r="I127" s="196">
        <v>111.6</v>
      </c>
      <c r="J127" s="197">
        <v>111.6</v>
      </c>
      <c r="K127" s="195">
        <v>111.6</v>
      </c>
      <c r="L127" s="196">
        <v>111.6</v>
      </c>
      <c r="M127" s="197">
        <v>111.6</v>
      </c>
      <c r="N127" s="195">
        <v>111.6</v>
      </c>
      <c r="O127" s="196">
        <v>111.6</v>
      </c>
      <c r="P127" s="197">
        <v>111.6</v>
      </c>
      <c r="Q127" s="195">
        <v>111.6</v>
      </c>
      <c r="R127" s="196">
        <v>111.6</v>
      </c>
      <c r="S127" s="197">
        <v>111.6</v>
      </c>
      <c r="T127" s="195">
        <v>111.6</v>
      </c>
      <c r="U127" s="196">
        <v>111.6</v>
      </c>
      <c r="V127" s="197">
        <v>111.6</v>
      </c>
      <c r="W127" s="195">
        <v>111.6</v>
      </c>
      <c r="X127" s="196">
        <v>111.6</v>
      </c>
      <c r="Y127" s="197">
        <v>111.6</v>
      </c>
      <c r="Z127" s="195">
        <v>111.6</v>
      </c>
      <c r="AA127" s="196">
        <v>111.6</v>
      </c>
      <c r="AB127" s="197">
        <v>111.6</v>
      </c>
      <c r="AC127" s="195">
        <v>111.6</v>
      </c>
      <c r="AD127" s="196">
        <v>111.6</v>
      </c>
      <c r="AE127" s="197">
        <v>111.6</v>
      </c>
      <c r="AF127" s="195">
        <v>111.6</v>
      </c>
      <c r="AG127" s="196">
        <v>111.6</v>
      </c>
      <c r="AH127" s="197">
        <v>111.6</v>
      </c>
      <c r="AI127" s="200" t="s">
        <v>2368</v>
      </c>
      <c r="AJ127" s="193" t="s">
        <v>1625</v>
      </c>
      <c r="AK127" s="201" t="s">
        <v>1609</v>
      </c>
      <c r="AL127" s="205">
        <v>31</v>
      </c>
      <c r="AM127" s="200">
        <v>111.6</v>
      </c>
      <c r="AN127" s="204">
        <v>111.6</v>
      </c>
      <c r="AO127" s="203"/>
      <c r="AP127" s="207" t="s">
        <v>76</v>
      </c>
      <c r="AQ127" s="199" t="s">
        <v>1620</v>
      </c>
      <c r="AR127" s="202">
        <v>44166</v>
      </c>
      <c r="AS127" s="205">
        <v>2055</v>
      </c>
      <c r="AT127" s="206"/>
      <c r="AU127" s="201" t="s">
        <v>24</v>
      </c>
      <c r="AV127" s="193" t="s">
        <v>16</v>
      </c>
      <c r="AW127" s="205">
        <v>1322</v>
      </c>
    </row>
    <row r="128" spans="1:49">
      <c r="A128" s="192" t="s">
        <v>45</v>
      </c>
      <c r="B128" s="194" t="s">
        <v>1555</v>
      </c>
      <c r="C128" s="160" t="s">
        <v>1097</v>
      </c>
      <c r="D128" s="193" t="s">
        <v>2395</v>
      </c>
      <c r="E128" s="195">
        <v>10</v>
      </c>
      <c r="F128" s="196">
        <v>10</v>
      </c>
      <c r="G128" s="197">
        <v>10</v>
      </c>
      <c r="H128" s="195">
        <v>10</v>
      </c>
      <c r="I128" s="196">
        <v>10</v>
      </c>
      <c r="J128" s="197">
        <v>10</v>
      </c>
      <c r="K128" s="195">
        <v>10</v>
      </c>
      <c r="L128" s="196">
        <v>10</v>
      </c>
      <c r="M128" s="197">
        <v>10</v>
      </c>
      <c r="N128" s="195">
        <v>10</v>
      </c>
      <c r="O128" s="196">
        <v>10</v>
      </c>
      <c r="P128" s="197">
        <v>10</v>
      </c>
      <c r="Q128" s="195">
        <v>10</v>
      </c>
      <c r="R128" s="196">
        <v>10</v>
      </c>
      <c r="S128" s="197">
        <v>10</v>
      </c>
      <c r="T128" s="195">
        <v>10</v>
      </c>
      <c r="U128" s="196">
        <v>10</v>
      </c>
      <c r="V128" s="197">
        <v>10</v>
      </c>
      <c r="W128" s="195">
        <v>10</v>
      </c>
      <c r="X128" s="196">
        <v>10</v>
      </c>
      <c r="Y128" s="197">
        <v>10</v>
      </c>
      <c r="Z128" s="195">
        <v>10</v>
      </c>
      <c r="AA128" s="196">
        <v>10</v>
      </c>
      <c r="AB128" s="197">
        <v>10</v>
      </c>
      <c r="AC128" s="195">
        <v>10</v>
      </c>
      <c r="AD128" s="196">
        <v>10</v>
      </c>
      <c r="AE128" s="197">
        <v>10</v>
      </c>
      <c r="AF128" s="195">
        <v>10</v>
      </c>
      <c r="AG128" s="196">
        <v>10</v>
      </c>
      <c r="AH128" s="197">
        <v>10</v>
      </c>
      <c r="AI128" s="200" t="s">
        <v>2394</v>
      </c>
      <c r="AJ128" s="193" t="s">
        <v>1613</v>
      </c>
      <c r="AK128" s="201" t="s">
        <v>1614</v>
      </c>
      <c r="AL128" s="205">
        <v>4</v>
      </c>
      <c r="AM128" s="200">
        <v>10</v>
      </c>
      <c r="AN128" s="204">
        <v>10</v>
      </c>
      <c r="AO128" s="203"/>
      <c r="AP128" s="207" t="s">
        <v>76</v>
      </c>
      <c r="AQ128" s="199" t="s">
        <v>1620</v>
      </c>
      <c r="AR128" s="202"/>
      <c r="AS128" s="205">
        <v>2100</v>
      </c>
      <c r="AT128" s="206"/>
      <c r="AU128" s="201" t="s">
        <v>24</v>
      </c>
      <c r="AV128" s="193" t="s">
        <v>1615</v>
      </c>
      <c r="AW128" s="205">
        <v>1432</v>
      </c>
    </row>
    <row r="129" spans="1:49">
      <c r="A129" s="192" t="s">
        <v>45</v>
      </c>
      <c r="B129" s="194" t="s">
        <v>1555</v>
      </c>
      <c r="C129" s="160" t="s">
        <v>1285</v>
      </c>
      <c r="D129" s="193" t="s">
        <v>2396</v>
      </c>
      <c r="E129" s="195">
        <v>165.5</v>
      </c>
      <c r="F129" s="196">
        <v>165.5</v>
      </c>
      <c r="G129" s="197">
        <v>165.5</v>
      </c>
      <c r="H129" s="195">
        <v>165.5</v>
      </c>
      <c r="I129" s="196">
        <v>165.5</v>
      </c>
      <c r="J129" s="197">
        <v>165.5</v>
      </c>
      <c r="K129" s="195">
        <v>165.5</v>
      </c>
      <c r="L129" s="196">
        <v>165.5</v>
      </c>
      <c r="M129" s="197">
        <v>165.5</v>
      </c>
      <c r="N129" s="195">
        <v>165.5</v>
      </c>
      <c r="O129" s="196">
        <v>165.5</v>
      </c>
      <c r="P129" s="197">
        <v>165.5</v>
      </c>
      <c r="Q129" s="195">
        <v>165.5</v>
      </c>
      <c r="R129" s="196">
        <v>165.5</v>
      </c>
      <c r="S129" s="197">
        <v>165.5</v>
      </c>
      <c r="T129" s="195">
        <v>165.5</v>
      </c>
      <c r="U129" s="196">
        <v>165.5</v>
      </c>
      <c r="V129" s="197">
        <v>165.5</v>
      </c>
      <c r="W129" s="195">
        <v>165.5</v>
      </c>
      <c r="X129" s="196">
        <v>165.5</v>
      </c>
      <c r="Y129" s="197">
        <v>165.5</v>
      </c>
      <c r="Z129" s="195">
        <v>165.5</v>
      </c>
      <c r="AA129" s="196">
        <v>165.5</v>
      </c>
      <c r="AB129" s="197">
        <v>165.5</v>
      </c>
      <c r="AC129" s="195">
        <v>165.5</v>
      </c>
      <c r="AD129" s="196">
        <v>165.5</v>
      </c>
      <c r="AE129" s="197">
        <v>165.5</v>
      </c>
      <c r="AF129" s="195">
        <v>165.5</v>
      </c>
      <c r="AG129" s="196">
        <v>165.5</v>
      </c>
      <c r="AH129" s="197">
        <v>165.5</v>
      </c>
      <c r="AI129" s="200" t="s">
        <v>2394</v>
      </c>
      <c r="AJ129" s="193" t="s">
        <v>1625</v>
      </c>
      <c r="AK129" s="201" t="s">
        <v>1609</v>
      </c>
      <c r="AL129" s="205">
        <v>73</v>
      </c>
      <c r="AM129" s="200">
        <v>165.5</v>
      </c>
      <c r="AN129" s="204">
        <v>165.5</v>
      </c>
      <c r="AO129" s="203"/>
      <c r="AP129" s="207" t="s">
        <v>76</v>
      </c>
      <c r="AQ129" s="199" t="s">
        <v>1620</v>
      </c>
      <c r="AR129" s="202"/>
      <c r="AS129" s="205">
        <v>2100</v>
      </c>
      <c r="AT129" s="206"/>
      <c r="AU129" s="201" t="s">
        <v>24</v>
      </c>
      <c r="AV129" s="193" t="s">
        <v>16</v>
      </c>
      <c r="AW129" s="205">
        <v>1422</v>
      </c>
    </row>
    <row r="130" spans="1:49">
      <c r="A130" s="192" t="s">
        <v>45</v>
      </c>
      <c r="B130" s="194" t="s">
        <v>1555</v>
      </c>
      <c r="C130" s="160" t="s">
        <v>2397</v>
      </c>
      <c r="D130" s="193" t="s">
        <v>159</v>
      </c>
      <c r="E130" s="195">
        <v>110.67</v>
      </c>
      <c r="F130" s="196">
        <v>110.67</v>
      </c>
      <c r="G130" s="197">
        <v>105.4</v>
      </c>
      <c r="H130" s="195">
        <v>110.67</v>
      </c>
      <c r="I130" s="196">
        <v>110.67</v>
      </c>
      <c r="J130" s="197">
        <v>105.4</v>
      </c>
      <c r="K130" s="195">
        <v>110.67</v>
      </c>
      <c r="L130" s="196">
        <v>110.67</v>
      </c>
      <c r="M130" s="197">
        <v>105.4</v>
      </c>
      <c r="N130" s="195">
        <v>110.67</v>
      </c>
      <c r="O130" s="196">
        <v>110.67</v>
      </c>
      <c r="P130" s="197">
        <v>105.4</v>
      </c>
      <c r="Q130" s="195">
        <v>110.67</v>
      </c>
      <c r="R130" s="196">
        <v>110.67</v>
      </c>
      <c r="S130" s="197">
        <v>105.4</v>
      </c>
      <c r="T130" s="195">
        <v>110.67</v>
      </c>
      <c r="U130" s="196">
        <v>110.67</v>
      </c>
      <c r="V130" s="197">
        <v>105.4</v>
      </c>
      <c r="W130" s="195">
        <v>110.67</v>
      </c>
      <c r="X130" s="196">
        <v>110.67</v>
      </c>
      <c r="Y130" s="197">
        <v>105.4</v>
      </c>
      <c r="Z130" s="195">
        <v>110.67</v>
      </c>
      <c r="AA130" s="196">
        <v>110.67</v>
      </c>
      <c r="AB130" s="197">
        <v>105.4</v>
      </c>
      <c r="AC130" s="195">
        <v>110.67</v>
      </c>
      <c r="AD130" s="196">
        <v>110.67</v>
      </c>
      <c r="AE130" s="197">
        <v>105.4</v>
      </c>
      <c r="AF130" s="195">
        <v>110.67</v>
      </c>
      <c r="AG130" s="196">
        <v>110.67</v>
      </c>
      <c r="AH130" s="197">
        <v>105.4</v>
      </c>
      <c r="AI130" s="200" t="s">
        <v>158</v>
      </c>
      <c r="AJ130" s="193" t="s">
        <v>1625</v>
      </c>
      <c r="AK130" s="201" t="s">
        <v>1609</v>
      </c>
      <c r="AL130" s="205">
        <v>31</v>
      </c>
      <c r="AM130" s="200">
        <v>110.67</v>
      </c>
      <c r="AN130" s="204">
        <v>110.67</v>
      </c>
      <c r="AO130" s="203"/>
      <c r="AP130" s="207" t="s">
        <v>76</v>
      </c>
      <c r="AQ130" s="199" t="s">
        <v>1620</v>
      </c>
      <c r="AR130" s="202">
        <v>45261</v>
      </c>
      <c r="AS130" s="205">
        <v>2120</v>
      </c>
      <c r="AT130" s="206"/>
      <c r="AU130" s="201" t="s">
        <v>24</v>
      </c>
      <c r="AV130" s="193" t="s">
        <v>16</v>
      </c>
      <c r="AW130" s="205">
        <v>1588</v>
      </c>
    </row>
    <row r="131" spans="1:49">
      <c r="A131" s="192" t="s">
        <v>45</v>
      </c>
      <c r="B131" s="194" t="s">
        <v>1555</v>
      </c>
      <c r="C131" s="160" t="s">
        <v>565</v>
      </c>
      <c r="D131" s="193" t="s">
        <v>2404</v>
      </c>
      <c r="E131" s="195">
        <v>110</v>
      </c>
      <c r="F131" s="196">
        <v>110</v>
      </c>
      <c r="G131" s="197">
        <v>110</v>
      </c>
      <c r="H131" s="195">
        <v>110</v>
      </c>
      <c r="I131" s="196">
        <v>110</v>
      </c>
      <c r="J131" s="197">
        <v>110</v>
      </c>
      <c r="K131" s="195">
        <v>110</v>
      </c>
      <c r="L131" s="196">
        <v>110</v>
      </c>
      <c r="M131" s="197">
        <v>110</v>
      </c>
      <c r="N131" s="195">
        <v>110</v>
      </c>
      <c r="O131" s="196">
        <v>110</v>
      </c>
      <c r="P131" s="197">
        <v>110</v>
      </c>
      <c r="Q131" s="195">
        <v>110</v>
      </c>
      <c r="R131" s="196">
        <v>110</v>
      </c>
      <c r="S131" s="197">
        <v>110</v>
      </c>
      <c r="T131" s="195">
        <v>110</v>
      </c>
      <c r="U131" s="196">
        <v>110</v>
      </c>
      <c r="V131" s="197">
        <v>110</v>
      </c>
      <c r="W131" s="195">
        <v>110</v>
      </c>
      <c r="X131" s="196">
        <v>110</v>
      </c>
      <c r="Y131" s="197">
        <v>110</v>
      </c>
      <c r="Z131" s="195">
        <v>110</v>
      </c>
      <c r="AA131" s="196">
        <v>110</v>
      </c>
      <c r="AB131" s="197">
        <v>110</v>
      </c>
      <c r="AC131" s="195">
        <v>110</v>
      </c>
      <c r="AD131" s="196">
        <v>110</v>
      </c>
      <c r="AE131" s="197">
        <v>110</v>
      </c>
      <c r="AF131" s="195">
        <v>110</v>
      </c>
      <c r="AG131" s="196">
        <v>110</v>
      </c>
      <c r="AH131" s="197">
        <v>110</v>
      </c>
      <c r="AI131" s="200" t="s">
        <v>2403</v>
      </c>
      <c r="AJ131" s="193" t="s">
        <v>1631</v>
      </c>
      <c r="AK131" s="201" t="s">
        <v>1614</v>
      </c>
      <c r="AL131" s="205">
        <v>1</v>
      </c>
      <c r="AM131" s="200">
        <v>0</v>
      </c>
      <c r="AN131" s="204">
        <v>110</v>
      </c>
      <c r="AO131" s="203"/>
      <c r="AP131" s="207" t="s">
        <v>76</v>
      </c>
      <c r="AQ131" s="199" t="s">
        <v>1620</v>
      </c>
      <c r="AR131" s="202">
        <v>44470</v>
      </c>
      <c r="AS131" s="205">
        <v>2056</v>
      </c>
      <c r="AT131" s="206"/>
      <c r="AU131" s="201" t="s">
        <v>24</v>
      </c>
      <c r="AV131" s="193" t="s">
        <v>1615</v>
      </c>
      <c r="AW131" s="205">
        <v>1585</v>
      </c>
    </row>
    <row r="132" spans="1:49">
      <c r="A132" s="192" t="s">
        <v>45</v>
      </c>
      <c r="B132" s="194" t="s">
        <v>1555</v>
      </c>
      <c r="C132" s="160" t="s">
        <v>2409</v>
      </c>
      <c r="D132" s="193" t="s">
        <v>2411</v>
      </c>
      <c r="E132" s="195">
        <v>46.5</v>
      </c>
      <c r="F132" s="196">
        <v>46.5</v>
      </c>
      <c r="G132" s="197">
        <v>46.5</v>
      </c>
      <c r="H132" s="195">
        <v>46.5</v>
      </c>
      <c r="I132" s="196">
        <v>46.5</v>
      </c>
      <c r="J132" s="197">
        <v>46.5</v>
      </c>
      <c r="K132" s="195">
        <v>46.5</v>
      </c>
      <c r="L132" s="196">
        <v>46.5</v>
      </c>
      <c r="M132" s="197">
        <v>46.5</v>
      </c>
      <c r="N132" s="195">
        <v>46.5</v>
      </c>
      <c r="O132" s="196">
        <v>46.5</v>
      </c>
      <c r="P132" s="197">
        <v>46.5</v>
      </c>
      <c r="Q132" s="195">
        <v>46.5</v>
      </c>
      <c r="R132" s="196">
        <v>46.5</v>
      </c>
      <c r="S132" s="197">
        <v>46.5</v>
      </c>
      <c r="T132" s="195">
        <v>46.5</v>
      </c>
      <c r="U132" s="196">
        <v>46.5</v>
      </c>
      <c r="V132" s="197">
        <v>46.5</v>
      </c>
      <c r="W132" s="195">
        <v>46.5</v>
      </c>
      <c r="X132" s="196">
        <v>46.5</v>
      </c>
      <c r="Y132" s="197">
        <v>46.5</v>
      </c>
      <c r="Z132" s="195">
        <v>46.5</v>
      </c>
      <c r="AA132" s="196">
        <v>46.5</v>
      </c>
      <c r="AB132" s="197">
        <v>46.5</v>
      </c>
      <c r="AC132" s="195">
        <v>46.5</v>
      </c>
      <c r="AD132" s="196">
        <v>46.5</v>
      </c>
      <c r="AE132" s="197">
        <v>46.5</v>
      </c>
      <c r="AF132" s="195">
        <v>46.5</v>
      </c>
      <c r="AG132" s="196">
        <v>46.5</v>
      </c>
      <c r="AH132" s="197">
        <v>46.5</v>
      </c>
      <c r="AI132" s="200" t="s">
        <v>2410</v>
      </c>
      <c r="AJ132" s="193" t="s">
        <v>1625</v>
      </c>
      <c r="AK132" s="201" t="s">
        <v>1609</v>
      </c>
      <c r="AL132" s="205">
        <v>31</v>
      </c>
      <c r="AM132" s="200"/>
      <c r="AN132" s="204">
        <v>46.5</v>
      </c>
      <c r="AO132" s="203"/>
      <c r="AP132" s="207" t="s">
        <v>76</v>
      </c>
      <c r="AQ132" s="199" t="s">
        <v>1620</v>
      </c>
      <c r="AR132" s="202"/>
      <c r="AS132" s="205">
        <v>2036</v>
      </c>
      <c r="AT132" s="206"/>
      <c r="AU132" s="201" t="s">
        <v>24</v>
      </c>
      <c r="AV132" s="193" t="s">
        <v>16</v>
      </c>
      <c r="AW132" s="205">
        <v>1082</v>
      </c>
    </row>
    <row r="133" spans="1:49">
      <c r="A133" s="192" t="s">
        <v>45</v>
      </c>
      <c r="B133" s="194" t="s">
        <v>1555</v>
      </c>
      <c r="C133" s="160" t="s">
        <v>2414</v>
      </c>
      <c r="D133" s="193" t="s">
        <v>2415</v>
      </c>
      <c r="E133" s="195">
        <v>68</v>
      </c>
      <c r="F133" s="196">
        <v>68</v>
      </c>
      <c r="G133" s="197">
        <v>68</v>
      </c>
      <c r="H133" s="195">
        <v>68</v>
      </c>
      <c r="I133" s="196">
        <v>68</v>
      </c>
      <c r="J133" s="197">
        <v>68</v>
      </c>
      <c r="K133" s="195">
        <v>68</v>
      </c>
      <c r="L133" s="196">
        <v>68</v>
      </c>
      <c r="M133" s="197">
        <v>68</v>
      </c>
      <c r="N133" s="195">
        <v>68</v>
      </c>
      <c r="O133" s="196">
        <v>68</v>
      </c>
      <c r="P133" s="197">
        <v>68</v>
      </c>
      <c r="Q133" s="195">
        <v>68</v>
      </c>
      <c r="R133" s="196">
        <v>68</v>
      </c>
      <c r="S133" s="197">
        <v>68</v>
      </c>
      <c r="T133" s="195">
        <v>68</v>
      </c>
      <c r="U133" s="196">
        <v>68</v>
      </c>
      <c r="V133" s="197">
        <v>68</v>
      </c>
      <c r="W133" s="195">
        <v>68</v>
      </c>
      <c r="X133" s="196">
        <v>68</v>
      </c>
      <c r="Y133" s="197">
        <v>68</v>
      </c>
      <c r="Z133" s="195">
        <v>68</v>
      </c>
      <c r="AA133" s="196">
        <v>68</v>
      </c>
      <c r="AB133" s="197">
        <v>68</v>
      </c>
      <c r="AC133" s="195">
        <v>68</v>
      </c>
      <c r="AD133" s="196">
        <v>68</v>
      </c>
      <c r="AE133" s="197">
        <v>68</v>
      </c>
      <c r="AF133" s="195">
        <v>68</v>
      </c>
      <c r="AG133" s="196">
        <v>68</v>
      </c>
      <c r="AH133" s="197">
        <v>68</v>
      </c>
      <c r="AI133" s="200" t="s">
        <v>805</v>
      </c>
      <c r="AJ133" s="193" t="s">
        <v>1700</v>
      </c>
      <c r="AK133" s="201" t="s">
        <v>1658</v>
      </c>
      <c r="AL133" s="205">
        <v>2</v>
      </c>
      <c r="AM133" s="200"/>
      <c r="AN133" s="204">
        <v>60</v>
      </c>
      <c r="AO133" s="203"/>
      <c r="AP133" s="207" t="s">
        <v>76</v>
      </c>
      <c r="AQ133" s="199" t="s">
        <v>1619</v>
      </c>
      <c r="AR133" s="202"/>
      <c r="AS133" s="205">
        <v>2070</v>
      </c>
      <c r="AT133" s="206"/>
      <c r="AU133" s="201" t="s">
        <v>24</v>
      </c>
      <c r="AV133" s="193" t="s">
        <v>17</v>
      </c>
      <c r="AW133" s="205">
        <v>1083</v>
      </c>
    </row>
    <row r="134" spans="1:49">
      <c r="A134" s="192" t="s">
        <v>91</v>
      </c>
      <c r="B134" s="194" t="s">
        <v>1555</v>
      </c>
      <c r="C134" s="160" t="s">
        <v>1390</v>
      </c>
      <c r="D134" s="193" t="s">
        <v>2420</v>
      </c>
      <c r="E134" s="195">
        <v>131.98500000000001</v>
      </c>
      <c r="F134" s="196">
        <v>131.98500000000001</v>
      </c>
      <c r="G134" s="197">
        <v>88.2</v>
      </c>
      <c r="H134" s="195">
        <v>131.98500000000001</v>
      </c>
      <c r="I134" s="196">
        <v>131.98500000000001</v>
      </c>
      <c r="J134" s="197">
        <v>88.2</v>
      </c>
      <c r="K134" s="195">
        <v>131.98500000000001</v>
      </c>
      <c r="L134" s="196">
        <v>131.98500000000001</v>
      </c>
      <c r="M134" s="197">
        <v>88.2</v>
      </c>
      <c r="N134" s="195">
        <v>131.98500000000001</v>
      </c>
      <c r="O134" s="196">
        <v>131.98500000000001</v>
      </c>
      <c r="P134" s="197">
        <v>88.2</v>
      </c>
      <c r="Q134" s="195">
        <v>131.98500000000001</v>
      </c>
      <c r="R134" s="196">
        <v>131.98500000000001</v>
      </c>
      <c r="S134" s="197">
        <v>88.2</v>
      </c>
      <c r="T134" s="195">
        <v>131.98500000000001</v>
      </c>
      <c r="U134" s="196">
        <v>131.98500000000001</v>
      </c>
      <c r="V134" s="197">
        <v>88.2</v>
      </c>
      <c r="W134" s="195">
        <v>131.98500000000001</v>
      </c>
      <c r="X134" s="196">
        <v>131.98500000000001</v>
      </c>
      <c r="Y134" s="197">
        <v>88.2</v>
      </c>
      <c r="Z134" s="195">
        <v>131.98500000000001</v>
      </c>
      <c r="AA134" s="196">
        <v>131.98500000000001</v>
      </c>
      <c r="AB134" s="197">
        <v>88.2</v>
      </c>
      <c r="AC134" s="195">
        <v>131.98500000000001</v>
      </c>
      <c r="AD134" s="196">
        <v>131.98500000000001</v>
      </c>
      <c r="AE134" s="197">
        <v>88.2</v>
      </c>
      <c r="AF134" s="195">
        <v>131.98500000000001</v>
      </c>
      <c r="AG134" s="196">
        <v>131.98500000000001</v>
      </c>
      <c r="AH134" s="197">
        <v>88.2</v>
      </c>
      <c r="AI134" s="200" t="s">
        <v>2419</v>
      </c>
      <c r="AJ134" s="193" t="s">
        <v>1625</v>
      </c>
      <c r="AK134" s="201" t="s">
        <v>1609</v>
      </c>
      <c r="AL134" s="205">
        <v>63</v>
      </c>
      <c r="AM134" s="200">
        <v>132.30000000000001</v>
      </c>
      <c r="AN134" s="204">
        <v>132.30000000000001</v>
      </c>
      <c r="AO134" s="203"/>
      <c r="AP134" s="207" t="s">
        <v>76</v>
      </c>
      <c r="AQ134" s="199" t="s">
        <v>1620</v>
      </c>
      <c r="AR134" s="202"/>
      <c r="AS134" s="205">
        <v>2036</v>
      </c>
      <c r="AT134" s="206"/>
      <c r="AU134" s="201" t="s">
        <v>24</v>
      </c>
      <c r="AV134" s="193" t="s">
        <v>16</v>
      </c>
      <c r="AW134" s="205">
        <v>1311</v>
      </c>
    </row>
    <row r="135" spans="1:49">
      <c r="A135" s="192" t="s">
        <v>91</v>
      </c>
      <c r="B135" s="194" t="s">
        <v>1555</v>
      </c>
      <c r="C135" s="160" t="s">
        <v>2421</v>
      </c>
      <c r="D135" s="193" t="s">
        <v>2423</v>
      </c>
      <c r="E135" s="195">
        <v>52.5</v>
      </c>
      <c r="F135" s="196">
        <v>52.5</v>
      </c>
      <c r="G135" s="197">
        <v>35</v>
      </c>
      <c r="H135" s="195">
        <v>52.5</v>
      </c>
      <c r="I135" s="196">
        <v>52.5</v>
      </c>
      <c r="J135" s="197">
        <v>35</v>
      </c>
      <c r="K135" s="195">
        <v>52.5</v>
      </c>
      <c r="L135" s="196">
        <v>52.5</v>
      </c>
      <c r="M135" s="197">
        <v>35</v>
      </c>
      <c r="N135" s="195">
        <v>52.5</v>
      </c>
      <c r="O135" s="196">
        <v>52.5</v>
      </c>
      <c r="P135" s="197">
        <v>35</v>
      </c>
      <c r="Q135" s="195">
        <v>52.5</v>
      </c>
      <c r="R135" s="196">
        <v>52.5</v>
      </c>
      <c r="S135" s="197">
        <v>35</v>
      </c>
      <c r="T135" s="195">
        <v>52.5</v>
      </c>
      <c r="U135" s="196">
        <v>52.5</v>
      </c>
      <c r="V135" s="197">
        <v>35</v>
      </c>
      <c r="W135" s="195">
        <v>52.5</v>
      </c>
      <c r="X135" s="196">
        <v>52.5</v>
      </c>
      <c r="Y135" s="197">
        <v>35</v>
      </c>
      <c r="Z135" s="195">
        <v>52.5</v>
      </c>
      <c r="AA135" s="196">
        <v>52.5</v>
      </c>
      <c r="AB135" s="197">
        <v>35</v>
      </c>
      <c r="AC135" s="195">
        <v>52.5</v>
      </c>
      <c r="AD135" s="196">
        <v>52.5</v>
      </c>
      <c r="AE135" s="197">
        <v>35</v>
      </c>
      <c r="AF135" s="195">
        <v>52.5</v>
      </c>
      <c r="AG135" s="196">
        <v>52.5</v>
      </c>
      <c r="AH135" s="197">
        <v>35</v>
      </c>
      <c r="AI135" s="200" t="s">
        <v>2422</v>
      </c>
      <c r="AJ135" s="193" t="s">
        <v>1625</v>
      </c>
      <c r="AK135" s="201" t="s">
        <v>1609</v>
      </c>
      <c r="AL135" s="205">
        <v>25</v>
      </c>
      <c r="AM135" s="200"/>
      <c r="AN135" s="204">
        <v>52.5</v>
      </c>
      <c r="AO135" s="203"/>
      <c r="AP135" s="207" t="s">
        <v>76</v>
      </c>
      <c r="AQ135" s="199" t="s">
        <v>1620</v>
      </c>
      <c r="AR135" s="202"/>
      <c r="AS135" s="205">
        <v>2036</v>
      </c>
      <c r="AT135" s="206"/>
      <c r="AU135" s="201" t="s">
        <v>24</v>
      </c>
      <c r="AV135" s="193" t="s">
        <v>16</v>
      </c>
      <c r="AW135" s="205">
        <v>1085</v>
      </c>
    </row>
    <row r="136" spans="1:49">
      <c r="A136" s="192" t="s">
        <v>91</v>
      </c>
      <c r="B136" s="194" t="s">
        <v>1555</v>
      </c>
      <c r="C136" s="160" t="s">
        <v>689</v>
      </c>
      <c r="D136" s="193" t="s">
        <v>691</v>
      </c>
      <c r="E136" s="195">
        <v>177</v>
      </c>
      <c r="F136" s="196">
        <v>198.5</v>
      </c>
      <c r="G136" s="197">
        <v>188</v>
      </c>
      <c r="H136" s="195">
        <v>226</v>
      </c>
      <c r="I136" s="196">
        <v>213.5</v>
      </c>
      <c r="J136" s="197">
        <v>203</v>
      </c>
      <c r="K136" s="195">
        <v>226</v>
      </c>
      <c r="L136" s="196">
        <v>235</v>
      </c>
      <c r="M136" s="197">
        <v>223</v>
      </c>
      <c r="N136" s="195">
        <v>249</v>
      </c>
      <c r="O136" s="196">
        <v>235</v>
      </c>
      <c r="P136" s="197">
        <v>223</v>
      </c>
      <c r="Q136" s="195">
        <v>249</v>
      </c>
      <c r="R136" s="196">
        <v>235</v>
      </c>
      <c r="S136" s="197">
        <v>223</v>
      </c>
      <c r="T136" s="195">
        <v>249</v>
      </c>
      <c r="U136" s="196">
        <v>235</v>
      </c>
      <c r="V136" s="197">
        <v>223</v>
      </c>
      <c r="W136" s="195">
        <v>249</v>
      </c>
      <c r="X136" s="196">
        <v>235</v>
      </c>
      <c r="Y136" s="197">
        <v>223</v>
      </c>
      <c r="Z136" s="195">
        <v>249</v>
      </c>
      <c r="AA136" s="196">
        <v>235</v>
      </c>
      <c r="AB136" s="197">
        <v>223</v>
      </c>
      <c r="AC136" s="195">
        <v>249</v>
      </c>
      <c r="AD136" s="196">
        <v>235</v>
      </c>
      <c r="AE136" s="197">
        <v>223</v>
      </c>
      <c r="AF136" s="195">
        <v>249</v>
      </c>
      <c r="AG136" s="196">
        <v>235</v>
      </c>
      <c r="AH136" s="197">
        <v>223</v>
      </c>
      <c r="AI136" s="200" t="s">
        <v>690</v>
      </c>
      <c r="AJ136" s="193" t="s">
        <v>1673</v>
      </c>
      <c r="AK136" s="201" t="s">
        <v>1592</v>
      </c>
      <c r="AL136" s="205">
        <v>13</v>
      </c>
      <c r="AM136" s="200"/>
      <c r="AN136" s="204">
        <v>276.86</v>
      </c>
      <c r="AO136" s="203"/>
      <c r="AP136" s="207" t="s">
        <v>76</v>
      </c>
      <c r="AQ136" s="199" t="s">
        <v>1619</v>
      </c>
      <c r="AR136" s="202"/>
      <c r="AS136" s="205">
        <v>2050</v>
      </c>
      <c r="AT136" s="206"/>
      <c r="AU136" s="201" t="s">
        <v>24</v>
      </c>
      <c r="AV136" s="193" t="s">
        <v>13</v>
      </c>
      <c r="AW136" s="205">
        <v>1086</v>
      </c>
    </row>
    <row r="137" spans="1:49">
      <c r="A137" s="192" t="s">
        <v>91</v>
      </c>
      <c r="B137" s="194" t="s">
        <v>1555</v>
      </c>
      <c r="C137" s="160" t="s">
        <v>1392</v>
      </c>
      <c r="D137" s="193" t="s">
        <v>2425</v>
      </c>
      <c r="E137" s="195">
        <v>94.5</v>
      </c>
      <c r="F137" s="196">
        <v>94.5</v>
      </c>
      <c r="G137" s="197">
        <v>63</v>
      </c>
      <c r="H137" s="195">
        <v>94.5</v>
      </c>
      <c r="I137" s="196">
        <v>94.5</v>
      </c>
      <c r="J137" s="197">
        <v>63</v>
      </c>
      <c r="K137" s="195">
        <v>94.5</v>
      </c>
      <c r="L137" s="196">
        <v>94.5</v>
      </c>
      <c r="M137" s="197">
        <v>63</v>
      </c>
      <c r="N137" s="195">
        <v>94.5</v>
      </c>
      <c r="O137" s="196">
        <v>94.5</v>
      </c>
      <c r="P137" s="197">
        <v>63</v>
      </c>
      <c r="Q137" s="195">
        <v>94.5</v>
      </c>
      <c r="R137" s="196">
        <v>94.5</v>
      </c>
      <c r="S137" s="197">
        <v>63</v>
      </c>
      <c r="T137" s="195">
        <v>94.5</v>
      </c>
      <c r="U137" s="196">
        <v>94.5</v>
      </c>
      <c r="V137" s="197">
        <v>63</v>
      </c>
      <c r="W137" s="195">
        <v>94.5</v>
      </c>
      <c r="X137" s="196">
        <v>94.5</v>
      </c>
      <c r="Y137" s="197">
        <v>63</v>
      </c>
      <c r="Z137" s="195">
        <v>94.5</v>
      </c>
      <c r="AA137" s="196">
        <v>94.5</v>
      </c>
      <c r="AB137" s="197">
        <v>63</v>
      </c>
      <c r="AC137" s="195">
        <v>94.5</v>
      </c>
      <c r="AD137" s="196">
        <v>94.5</v>
      </c>
      <c r="AE137" s="197">
        <v>63</v>
      </c>
      <c r="AF137" s="195">
        <v>94.5</v>
      </c>
      <c r="AG137" s="196">
        <v>94.5</v>
      </c>
      <c r="AH137" s="197">
        <v>63</v>
      </c>
      <c r="AI137" s="200" t="s">
        <v>2424</v>
      </c>
      <c r="AJ137" s="193" t="s">
        <v>1625</v>
      </c>
      <c r="AK137" s="201" t="s">
        <v>1609</v>
      </c>
      <c r="AL137" s="205">
        <v>45</v>
      </c>
      <c r="AM137" s="200">
        <v>94.5</v>
      </c>
      <c r="AN137" s="204">
        <v>94.5</v>
      </c>
      <c r="AO137" s="203"/>
      <c r="AP137" s="207" t="s">
        <v>76</v>
      </c>
      <c r="AQ137" s="199" t="s">
        <v>1620</v>
      </c>
      <c r="AR137" s="202"/>
      <c r="AS137" s="205">
        <v>2043</v>
      </c>
      <c r="AT137" s="206"/>
      <c r="AU137" s="201" t="s">
        <v>24</v>
      </c>
      <c r="AV137" s="193" t="s">
        <v>16</v>
      </c>
      <c r="AW137" s="205">
        <v>1087</v>
      </c>
    </row>
    <row r="138" spans="1:49">
      <c r="A138" s="192" t="s">
        <v>91</v>
      </c>
      <c r="B138" s="194" t="s">
        <v>1555</v>
      </c>
      <c r="C138" s="160" t="s">
        <v>2426</v>
      </c>
      <c r="D138" s="193" t="s">
        <v>2428</v>
      </c>
      <c r="E138" s="195">
        <v>71.400000000000006</v>
      </c>
      <c r="F138" s="196">
        <v>71.400000000000006</v>
      </c>
      <c r="G138" s="197">
        <v>47.6</v>
      </c>
      <c r="H138" s="195">
        <v>71.400000000000006</v>
      </c>
      <c r="I138" s="196">
        <v>71.400000000000006</v>
      </c>
      <c r="J138" s="197">
        <v>47.6</v>
      </c>
      <c r="K138" s="195">
        <v>71.400000000000006</v>
      </c>
      <c r="L138" s="196">
        <v>71.400000000000006</v>
      </c>
      <c r="M138" s="197">
        <v>47.6</v>
      </c>
      <c r="N138" s="195">
        <v>71.400000000000006</v>
      </c>
      <c r="O138" s="196">
        <v>71.400000000000006</v>
      </c>
      <c r="P138" s="197">
        <v>47.6</v>
      </c>
      <c r="Q138" s="195">
        <v>71.400000000000006</v>
      </c>
      <c r="R138" s="196">
        <v>71.400000000000006</v>
      </c>
      <c r="S138" s="197">
        <v>47.6</v>
      </c>
      <c r="T138" s="195">
        <v>71.400000000000006</v>
      </c>
      <c r="U138" s="196">
        <v>71.400000000000006</v>
      </c>
      <c r="V138" s="197">
        <v>47.6</v>
      </c>
      <c r="W138" s="195">
        <v>71.400000000000006</v>
      </c>
      <c r="X138" s="196">
        <v>71.400000000000006</v>
      </c>
      <c r="Y138" s="197">
        <v>47.6</v>
      </c>
      <c r="Z138" s="195">
        <v>71.400000000000006</v>
      </c>
      <c r="AA138" s="196">
        <v>71.400000000000006</v>
      </c>
      <c r="AB138" s="197">
        <v>47.6</v>
      </c>
      <c r="AC138" s="195">
        <v>71.400000000000006</v>
      </c>
      <c r="AD138" s="196">
        <v>71.400000000000006</v>
      </c>
      <c r="AE138" s="197">
        <v>47.6</v>
      </c>
      <c r="AF138" s="195">
        <v>71.400000000000006</v>
      </c>
      <c r="AG138" s="196">
        <v>71.400000000000006</v>
      </c>
      <c r="AH138" s="197">
        <v>47.6</v>
      </c>
      <c r="AI138" s="200" t="s">
        <v>2427</v>
      </c>
      <c r="AJ138" s="193" t="s">
        <v>1625</v>
      </c>
      <c r="AK138" s="201" t="s">
        <v>1609</v>
      </c>
      <c r="AL138" s="205">
        <v>34</v>
      </c>
      <c r="AM138" s="200">
        <v>71.400000000000006</v>
      </c>
      <c r="AN138" s="204">
        <v>71.400000000000006</v>
      </c>
      <c r="AO138" s="203"/>
      <c r="AP138" s="207" t="s">
        <v>76</v>
      </c>
      <c r="AQ138" s="199" t="s">
        <v>1620</v>
      </c>
      <c r="AR138" s="202"/>
      <c r="AS138" s="205">
        <v>2035</v>
      </c>
      <c r="AT138" s="206"/>
      <c r="AU138" s="201" t="s">
        <v>24</v>
      </c>
      <c r="AV138" s="193" t="s">
        <v>16</v>
      </c>
      <c r="AW138" s="205">
        <v>1088</v>
      </c>
    </row>
    <row r="139" spans="1:49">
      <c r="A139" s="192" t="s">
        <v>77</v>
      </c>
      <c r="B139" s="194" t="s">
        <v>1555</v>
      </c>
      <c r="C139" s="160" t="s">
        <v>972</v>
      </c>
      <c r="D139" s="193" t="s">
        <v>2433</v>
      </c>
      <c r="E139" s="195">
        <v>56.005000000000003</v>
      </c>
      <c r="F139" s="196">
        <v>54.901000000000003</v>
      </c>
      <c r="G139" s="197">
        <v>54.119</v>
      </c>
      <c r="H139" s="195">
        <v>56.005000000000003</v>
      </c>
      <c r="I139" s="196">
        <v>54.901000000000003</v>
      </c>
      <c r="J139" s="197">
        <v>54.119</v>
      </c>
      <c r="K139" s="195">
        <v>56.005000000000003</v>
      </c>
      <c r="L139" s="196">
        <v>54.901000000000003</v>
      </c>
      <c r="M139" s="197">
        <v>54.119</v>
      </c>
      <c r="N139" s="195">
        <v>56.005000000000003</v>
      </c>
      <c r="O139" s="196">
        <v>54.901000000000003</v>
      </c>
      <c r="P139" s="197">
        <v>54.119</v>
      </c>
      <c r="Q139" s="195">
        <v>56.005000000000003</v>
      </c>
      <c r="R139" s="196">
        <v>54.901000000000003</v>
      </c>
      <c r="S139" s="197">
        <v>54.119</v>
      </c>
      <c r="T139" s="195">
        <v>56.005000000000003</v>
      </c>
      <c r="U139" s="196">
        <v>54.901000000000003</v>
      </c>
      <c r="V139" s="197">
        <v>54.119</v>
      </c>
      <c r="W139" s="195">
        <v>56.005000000000003</v>
      </c>
      <c r="X139" s="196">
        <v>54.901000000000003</v>
      </c>
      <c r="Y139" s="197">
        <v>54.119</v>
      </c>
      <c r="Z139" s="195">
        <v>56.005000000000003</v>
      </c>
      <c r="AA139" s="196">
        <v>54.901000000000003</v>
      </c>
      <c r="AB139" s="197">
        <v>54.119</v>
      </c>
      <c r="AC139" s="195">
        <v>56.005000000000003</v>
      </c>
      <c r="AD139" s="196">
        <v>54.901000000000003</v>
      </c>
      <c r="AE139" s="197">
        <v>54.119</v>
      </c>
      <c r="AF139" s="195">
        <v>56.005000000000003</v>
      </c>
      <c r="AG139" s="196">
        <v>54.901000000000003</v>
      </c>
      <c r="AH139" s="197">
        <v>54.119</v>
      </c>
      <c r="AI139" s="200" t="s">
        <v>2432</v>
      </c>
      <c r="AJ139" s="193" t="s">
        <v>1631</v>
      </c>
      <c r="AK139" s="201" t="s">
        <v>1614</v>
      </c>
      <c r="AL139" s="205">
        <v>23</v>
      </c>
      <c r="AM139" s="200"/>
      <c r="AN139" s="204">
        <v>57.5</v>
      </c>
      <c r="AO139" s="203"/>
      <c r="AP139" s="207" t="s">
        <v>76</v>
      </c>
      <c r="AQ139" s="199" t="s">
        <v>1620</v>
      </c>
      <c r="AR139" s="202"/>
      <c r="AS139" s="205">
        <v>2048</v>
      </c>
      <c r="AT139" s="206"/>
      <c r="AU139" s="201" t="s">
        <v>24</v>
      </c>
      <c r="AV139" s="193" t="s">
        <v>1615</v>
      </c>
      <c r="AW139" s="205">
        <v>1408</v>
      </c>
    </row>
    <row r="140" spans="1:49">
      <c r="A140" s="192" t="s">
        <v>91</v>
      </c>
      <c r="B140" s="194" t="s">
        <v>1555</v>
      </c>
      <c r="C140" s="160" t="s">
        <v>353</v>
      </c>
      <c r="D140" s="193" t="s">
        <v>460</v>
      </c>
      <c r="E140" s="195">
        <v>4</v>
      </c>
      <c r="F140" s="196">
        <v>4</v>
      </c>
      <c r="G140" s="197">
        <v>4</v>
      </c>
      <c r="H140" s="195">
        <v>4</v>
      </c>
      <c r="I140" s="196">
        <v>4</v>
      </c>
      <c r="J140" s="197">
        <v>4</v>
      </c>
      <c r="K140" s="195">
        <v>4</v>
      </c>
      <c r="L140" s="196">
        <v>4</v>
      </c>
      <c r="M140" s="197">
        <v>4</v>
      </c>
      <c r="N140" s="195">
        <v>4</v>
      </c>
      <c r="O140" s="196">
        <v>4</v>
      </c>
      <c r="P140" s="197">
        <v>4</v>
      </c>
      <c r="Q140" s="195">
        <v>4</v>
      </c>
      <c r="R140" s="196">
        <v>4</v>
      </c>
      <c r="S140" s="197">
        <v>4</v>
      </c>
      <c r="T140" s="195">
        <v>4</v>
      </c>
      <c r="U140" s="196">
        <v>4</v>
      </c>
      <c r="V140" s="197">
        <v>4</v>
      </c>
      <c r="W140" s="195">
        <v>4</v>
      </c>
      <c r="X140" s="196">
        <v>4</v>
      </c>
      <c r="Y140" s="197">
        <v>4</v>
      </c>
      <c r="Z140" s="195">
        <v>4</v>
      </c>
      <c r="AA140" s="196">
        <v>4</v>
      </c>
      <c r="AB140" s="197">
        <v>4</v>
      </c>
      <c r="AC140" s="195">
        <v>4</v>
      </c>
      <c r="AD140" s="196">
        <v>4</v>
      </c>
      <c r="AE140" s="197">
        <v>4</v>
      </c>
      <c r="AF140" s="195">
        <v>4</v>
      </c>
      <c r="AG140" s="196">
        <v>4</v>
      </c>
      <c r="AH140" s="197">
        <v>4</v>
      </c>
      <c r="AI140" s="200" t="s">
        <v>347</v>
      </c>
      <c r="AJ140" s="193" t="s">
        <v>1602</v>
      </c>
      <c r="AK140" s="201" t="s">
        <v>1603</v>
      </c>
      <c r="AL140" s="205">
        <v>1</v>
      </c>
      <c r="AM140" s="200"/>
      <c r="AN140" s="204">
        <v>4.41</v>
      </c>
      <c r="AO140" s="203">
        <v>8.82</v>
      </c>
      <c r="AP140" s="207" t="s">
        <v>76</v>
      </c>
      <c r="AQ140" s="199" t="s">
        <v>1619</v>
      </c>
      <c r="AR140" s="202">
        <v>44896</v>
      </c>
      <c r="AS140" s="205">
        <v>2041</v>
      </c>
      <c r="AT140" s="206"/>
      <c r="AU140" s="201" t="s">
        <v>24</v>
      </c>
      <c r="AV140" s="193" t="s">
        <v>19</v>
      </c>
      <c r="AW140" s="205">
        <v>1846</v>
      </c>
    </row>
    <row r="141" spans="1:49">
      <c r="A141" s="192" t="s">
        <v>91</v>
      </c>
      <c r="B141" s="194" t="s">
        <v>1555</v>
      </c>
      <c r="C141" s="160" t="s">
        <v>353</v>
      </c>
      <c r="D141" s="193" t="s">
        <v>461</v>
      </c>
      <c r="E141" s="195">
        <v>8.3279999999999994</v>
      </c>
      <c r="F141" s="196">
        <v>7.992</v>
      </c>
      <c r="G141" s="197">
        <v>7.827</v>
      </c>
      <c r="H141" s="195">
        <v>8.3279999999999994</v>
      </c>
      <c r="I141" s="196">
        <v>7.992</v>
      </c>
      <c r="J141" s="197">
        <v>7.827</v>
      </c>
      <c r="K141" s="195">
        <v>8.3279999999999994</v>
      </c>
      <c r="L141" s="196">
        <v>7.992</v>
      </c>
      <c r="M141" s="197">
        <v>7.827</v>
      </c>
      <c r="N141" s="195">
        <v>8.3279999999999994</v>
      </c>
      <c r="O141" s="196">
        <v>7.992</v>
      </c>
      <c r="P141" s="197">
        <v>7.827</v>
      </c>
      <c r="Q141" s="195">
        <v>8.3279999999999994</v>
      </c>
      <c r="R141" s="196">
        <v>7.992</v>
      </c>
      <c r="S141" s="197">
        <v>7.827</v>
      </c>
      <c r="T141" s="195">
        <v>8.3279999999999994</v>
      </c>
      <c r="U141" s="196">
        <v>7.992</v>
      </c>
      <c r="V141" s="197">
        <v>7.827</v>
      </c>
      <c r="W141" s="195">
        <v>8.3279999999999994</v>
      </c>
      <c r="X141" s="196">
        <v>7.992</v>
      </c>
      <c r="Y141" s="197">
        <v>7.827</v>
      </c>
      <c r="Z141" s="195">
        <v>8.3279999999999994</v>
      </c>
      <c r="AA141" s="196">
        <v>7.992</v>
      </c>
      <c r="AB141" s="197">
        <v>7.827</v>
      </c>
      <c r="AC141" s="195">
        <v>8.3279999999999994</v>
      </c>
      <c r="AD141" s="196">
        <v>7.992</v>
      </c>
      <c r="AE141" s="197">
        <v>7.827</v>
      </c>
      <c r="AF141" s="195">
        <v>8.3279999999999994</v>
      </c>
      <c r="AG141" s="196">
        <v>7.992</v>
      </c>
      <c r="AH141" s="197">
        <v>7.827</v>
      </c>
      <c r="AI141" s="200" t="s">
        <v>347</v>
      </c>
      <c r="AJ141" s="193" t="s">
        <v>1631</v>
      </c>
      <c r="AK141" s="201" t="s">
        <v>1614</v>
      </c>
      <c r="AL141" s="205">
        <v>3</v>
      </c>
      <c r="AM141" s="200"/>
      <c r="AN141" s="204">
        <v>8.34</v>
      </c>
      <c r="AO141" s="203"/>
      <c r="AP141" s="207" t="s">
        <v>76</v>
      </c>
      <c r="AQ141" s="199" t="s">
        <v>1620</v>
      </c>
      <c r="AR141" s="202">
        <v>44805</v>
      </c>
      <c r="AS141" s="205">
        <v>2041</v>
      </c>
      <c r="AT141" s="206"/>
      <c r="AU141" s="201" t="s">
        <v>24</v>
      </c>
      <c r="AV141" s="193" t="s">
        <v>1615</v>
      </c>
      <c r="AW141" s="205">
        <v>1846</v>
      </c>
    </row>
    <row r="142" spans="1:49">
      <c r="A142" s="192" t="s">
        <v>77</v>
      </c>
      <c r="B142" s="194" t="s">
        <v>1555</v>
      </c>
      <c r="C142" s="160" t="s">
        <v>728</v>
      </c>
      <c r="D142" s="193" t="s">
        <v>730</v>
      </c>
      <c r="E142" s="195">
        <v>100.035</v>
      </c>
      <c r="F142" s="196">
        <v>100.035</v>
      </c>
      <c r="G142" s="197">
        <v>100.035</v>
      </c>
      <c r="H142" s="195">
        <v>100.035</v>
      </c>
      <c r="I142" s="196">
        <v>100.035</v>
      </c>
      <c r="J142" s="197">
        <v>100.035</v>
      </c>
      <c r="K142" s="195">
        <v>100.035</v>
      </c>
      <c r="L142" s="196">
        <v>100.035</v>
      </c>
      <c r="M142" s="197">
        <v>100.035</v>
      </c>
      <c r="N142" s="195">
        <v>100.035</v>
      </c>
      <c r="O142" s="196">
        <v>100.035</v>
      </c>
      <c r="P142" s="197">
        <v>100.035</v>
      </c>
      <c r="Q142" s="195">
        <v>100.035</v>
      </c>
      <c r="R142" s="196">
        <v>100.035</v>
      </c>
      <c r="S142" s="197">
        <v>100.035</v>
      </c>
      <c r="T142" s="195">
        <v>100.035</v>
      </c>
      <c r="U142" s="196">
        <v>100.035</v>
      </c>
      <c r="V142" s="197">
        <v>100.035</v>
      </c>
      <c r="W142" s="195">
        <v>100.035</v>
      </c>
      <c r="X142" s="196">
        <v>100.035</v>
      </c>
      <c r="Y142" s="197">
        <v>100.035</v>
      </c>
      <c r="Z142" s="195">
        <v>100.035</v>
      </c>
      <c r="AA142" s="196">
        <v>100.035</v>
      </c>
      <c r="AB142" s="197">
        <v>100.035</v>
      </c>
      <c r="AC142" s="195">
        <v>100.035</v>
      </c>
      <c r="AD142" s="196">
        <v>100.035</v>
      </c>
      <c r="AE142" s="197">
        <v>100.035</v>
      </c>
      <c r="AF142" s="195">
        <v>100.035</v>
      </c>
      <c r="AG142" s="196">
        <v>100.035</v>
      </c>
      <c r="AH142" s="197">
        <v>100.035</v>
      </c>
      <c r="AI142" s="200" t="s">
        <v>729</v>
      </c>
      <c r="AJ142" s="193" t="s">
        <v>1631</v>
      </c>
      <c r="AK142" s="201" t="s">
        <v>1614</v>
      </c>
      <c r="AL142" s="205">
        <v>81</v>
      </c>
      <c r="AM142" s="200">
        <v>100.035</v>
      </c>
      <c r="AN142" s="204">
        <v>132.59700000000001</v>
      </c>
      <c r="AO142" s="203"/>
      <c r="AP142" s="207" t="s">
        <v>76</v>
      </c>
      <c r="AQ142" s="199" t="s">
        <v>1620</v>
      </c>
      <c r="AR142" s="202">
        <v>44075</v>
      </c>
      <c r="AS142" s="205">
        <v>2050</v>
      </c>
      <c r="AT142" s="206"/>
      <c r="AU142" s="201" t="s">
        <v>24</v>
      </c>
      <c r="AV142" s="193" t="s">
        <v>1615</v>
      </c>
      <c r="AW142" s="205">
        <v>1564</v>
      </c>
    </row>
    <row r="143" spans="1:49">
      <c r="A143" s="192" t="s">
        <v>110</v>
      </c>
      <c r="B143" s="194" t="s">
        <v>1599</v>
      </c>
      <c r="C143" s="160" t="s">
        <v>117</v>
      </c>
      <c r="D143" s="193"/>
      <c r="E143" s="195">
        <v>96.6</v>
      </c>
      <c r="F143" s="196">
        <v>96.6</v>
      </c>
      <c r="G143" s="197">
        <v>96.6</v>
      </c>
      <c r="H143" s="195">
        <v>96.6</v>
      </c>
      <c r="I143" s="196">
        <v>96.6</v>
      </c>
      <c r="J143" s="197">
        <v>96.6</v>
      </c>
      <c r="K143" s="195">
        <v>96.6</v>
      </c>
      <c r="L143" s="196">
        <v>96.6</v>
      </c>
      <c r="M143" s="197">
        <v>96.6</v>
      </c>
      <c r="N143" s="195">
        <v>96.6</v>
      </c>
      <c r="O143" s="196">
        <v>96.6</v>
      </c>
      <c r="P143" s="197">
        <v>96.6</v>
      </c>
      <c r="Q143" s="195">
        <v>96.6</v>
      </c>
      <c r="R143" s="196">
        <v>96.6</v>
      </c>
      <c r="S143" s="197">
        <v>96.6</v>
      </c>
      <c r="T143" s="195">
        <v>96.6</v>
      </c>
      <c r="U143" s="196">
        <v>96.6</v>
      </c>
      <c r="V143" s="197">
        <v>96.6</v>
      </c>
      <c r="W143" s="195">
        <v>96.6</v>
      </c>
      <c r="X143" s="196">
        <v>96.6</v>
      </c>
      <c r="Y143" s="197">
        <v>96.6</v>
      </c>
      <c r="Z143" s="195">
        <v>96.6</v>
      </c>
      <c r="AA143" s="196">
        <v>96.6</v>
      </c>
      <c r="AB143" s="197">
        <v>96.6</v>
      </c>
      <c r="AC143" s="195">
        <v>96.6</v>
      </c>
      <c r="AD143" s="196">
        <v>96.6</v>
      </c>
      <c r="AE143" s="197">
        <v>96.6</v>
      </c>
      <c r="AF143" s="195">
        <v>96.6</v>
      </c>
      <c r="AG143" s="196">
        <v>96.6</v>
      </c>
      <c r="AH143" s="197">
        <v>96.6</v>
      </c>
      <c r="AI143" s="200" t="s">
        <v>118</v>
      </c>
      <c r="AJ143" s="193" t="s">
        <v>1625</v>
      </c>
      <c r="AK143" s="201" t="s">
        <v>16</v>
      </c>
      <c r="AL143" s="205">
        <v>23</v>
      </c>
      <c r="AM143" s="200"/>
      <c r="AN143" s="204">
        <v>96.6</v>
      </c>
      <c r="AO143" s="203"/>
      <c r="AP143" s="207" t="s">
        <v>26</v>
      </c>
      <c r="AQ143" s="199" t="s">
        <v>1620</v>
      </c>
      <c r="AR143" s="202">
        <v>45383</v>
      </c>
      <c r="AS143" s="205"/>
      <c r="AT143" s="206"/>
      <c r="AU143" s="201" t="s">
        <v>26</v>
      </c>
      <c r="AV143" s="193" t="s">
        <v>16</v>
      </c>
      <c r="AW143" s="205">
        <v>1089</v>
      </c>
    </row>
    <row r="144" spans="1:49">
      <c r="A144" s="192" t="s">
        <v>77</v>
      </c>
      <c r="B144" s="194" t="s">
        <v>1555</v>
      </c>
      <c r="C144" s="160" t="s">
        <v>839</v>
      </c>
      <c r="D144" s="193" t="s">
        <v>841</v>
      </c>
      <c r="E144" s="195">
        <v>50.000999999999998</v>
      </c>
      <c r="F144" s="196">
        <v>48.006</v>
      </c>
      <c r="G144" s="197">
        <v>47.838000000000001</v>
      </c>
      <c r="H144" s="195">
        <v>50.000999999999998</v>
      </c>
      <c r="I144" s="196">
        <v>48.006</v>
      </c>
      <c r="J144" s="197">
        <v>47.838000000000001</v>
      </c>
      <c r="K144" s="195">
        <v>50.000999999999998</v>
      </c>
      <c r="L144" s="196">
        <v>48.006</v>
      </c>
      <c r="M144" s="197">
        <v>47.838000000000001</v>
      </c>
      <c r="N144" s="195">
        <v>50.000999999999998</v>
      </c>
      <c r="O144" s="196">
        <v>48.006</v>
      </c>
      <c r="P144" s="197">
        <v>47.838000000000001</v>
      </c>
      <c r="Q144" s="195">
        <v>50.000999999999998</v>
      </c>
      <c r="R144" s="196">
        <v>48.006</v>
      </c>
      <c r="S144" s="197">
        <v>47.838000000000001</v>
      </c>
      <c r="T144" s="195">
        <v>50.000999999999998</v>
      </c>
      <c r="U144" s="196">
        <v>48.006</v>
      </c>
      <c r="V144" s="197">
        <v>47.838000000000001</v>
      </c>
      <c r="W144" s="195">
        <v>50.000999999999998</v>
      </c>
      <c r="X144" s="196">
        <v>48.006</v>
      </c>
      <c r="Y144" s="197">
        <v>47.838000000000001</v>
      </c>
      <c r="Z144" s="195">
        <v>50.000999999999998</v>
      </c>
      <c r="AA144" s="196">
        <v>48.006</v>
      </c>
      <c r="AB144" s="197">
        <v>47.838000000000001</v>
      </c>
      <c r="AC144" s="195">
        <v>50.000999999999998</v>
      </c>
      <c r="AD144" s="196">
        <v>48.006</v>
      </c>
      <c r="AE144" s="197">
        <v>47.838000000000001</v>
      </c>
      <c r="AF144" s="195">
        <v>50.000999999999998</v>
      </c>
      <c r="AG144" s="196">
        <v>48.006</v>
      </c>
      <c r="AH144" s="197">
        <v>47.838000000000001</v>
      </c>
      <c r="AI144" s="200" t="s">
        <v>840</v>
      </c>
      <c r="AJ144" s="193" t="s">
        <v>1631</v>
      </c>
      <c r="AK144" s="201" t="s">
        <v>1614</v>
      </c>
      <c r="AL144" s="205">
        <v>21</v>
      </c>
      <c r="AM144" s="200">
        <v>0</v>
      </c>
      <c r="AN144" s="204">
        <v>57.75</v>
      </c>
      <c r="AO144" s="203"/>
      <c r="AP144" s="207" t="s">
        <v>76</v>
      </c>
      <c r="AQ144" s="199" t="s">
        <v>1620</v>
      </c>
      <c r="AR144" s="202"/>
      <c r="AS144" s="205">
        <v>2048</v>
      </c>
      <c r="AT144" s="206"/>
      <c r="AU144" s="201" t="s">
        <v>24</v>
      </c>
      <c r="AV144" s="193" t="s">
        <v>1615</v>
      </c>
      <c r="AW144" s="205">
        <v>1517</v>
      </c>
    </row>
    <row r="145" spans="1:49" ht="21">
      <c r="A145" s="192" t="s">
        <v>110</v>
      </c>
      <c r="B145" s="194" t="s">
        <v>1599</v>
      </c>
      <c r="C145" s="160" t="s">
        <v>377</v>
      </c>
      <c r="D145" s="193" t="s">
        <v>379</v>
      </c>
      <c r="E145" s="195">
        <v>150</v>
      </c>
      <c r="F145" s="196">
        <v>150</v>
      </c>
      <c r="G145" s="197">
        <v>150</v>
      </c>
      <c r="H145" s="195">
        <v>150</v>
      </c>
      <c r="I145" s="196">
        <v>150</v>
      </c>
      <c r="J145" s="197">
        <v>150</v>
      </c>
      <c r="K145" s="195">
        <v>150</v>
      </c>
      <c r="L145" s="196">
        <v>150</v>
      </c>
      <c r="M145" s="197">
        <v>150</v>
      </c>
      <c r="N145" s="195">
        <v>150</v>
      </c>
      <c r="O145" s="196">
        <v>150</v>
      </c>
      <c r="P145" s="197">
        <v>150</v>
      </c>
      <c r="Q145" s="195">
        <v>150</v>
      </c>
      <c r="R145" s="196">
        <v>150</v>
      </c>
      <c r="S145" s="197">
        <v>150</v>
      </c>
      <c r="T145" s="195">
        <v>150</v>
      </c>
      <c r="U145" s="196">
        <v>150</v>
      </c>
      <c r="V145" s="197">
        <v>150</v>
      </c>
      <c r="W145" s="195">
        <v>150</v>
      </c>
      <c r="X145" s="196">
        <v>150</v>
      </c>
      <c r="Y145" s="197">
        <v>150</v>
      </c>
      <c r="Z145" s="195">
        <v>150</v>
      </c>
      <c r="AA145" s="196">
        <v>150</v>
      </c>
      <c r="AB145" s="197">
        <v>150</v>
      </c>
      <c r="AC145" s="195">
        <v>150</v>
      </c>
      <c r="AD145" s="196">
        <v>150</v>
      </c>
      <c r="AE145" s="197">
        <v>150</v>
      </c>
      <c r="AF145" s="195">
        <v>150</v>
      </c>
      <c r="AG145" s="196">
        <v>150</v>
      </c>
      <c r="AH145" s="197">
        <v>150</v>
      </c>
      <c r="AI145" s="200" t="s">
        <v>378</v>
      </c>
      <c r="AJ145" s="193" t="s">
        <v>1602</v>
      </c>
      <c r="AK145" s="201" t="s">
        <v>1603</v>
      </c>
      <c r="AL145" s="205">
        <v>1</v>
      </c>
      <c r="AM145" s="200">
        <v>200.07</v>
      </c>
      <c r="AN145" s="204">
        <v>200.07</v>
      </c>
      <c r="AO145" s="203">
        <v>150</v>
      </c>
      <c r="AP145" s="207" t="s">
        <v>26</v>
      </c>
      <c r="AQ145" s="199" t="s">
        <v>1619</v>
      </c>
      <c r="AR145" s="202">
        <v>45078</v>
      </c>
      <c r="AS145" s="205">
        <v>2043</v>
      </c>
      <c r="AT145" s="206"/>
      <c r="AU145" s="201" t="s">
        <v>26</v>
      </c>
      <c r="AV145" s="193" t="s">
        <v>19</v>
      </c>
      <c r="AW145" s="205">
        <v>1991</v>
      </c>
    </row>
    <row r="146" spans="1:49">
      <c r="A146" s="192" t="s">
        <v>45</v>
      </c>
      <c r="B146" s="194" t="s">
        <v>1555</v>
      </c>
      <c r="C146" s="160" t="s">
        <v>327</v>
      </c>
      <c r="D146" s="193" t="s">
        <v>329</v>
      </c>
      <c r="E146" s="195">
        <v>85</v>
      </c>
      <c r="F146" s="196">
        <v>85</v>
      </c>
      <c r="G146" s="197">
        <v>76.52</v>
      </c>
      <c r="H146" s="195">
        <v>85</v>
      </c>
      <c r="I146" s="196">
        <v>85</v>
      </c>
      <c r="J146" s="197">
        <v>76.52</v>
      </c>
      <c r="K146" s="195">
        <v>85</v>
      </c>
      <c r="L146" s="196">
        <v>85</v>
      </c>
      <c r="M146" s="197">
        <v>76.52</v>
      </c>
      <c r="N146" s="195">
        <v>85</v>
      </c>
      <c r="O146" s="196">
        <v>85</v>
      </c>
      <c r="P146" s="197">
        <v>76.52</v>
      </c>
      <c r="Q146" s="195">
        <v>85</v>
      </c>
      <c r="R146" s="196">
        <v>85</v>
      </c>
      <c r="S146" s="197">
        <v>76.52</v>
      </c>
      <c r="T146" s="195">
        <v>85</v>
      </c>
      <c r="U146" s="196">
        <v>85</v>
      </c>
      <c r="V146" s="197">
        <v>76.52</v>
      </c>
      <c r="W146" s="195">
        <v>85</v>
      </c>
      <c r="X146" s="196">
        <v>85</v>
      </c>
      <c r="Y146" s="197">
        <v>76.52</v>
      </c>
      <c r="Z146" s="195">
        <v>85</v>
      </c>
      <c r="AA146" s="196">
        <v>85</v>
      </c>
      <c r="AB146" s="197">
        <v>76.52</v>
      </c>
      <c r="AC146" s="195">
        <v>85</v>
      </c>
      <c r="AD146" s="196">
        <v>85</v>
      </c>
      <c r="AE146" s="197">
        <v>76.52</v>
      </c>
      <c r="AF146" s="195">
        <v>85</v>
      </c>
      <c r="AG146" s="196">
        <v>85</v>
      </c>
      <c r="AH146" s="197">
        <v>76.52</v>
      </c>
      <c r="AI146" s="200" t="s">
        <v>328</v>
      </c>
      <c r="AJ146" s="193" t="s">
        <v>1631</v>
      </c>
      <c r="AK146" s="201" t="s">
        <v>1614</v>
      </c>
      <c r="AL146" s="205">
        <v>40</v>
      </c>
      <c r="AM146" s="200">
        <v>110</v>
      </c>
      <c r="AN146" s="204">
        <v>110</v>
      </c>
      <c r="AO146" s="203"/>
      <c r="AP146" s="207" t="s">
        <v>76</v>
      </c>
      <c r="AQ146" s="199" t="s">
        <v>1620</v>
      </c>
      <c r="AR146" s="202">
        <v>44743</v>
      </c>
      <c r="AS146" s="205">
        <v>2046</v>
      </c>
      <c r="AT146" s="206"/>
      <c r="AU146" s="201" t="s">
        <v>24</v>
      </c>
      <c r="AV146" s="193" t="s">
        <v>1615</v>
      </c>
      <c r="AW146" s="205">
        <v>1452</v>
      </c>
    </row>
    <row r="147" spans="1:49">
      <c r="A147" s="192" t="s">
        <v>91</v>
      </c>
      <c r="B147" s="194" t="s">
        <v>1555</v>
      </c>
      <c r="C147" s="160" t="s">
        <v>664</v>
      </c>
      <c r="D147" s="193" t="s">
        <v>666</v>
      </c>
      <c r="E147" s="195">
        <v>100</v>
      </c>
      <c r="F147" s="196">
        <v>100</v>
      </c>
      <c r="G147" s="197">
        <v>100</v>
      </c>
      <c r="H147" s="195">
        <v>100</v>
      </c>
      <c r="I147" s="196">
        <v>100</v>
      </c>
      <c r="J147" s="197">
        <v>100</v>
      </c>
      <c r="K147" s="195">
        <v>100</v>
      </c>
      <c r="L147" s="196">
        <v>100</v>
      </c>
      <c r="M147" s="197">
        <v>100</v>
      </c>
      <c r="N147" s="195">
        <v>100</v>
      </c>
      <c r="O147" s="196">
        <v>100</v>
      </c>
      <c r="P147" s="197">
        <v>100</v>
      </c>
      <c r="Q147" s="195">
        <v>100</v>
      </c>
      <c r="R147" s="196">
        <v>100</v>
      </c>
      <c r="S147" s="197">
        <v>100</v>
      </c>
      <c r="T147" s="195">
        <v>100</v>
      </c>
      <c r="U147" s="196">
        <v>100</v>
      </c>
      <c r="V147" s="197">
        <v>100</v>
      </c>
      <c r="W147" s="195">
        <v>100</v>
      </c>
      <c r="X147" s="196">
        <v>100</v>
      </c>
      <c r="Y147" s="197">
        <v>100</v>
      </c>
      <c r="Z147" s="195">
        <v>100</v>
      </c>
      <c r="AA147" s="196">
        <v>100</v>
      </c>
      <c r="AB147" s="197">
        <v>100</v>
      </c>
      <c r="AC147" s="195">
        <v>100</v>
      </c>
      <c r="AD147" s="196">
        <v>100</v>
      </c>
      <c r="AE147" s="197">
        <v>100</v>
      </c>
      <c r="AF147" s="195">
        <v>100</v>
      </c>
      <c r="AG147" s="196">
        <v>100</v>
      </c>
      <c r="AH147" s="197">
        <v>100</v>
      </c>
      <c r="AI147" s="200" t="s">
        <v>665</v>
      </c>
      <c r="AJ147" s="193" t="s">
        <v>1602</v>
      </c>
      <c r="AK147" s="201" t="s">
        <v>1603</v>
      </c>
      <c r="AL147" s="205">
        <v>1</v>
      </c>
      <c r="AM147" s="200"/>
      <c r="AN147" s="204">
        <v>100</v>
      </c>
      <c r="AO147" s="203">
        <v>117</v>
      </c>
      <c r="AP147" s="207" t="s">
        <v>76</v>
      </c>
      <c r="AQ147" s="199" t="s">
        <v>1619</v>
      </c>
      <c r="AR147" s="202"/>
      <c r="AS147" s="205">
        <v>2057</v>
      </c>
      <c r="AT147" s="206"/>
      <c r="AU147" s="201" t="s">
        <v>24</v>
      </c>
      <c r="AV147" s="193" t="s">
        <v>19</v>
      </c>
      <c r="AW147" s="205">
        <v>1610</v>
      </c>
    </row>
    <row r="148" spans="1:49">
      <c r="A148" s="192" t="s">
        <v>91</v>
      </c>
      <c r="B148" s="194" t="s">
        <v>1555</v>
      </c>
      <c r="C148" s="160" t="s">
        <v>664</v>
      </c>
      <c r="D148" s="193" t="s">
        <v>666</v>
      </c>
      <c r="E148" s="195">
        <v>50</v>
      </c>
      <c r="F148" s="196">
        <v>50</v>
      </c>
      <c r="G148" s="197">
        <v>50</v>
      </c>
      <c r="H148" s="195">
        <v>50</v>
      </c>
      <c r="I148" s="196">
        <v>50</v>
      </c>
      <c r="J148" s="197">
        <v>50</v>
      </c>
      <c r="K148" s="195">
        <v>50</v>
      </c>
      <c r="L148" s="196">
        <v>50</v>
      </c>
      <c r="M148" s="197">
        <v>50</v>
      </c>
      <c r="N148" s="195">
        <v>50</v>
      </c>
      <c r="O148" s="196">
        <v>50</v>
      </c>
      <c r="P148" s="197">
        <v>50</v>
      </c>
      <c r="Q148" s="195">
        <v>50</v>
      </c>
      <c r="R148" s="196">
        <v>50</v>
      </c>
      <c r="S148" s="197">
        <v>50</v>
      </c>
      <c r="T148" s="195">
        <v>50</v>
      </c>
      <c r="U148" s="196">
        <v>50</v>
      </c>
      <c r="V148" s="197">
        <v>50</v>
      </c>
      <c r="W148" s="195">
        <v>50</v>
      </c>
      <c r="X148" s="196">
        <v>50</v>
      </c>
      <c r="Y148" s="197">
        <v>50</v>
      </c>
      <c r="Z148" s="195">
        <v>50</v>
      </c>
      <c r="AA148" s="196">
        <v>50</v>
      </c>
      <c r="AB148" s="197">
        <v>50</v>
      </c>
      <c r="AC148" s="195">
        <v>50</v>
      </c>
      <c r="AD148" s="196">
        <v>50</v>
      </c>
      <c r="AE148" s="197">
        <v>50</v>
      </c>
      <c r="AF148" s="195">
        <v>50</v>
      </c>
      <c r="AG148" s="196">
        <v>50</v>
      </c>
      <c r="AH148" s="197">
        <v>50</v>
      </c>
      <c r="AI148" s="200" t="s">
        <v>665</v>
      </c>
      <c r="AJ148" s="193" t="s">
        <v>1602</v>
      </c>
      <c r="AK148" s="201" t="s">
        <v>1603</v>
      </c>
      <c r="AL148" s="205">
        <v>1</v>
      </c>
      <c r="AM148" s="200"/>
      <c r="AN148" s="204">
        <v>50</v>
      </c>
      <c r="AO148" s="203">
        <v>61.3</v>
      </c>
      <c r="AP148" s="207" t="s">
        <v>76</v>
      </c>
      <c r="AQ148" s="199" t="s">
        <v>1619</v>
      </c>
      <c r="AR148" s="202">
        <v>44013</v>
      </c>
      <c r="AS148" s="205">
        <v>2057</v>
      </c>
      <c r="AT148" s="206"/>
      <c r="AU148" s="201" t="s">
        <v>24</v>
      </c>
      <c r="AV148" s="193" t="s">
        <v>19</v>
      </c>
      <c r="AW148" s="205">
        <v>1610</v>
      </c>
    </row>
    <row r="149" spans="1:49">
      <c r="A149" s="192" t="s">
        <v>91</v>
      </c>
      <c r="B149" s="194" t="s">
        <v>1555</v>
      </c>
      <c r="C149" s="160" t="s">
        <v>1156</v>
      </c>
      <c r="D149" s="193" t="s">
        <v>2478</v>
      </c>
      <c r="E149" s="195">
        <v>100</v>
      </c>
      <c r="F149" s="196">
        <v>100</v>
      </c>
      <c r="G149" s="197">
        <v>100</v>
      </c>
      <c r="H149" s="195">
        <v>100</v>
      </c>
      <c r="I149" s="196">
        <v>100</v>
      </c>
      <c r="J149" s="197">
        <v>100</v>
      </c>
      <c r="K149" s="195">
        <v>100</v>
      </c>
      <c r="L149" s="196">
        <v>100</v>
      </c>
      <c r="M149" s="197">
        <v>100</v>
      </c>
      <c r="N149" s="195">
        <v>100</v>
      </c>
      <c r="O149" s="196">
        <v>100</v>
      </c>
      <c r="P149" s="197">
        <v>100</v>
      </c>
      <c r="Q149" s="195">
        <v>100</v>
      </c>
      <c r="R149" s="196">
        <v>100</v>
      </c>
      <c r="S149" s="197">
        <v>100</v>
      </c>
      <c r="T149" s="195">
        <v>100</v>
      </c>
      <c r="U149" s="196">
        <v>100</v>
      </c>
      <c r="V149" s="197">
        <v>100</v>
      </c>
      <c r="W149" s="195">
        <v>100</v>
      </c>
      <c r="X149" s="196">
        <v>100</v>
      </c>
      <c r="Y149" s="197">
        <v>100</v>
      </c>
      <c r="Z149" s="195">
        <v>100</v>
      </c>
      <c r="AA149" s="196">
        <v>100</v>
      </c>
      <c r="AB149" s="197">
        <v>100</v>
      </c>
      <c r="AC149" s="195">
        <v>100</v>
      </c>
      <c r="AD149" s="196">
        <v>100</v>
      </c>
      <c r="AE149" s="197">
        <v>100</v>
      </c>
      <c r="AF149" s="195">
        <v>100</v>
      </c>
      <c r="AG149" s="196">
        <v>100</v>
      </c>
      <c r="AH149" s="197">
        <v>100</v>
      </c>
      <c r="AI149" s="200" t="s">
        <v>2477</v>
      </c>
      <c r="AJ149" s="193" t="s">
        <v>1625</v>
      </c>
      <c r="AK149" s="201" t="s">
        <v>1609</v>
      </c>
      <c r="AL149" s="205">
        <v>32</v>
      </c>
      <c r="AM149" s="200">
        <v>102.4</v>
      </c>
      <c r="AN149" s="204">
        <v>102.4</v>
      </c>
      <c r="AO149" s="203"/>
      <c r="AP149" s="207" t="s">
        <v>76</v>
      </c>
      <c r="AQ149" s="199" t="s">
        <v>1620</v>
      </c>
      <c r="AR149" s="202"/>
      <c r="AS149" s="205">
        <v>2056</v>
      </c>
      <c r="AT149" s="206"/>
      <c r="AU149" s="201" t="s">
        <v>24</v>
      </c>
      <c r="AV149" s="193" t="s">
        <v>16</v>
      </c>
      <c r="AW149" s="205">
        <v>1300</v>
      </c>
    </row>
    <row r="150" spans="1:49">
      <c r="A150" s="192" t="s">
        <v>91</v>
      </c>
      <c r="B150" s="194" t="s">
        <v>1555</v>
      </c>
      <c r="C150" s="160" t="s">
        <v>1078</v>
      </c>
      <c r="D150" s="193" t="s">
        <v>2480</v>
      </c>
      <c r="E150" s="195">
        <v>100</v>
      </c>
      <c r="F150" s="196">
        <v>100</v>
      </c>
      <c r="G150" s="197">
        <v>100</v>
      </c>
      <c r="H150" s="195">
        <v>100</v>
      </c>
      <c r="I150" s="196">
        <v>100</v>
      </c>
      <c r="J150" s="197">
        <v>100</v>
      </c>
      <c r="K150" s="195">
        <v>100</v>
      </c>
      <c r="L150" s="196">
        <v>100</v>
      </c>
      <c r="M150" s="197">
        <v>100</v>
      </c>
      <c r="N150" s="195">
        <v>100</v>
      </c>
      <c r="O150" s="196">
        <v>100</v>
      </c>
      <c r="P150" s="197">
        <v>100</v>
      </c>
      <c r="Q150" s="195">
        <v>100</v>
      </c>
      <c r="R150" s="196">
        <v>100</v>
      </c>
      <c r="S150" s="197">
        <v>100</v>
      </c>
      <c r="T150" s="195">
        <v>100</v>
      </c>
      <c r="U150" s="196">
        <v>100</v>
      </c>
      <c r="V150" s="197">
        <v>100</v>
      </c>
      <c r="W150" s="195">
        <v>100</v>
      </c>
      <c r="X150" s="196">
        <v>100</v>
      </c>
      <c r="Y150" s="197">
        <v>100</v>
      </c>
      <c r="Z150" s="195">
        <v>100</v>
      </c>
      <c r="AA150" s="196">
        <v>100</v>
      </c>
      <c r="AB150" s="197">
        <v>100</v>
      </c>
      <c r="AC150" s="195">
        <v>100</v>
      </c>
      <c r="AD150" s="196">
        <v>100</v>
      </c>
      <c r="AE150" s="197">
        <v>100</v>
      </c>
      <c r="AF150" s="195">
        <v>100</v>
      </c>
      <c r="AG150" s="196">
        <v>100</v>
      </c>
      <c r="AH150" s="197">
        <v>100</v>
      </c>
      <c r="AI150" s="200" t="s">
        <v>2479</v>
      </c>
      <c r="AJ150" s="193" t="s">
        <v>1625</v>
      </c>
      <c r="AK150" s="201" t="s">
        <v>1609</v>
      </c>
      <c r="AL150" s="205">
        <v>32</v>
      </c>
      <c r="AM150" s="200">
        <v>102.4</v>
      </c>
      <c r="AN150" s="204">
        <v>102.4</v>
      </c>
      <c r="AO150" s="203"/>
      <c r="AP150" s="207" t="s">
        <v>76</v>
      </c>
      <c r="AQ150" s="199" t="s">
        <v>1620</v>
      </c>
      <c r="AR150" s="202"/>
      <c r="AS150" s="205">
        <v>2057</v>
      </c>
      <c r="AT150" s="206"/>
      <c r="AU150" s="201" t="s">
        <v>24</v>
      </c>
      <c r="AV150" s="193" t="s">
        <v>16</v>
      </c>
      <c r="AW150" s="205">
        <v>1376</v>
      </c>
    </row>
    <row r="151" spans="1:49">
      <c r="A151" s="192" t="s">
        <v>91</v>
      </c>
      <c r="B151" s="194" t="s">
        <v>1555</v>
      </c>
      <c r="C151" s="160" t="s">
        <v>1080</v>
      </c>
      <c r="D151" s="193" t="s">
        <v>2482</v>
      </c>
      <c r="E151" s="195">
        <v>108.99</v>
      </c>
      <c r="F151" s="196">
        <v>108.99</v>
      </c>
      <c r="G151" s="197">
        <v>108.99</v>
      </c>
      <c r="H151" s="195">
        <v>108.99</v>
      </c>
      <c r="I151" s="196">
        <v>108.99</v>
      </c>
      <c r="J151" s="197">
        <v>108.99</v>
      </c>
      <c r="K151" s="195">
        <v>108.99</v>
      </c>
      <c r="L151" s="196">
        <v>108.99</v>
      </c>
      <c r="M151" s="197">
        <v>108.99</v>
      </c>
      <c r="N151" s="195">
        <v>108.99</v>
      </c>
      <c r="O151" s="196">
        <v>108.99</v>
      </c>
      <c r="P151" s="197">
        <v>108.99</v>
      </c>
      <c r="Q151" s="195">
        <v>108.99</v>
      </c>
      <c r="R151" s="196">
        <v>108.99</v>
      </c>
      <c r="S151" s="197">
        <v>108.99</v>
      </c>
      <c r="T151" s="195">
        <v>108.99</v>
      </c>
      <c r="U151" s="196">
        <v>108.99</v>
      </c>
      <c r="V151" s="197">
        <v>108.99</v>
      </c>
      <c r="W151" s="195">
        <v>108.99</v>
      </c>
      <c r="X151" s="196">
        <v>108.99</v>
      </c>
      <c r="Y151" s="197">
        <v>108.99</v>
      </c>
      <c r="Z151" s="195">
        <v>108.99</v>
      </c>
      <c r="AA151" s="196">
        <v>108.99</v>
      </c>
      <c r="AB151" s="197">
        <v>108.99</v>
      </c>
      <c r="AC151" s="195">
        <v>108.99</v>
      </c>
      <c r="AD151" s="196">
        <v>108.99</v>
      </c>
      <c r="AE151" s="197">
        <v>108.99</v>
      </c>
      <c r="AF151" s="195">
        <v>108.99</v>
      </c>
      <c r="AG151" s="196">
        <v>108.99</v>
      </c>
      <c r="AH151" s="197">
        <v>108.99</v>
      </c>
      <c r="AI151" s="200" t="s">
        <v>2481</v>
      </c>
      <c r="AJ151" s="193" t="s">
        <v>1625</v>
      </c>
      <c r="AK151" s="201" t="s">
        <v>1609</v>
      </c>
      <c r="AL151" s="205">
        <v>35</v>
      </c>
      <c r="AM151" s="200">
        <v>112</v>
      </c>
      <c r="AN151" s="204">
        <v>112</v>
      </c>
      <c r="AO151" s="203"/>
      <c r="AP151" s="207" t="s">
        <v>76</v>
      </c>
      <c r="AQ151" s="199" t="s">
        <v>1620</v>
      </c>
      <c r="AR151" s="202"/>
      <c r="AS151" s="205">
        <v>2057</v>
      </c>
      <c r="AT151" s="206"/>
      <c r="AU151" s="201" t="s">
        <v>24</v>
      </c>
      <c r="AV151" s="193" t="s">
        <v>16</v>
      </c>
      <c r="AW151" s="205">
        <v>1381</v>
      </c>
    </row>
    <row r="152" spans="1:49">
      <c r="A152" s="192" t="s">
        <v>45</v>
      </c>
      <c r="B152" s="194" t="s">
        <v>1555</v>
      </c>
      <c r="C152" s="160" t="s">
        <v>2488</v>
      </c>
      <c r="D152" s="193" t="s">
        <v>2490</v>
      </c>
      <c r="E152" s="195">
        <v>0</v>
      </c>
      <c r="F152" s="196">
        <v>29</v>
      </c>
      <c r="G152" s="197">
        <v>29</v>
      </c>
      <c r="H152" s="195">
        <v>0</v>
      </c>
      <c r="I152" s="196">
        <v>29</v>
      </c>
      <c r="J152" s="197">
        <v>29</v>
      </c>
      <c r="K152" s="195">
        <v>0</v>
      </c>
      <c r="L152" s="196">
        <v>29</v>
      </c>
      <c r="M152" s="197">
        <v>29</v>
      </c>
      <c r="N152" s="195">
        <v>0</v>
      </c>
      <c r="O152" s="196">
        <v>29</v>
      </c>
      <c r="P152" s="197">
        <v>29</v>
      </c>
      <c r="Q152" s="195">
        <v>0</v>
      </c>
      <c r="R152" s="196">
        <v>29</v>
      </c>
      <c r="S152" s="197">
        <v>29</v>
      </c>
      <c r="T152" s="195">
        <v>0</v>
      </c>
      <c r="U152" s="196">
        <v>29</v>
      </c>
      <c r="V152" s="197">
        <v>29</v>
      </c>
      <c r="W152" s="195">
        <v>0</v>
      </c>
      <c r="X152" s="196">
        <v>29</v>
      </c>
      <c r="Y152" s="197">
        <v>29</v>
      </c>
      <c r="Z152" s="195">
        <v>0</v>
      </c>
      <c r="AA152" s="196">
        <v>29</v>
      </c>
      <c r="AB152" s="197">
        <v>29</v>
      </c>
      <c r="AC152" s="195">
        <v>0</v>
      </c>
      <c r="AD152" s="196">
        <v>29</v>
      </c>
      <c r="AE152" s="197">
        <v>29</v>
      </c>
      <c r="AF152" s="195">
        <v>0</v>
      </c>
      <c r="AG152" s="196">
        <v>29</v>
      </c>
      <c r="AH152" s="197">
        <v>29</v>
      </c>
      <c r="AI152" s="200" t="s">
        <v>2489</v>
      </c>
      <c r="AJ152" s="193" t="s">
        <v>1700</v>
      </c>
      <c r="AK152" s="201" t="s">
        <v>1658</v>
      </c>
      <c r="AL152" s="205">
        <v>1</v>
      </c>
      <c r="AM152" s="200">
        <v>29</v>
      </c>
      <c r="AN152" s="204">
        <v>29</v>
      </c>
      <c r="AO152" s="203"/>
      <c r="AP152" s="207" t="s">
        <v>76</v>
      </c>
      <c r="AQ152" s="199" t="s">
        <v>1619</v>
      </c>
      <c r="AR152" s="202"/>
      <c r="AS152" s="205">
        <v>2057</v>
      </c>
      <c r="AT152" s="206"/>
      <c r="AU152" s="201" t="s">
        <v>24</v>
      </c>
      <c r="AV152" s="193" t="s">
        <v>17</v>
      </c>
      <c r="AW152" s="205">
        <v>1732</v>
      </c>
    </row>
    <row r="153" spans="1:49">
      <c r="A153" s="192" t="s">
        <v>110</v>
      </c>
      <c r="B153" s="194" t="s">
        <v>1555</v>
      </c>
      <c r="C153" s="160" t="s">
        <v>2491</v>
      </c>
      <c r="D153" s="193" t="s">
        <v>2492</v>
      </c>
      <c r="E153" s="195">
        <v>0</v>
      </c>
      <c r="F153" s="196">
        <v>29</v>
      </c>
      <c r="G153" s="197">
        <v>29</v>
      </c>
      <c r="H153" s="195">
        <v>0</v>
      </c>
      <c r="I153" s="196">
        <v>29</v>
      </c>
      <c r="J153" s="197">
        <v>29</v>
      </c>
      <c r="K153" s="195">
        <v>0</v>
      </c>
      <c r="L153" s="196">
        <v>29</v>
      </c>
      <c r="M153" s="197">
        <v>29</v>
      </c>
      <c r="N153" s="195">
        <v>0</v>
      </c>
      <c r="O153" s="196">
        <v>29</v>
      </c>
      <c r="P153" s="197">
        <v>29</v>
      </c>
      <c r="Q153" s="195">
        <v>0</v>
      </c>
      <c r="R153" s="196">
        <v>29</v>
      </c>
      <c r="S153" s="197">
        <v>29</v>
      </c>
      <c r="T153" s="195">
        <v>0</v>
      </c>
      <c r="U153" s="196">
        <v>29</v>
      </c>
      <c r="V153" s="197">
        <v>29</v>
      </c>
      <c r="W153" s="195">
        <v>0</v>
      </c>
      <c r="X153" s="196">
        <v>29</v>
      </c>
      <c r="Y153" s="197">
        <v>29</v>
      </c>
      <c r="Z153" s="195">
        <v>0</v>
      </c>
      <c r="AA153" s="196">
        <v>29</v>
      </c>
      <c r="AB153" s="197">
        <v>29</v>
      </c>
      <c r="AC153" s="195">
        <v>0</v>
      </c>
      <c r="AD153" s="196">
        <v>29</v>
      </c>
      <c r="AE153" s="197">
        <v>29</v>
      </c>
      <c r="AF153" s="195">
        <v>0</v>
      </c>
      <c r="AG153" s="196">
        <v>29</v>
      </c>
      <c r="AH153" s="197">
        <v>29</v>
      </c>
      <c r="AI153" s="200" t="s">
        <v>1938</v>
      </c>
      <c r="AJ153" s="193" t="s">
        <v>1700</v>
      </c>
      <c r="AK153" s="201" t="s">
        <v>1658</v>
      </c>
      <c r="AL153" s="205">
        <v>1</v>
      </c>
      <c r="AM153" s="200">
        <v>1</v>
      </c>
      <c r="AN153" s="204">
        <v>29</v>
      </c>
      <c r="AO153" s="203"/>
      <c r="AP153" s="207" t="s">
        <v>76</v>
      </c>
      <c r="AQ153" s="199" t="s">
        <v>1619</v>
      </c>
      <c r="AR153" s="202"/>
      <c r="AS153" s="205">
        <v>2057</v>
      </c>
      <c r="AT153" s="206"/>
      <c r="AU153" s="201" t="s">
        <v>24</v>
      </c>
      <c r="AV153" s="193" t="s">
        <v>17</v>
      </c>
      <c r="AW153" s="205">
        <v>1736</v>
      </c>
    </row>
    <row r="154" spans="1:49">
      <c r="A154" s="192" t="s">
        <v>110</v>
      </c>
      <c r="B154" s="194" t="s">
        <v>1555</v>
      </c>
      <c r="C154" s="160" t="s">
        <v>2516</v>
      </c>
      <c r="D154" s="193" t="s">
        <v>2518</v>
      </c>
      <c r="E154" s="195">
        <v>56</v>
      </c>
      <c r="F154" s="196">
        <v>50</v>
      </c>
      <c r="G154" s="197">
        <v>46.6</v>
      </c>
      <c r="H154" s="195">
        <v>56</v>
      </c>
      <c r="I154" s="196">
        <v>50</v>
      </c>
      <c r="J154" s="197">
        <v>46.6</v>
      </c>
      <c r="K154" s="195">
        <v>56</v>
      </c>
      <c r="L154" s="196">
        <v>50</v>
      </c>
      <c r="M154" s="197">
        <v>46.6</v>
      </c>
      <c r="N154" s="195">
        <v>56</v>
      </c>
      <c r="O154" s="196">
        <v>50</v>
      </c>
      <c r="P154" s="197">
        <v>46.6</v>
      </c>
      <c r="Q154" s="195">
        <v>56</v>
      </c>
      <c r="R154" s="196">
        <v>50</v>
      </c>
      <c r="S154" s="197">
        <v>46.6</v>
      </c>
      <c r="T154" s="195">
        <v>56</v>
      </c>
      <c r="U154" s="196">
        <v>50</v>
      </c>
      <c r="V154" s="197">
        <v>46.6</v>
      </c>
      <c r="W154" s="195">
        <v>56</v>
      </c>
      <c r="X154" s="196">
        <v>50</v>
      </c>
      <c r="Y154" s="197">
        <v>46.6</v>
      </c>
      <c r="Z154" s="195">
        <v>56</v>
      </c>
      <c r="AA154" s="196">
        <v>50</v>
      </c>
      <c r="AB154" s="197">
        <v>46.6</v>
      </c>
      <c r="AC154" s="195">
        <v>56</v>
      </c>
      <c r="AD154" s="196">
        <v>50</v>
      </c>
      <c r="AE154" s="197">
        <v>46.6</v>
      </c>
      <c r="AF154" s="195">
        <v>56</v>
      </c>
      <c r="AG154" s="196">
        <v>50</v>
      </c>
      <c r="AH154" s="197">
        <v>46.6</v>
      </c>
      <c r="AI154" s="200" t="s">
        <v>2517</v>
      </c>
      <c r="AJ154" s="193" t="s">
        <v>1673</v>
      </c>
      <c r="AK154" s="201" t="s">
        <v>1592</v>
      </c>
      <c r="AL154" s="205">
        <v>1</v>
      </c>
      <c r="AM154" s="200"/>
      <c r="AN154" s="204">
        <v>53</v>
      </c>
      <c r="AO154" s="203"/>
      <c r="AP154" s="207" t="s">
        <v>76</v>
      </c>
      <c r="AQ154" s="199" t="s">
        <v>1619</v>
      </c>
      <c r="AR154" s="202"/>
      <c r="AS154" s="205">
        <v>2039</v>
      </c>
      <c r="AT154" s="206"/>
      <c r="AU154" s="201" t="s">
        <v>24</v>
      </c>
      <c r="AV154" s="193" t="s">
        <v>13</v>
      </c>
      <c r="AW154" s="205">
        <v>1373</v>
      </c>
    </row>
    <row r="155" spans="1:49">
      <c r="A155" s="192" t="s">
        <v>110</v>
      </c>
      <c r="B155" s="194" t="s">
        <v>1555</v>
      </c>
      <c r="C155" s="160" t="s">
        <v>2516</v>
      </c>
      <c r="D155" s="193" t="s">
        <v>2519</v>
      </c>
      <c r="E155" s="195">
        <v>56</v>
      </c>
      <c r="F155" s="196">
        <v>50</v>
      </c>
      <c r="G155" s="197">
        <v>46.6</v>
      </c>
      <c r="H155" s="195">
        <v>56</v>
      </c>
      <c r="I155" s="196">
        <v>50</v>
      </c>
      <c r="J155" s="197">
        <v>46.6</v>
      </c>
      <c r="K155" s="195">
        <v>56</v>
      </c>
      <c r="L155" s="196">
        <v>50</v>
      </c>
      <c r="M155" s="197">
        <v>46.6</v>
      </c>
      <c r="N155" s="195">
        <v>56</v>
      </c>
      <c r="O155" s="196">
        <v>50</v>
      </c>
      <c r="P155" s="197">
        <v>46.6</v>
      </c>
      <c r="Q155" s="195">
        <v>56</v>
      </c>
      <c r="R155" s="196">
        <v>50</v>
      </c>
      <c r="S155" s="197">
        <v>46.6</v>
      </c>
      <c r="T155" s="195">
        <v>56</v>
      </c>
      <c r="U155" s="196">
        <v>50</v>
      </c>
      <c r="V155" s="197">
        <v>46.6</v>
      </c>
      <c r="W155" s="195">
        <v>56</v>
      </c>
      <c r="X155" s="196">
        <v>50</v>
      </c>
      <c r="Y155" s="197">
        <v>46.6</v>
      </c>
      <c r="Z155" s="195">
        <v>56</v>
      </c>
      <c r="AA155" s="196">
        <v>50</v>
      </c>
      <c r="AB155" s="197">
        <v>46.6</v>
      </c>
      <c r="AC155" s="195">
        <v>56</v>
      </c>
      <c r="AD155" s="196">
        <v>50</v>
      </c>
      <c r="AE155" s="197">
        <v>46.6</v>
      </c>
      <c r="AF155" s="195">
        <v>56</v>
      </c>
      <c r="AG155" s="196">
        <v>50</v>
      </c>
      <c r="AH155" s="197">
        <v>46.6</v>
      </c>
      <c r="AI155" s="200" t="s">
        <v>2517</v>
      </c>
      <c r="AJ155" s="193" t="s">
        <v>1673</v>
      </c>
      <c r="AK155" s="201" t="s">
        <v>1592</v>
      </c>
      <c r="AL155" s="205">
        <v>1</v>
      </c>
      <c r="AM155" s="200"/>
      <c r="AN155" s="204">
        <v>53</v>
      </c>
      <c r="AO155" s="203"/>
      <c r="AP155" s="207" t="s">
        <v>76</v>
      </c>
      <c r="AQ155" s="199" t="s">
        <v>1619</v>
      </c>
      <c r="AR155" s="202"/>
      <c r="AS155" s="205">
        <v>2039</v>
      </c>
      <c r="AT155" s="206"/>
      <c r="AU155" s="201" t="s">
        <v>24</v>
      </c>
      <c r="AV155" s="193" t="s">
        <v>13</v>
      </c>
      <c r="AW155" s="205">
        <v>1373</v>
      </c>
    </row>
    <row r="156" spans="1:49">
      <c r="A156" s="192" t="s">
        <v>110</v>
      </c>
      <c r="B156" s="194" t="s">
        <v>1555</v>
      </c>
      <c r="C156" s="160" t="s">
        <v>2516</v>
      </c>
      <c r="D156" s="193" t="s">
        <v>2520</v>
      </c>
      <c r="E156" s="195">
        <v>55</v>
      </c>
      <c r="F156" s="196">
        <v>50</v>
      </c>
      <c r="G156" s="197">
        <v>46.6</v>
      </c>
      <c r="H156" s="195">
        <v>55</v>
      </c>
      <c r="I156" s="196">
        <v>50</v>
      </c>
      <c r="J156" s="197">
        <v>46.6</v>
      </c>
      <c r="K156" s="195">
        <v>55</v>
      </c>
      <c r="L156" s="196">
        <v>50</v>
      </c>
      <c r="M156" s="197">
        <v>46.6</v>
      </c>
      <c r="N156" s="195">
        <v>55</v>
      </c>
      <c r="O156" s="196">
        <v>50</v>
      </c>
      <c r="P156" s="197">
        <v>46.6</v>
      </c>
      <c r="Q156" s="195">
        <v>55</v>
      </c>
      <c r="R156" s="196">
        <v>50</v>
      </c>
      <c r="S156" s="197">
        <v>46.6</v>
      </c>
      <c r="T156" s="195">
        <v>55</v>
      </c>
      <c r="U156" s="196">
        <v>50</v>
      </c>
      <c r="V156" s="197">
        <v>46.6</v>
      </c>
      <c r="W156" s="195">
        <v>55</v>
      </c>
      <c r="X156" s="196">
        <v>50</v>
      </c>
      <c r="Y156" s="197">
        <v>46.6</v>
      </c>
      <c r="Z156" s="195">
        <v>55</v>
      </c>
      <c r="AA156" s="196">
        <v>50</v>
      </c>
      <c r="AB156" s="197">
        <v>46.6</v>
      </c>
      <c r="AC156" s="195">
        <v>55</v>
      </c>
      <c r="AD156" s="196">
        <v>50</v>
      </c>
      <c r="AE156" s="197">
        <v>46.6</v>
      </c>
      <c r="AF156" s="195">
        <v>55</v>
      </c>
      <c r="AG156" s="196">
        <v>50</v>
      </c>
      <c r="AH156" s="197">
        <v>46.6</v>
      </c>
      <c r="AI156" s="200" t="s">
        <v>2517</v>
      </c>
      <c r="AJ156" s="193" t="s">
        <v>1673</v>
      </c>
      <c r="AK156" s="201" t="s">
        <v>1592</v>
      </c>
      <c r="AL156" s="205">
        <v>1</v>
      </c>
      <c r="AM156" s="200"/>
      <c r="AN156" s="204">
        <v>53</v>
      </c>
      <c r="AO156" s="203"/>
      <c r="AP156" s="207" t="s">
        <v>76</v>
      </c>
      <c r="AQ156" s="199" t="s">
        <v>1619</v>
      </c>
      <c r="AR156" s="202"/>
      <c r="AS156" s="205">
        <v>2039</v>
      </c>
      <c r="AT156" s="206"/>
      <c r="AU156" s="201" t="s">
        <v>24</v>
      </c>
      <c r="AV156" s="193" t="s">
        <v>13</v>
      </c>
      <c r="AW156" s="205">
        <v>1373</v>
      </c>
    </row>
    <row r="157" spans="1:49">
      <c r="A157" s="192" t="s">
        <v>110</v>
      </c>
      <c r="B157" s="194" t="s">
        <v>1555</v>
      </c>
      <c r="C157" s="160" t="s">
        <v>2516</v>
      </c>
      <c r="D157" s="193" t="s">
        <v>2521</v>
      </c>
      <c r="E157" s="195">
        <v>55</v>
      </c>
      <c r="F157" s="196">
        <v>50</v>
      </c>
      <c r="G157" s="197">
        <v>46.6</v>
      </c>
      <c r="H157" s="195">
        <v>55</v>
      </c>
      <c r="I157" s="196">
        <v>50</v>
      </c>
      <c r="J157" s="197">
        <v>46.6</v>
      </c>
      <c r="K157" s="195">
        <v>55</v>
      </c>
      <c r="L157" s="196">
        <v>50</v>
      </c>
      <c r="M157" s="197">
        <v>46.6</v>
      </c>
      <c r="N157" s="195">
        <v>55</v>
      </c>
      <c r="O157" s="196">
        <v>50</v>
      </c>
      <c r="P157" s="197">
        <v>46.6</v>
      </c>
      <c r="Q157" s="195">
        <v>55</v>
      </c>
      <c r="R157" s="196">
        <v>50</v>
      </c>
      <c r="S157" s="197">
        <v>46.6</v>
      </c>
      <c r="T157" s="195">
        <v>55</v>
      </c>
      <c r="U157" s="196">
        <v>50</v>
      </c>
      <c r="V157" s="197">
        <v>46.6</v>
      </c>
      <c r="W157" s="195">
        <v>55</v>
      </c>
      <c r="X157" s="196">
        <v>50</v>
      </c>
      <c r="Y157" s="197">
        <v>46.6</v>
      </c>
      <c r="Z157" s="195">
        <v>55</v>
      </c>
      <c r="AA157" s="196">
        <v>50</v>
      </c>
      <c r="AB157" s="197">
        <v>46.6</v>
      </c>
      <c r="AC157" s="195">
        <v>55</v>
      </c>
      <c r="AD157" s="196">
        <v>50</v>
      </c>
      <c r="AE157" s="197">
        <v>46.6</v>
      </c>
      <c r="AF157" s="195">
        <v>55</v>
      </c>
      <c r="AG157" s="196">
        <v>50</v>
      </c>
      <c r="AH157" s="197">
        <v>46.6</v>
      </c>
      <c r="AI157" s="200" t="s">
        <v>2517</v>
      </c>
      <c r="AJ157" s="193" t="s">
        <v>1673</v>
      </c>
      <c r="AK157" s="201" t="s">
        <v>1592</v>
      </c>
      <c r="AL157" s="205">
        <v>1</v>
      </c>
      <c r="AM157" s="200"/>
      <c r="AN157" s="204">
        <v>53</v>
      </c>
      <c r="AO157" s="203"/>
      <c r="AP157" s="207" t="s">
        <v>76</v>
      </c>
      <c r="AQ157" s="199" t="s">
        <v>1619</v>
      </c>
      <c r="AR157" s="202"/>
      <c r="AS157" s="205">
        <v>2039</v>
      </c>
      <c r="AT157" s="206"/>
      <c r="AU157" s="201" t="s">
        <v>24</v>
      </c>
      <c r="AV157" s="193" t="s">
        <v>13</v>
      </c>
      <c r="AW157" s="205">
        <v>1373</v>
      </c>
    </row>
    <row r="158" spans="1:49">
      <c r="A158" s="192" t="s">
        <v>110</v>
      </c>
      <c r="B158" s="194" t="s">
        <v>1555</v>
      </c>
      <c r="C158" s="160" t="s">
        <v>2522</v>
      </c>
      <c r="D158" s="193" t="s">
        <v>2523</v>
      </c>
      <c r="E158" s="195">
        <v>85</v>
      </c>
      <c r="F158" s="196">
        <v>76</v>
      </c>
      <c r="G158" s="197">
        <v>70.3</v>
      </c>
      <c r="H158" s="195">
        <v>85</v>
      </c>
      <c r="I158" s="196">
        <v>76</v>
      </c>
      <c r="J158" s="197">
        <v>70.3</v>
      </c>
      <c r="K158" s="195">
        <v>85</v>
      </c>
      <c r="L158" s="196">
        <v>76</v>
      </c>
      <c r="M158" s="197">
        <v>70.3</v>
      </c>
      <c r="N158" s="195">
        <v>85</v>
      </c>
      <c r="O158" s="196">
        <v>76</v>
      </c>
      <c r="P158" s="197">
        <v>70.3</v>
      </c>
      <c r="Q158" s="195">
        <v>85</v>
      </c>
      <c r="R158" s="196">
        <v>76</v>
      </c>
      <c r="S158" s="197">
        <v>70.3</v>
      </c>
      <c r="T158" s="195">
        <v>85</v>
      </c>
      <c r="U158" s="196">
        <v>76</v>
      </c>
      <c r="V158" s="197">
        <v>70.3</v>
      </c>
      <c r="W158" s="195">
        <v>85</v>
      </c>
      <c r="X158" s="196">
        <v>76</v>
      </c>
      <c r="Y158" s="197">
        <v>70.3</v>
      </c>
      <c r="Z158" s="195">
        <v>85</v>
      </c>
      <c r="AA158" s="196">
        <v>76</v>
      </c>
      <c r="AB158" s="197">
        <v>70.3</v>
      </c>
      <c r="AC158" s="195">
        <v>85</v>
      </c>
      <c r="AD158" s="196">
        <v>76</v>
      </c>
      <c r="AE158" s="197">
        <v>70.3</v>
      </c>
      <c r="AF158" s="195">
        <v>85</v>
      </c>
      <c r="AG158" s="196">
        <v>76</v>
      </c>
      <c r="AH158" s="197">
        <v>70.3</v>
      </c>
      <c r="AI158" s="200" t="s">
        <v>883</v>
      </c>
      <c r="AJ158" s="193" t="s">
        <v>1673</v>
      </c>
      <c r="AK158" s="201" t="s">
        <v>1592</v>
      </c>
      <c r="AL158" s="205">
        <v>1</v>
      </c>
      <c r="AM158" s="200"/>
      <c r="AN158" s="204">
        <v>76</v>
      </c>
      <c r="AO158" s="203"/>
      <c r="AP158" s="207" t="s">
        <v>76</v>
      </c>
      <c r="AQ158" s="199" t="s">
        <v>1619</v>
      </c>
      <c r="AR158" s="202"/>
      <c r="AS158" s="205">
        <v>2039</v>
      </c>
      <c r="AT158" s="206"/>
      <c r="AU158" s="201" t="s">
        <v>24</v>
      </c>
      <c r="AV158" s="193" t="s">
        <v>13</v>
      </c>
      <c r="AW158" s="205">
        <v>1374</v>
      </c>
    </row>
    <row r="159" spans="1:49">
      <c r="A159" s="192" t="s">
        <v>110</v>
      </c>
      <c r="B159" s="194" t="s">
        <v>1555</v>
      </c>
      <c r="C159" s="160" t="s">
        <v>2522</v>
      </c>
      <c r="D159" s="193" t="s">
        <v>2524</v>
      </c>
      <c r="E159" s="195">
        <v>83</v>
      </c>
      <c r="F159" s="196">
        <v>74</v>
      </c>
      <c r="G159" s="197">
        <v>68.3</v>
      </c>
      <c r="H159" s="195">
        <v>83</v>
      </c>
      <c r="I159" s="196">
        <v>74</v>
      </c>
      <c r="J159" s="197">
        <v>68.3</v>
      </c>
      <c r="K159" s="195">
        <v>83</v>
      </c>
      <c r="L159" s="196">
        <v>74</v>
      </c>
      <c r="M159" s="197">
        <v>68.3</v>
      </c>
      <c r="N159" s="195">
        <v>83</v>
      </c>
      <c r="O159" s="196">
        <v>74</v>
      </c>
      <c r="P159" s="197">
        <v>68.3</v>
      </c>
      <c r="Q159" s="195">
        <v>85</v>
      </c>
      <c r="R159" s="196">
        <v>76</v>
      </c>
      <c r="S159" s="197">
        <v>70.3</v>
      </c>
      <c r="T159" s="195">
        <v>85</v>
      </c>
      <c r="U159" s="196">
        <v>76</v>
      </c>
      <c r="V159" s="197">
        <v>70.3</v>
      </c>
      <c r="W159" s="195">
        <v>85</v>
      </c>
      <c r="X159" s="196">
        <v>76</v>
      </c>
      <c r="Y159" s="197">
        <v>70.3</v>
      </c>
      <c r="Z159" s="195">
        <v>85</v>
      </c>
      <c r="AA159" s="196">
        <v>76</v>
      </c>
      <c r="AB159" s="197">
        <v>70.3</v>
      </c>
      <c r="AC159" s="195">
        <v>85</v>
      </c>
      <c r="AD159" s="196">
        <v>76</v>
      </c>
      <c r="AE159" s="197">
        <v>70.3</v>
      </c>
      <c r="AF159" s="195">
        <v>85</v>
      </c>
      <c r="AG159" s="196">
        <v>76</v>
      </c>
      <c r="AH159" s="197">
        <v>70.3</v>
      </c>
      <c r="AI159" s="200" t="s">
        <v>883</v>
      </c>
      <c r="AJ159" s="193" t="s">
        <v>1673</v>
      </c>
      <c r="AK159" s="201" t="s">
        <v>1592</v>
      </c>
      <c r="AL159" s="205">
        <v>1</v>
      </c>
      <c r="AM159" s="200"/>
      <c r="AN159" s="204">
        <v>76</v>
      </c>
      <c r="AO159" s="203"/>
      <c r="AP159" s="207" t="s">
        <v>76</v>
      </c>
      <c r="AQ159" s="199" t="s">
        <v>1619</v>
      </c>
      <c r="AR159" s="202"/>
      <c r="AS159" s="205">
        <v>2039</v>
      </c>
      <c r="AT159" s="206"/>
      <c r="AU159" s="201" t="s">
        <v>24</v>
      </c>
      <c r="AV159" s="193" t="s">
        <v>13</v>
      </c>
      <c r="AW159" s="205">
        <v>1374</v>
      </c>
    </row>
    <row r="160" spans="1:49">
      <c r="A160" s="192" t="s">
        <v>110</v>
      </c>
      <c r="B160" s="194" t="s">
        <v>1555</v>
      </c>
      <c r="C160" s="160" t="s">
        <v>2522</v>
      </c>
      <c r="D160" s="193" t="s">
        <v>2525</v>
      </c>
      <c r="E160" s="195">
        <v>87</v>
      </c>
      <c r="F160" s="196">
        <v>78</v>
      </c>
      <c r="G160" s="197">
        <v>72.3</v>
      </c>
      <c r="H160" s="195">
        <v>87</v>
      </c>
      <c r="I160" s="196">
        <v>78</v>
      </c>
      <c r="J160" s="197">
        <v>72.3</v>
      </c>
      <c r="K160" s="195">
        <v>87</v>
      </c>
      <c r="L160" s="196">
        <v>78</v>
      </c>
      <c r="M160" s="197">
        <v>72.3</v>
      </c>
      <c r="N160" s="195">
        <v>87</v>
      </c>
      <c r="O160" s="196">
        <v>78</v>
      </c>
      <c r="P160" s="197">
        <v>72.3</v>
      </c>
      <c r="Q160" s="195">
        <v>87</v>
      </c>
      <c r="R160" s="196">
        <v>78</v>
      </c>
      <c r="S160" s="197">
        <v>72.3</v>
      </c>
      <c r="T160" s="195">
        <v>87</v>
      </c>
      <c r="U160" s="196">
        <v>78</v>
      </c>
      <c r="V160" s="197">
        <v>72.3</v>
      </c>
      <c r="W160" s="195">
        <v>87</v>
      </c>
      <c r="X160" s="196">
        <v>78</v>
      </c>
      <c r="Y160" s="197">
        <v>72.3</v>
      </c>
      <c r="Z160" s="195">
        <v>87</v>
      </c>
      <c r="AA160" s="196">
        <v>78</v>
      </c>
      <c r="AB160" s="197">
        <v>72.3</v>
      </c>
      <c r="AC160" s="195">
        <v>87</v>
      </c>
      <c r="AD160" s="196">
        <v>78</v>
      </c>
      <c r="AE160" s="197">
        <v>72.3</v>
      </c>
      <c r="AF160" s="195">
        <v>87</v>
      </c>
      <c r="AG160" s="196">
        <v>78</v>
      </c>
      <c r="AH160" s="197">
        <v>72.3</v>
      </c>
      <c r="AI160" s="200" t="s">
        <v>883</v>
      </c>
      <c r="AJ160" s="193" t="s">
        <v>1673</v>
      </c>
      <c r="AK160" s="201" t="s">
        <v>1592</v>
      </c>
      <c r="AL160" s="205">
        <v>1</v>
      </c>
      <c r="AM160" s="200"/>
      <c r="AN160" s="204">
        <v>76</v>
      </c>
      <c r="AO160" s="203"/>
      <c r="AP160" s="207" t="s">
        <v>76</v>
      </c>
      <c r="AQ160" s="199" t="s">
        <v>1619</v>
      </c>
      <c r="AR160" s="202"/>
      <c r="AS160" s="205">
        <v>2039</v>
      </c>
      <c r="AT160" s="206"/>
      <c r="AU160" s="201" t="s">
        <v>24</v>
      </c>
      <c r="AV160" s="193" t="s">
        <v>13</v>
      </c>
      <c r="AW160" s="205">
        <v>1374</v>
      </c>
    </row>
    <row r="161" spans="1:49">
      <c r="A161" s="192" t="s">
        <v>45</v>
      </c>
      <c r="B161" s="194" t="s">
        <v>1555</v>
      </c>
      <c r="C161" s="160" t="s">
        <v>413</v>
      </c>
      <c r="D161" s="193" t="s">
        <v>415</v>
      </c>
      <c r="E161" s="195">
        <v>50</v>
      </c>
      <c r="F161" s="196">
        <v>50</v>
      </c>
      <c r="G161" s="197">
        <v>50</v>
      </c>
      <c r="H161" s="195">
        <v>50</v>
      </c>
      <c r="I161" s="196">
        <v>50</v>
      </c>
      <c r="J161" s="197">
        <v>50</v>
      </c>
      <c r="K161" s="195">
        <v>50</v>
      </c>
      <c r="L161" s="196">
        <v>50</v>
      </c>
      <c r="M161" s="197">
        <v>50</v>
      </c>
      <c r="N161" s="195">
        <v>50</v>
      </c>
      <c r="O161" s="196">
        <v>50</v>
      </c>
      <c r="P161" s="197">
        <v>50</v>
      </c>
      <c r="Q161" s="195">
        <v>50</v>
      </c>
      <c r="R161" s="196">
        <v>50</v>
      </c>
      <c r="S161" s="197">
        <v>50</v>
      </c>
      <c r="T161" s="195">
        <v>50</v>
      </c>
      <c r="U161" s="196">
        <v>50</v>
      </c>
      <c r="V161" s="197">
        <v>50</v>
      </c>
      <c r="W161" s="195">
        <v>50</v>
      </c>
      <c r="X161" s="196">
        <v>50</v>
      </c>
      <c r="Y161" s="197">
        <v>50</v>
      </c>
      <c r="Z161" s="195">
        <v>50</v>
      </c>
      <c r="AA161" s="196">
        <v>50</v>
      </c>
      <c r="AB161" s="197">
        <v>50</v>
      </c>
      <c r="AC161" s="195">
        <v>50</v>
      </c>
      <c r="AD161" s="196">
        <v>50</v>
      </c>
      <c r="AE161" s="197">
        <v>50</v>
      </c>
      <c r="AF161" s="195">
        <v>50</v>
      </c>
      <c r="AG161" s="196">
        <v>50</v>
      </c>
      <c r="AH161" s="197">
        <v>50</v>
      </c>
      <c r="AI161" s="200" t="s">
        <v>414</v>
      </c>
      <c r="AJ161" s="193" t="s">
        <v>1631</v>
      </c>
      <c r="AK161" s="201" t="s">
        <v>1614</v>
      </c>
      <c r="AL161" s="205">
        <v>20</v>
      </c>
      <c r="AM161" s="200"/>
      <c r="AN161" s="204">
        <v>55</v>
      </c>
      <c r="AO161" s="203"/>
      <c r="AP161" s="207" t="s">
        <v>76</v>
      </c>
      <c r="AQ161" s="199" t="s">
        <v>1620</v>
      </c>
      <c r="AR161" s="202">
        <v>44531</v>
      </c>
      <c r="AS161" s="205">
        <v>2050</v>
      </c>
      <c r="AT161" s="206"/>
      <c r="AU161" s="201" t="s">
        <v>24</v>
      </c>
      <c r="AV161" s="193" t="s">
        <v>1615</v>
      </c>
      <c r="AW161" s="205">
        <v>1521</v>
      </c>
    </row>
    <row r="162" spans="1:49">
      <c r="A162" s="192" t="s">
        <v>105</v>
      </c>
      <c r="B162" s="194" t="s">
        <v>1555</v>
      </c>
      <c r="C162" s="160" t="s">
        <v>2538</v>
      </c>
      <c r="D162" s="193" t="s">
        <v>2539</v>
      </c>
      <c r="E162" s="195">
        <v>140</v>
      </c>
      <c r="F162" s="196">
        <v>140</v>
      </c>
      <c r="G162" s="197">
        <v>140</v>
      </c>
      <c r="H162" s="195">
        <v>140</v>
      </c>
      <c r="I162" s="196">
        <v>140</v>
      </c>
      <c r="J162" s="197">
        <v>140</v>
      </c>
      <c r="K162" s="195">
        <v>140</v>
      </c>
      <c r="L162" s="196">
        <v>140</v>
      </c>
      <c r="M162" s="197">
        <v>140</v>
      </c>
      <c r="N162" s="195">
        <v>140</v>
      </c>
      <c r="O162" s="196">
        <v>140</v>
      </c>
      <c r="P162" s="197">
        <v>140</v>
      </c>
      <c r="Q162" s="195">
        <v>140</v>
      </c>
      <c r="R162" s="196">
        <v>0</v>
      </c>
      <c r="S162" s="197">
        <v>0</v>
      </c>
      <c r="T162" s="195">
        <v>144</v>
      </c>
      <c r="U162" s="196">
        <v>144</v>
      </c>
      <c r="V162" s="197">
        <v>144</v>
      </c>
      <c r="W162" s="195">
        <v>144</v>
      </c>
      <c r="X162" s="196">
        <v>144</v>
      </c>
      <c r="Y162" s="197">
        <v>144</v>
      </c>
      <c r="Z162" s="195">
        <v>144</v>
      </c>
      <c r="AA162" s="196">
        <v>144</v>
      </c>
      <c r="AB162" s="197">
        <v>144</v>
      </c>
      <c r="AC162" s="195">
        <v>144</v>
      </c>
      <c r="AD162" s="196">
        <v>144</v>
      </c>
      <c r="AE162" s="197">
        <v>144</v>
      </c>
      <c r="AF162" s="195">
        <v>144</v>
      </c>
      <c r="AG162" s="196">
        <v>144</v>
      </c>
      <c r="AH162" s="197">
        <v>144</v>
      </c>
      <c r="AI162" s="200" t="s">
        <v>1735</v>
      </c>
      <c r="AJ162" s="193" t="s">
        <v>1700</v>
      </c>
      <c r="AK162" s="201" t="s">
        <v>1658</v>
      </c>
      <c r="AL162" s="205">
        <v>1</v>
      </c>
      <c r="AM162" s="200">
        <v>144</v>
      </c>
      <c r="AN162" s="204">
        <v>144</v>
      </c>
      <c r="AO162" s="203"/>
      <c r="AP162" s="207" t="s">
        <v>76</v>
      </c>
      <c r="AQ162" s="199" t="s">
        <v>1619</v>
      </c>
      <c r="AR162" s="202"/>
      <c r="AS162" s="205">
        <v>2100</v>
      </c>
      <c r="AT162" s="206"/>
      <c r="AU162" s="201" t="s">
        <v>24</v>
      </c>
      <c r="AV162" s="193" t="s">
        <v>17</v>
      </c>
      <c r="AW162" s="205">
        <v>1097</v>
      </c>
    </row>
    <row r="163" spans="1:49">
      <c r="A163" s="192" t="s">
        <v>45</v>
      </c>
      <c r="B163" s="194" t="s">
        <v>1555</v>
      </c>
      <c r="C163" s="160" t="s">
        <v>330</v>
      </c>
      <c r="D163" s="193" t="s">
        <v>332</v>
      </c>
      <c r="E163" s="195">
        <v>30.007999999999999</v>
      </c>
      <c r="F163" s="196">
        <v>30.007999999999999</v>
      </c>
      <c r="G163" s="197">
        <v>30.007999999999999</v>
      </c>
      <c r="H163" s="195">
        <v>30.007999999999999</v>
      </c>
      <c r="I163" s="196">
        <v>30.007999999999999</v>
      </c>
      <c r="J163" s="197">
        <v>30.007999999999999</v>
      </c>
      <c r="K163" s="195">
        <v>30.007999999999999</v>
      </c>
      <c r="L163" s="196">
        <v>30.007999999999999</v>
      </c>
      <c r="M163" s="197">
        <v>30.007999999999999</v>
      </c>
      <c r="N163" s="195">
        <v>30.007999999999999</v>
      </c>
      <c r="O163" s="196">
        <v>30.007999999999999</v>
      </c>
      <c r="P163" s="197">
        <v>30.007999999999999</v>
      </c>
      <c r="Q163" s="195">
        <v>30.007999999999999</v>
      </c>
      <c r="R163" s="196">
        <v>30.007999999999999</v>
      </c>
      <c r="S163" s="197">
        <v>30.007999999999999</v>
      </c>
      <c r="T163" s="195">
        <v>30.007999999999999</v>
      </c>
      <c r="U163" s="196">
        <v>30.007999999999999</v>
      </c>
      <c r="V163" s="197">
        <v>30.007999999999999</v>
      </c>
      <c r="W163" s="195">
        <v>30.007999999999999</v>
      </c>
      <c r="X163" s="196">
        <v>30.007999999999999</v>
      </c>
      <c r="Y163" s="197">
        <v>30.007999999999999</v>
      </c>
      <c r="Z163" s="195">
        <v>30.007999999999999</v>
      </c>
      <c r="AA163" s="196">
        <v>30.007999999999999</v>
      </c>
      <c r="AB163" s="197">
        <v>30.007999999999999</v>
      </c>
      <c r="AC163" s="195">
        <v>30.007999999999999</v>
      </c>
      <c r="AD163" s="196">
        <v>30.007999999999999</v>
      </c>
      <c r="AE163" s="197">
        <v>30.007999999999999</v>
      </c>
      <c r="AF163" s="195">
        <v>30.007999999999999</v>
      </c>
      <c r="AG163" s="196">
        <v>30.007999999999999</v>
      </c>
      <c r="AH163" s="197">
        <v>30.007999999999999</v>
      </c>
      <c r="AI163" s="200" t="s">
        <v>331</v>
      </c>
      <c r="AJ163" s="193" t="s">
        <v>1631</v>
      </c>
      <c r="AK163" s="201" t="s">
        <v>1614</v>
      </c>
      <c r="AL163" s="205">
        <v>22</v>
      </c>
      <c r="AM163" s="200">
        <v>36.014000000000003</v>
      </c>
      <c r="AN163" s="204">
        <v>36.014000000000003</v>
      </c>
      <c r="AO163" s="203"/>
      <c r="AP163" s="207" t="s">
        <v>76</v>
      </c>
      <c r="AQ163" s="199" t="s">
        <v>1620</v>
      </c>
      <c r="AR163" s="202"/>
      <c r="AS163" s="205">
        <v>2050</v>
      </c>
      <c r="AT163" s="206"/>
      <c r="AU163" s="201" t="s">
        <v>24</v>
      </c>
      <c r="AV163" s="193" t="s">
        <v>1615</v>
      </c>
      <c r="AW163" s="205">
        <v>1526</v>
      </c>
    </row>
    <row r="164" spans="1:49">
      <c r="A164" s="192" t="s">
        <v>77</v>
      </c>
      <c r="B164" s="194" t="s">
        <v>1555</v>
      </c>
      <c r="C164" s="160" t="s">
        <v>2542</v>
      </c>
      <c r="D164" s="193" t="s">
        <v>2544</v>
      </c>
      <c r="E164" s="195">
        <v>151.98400000000001</v>
      </c>
      <c r="F164" s="196">
        <v>151.98400000000001</v>
      </c>
      <c r="G164" s="197">
        <v>151.98400000000001</v>
      </c>
      <c r="H164" s="195">
        <v>151.98400000000001</v>
      </c>
      <c r="I164" s="196">
        <v>151.98400000000001</v>
      </c>
      <c r="J164" s="197">
        <v>151.98400000000001</v>
      </c>
      <c r="K164" s="195">
        <v>151.98400000000001</v>
      </c>
      <c r="L164" s="196">
        <v>151.98400000000001</v>
      </c>
      <c r="M164" s="197">
        <v>151.98400000000001</v>
      </c>
      <c r="N164" s="195">
        <v>151.98400000000001</v>
      </c>
      <c r="O164" s="196">
        <v>151.98400000000001</v>
      </c>
      <c r="P164" s="197">
        <v>151.98400000000001</v>
      </c>
      <c r="Q164" s="195">
        <v>151.98400000000001</v>
      </c>
      <c r="R164" s="196">
        <v>151.98400000000001</v>
      </c>
      <c r="S164" s="197">
        <v>151.98400000000001</v>
      </c>
      <c r="T164" s="195">
        <v>151.98400000000001</v>
      </c>
      <c r="U164" s="196">
        <v>151.98400000000001</v>
      </c>
      <c r="V164" s="197">
        <v>151.98400000000001</v>
      </c>
      <c r="W164" s="195">
        <v>151.98400000000001</v>
      </c>
      <c r="X164" s="196">
        <v>151.98400000000001</v>
      </c>
      <c r="Y164" s="197">
        <v>151.98400000000001</v>
      </c>
      <c r="Z164" s="195">
        <v>151.98400000000001</v>
      </c>
      <c r="AA164" s="196">
        <v>151.98400000000001</v>
      </c>
      <c r="AB164" s="197">
        <v>151.98400000000001</v>
      </c>
      <c r="AC164" s="195">
        <v>151.98400000000001</v>
      </c>
      <c r="AD164" s="196">
        <v>151.98400000000001</v>
      </c>
      <c r="AE164" s="197">
        <v>151.98400000000001</v>
      </c>
      <c r="AF164" s="195">
        <v>151.98400000000001</v>
      </c>
      <c r="AG164" s="196">
        <v>151.98400000000001</v>
      </c>
      <c r="AH164" s="197">
        <v>151.98400000000001</v>
      </c>
      <c r="AI164" s="200" t="s">
        <v>2543</v>
      </c>
      <c r="AJ164" s="193" t="s">
        <v>1625</v>
      </c>
      <c r="AK164" s="201" t="s">
        <v>1609</v>
      </c>
      <c r="AL164" s="205">
        <v>28</v>
      </c>
      <c r="AM164" s="200">
        <v>0</v>
      </c>
      <c r="AN164" s="204">
        <v>156.80000000000001</v>
      </c>
      <c r="AO164" s="203"/>
      <c r="AP164" s="207" t="s">
        <v>401</v>
      </c>
      <c r="AQ164" s="199" t="s">
        <v>1620</v>
      </c>
      <c r="AR164" s="202">
        <v>45017</v>
      </c>
      <c r="AS164" s="205">
        <v>2048</v>
      </c>
      <c r="AT164" s="206"/>
      <c r="AU164" s="201" t="s">
        <v>24</v>
      </c>
      <c r="AV164" s="193" t="s">
        <v>16</v>
      </c>
      <c r="AW164" s="205">
        <v>2020</v>
      </c>
    </row>
    <row r="165" spans="1:49">
      <c r="A165" s="192" t="s">
        <v>110</v>
      </c>
      <c r="B165" s="194" t="s">
        <v>1555</v>
      </c>
      <c r="C165" s="160" t="s">
        <v>913</v>
      </c>
      <c r="D165" s="193" t="s">
        <v>2553</v>
      </c>
      <c r="E165" s="195">
        <v>90.022000000000006</v>
      </c>
      <c r="F165" s="196">
        <v>90.022000000000006</v>
      </c>
      <c r="G165" s="197">
        <v>90.022000000000006</v>
      </c>
      <c r="H165" s="195">
        <v>90.022000000000006</v>
      </c>
      <c r="I165" s="196">
        <v>90.022000000000006</v>
      </c>
      <c r="J165" s="197">
        <v>90.022000000000006</v>
      </c>
      <c r="K165" s="195">
        <v>90.022000000000006</v>
      </c>
      <c r="L165" s="196">
        <v>90.022000000000006</v>
      </c>
      <c r="M165" s="197">
        <v>90.022000000000006</v>
      </c>
      <c r="N165" s="195">
        <v>90.022000000000006</v>
      </c>
      <c r="O165" s="196">
        <v>90.022000000000006</v>
      </c>
      <c r="P165" s="197">
        <v>90.022000000000006</v>
      </c>
      <c r="Q165" s="195">
        <v>90.022000000000006</v>
      </c>
      <c r="R165" s="196">
        <v>90.022000000000006</v>
      </c>
      <c r="S165" s="197">
        <v>90.022000000000006</v>
      </c>
      <c r="T165" s="195">
        <v>90.022000000000006</v>
      </c>
      <c r="U165" s="196">
        <v>90.022000000000006</v>
      </c>
      <c r="V165" s="197">
        <v>90.022000000000006</v>
      </c>
      <c r="W165" s="195">
        <v>90.022000000000006</v>
      </c>
      <c r="X165" s="196">
        <v>90.022000000000006</v>
      </c>
      <c r="Y165" s="197">
        <v>90.022000000000006</v>
      </c>
      <c r="Z165" s="195">
        <v>90.022000000000006</v>
      </c>
      <c r="AA165" s="196">
        <v>90.022000000000006</v>
      </c>
      <c r="AB165" s="197">
        <v>90.022000000000006</v>
      </c>
      <c r="AC165" s="195">
        <v>90.022000000000006</v>
      </c>
      <c r="AD165" s="196">
        <v>90.022000000000006</v>
      </c>
      <c r="AE165" s="197">
        <v>90.022000000000006</v>
      </c>
      <c r="AF165" s="195">
        <v>90.022000000000006</v>
      </c>
      <c r="AG165" s="196">
        <v>90.022000000000006</v>
      </c>
      <c r="AH165" s="197">
        <v>90.022000000000006</v>
      </c>
      <c r="AI165" s="200" t="s">
        <v>2552</v>
      </c>
      <c r="AJ165" s="193" t="s">
        <v>1631</v>
      </c>
      <c r="AK165" s="201" t="s">
        <v>1614</v>
      </c>
      <c r="AL165" s="205">
        <v>38</v>
      </c>
      <c r="AM165" s="200">
        <v>89.983999999999995</v>
      </c>
      <c r="AN165" s="204">
        <v>104.5</v>
      </c>
      <c r="AO165" s="203"/>
      <c r="AP165" s="207" t="s">
        <v>76</v>
      </c>
      <c r="AQ165" s="199" t="s">
        <v>1620</v>
      </c>
      <c r="AR165" s="202">
        <v>43435</v>
      </c>
      <c r="AS165" s="205">
        <v>2048</v>
      </c>
      <c r="AT165" s="206"/>
      <c r="AU165" s="201" t="s">
        <v>24</v>
      </c>
      <c r="AV165" s="193" t="s">
        <v>1615</v>
      </c>
      <c r="AW165" s="205">
        <v>1424</v>
      </c>
    </row>
    <row r="166" spans="1:49">
      <c r="A166" s="192" t="s">
        <v>77</v>
      </c>
      <c r="B166" s="194" t="s">
        <v>1555</v>
      </c>
      <c r="C166" s="160" t="s">
        <v>2554</v>
      </c>
      <c r="D166" s="193" t="s">
        <v>2555</v>
      </c>
      <c r="E166" s="195">
        <v>21.6</v>
      </c>
      <c r="F166" s="196">
        <v>21.6</v>
      </c>
      <c r="G166" s="197">
        <v>21.6</v>
      </c>
      <c r="H166" s="195">
        <v>21.6</v>
      </c>
      <c r="I166" s="196">
        <v>21.6</v>
      </c>
      <c r="J166" s="197">
        <v>21.6</v>
      </c>
      <c r="K166" s="195">
        <v>21.6</v>
      </c>
      <c r="L166" s="196">
        <v>21.6</v>
      </c>
      <c r="M166" s="197">
        <v>21.6</v>
      </c>
      <c r="N166" s="195">
        <v>21.6</v>
      </c>
      <c r="O166" s="196">
        <v>21.6</v>
      </c>
      <c r="P166" s="197">
        <v>21.6</v>
      </c>
      <c r="Q166" s="195">
        <v>21.6</v>
      </c>
      <c r="R166" s="196">
        <v>21.6</v>
      </c>
      <c r="S166" s="197">
        <v>21.6</v>
      </c>
      <c r="T166" s="195">
        <v>21.6</v>
      </c>
      <c r="U166" s="196">
        <v>21.6</v>
      </c>
      <c r="V166" s="197">
        <v>21.6</v>
      </c>
      <c r="W166" s="195">
        <v>21.6</v>
      </c>
      <c r="X166" s="196">
        <v>21.6</v>
      </c>
      <c r="Y166" s="197">
        <v>21.6</v>
      </c>
      <c r="Z166" s="195">
        <v>21.6</v>
      </c>
      <c r="AA166" s="196">
        <v>21.6</v>
      </c>
      <c r="AB166" s="197">
        <v>21.6</v>
      </c>
      <c r="AC166" s="195">
        <v>21.6</v>
      </c>
      <c r="AD166" s="196">
        <v>21.6</v>
      </c>
      <c r="AE166" s="197">
        <v>21.6</v>
      </c>
      <c r="AF166" s="195">
        <v>21.6</v>
      </c>
      <c r="AG166" s="196">
        <v>21.6</v>
      </c>
      <c r="AH166" s="197">
        <v>21.6</v>
      </c>
      <c r="AI166" s="200" t="s">
        <v>1715</v>
      </c>
      <c r="AJ166" s="193" t="s">
        <v>1716</v>
      </c>
      <c r="AK166" s="201" t="s">
        <v>1658</v>
      </c>
      <c r="AL166" s="205">
        <v>1</v>
      </c>
      <c r="AM166" s="200"/>
      <c r="AN166" s="204">
        <v>21.6</v>
      </c>
      <c r="AO166" s="203"/>
      <c r="AP166" s="207" t="s">
        <v>76</v>
      </c>
      <c r="AQ166" s="199" t="s">
        <v>1619</v>
      </c>
      <c r="AR166" s="202"/>
      <c r="AS166" s="205">
        <v>2037</v>
      </c>
      <c r="AT166" s="206"/>
      <c r="AU166" s="201" t="s">
        <v>24</v>
      </c>
      <c r="AV166" s="193" t="s">
        <v>17</v>
      </c>
      <c r="AW166" s="205">
        <v>1100</v>
      </c>
    </row>
    <row r="167" spans="1:49">
      <c r="A167" s="192" t="s">
        <v>77</v>
      </c>
      <c r="B167" s="194" t="s">
        <v>1555</v>
      </c>
      <c r="C167" s="160" t="s">
        <v>2554</v>
      </c>
      <c r="D167" s="193" t="s">
        <v>2556</v>
      </c>
      <c r="E167" s="195">
        <v>21.6</v>
      </c>
      <c r="F167" s="196">
        <v>21.6</v>
      </c>
      <c r="G167" s="197">
        <v>21.6</v>
      </c>
      <c r="H167" s="195">
        <v>21.6</v>
      </c>
      <c r="I167" s="196">
        <v>21.6</v>
      </c>
      <c r="J167" s="197">
        <v>21.6</v>
      </c>
      <c r="K167" s="195">
        <v>21.6</v>
      </c>
      <c r="L167" s="196">
        <v>21.6</v>
      </c>
      <c r="M167" s="197">
        <v>21.6</v>
      </c>
      <c r="N167" s="195">
        <v>21.6</v>
      </c>
      <c r="O167" s="196">
        <v>21.6</v>
      </c>
      <c r="P167" s="197">
        <v>21.6</v>
      </c>
      <c r="Q167" s="195">
        <v>21.6</v>
      </c>
      <c r="R167" s="196">
        <v>21.6</v>
      </c>
      <c r="S167" s="197">
        <v>21.6</v>
      </c>
      <c r="T167" s="195">
        <v>21.6</v>
      </c>
      <c r="U167" s="196">
        <v>21.6</v>
      </c>
      <c r="V167" s="197">
        <v>21.6</v>
      </c>
      <c r="W167" s="195">
        <v>21.6</v>
      </c>
      <c r="X167" s="196">
        <v>21.6</v>
      </c>
      <c r="Y167" s="197">
        <v>21.6</v>
      </c>
      <c r="Z167" s="195">
        <v>21.6</v>
      </c>
      <c r="AA167" s="196">
        <v>21.6</v>
      </c>
      <c r="AB167" s="197">
        <v>21.6</v>
      </c>
      <c r="AC167" s="195">
        <v>21.6</v>
      </c>
      <c r="AD167" s="196">
        <v>21.6</v>
      </c>
      <c r="AE167" s="197">
        <v>21.6</v>
      </c>
      <c r="AF167" s="195">
        <v>21.6</v>
      </c>
      <c r="AG167" s="196">
        <v>21.6</v>
      </c>
      <c r="AH167" s="197">
        <v>21.6</v>
      </c>
      <c r="AI167" s="200" t="s">
        <v>1715</v>
      </c>
      <c r="AJ167" s="193" t="s">
        <v>1716</v>
      </c>
      <c r="AK167" s="201" t="s">
        <v>1658</v>
      </c>
      <c r="AL167" s="205">
        <v>1</v>
      </c>
      <c r="AM167" s="200"/>
      <c r="AN167" s="204">
        <v>21.6</v>
      </c>
      <c r="AO167" s="203"/>
      <c r="AP167" s="207" t="s">
        <v>76</v>
      </c>
      <c r="AQ167" s="199" t="s">
        <v>1619</v>
      </c>
      <c r="AR167" s="202"/>
      <c r="AS167" s="205">
        <v>2037</v>
      </c>
      <c r="AT167" s="206"/>
      <c r="AU167" s="201" t="s">
        <v>24</v>
      </c>
      <c r="AV167" s="193" t="s">
        <v>17</v>
      </c>
      <c r="AW167" s="205">
        <v>1100</v>
      </c>
    </row>
    <row r="168" spans="1:49">
      <c r="A168" s="192" t="s">
        <v>77</v>
      </c>
      <c r="B168" s="194" t="s">
        <v>1555</v>
      </c>
      <c r="C168" s="160" t="s">
        <v>2554</v>
      </c>
      <c r="D168" s="193" t="s">
        <v>2557</v>
      </c>
      <c r="E168" s="195">
        <v>21.6</v>
      </c>
      <c r="F168" s="196">
        <v>21.6</v>
      </c>
      <c r="G168" s="197">
        <v>21.6</v>
      </c>
      <c r="H168" s="195">
        <v>21.6</v>
      </c>
      <c r="I168" s="196">
        <v>21.6</v>
      </c>
      <c r="J168" s="197">
        <v>21.6</v>
      </c>
      <c r="K168" s="195">
        <v>21.6</v>
      </c>
      <c r="L168" s="196">
        <v>21.6</v>
      </c>
      <c r="M168" s="197">
        <v>21.6</v>
      </c>
      <c r="N168" s="195">
        <v>21.6</v>
      </c>
      <c r="O168" s="196">
        <v>21.6</v>
      </c>
      <c r="P168" s="197">
        <v>21.6</v>
      </c>
      <c r="Q168" s="195">
        <v>21.6</v>
      </c>
      <c r="R168" s="196">
        <v>21.6</v>
      </c>
      <c r="S168" s="197">
        <v>21.6</v>
      </c>
      <c r="T168" s="195">
        <v>21.6</v>
      </c>
      <c r="U168" s="196">
        <v>21.6</v>
      </c>
      <c r="V168" s="197">
        <v>21.6</v>
      </c>
      <c r="W168" s="195">
        <v>21.6</v>
      </c>
      <c r="X168" s="196">
        <v>21.6</v>
      </c>
      <c r="Y168" s="197">
        <v>21.6</v>
      </c>
      <c r="Z168" s="195">
        <v>21.6</v>
      </c>
      <c r="AA168" s="196">
        <v>21.6</v>
      </c>
      <c r="AB168" s="197">
        <v>21.6</v>
      </c>
      <c r="AC168" s="195">
        <v>21.6</v>
      </c>
      <c r="AD168" s="196">
        <v>21.6</v>
      </c>
      <c r="AE168" s="197">
        <v>21.6</v>
      </c>
      <c r="AF168" s="195">
        <v>21.6</v>
      </c>
      <c r="AG168" s="196">
        <v>21.6</v>
      </c>
      <c r="AH168" s="197">
        <v>21.6</v>
      </c>
      <c r="AI168" s="200" t="s">
        <v>1715</v>
      </c>
      <c r="AJ168" s="193" t="s">
        <v>1716</v>
      </c>
      <c r="AK168" s="201" t="s">
        <v>1658</v>
      </c>
      <c r="AL168" s="205">
        <v>1</v>
      </c>
      <c r="AM168" s="200"/>
      <c r="AN168" s="204">
        <v>21.6</v>
      </c>
      <c r="AO168" s="203"/>
      <c r="AP168" s="207" t="s">
        <v>76</v>
      </c>
      <c r="AQ168" s="199" t="s">
        <v>1619</v>
      </c>
      <c r="AR168" s="202"/>
      <c r="AS168" s="205">
        <v>2037</v>
      </c>
      <c r="AT168" s="206"/>
      <c r="AU168" s="201" t="s">
        <v>24</v>
      </c>
      <c r="AV168" s="193" t="s">
        <v>17</v>
      </c>
      <c r="AW168" s="205">
        <v>1100</v>
      </c>
    </row>
    <row r="169" spans="1:49">
      <c r="A169" s="192" t="s">
        <v>77</v>
      </c>
      <c r="B169" s="194" t="s">
        <v>1555</v>
      </c>
      <c r="C169" s="160" t="s">
        <v>2554</v>
      </c>
      <c r="D169" s="193" t="s">
        <v>2558</v>
      </c>
      <c r="E169" s="195">
        <v>21.6</v>
      </c>
      <c r="F169" s="196">
        <v>21.6</v>
      </c>
      <c r="G169" s="197">
        <v>21.6</v>
      </c>
      <c r="H169" s="195">
        <v>21.6</v>
      </c>
      <c r="I169" s="196">
        <v>21.6</v>
      </c>
      <c r="J169" s="197">
        <v>21.6</v>
      </c>
      <c r="K169" s="195">
        <v>21.6</v>
      </c>
      <c r="L169" s="196">
        <v>21.6</v>
      </c>
      <c r="M169" s="197">
        <v>21.6</v>
      </c>
      <c r="N169" s="195">
        <v>21.6</v>
      </c>
      <c r="O169" s="196">
        <v>21.6</v>
      </c>
      <c r="P169" s="197">
        <v>21.6</v>
      </c>
      <c r="Q169" s="195">
        <v>21.6</v>
      </c>
      <c r="R169" s="196">
        <v>21.6</v>
      </c>
      <c r="S169" s="197">
        <v>21.6</v>
      </c>
      <c r="T169" s="195">
        <v>21.6</v>
      </c>
      <c r="U169" s="196">
        <v>21.6</v>
      </c>
      <c r="V169" s="197">
        <v>21.6</v>
      </c>
      <c r="W169" s="195">
        <v>21.6</v>
      </c>
      <c r="X169" s="196">
        <v>21.6</v>
      </c>
      <c r="Y169" s="197">
        <v>21.6</v>
      </c>
      <c r="Z169" s="195">
        <v>21.6</v>
      </c>
      <c r="AA169" s="196">
        <v>21.6</v>
      </c>
      <c r="AB169" s="197">
        <v>21.6</v>
      </c>
      <c r="AC169" s="195">
        <v>21.6</v>
      </c>
      <c r="AD169" s="196">
        <v>21.6</v>
      </c>
      <c r="AE169" s="197">
        <v>21.6</v>
      </c>
      <c r="AF169" s="195">
        <v>21.6</v>
      </c>
      <c r="AG169" s="196">
        <v>21.6</v>
      </c>
      <c r="AH169" s="197">
        <v>21.6</v>
      </c>
      <c r="AI169" s="200" t="s">
        <v>1715</v>
      </c>
      <c r="AJ169" s="193" t="s">
        <v>1716</v>
      </c>
      <c r="AK169" s="201" t="s">
        <v>1658</v>
      </c>
      <c r="AL169" s="205">
        <v>1</v>
      </c>
      <c r="AM169" s="200"/>
      <c r="AN169" s="204">
        <v>21.6</v>
      </c>
      <c r="AO169" s="203"/>
      <c r="AP169" s="207" t="s">
        <v>76</v>
      </c>
      <c r="AQ169" s="199" t="s">
        <v>1619</v>
      </c>
      <c r="AR169" s="202"/>
      <c r="AS169" s="205">
        <v>2037</v>
      </c>
      <c r="AT169" s="206"/>
      <c r="AU169" s="201" t="s">
        <v>24</v>
      </c>
      <c r="AV169" s="193" t="s">
        <v>17</v>
      </c>
      <c r="AW169" s="205">
        <v>1100</v>
      </c>
    </row>
    <row r="170" spans="1:49">
      <c r="A170" s="192" t="s">
        <v>77</v>
      </c>
      <c r="B170" s="194" t="s">
        <v>1555</v>
      </c>
      <c r="C170" s="160" t="s">
        <v>532</v>
      </c>
      <c r="D170" s="193" t="s">
        <v>534</v>
      </c>
      <c r="E170" s="195">
        <v>15</v>
      </c>
      <c r="F170" s="196">
        <v>14.58</v>
      </c>
      <c r="G170" s="197">
        <v>14.28</v>
      </c>
      <c r="H170" s="195">
        <v>15</v>
      </c>
      <c r="I170" s="196">
        <v>14.58</v>
      </c>
      <c r="J170" s="197">
        <v>14.28</v>
      </c>
      <c r="K170" s="195">
        <v>15</v>
      </c>
      <c r="L170" s="196">
        <v>14.58</v>
      </c>
      <c r="M170" s="197">
        <v>14.28</v>
      </c>
      <c r="N170" s="195">
        <v>15</v>
      </c>
      <c r="O170" s="196">
        <v>14.58</v>
      </c>
      <c r="P170" s="197">
        <v>14.28</v>
      </c>
      <c r="Q170" s="195">
        <v>15</v>
      </c>
      <c r="R170" s="196">
        <v>14.58</v>
      </c>
      <c r="S170" s="197">
        <v>14.28</v>
      </c>
      <c r="T170" s="195">
        <v>15</v>
      </c>
      <c r="U170" s="196">
        <v>14.58</v>
      </c>
      <c r="V170" s="197">
        <v>14.28</v>
      </c>
      <c r="W170" s="195">
        <v>15</v>
      </c>
      <c r="X170" s="196">
        <v>14.58</v>
      </c>
      <c r="Y170" s="197">
        <v>14.28</v>
      </c>
      <c r="Z170" s="195">
        <v>15</v>
      </c>
      <c r="AA170" s="196">
        <v>14.58</v>
      </c>
      <c r="AB170" s="197">
        <v>14.28</v>
      </c>
      <c r="AC170" s="195">
        <v>15</v>
      </c>
      <c r="AD170" s="196">
        <v>14.58</v>
      </c>
      <c r="AE170" s="197">
        <v>14.28</v>
      </c>
      <c r="AF170" s="195">
        <v>15</v>
      </c>
      <c r="AG170" s="196">
        <v>14.58</v>
      </c>
      <c r="AH170" s="197">
        <v>14.28</v>
      </c>
      <c r="AI170" s="200" t="s">
        <v>533</v>
      </c>
      <c r="AJ170" s="193" t="s">
        <v>1631</v>
      </c>
      <c r="AK170" s="201" t="s">
        <v>1614</v>
      </c>
      <c r="AL170" s="205">
        <v>6</v>
      </c>
      <c r="AM170" s="200"/>
      <c r="AN170" s="204">
        <v>15</v>
      </c>
      <c r="AO170" s="203"/>
      <c r="AP170" s="207" t="s">
        <v>401</v>
      </c>
      <c r="AQ170" s="199" t="s">
        <v>1620</v>
      </c>
      <c r="AR170" s="202">
        <v>45170</v>
      </c>
      <c r="AS170" s="205">
        <v>2046</v>
      </c>
      <c r="AT170" s="206"/>
      <c r="AU170" s="201" t="s">
        <v>24</v>
      </c>
      <c r="AV170" s="193" t="s">
        <v>1615</v>
      </c>
      <c r="AW170" s="205">
        <v>1465</v>
      </c>
    </row>
    <row r="171" spans="1:49">
      <c r="A171" s="192" t="s">
        <v>77</v>
      </c>
      <c r="B171" s="194" t="s">
        <v>1555</v>
      </c>
      <c r="C171" s="160" t="s">
        <v>538</v>
      </c>
      <c r="D171" s="193" t="s">
        <v>539</v>
      </c>
      <c r="E171" s="195">
        <v>43.2</v>
      </c>
      <c r="F171" s="196">
        <v>43.2</v>
      </c>
      <c r="G171" s="197">
        <v>36</v>
      </c>
      <c r="H171" s="195">
        <v>43.2</v>
      </c>
      <c r="I171" s="196">
        <v>43.2</v>
      </c>
      <c r="J171" s="197">
        <v>36</v>
      </c>
      <c r="K171" s="195">
        <v>43.2</v>
      </c>
      <c r="L171" s="196">
        <v>43.2</v>
      </c>
      <c r="M171" s="197">
        <v>36</v>
      </c>
      <c r="N171" s="195">
        <v>43.2</v>
      </c>
      <c r="O171" s="196">
        <v>43.2</v>
      </c>
      <c r="P171" s="197">
        <v>36</v>
      </c>
      <c r="Q171" s="195">
        <v>43.2</v>
      </c>
      <c r="R171" s="196">
        <v>43.2</v>
      </c>
      <c r="S171" s="197">
        <v>36</v>
      </c>
      <c r="T171" s="195">
        <v>43.2</v>
      </c>
      <c r="U171" s="196">
        <v>43.2</v>
      </c>
      <c r="V171" s="197">
        <v>36</v>
      </c>
      <c r="W171" s="195">
        <v>43.2</v>
      </c>
      <c r="X171" s="196">
        <v>43.2</v>
      </c>
      <c r="Y171" s="197">
        <v>36</v>
      </c>
      <c r="Z171" s="195">
        <v>43.2</v>
      </c>
      <c r="AA171" s="196">
        <v>43.2</v>
      </c>
      <c r="AB171" s="197">
        <v>36</v>
      </c>
      <c r="AC171" s="195">
        <v>43.2</v>
      </c>
      <c r="AD171" s="196">
        <v>43.2</v>
      </c>
      <c r="AE171" s="197">
        <v>36</v>
      </c>
      <c r="AF171" s="195">
        <v>43.2</v>
      </c>
      <c r="AG171" s="196">
        <v>43.2</v>
      </c>
      <c r="AH171" s="197">
        <v>36</v>
      </c>
      <c r="AI171" s="200" t="s">
        <v>533</v>
      </c>
      <c r="AJ171" s="193" t="s">
        <v>1625</v>
      </c>
      <c r="AK171" s="201" t="s">
        <v>1609</v>
      </c>
      <c r="AL171" s="205">
        <v>12</v>
      </c>
      <c r="AM171" s="200"/>
      <c r="AN171" s="204">
        <v>43.2</v>
      </c>
      <c r="AO171" s="203"/>
      <c r="AP171" s="207" t="s">
        <v>401</v>
      </c>
      <c r="AQ171" s="199" t="s">
        <v>1620</v>
      </c>
      <c r="AR171" s="202">
        <v>45170</v>
      </c>
      <c r="AS171" s="205">
        <v>2046</v>
      </c>
      <c r="AT171" s="206"/>
      <c r="AU171" s="201" t="s">
        <v>24</v>
      </c>
      <c r="AV171" s="193" t="s">
        <v>16</v>
      </c>
      <c r="AW171" s="205">
        <v>1464</v>
      </c>
    </row>
    <row r="172" spans="1:49">
      <c r="A172" s="192" t="s">
        <v>110</v>
      </c>
      <c r="B172" s="194" t="s">
        <v>1555</v>
      </c>
      <c r="C172" s="160" t="s">
        <v>443</v>
      </c>
      <c r="D172" s="193" t="s">
        <v>445</v>
      </c>
      <c r="E172" s="195">
        <v>199.95</v>
      </c>
      <c r="F172" s="196">
        <v>198</v>
      </c>
      <c r="G172" s="197">
        <v>189</v>
      </c>
      <c r="H172" s="195">
        <v>199.95</v>
      </c>
      <c r="I172" s="196">
        <v>198</v>
      </c>
      <c r="J172" s="197">
        <v>189</v>
      </c>
      <c r="K172" s="195">
        <v>199.95</v>
      </c>
      <c r="L172" s="196">
        <v>198</v>
      </c>
      <c r="M172" s="197">
        <v>189</v>
      </c>
      <c r="N172" s="195">
        <v>199.95</v>
      </c>
      <c r="O172" s="196">
        <v>198</v>
      </c>
      <c r="P172" s="197">
        <v>189</v>
      </c>
      <c r="Q172" s="195">
        <v>199.95</v>
      </c>
      <c r="R172" s="196">
        <v>198</v>
      </c>
      <c r="S172" s="197">
        <v>189</v>
      </c>
      <c r="T172" s="195">
        <v>199.95</v>
      </c>
      <c r="U172" s="196">
        <v>198</v>
      </c>
      <c r="V172" s="197">
        <v>189</v>
      </c>
      <c r="W172" s="195">
        <v>199.95</v>
      </c>
      <c r="X172" s="196">
        <v>198</v>
      </c>
      <c r="Y172" s="197">
        <v>189</v>
      </c>
      <c r="Z172" s="195">
        <v>199.95</v>
      </c>
      <c r="AA172" s="196">
        <v>198</v>
      </c>
      <c r="AB172" s="197">
        <v>189</v>
      </c>
      <c r="AC172" s="195">
        <v>199.95</v>
      </c>
      <c r="AD172" s="196">
        <v>198</v>
      </c>
      <c r="AE172" s="197">
        <v>189</v>
      </c>
      <c r="AF172" s="195">
        <v>199.95</v>
      </c>
      <c r="AG172" s="196">
        <v>198</v>
      </c>
      <c r="AH172" s="197">
        <v>189</v>
      </c>
      <c r="AI172" s="200" t="s">
        <v>444</v>
      </c>
      <c r="AJ172" s="193" t="s">
        <v>1631</v>
      </c>
      <c r="AK172" s="201" t="s">
        <v>1614</v>
      </c>
      <c r="AL172" s="205">
        <v>150</v>
      </c>
      <c r="AM172" s="200">
        <v>199.95</v>
      </c>
      <c r="AN172" s="204">
        <v>199.95</v>
      </c>
      <c r="AO172" s="203"/>
      <c r="AP172" s="207" t="s">
        <v>76</v>
      </c>
      <c r="AQ172" s="199" t="s">
        <v>1620</v>
      </c>
      <c r="AR172" s="202">
        <v>44562</v>
      </c>
      <c r="AS172" s="205">
        <v>2049</v>
      </c>
      <c r="AT172" s="206"/>
      <c r="AU172" s="201" t="s">
        <v>24</v>
      </c>
      <c r="AV172" s="193" t="s">
        <v>1615</v>
      </c>
      <c r="AW172" s="205">
        <v>1602</v>
      </c>
    </row>
    <row r="173" spans="1:49">
      <c r="A173" s="192" t="s">
        <v>110</v>
      </c>
      <c r="B173" s="194" t="s">
        <v>1555</v>
      </c>
      <c r="C173" s="160" t="s">
        <v>1089</v>
      </c>
      <c r="D173" s="193" t="s">
        <v>2583</v>
      </c>
      <c r="E173" s="195">
        <v>31.05</v>
      </c>
      <c r="F173" s="196">
        <v>29.7</v>
      </c>
      <c r="G173" s="197">
        <v>27</v>
      </c>
      <c r="H173" s="195">
        <v>31.05</v>
      </c>
      <c r="I173" s="196">
        <v>29.7</v>
      </c>
      <c r="J173" s="197">
        <v>27</v>
      </c>
      <c r="K173" s="195">
        <v>31.05</v>
      </c>
      <c r="L173" s="196">
        <v>29.7</v>
      </c>
      <c r="M173" s="197">
        <v>27</v>
      </c>
      <c r="N173" s="195">
        <v>31.05</v>
      </c>
      <c r="O173" s="196">
        <v>29.7</v>
      </c>
      <c r="P173" s="197">
        <v>27</v>
      </c>
      <c r="Q173" s="195">
        <v>31.05</v>
      </c>
      <c r="R173" s="196">
        <v>29.7</v>
      </c>
      <c r="S173" s="197">
        <v>27</v>
      </c>
      <c r="T173" s="195">
        <v>31.05</v>
      </c>
      <c r="U173" s="196">
        <v>29.7</v>
      </c>
      <c r="V173" s="197">
        <v>27</v>
      </c>
      <c r="W173" s="195">
        <v>31.05</v>
      </c>
      <c r="X173" s="196">
        <v>29.7</v>
      </c>
      <c r="Y173" s="197">
        <v>27</v>
      </c>
      <c r="Z173" s="195">
        <v>31.05</v>
      </c>
      <c r="AA173" s="196">
        <v>29.7</v>
      </c>
      <c r="AB173" s="197">
        <v>27</v>
      </c>
      <c r="AC173" s="195">
        <v>31.05</v>
      </c>
      <c r="AD173" s="196">
        <v>29.7</v>
      </c>
      <c r="AE173" s="197">
        <v>27</v>
      </c>
      <c r="AF173" s="195">
        <v>31.05</v>
      </c>
      <c r="AG173" s="196">
        <v>29.7</v>
      </c>
      <c r="AH173" s="197">
        <v>27</v>
      </c>
      <c r="AI173" s="200" t="s">
        <v>2582</v>
      </c>
      <c r="AJ173" s="193" t="s">
        <v>1625</v>
      </c>
      <c r="AK173" s="201" t="s">
        <v>1609</v>
      </c>
      <c r="AL173" s="205">
        <v>9</v>
      </c>
      <c r="AM173" s="200">
        <v>31.05</v>
      </c>
      <c r="AN173" s="204">
        <v>31.05</v>
      </c>
      <c r="AO173" s="203"/>
      <c r="AP173" s="207" t="s">
        <v>76</v>
      </c>
      <c r="AQ173" s="199" t="s">
        <v>1620</v>
      </c>
      <c r="AR173" s="202"/>
      <c r="AS173" s="205">
        <v>2042</v>
      </c>
      <c r="AT173" s="206"/>
      <c r="AU173" s="201" t="s">
        <v>24</v>
      </c>
      <c r="AV173" s="193" t="s">
        <v>16</v>
      </c>
      <c r="AW173" s="205">
        <v>1382</v>
      </c>
    </row>
    <row r="174" spans="1:49">
      <c r="A174" s="192" t="s">
        <v>77</v>
      </c>
      <c r="B174" s="194" t="s">
        <v>1599</v>
      </c>
      <c r="C174" s="160" t="s">
        <v>622</v>
      </c>
      <c r="D174" s="193" t="s">
        <v>3744</v>
      </c>
      <c r="E174" s="195">
        <v>0</v>
      </c>
      <c r="F174" s="196">
        <v>0</v>
      </c>
      <c r="G174" s="197">
        <v>0</v>
      </c>
      <c r="H174" s="195">
        <v>0</v>
      </c>
      <c r="I174" s="196">
        <v>250</v>
      </c>
      <c r="J174" s="197">
        <v>250</v>
      </c>
      <c r="K174" s="195">
        <v>250</v>
      </c>
      <c r="L174" s="196">
        <v>250</v>
      </c>
      <c r="M174" s="197">
        <v>250</v>
      </c>
      <c r="N174" s="195">
        <v>250</v>
      </c>
      <c r="O174" s="196">
        <v>250</v>
      </c>
      <c r="P174" s="197">
        <v>250</v>
      </c>
      <c r="Q174" s="195">
        <v>250</v>
      </c>
      <c r="R174" s="196">
        <v>250</v>
      </c>
      <c r="S174" s="197">
        <v>250</v>
      </c>
      <c r="T174" s="195">
        <v>250</v>
      </c>
      <c r="U174" s="196">
        <v>250</v>
      </c>
      <c r="V174" s="197">
        <v>250</v>
      </c>
      <c r="W174" s="195">
        <v>250</v>
      </c>
      <c r="X174" s="196">
        <v>250</v>
      </c>
      <c r="Y174" s="197">
        <v>250</v>
      </c>
      <c r="Z174" s="195">
        <v>250</v>
      </c>
      <c r="AA174" s="196">
        <v>250</v>
      </c>
      <c r="AB174" s="197">
        <v>250</v>
      </c>
      <c r="AC174" s="195">
        <v>250</v>
      </c>
      <c r="AD174" s="196">
        <v>250</v>
      </c>
      <c r="AE174" s="197">
        <v>250</v>
      </c>
      <c r="AF174" s="195">
        <v>250</v>
      </c>
      <c r="AG174" s="196">
        <v>250</v>
      </c>
      <c r="AH174" s="197">
        <v>250</v>
      </c>
      <c r="AI174" s="200" t="s">
        <v>623</v>
      </c>
      <c r="AJ174" s="193" t="s">
        <v>1657</v>
      </c>
      <c r="AK174" s="201" t="s">
        <v>1658</v>
      </c>
      <c r="AL174" s="205">
        <v>2</v>
      </c>
      <c r="AM174" s="200">
        <v>250</v>
      </c>
      <c r="AN174" s="204">
        <v>250</v>
      </c>
      <c r="AO174" s="203">
        <v>2000</v>
      </c>
      <c r="AP174" s="207" t="s">
        <v>26</v>
      </c>
      <c r="AQ174" s="199" t="s">
        <v>1619</v>
      </c>
      <c r="AR174" s="202">
        <v>45689</v>
      </c>
      <c r="AS174" s="205">
        <v>2105</v>
      </c>
      <c r="AT174" s="206"/>
      <c r="AU174" s="201" t="s">
        <v>26</v>
      </c>
      <c r="AV174" s="193" t="s">
        <v>17</v>
      </c>
      <c r="AW174" s="205">
        <v>1352</v>
      </c>
    </row>
    <row r="175" spans="1:49">
      <c r="A175" s="192" t="s">
        <v>77</v>
      </c>
      <c r="B175" s="194" t="s">
        <v>1555</v>
      </c>
      <c r="C175" s="160" t="s">
        <v>2584</v>
      </c>
      <c r="D175" s="193" t="s">
        <v>2585</v>
      </c>
      <c r="E175" s="195">
        <v>48.5</v>
      </c>
      <c r="F175" s="196">
        <v>48.5</v>
      </c>
      <c r="G175" s="197">
        <v>48.5</v>
      </c>
      <c r="H175" s="195">
        <v>48.5</v>
      </c>
      <c r="I175" s="196">
        <v>48.5</v>
      </c>
      <c r="J175" s="197">
        <v>48.5</v>
      </c>
      <c r="K175" s="195">
        <v>48.5</v>
      </c>
      <c r="L175" s="196">
        <v>48.5</v>
      </c>
      <c r="M175" s="197">
        <v>48.5</v>
      </c>
      <c r="N175" s="195">
        <v>48.5</v>
      </c>
      <c r="O175" s="196">
        <v>48.5</v>
      </c>
      <c r="P175" s="197">
        <v>48.5</v>
      </c>
      <c r="Q175" s="195">
        <v>48.5</v>
      </c>
      <c r="R175" s="196">
        <v>48.5</v>
      </c>
      <c r="S175" s="197">
        <v>48.5</v>
      </c>
      <c r="T175" s="195">
        <v>48.5</v>
      </c>
      <c r="U175" s="196">
        <v>48.5</v>
      </c>
      <c r="V175" s="197">
        <v>48.5</v>
      </c>
      <c r="W175" s="195">
        <v>48.5</v>
      </c>
      <c r="X175" s="196">
        <v>48.5</v>
      </c>
      <c r="Y175" s="197">
        <v>48.5</v>
      </c>
      <c r="Z175" s="195">
        <v>48.5</v>
      </c>
      <c r="AA175" s="196">
        <v>48.5</v>
      </c>
      <c r="AB175" s="197">
        <v>48.5</v>
      </c>
      <c r="AC175" s="195">
        <v>48.5</v>
      </c>
      <c r="AD175" s="196">
        <v>48.5</v>
      </c>
      <c r="AE175" s="197">
        <v>48.5</v>
      </c>
      <c r="AF175" s="195">
        <v>48.5</v>
      </c>
      <c r="AG175" s="196">
        <v>48.5</v>
      </c>
      <c r="AH175" s="197">
        <v>48.5</v>
      </c>
      <c r="AI175" s="200" t="s">
        <v>81</v>
      </c>
      <c r="AJ175" s="193" t="s">
        <v>1613</v>
      </c>
      <c r="AK175" s="201" t="s">
        <v>1614</v>
      </c>
      <c r="AL175" s="205">
        <v>20</v>
      </c>
      <c r="AM175" s="200">
        <v>50</v>
      </c>
      <c r="AN175" s="204">
        <v>50</v>
      </c>
      <c r="AO175" s="203"/>
      <c r="AP175" s="207" t="s">
        <v>76</v>
      </c>
      <c r="AQ175" s="199" t="s">
        <v>1620</v>
      </c>
      <c r="AR175" s="202">
        <v>43070</v>
      </c>
      <c r="AS175" s="205">
        <v>2037</v>
      </c>
      <c r="AT175" s="206"/>
      <c r="AU175" s="201" t="s">
        <v>24</v>
      </c>
      <c r="AV175" s="193" t="s">
        <v>1615</v>
      </c>
      <c r="AW175" s="205">
        <v>1378</v>
      </c>
    </row>
    <row r="176" spans="1:49">
      <c r="A176" s="192" t="s">
        <v>77</v>
      </c>
      <c r="B176" s="194" t="s">
        <v>1555</v>
      </c>
      <c r="C176" s="160" t="s">
        <v>2598</v>
      </c>
      <c r="D176" s="193" t="s">
        <v>2599</v>
      </c>
      <c r="E176" s="195">
        <v>750</v>
      </c>
      <c r="F176" s="196">
        <v>730</v>
      </c>
      <c r="G176" s="197">
        <v>710</v>
      </c>
      <c r="H176" s="195">
        <v>750</v>
      </c>
      <c r="I176" s="196">
        <v>730</v>
      </c>
      <c r="J176" s="197">
        <v>710</v>
      </c>
      <c r="K176" s="195">
        <v>750</v>
      </c>
      <c r="L176" s="196">
        <v>730</v>
      </c>
      <c r="M176" s="197">
        <v>710</v>
      </c>
      <c r="N176" s="195">
        <v>750</v>
      </c>
      <c r="O176" s="196">
        <v>730</v>
      </c>
      <c r="P176" s="197">
        <v>710</v>
      </c>
      <c r="Q176" s="195">
        <v>750</v>
      </c>
      <c r="R176" s="196">
        <v>730</v>
      </c>
      <c r="S176" s="197">
        <v>710</v>
      </c>
      <c r="T176" s="195">
        <v>750</v>
      </c>
      <c r="U176" s="196">
        <v>730</v>
      </c>
      <c r="V176" s="197">
        <v>710</v>
      </c>
      <c r="W176" s="195">
        <v>750</v>
      </c>
      <c r="X176" s="196">
        <v>730</v>
      </c>
      <c r="Y176" s="197">
        <v>710</v>
      </c>
      <c r="Z176" s="195">
        <v>750</v>
      </c>
      <c r="AA176" s="196">
        <v>730</v>
      </c>
      <c r="AB176" s="197">
        <v>710</v>
      </c>
      <c r="AC176" s="195">
        <v>750</v>
      </c>
      <c r="AD176" s="196">
        <v>730</v>
      </c>
      <c r="AE176" s="197">
        <v>710</v>
      </c>
      <c r="AF176" s="195"/>
      <c r="AG176" s="196"/>
      <c r="AH176" s="197"/>
      <c r="AI176" s="200" t="s">
        <v>1943</v>
      </c>
      <c r="AJ176" s="193" t="s">
        <v>1946</v>
      </c>
      <c r="AK176" s="201" t="s">
        <v>1740</v>
      </c>
      <c r="AL176" s="205">
        <v>1</v>
      </c>
      <c r="AM176" s="200"/>
      <c r="AN176" s="204">
        <v>744</v>
      </c>
      <c r="AO176" s="203"/>
      <c r="AP176" s="207" t="s">
        <v>76</v>
      </c>
      <c r="AQ176" s="199" t="s">
        <v>1619</v>
      </c>
      <c r="AR176" s="202"/>
      <c r="AS176" s="205">
        <v>2042</v>
      </c>
      <c r="AT176" s="206"/>
      <c r="AU176" s="201" t="s">
        <v>24</v>
      </c>
      <c r="AV176" s="193" t="s">
        <v>11</v>
      </c>
      <c r="AW176" s="205">
        <v>1104</v>
      </c>
    </row>
    <row r="177" spans="1:49">
      <c r="A177" s="192" t="s">
        <v>45</v>
      </c>
      <c r="B177" s="194" t="s">
        <v>1599</v>
      </c>
      <c r="C177" s="160" t="s">
        <v>477</v>
      </c>
      <c r="D177" s="193" t="s">
        <v>3744</v>
      </c>
      <c r="E177" s="195">
        <v>0</v>
      </c>
      <c r="F177" s="196">
        <v>0</v>
      </c>
      <c r="G177" s="197">
        <v>0</v>
      </c>
      <c r="H177" s="195">
        <v>330</v>
      </c>
      <c r="I177" s="196">
        <v>330</v>
      </c>
      <c r="J177" s="197">
        <v>330</v>
      </c>
      <c r="K177" s="195">
        <v>330</v>
      </c>
      <c r="L177" s="196">
        <v>330</v>
      </c>
      <c r="M177" s="197">
        <v>330</v>
      </c>
      <c r="N177" s="195">
        <v>330</v>
      </c>
      <c r="O177" s="196">
        <v>330</v>
      </c>
      <c r="P177" s="197">
        <v>330</v>
      </c>
      <c r="Q177" s="195">
        <v>330</v>
      </c>
      <c r="R177" s="196">
        <v>330</v>
      </c>
      <c r="S177" s="197">
        <v>330</v>
      </c>
      <c r="T177" s="195">
        <v>330</v>
      </c>
      <c r="U177" s="196">
        <v>330</v>
      </c>
      <c r="V177" s="197">
        <v>330</v>
      </c>
      <c r="W177" s="195">
        <v>330</v>
      </c>
      <c r="X177" s="196">
        <v>330</v>
      </c>
      <c r="Y177" s="197">
        <v>330</v>
      </c>
      <c r="Z177" s="195">
        <v>330</v>
      </c>
      <c r="AA177" s="196">
        <v>330</v>
      </c>
      <c r="AB177" s="197">
        <v>330</v>
      </c>
      <c r="AC177" s="195">
        <v>330</v>
      </c>
      <c r="AD177" s="196">
        <v>330</v>
      </c>
      <c r="AE177" s="197">
        <v>330</v>
      </c>
      <c r="AF177" s="195">
        <v>330</v>
      </c>
      <c r="AG177" s="196">
        <v>330</v>
      </c>
      <c r="AH177" s="197">
        <v>330</v>
      </c>
      <c r="AI177" s="200" t="s">
        <v>567</v>
      </c>
      <c r="AJ177" s="193" t="s">
        <v>1673</v>
      </c>
      <c r="AK177" s="201" t="s">
        <v>1592</v>
      </c>
      <c r="AL177" s="205">
        <v>1</v>
      </c>
      <c r="AM177" s="200"/>
      <c r="AN177" s="204">
        <v>375</v>
      </c>
      <c r="AO177" s="203"/>
      <c r="AP177" s="207" t="s">
        <v>2606</v>
      </c>
      <c r="AQ177" s="199" t="s">
        <v>1619</v>
      </c>
      <c r="AR177" s="202">
        <v>45627</v>
      </c>
      <c r="AS177" s="205">
        <v>2064</v>
      </c>
      <c r="AT177" s="206"/>
      <c r="AU177" s="201" t="s">
        <v>26</v>
      </c>
      <c r="AV177" s="193" t="s">
        <v>13</v>
      </c>
      <c r="AW177" s="205">
        <v>1871</v>
      </c>
    </row>
    <row r="178" spans="1:49">
      <c r="A178" s="192" t="s">
        <v>45</v>
      </c>
      <c r="B178" s="194" t="s">
        <v>1599</v>
      </c>
      <c r="C178" s="160" t="s">
        <v>477</v>
      </c>
      <c r="D178" s="193" t="s">
        <v>3744</v>
      </c>
      <c r="E178" s="195">
        <v>0</v>
      </c>
      <c r="F178" s="196">
        <v>0</v>
      </c>
      <c r="G178" s="197">
        <v>0</v>
      </c>
      <c r="H178" s="195">
        <v>330</v>
      </c>
      <c r="I178" s="196">
        <v>330</v>
      </c>
      <c r="J178" s="197">
        <v>330</v>
      </c>
      <c r="K178" s="195">
        <v>330</v>
      </c>
      <c r="L178" s="196">
        <v>330</v>
      </c>
      <c r="M178" s="197">
        <v>330</v>
      </c>
      <c r="N178" s="195">
        <v>330</v>
      </c>
      <c r="O178" s="196">
        <v>330</v>
      </c>
      <c r="P178" s="197">
        <v>330</v>
      </c>
      <c r="Q178" s="195">
        <v>330</v>
      </c>
      <c r="R178" s="196">
        <v>330</v>
      </c>
      <c r="S178" s="197">
        <v>330</v>
      </c>
      <c r="T178" s="195">
        <v>330</v>
      </c>
      <c r="U178" s="196">
        <v>330</v>
      </c>
      <c r="V178" s="197">
        <v>330</v>
      </c>
      <c r="W178" s="195">
        <v>330</v>
      </c>
      <c r="X178" s="196">
        <v>330</v>
      </c>
      <c r="Y178" s="197">
        <v>330</v>
      </c>
      <c r="Z178" s="195">
        <v>330</v>
      </c>
      <c r="AA178" s="196">
        <v>330</v>
      </c>
      <c r="AB178" s="197">
        <v>330</v>
      </c>
      <c r="AC178" s="195">
        <v>330</v>
      </c>
      <c r="AD178" s="196">
        <v>330</v>
      </c>
      <c r="AE178" s="197">
        <v>330</v>
      </c>
      <c r="AF178" s="195">
        <v>330</v>
      </c>
      <c r="AG178" s="196">
        <v>330</v>
      </c>
      <c r="AH178" s="197">
        <v>330</v>
      </c>
      <c r="AI178" s="200" t="s">
        <v>567</v>
      </c>
      <c r="AJ178" s="193" t="s">
        <v>1673</v>
      </c>
      <c r="AK178" s="201" t="s">
        <v>1592</v>
      </c>
      <c r="AL178" s="205">
        <v>1</v>
      </c>
      <c r="AM178" s="200"/>
      <c r="AN178" s="204">
        <v>375</v>
      </c>
      <c r="AO178" s="203"/>
      <c r="AP178" s="207" t="s">
        <v>2606</v>
      </c>
      <c r="AQ178" s="199" t="s">
        <v>1619</v>
      </c>
      <c r="AR178" s="202">
        <v>45627</v>
      </c>
      <c r="AS178" s="205">
        <v>2064</v>
      </c>
      <c r="AT178" s="206"/>
      <c r="AU178" s="201" t="s">
        <v>26</v>
      </c>
      <c r="AV178" s="193" t="s">
        <v>13</v>
      </c>
      <c r="AW178" s="205">
        <v>1871</v>
      </c>
    </row>
    <row r="179" spans="1:49">
      <c r="A179" s="192" t="s">
        <v>91</v>
      </c>
      <c r="B179" s="194" t="s">
        <v>1555</v>
      </c>
      <c r="C179" s="160" t="s">
        <v>737</v>
      </c>
      <c r="D179" s="193" t="s">
        <v>2607</v>
      </c>
      <c r="E179" s="195">
        <v>42</v>
      </c>
      <c r="F179" s="196">
        <v>37</v>
      </c>
      <c r="G179" s="197">
        <v>35</v>
      </c>
      <c r="H179" s="195">
        <v>42</v>
      </c>
      <c r="I179" s="196">
        <v>37</v>
      </c>
      <c r="J179" s="197">
        <v>35</v>
      </c>
      <c r="K179" s="195">
        <v>42</v>
      </c>
      <c r="L179" s="196">
        <v>37</v>
      </c>
      <c r="M179" s="197">
        <v>35</v>
      </c>
      <c r="N179" s="195">
        <v>42</v>
      </c>
      <c r="O179" s="196">
        <v>37</v>
      </c>
      <c r="P179" s="197">
        <v>35</v>
      </c>
      <c r="Q179" s="195">
        <v>42</v>
      </c>
      <c r="R179" s="196">
        <v>37</v>
      </c>
      <c r="S179" s="197">
        <v>35</v>
      </c>
      <c r="T179" s="195">
        <v>42</v>
      </c>
      <c r="U179" s="196">
        <v>37</v>
      </c>
      <c r="V179" s="197">
        <v>35</v>
      </c>
      <c r="W179" s="195">
        <v>42</v>
      </c>
      <c r="X179" s="196">
        <v>37</v>
      </c>
      <c r="Y179" s="197">
        <v>35</v>
      </c>
      <c r="Z179" s="195">
        <v>42</v>
      </c>
      <c r="AA179" s="196">
        <v>37</v>
      </c>
      <c r="AB179" s="197">
        <v>35</v>
      </c>
      <c r="AC179" s="195">
        <v>42</v>
      </c>
      <c r="AD179" s="196">
        <v>37</v>
      </c>
      <c r="AE179" s="197">
        <v>35</v>
      </c>
      <c r="AF179" s="195">
        <v>42</v>
      </c>
      <c r="AG179" s="196">
        <v>37</v>
      </c>
      <c r="AH179" s="197">
        <v>35</v>
      </c>
      <c r="AI179" s="200" t="s">
        <v>717</v>
      </c>
      <c r="AJ179" s="193" t="s">
        <v>1673</v>
      </c>
      <c r="AK179" s="201" t="s">
        <v>1592</v>
      </c>
      <c r="AL179" s="205">
        <v>1</v>
      </c>
      <c r="AM179" s="200"/>
      <c r="AN179" s="204">
        <v>40</v>
      </c>
      <c r="AO179" s="203"/>
      <c r="AP179" s="207" t="s">
        <v>76</v>
      </c>
      <c r="AQ179" s="199" t="s">
        <v>1619</v>
      </c>
      <c r="AR179" s="202"/>
      <c r="AS179" s="205">
        <v>2035</v>
      </c>
      <c r="AT179" s="206"/>
      <c r="AU179" s="201" t="s">
        <v>24</v>
      </c>
      <c r="AV179" s="193" t="s">
        <v>13</v>
      </c>
      <c r="AW179" s="205">
        <v>1107</v>
      </c>
    </row>
    <row r="180" spans="1:49">
      <c r="A180" s="192" t="s">
        <v>91</v>
      </c>
      <c r="B180" s="194" t="s">
        <v>1555</v>
      </c>
      <c r="C180" s="160" t="s">
        <v>737</v>
      </c>
      <c r="D180" s="193" t="s">
        <v>2608</v>
      </c>
      <c r="E180" s="195">
        <v>42</v>
      </c>
      <c r="F180" s="196">
        <v>37</v>
      </c>
      <c r="G180" s="197">
        <v>35</v>
      </c>
      <c r="H180" s="195">
        <v>42</v>
      </c>
      <c r="I180" s="196">
        <v>37</v>
      </c>
      <c r="J180" s="197">
        <v>35</v>
      </c>
      <c r="K180" s="195">
        <v>42</v>
      </c>
      <c r="L180" s="196">
        <v>37</v>
      </c>
      <c r="M180" s="197">
        <v>35</v>
      </c>
      <c r="N180" s="195">
        <v>42</v>
      </c>
      <c r="O180" s="196">
        <v>37</v>
      </c>
      <c r="P180" s="197">
        <v>35</v>
      </c>
      <c r="Q180" s="195">
        <v>42</v>
      </c>
      <c r="R180" s="196">
        <v>37</v>
      </c>
      <c r="S180" s="197">
        <v>35</v>
      </c>
      <c r="T180" s="195">
        <v>42</v>
      </c>
      <c r="U180" s="196">
        <v>37</v>
      </c>
      <c r="V180" s="197">
        <v>35</v>
      </c>
      <c r="W180" s="195">
        <v>42</v>
      </c>
      <c r="X180" s="196">
        <v>37</v>
      </c>
      <c r="Y180" s="197">
        <v>35</v>
      </c>
      <c r="Z180" s="195">
        <v>42</v>
      </c>
      <c r="AA180" s="196">
        <v>37</v>
      </c>
      <c r="AB180" s="197">
        <v>35</v>
      </c>
      <c r="AC180" s="195">
        <v>42</v>
      </c>
      <c r="AD180" s="196">
        <v>37</v>
      </c>
      <c r="AE180" s="197">
        <v>35</v>
      </c>
      <c r="AF180" s="195">
        <v>42</v>
      </c>
      <c r="AG180" s="196">
        <v>37</v>
      </c>
      <c r="AH180" s="197">
        <v>35</v>
      </c>
      <c r="AI180" s="200" t="s">
        <v>717</v>
      </c>
      <c r="AJ180" s="193" t="s">
        <v>1673</v>
      </c>
      <c r="AK180" s="201" t="s">
        <v>1592</v>
      </c>
      <c r="AL180" s="205">
        <v>1</v>
      </c>
      <c r="AM180" s="200"/>
      <c r="AN180" s="204">
        <v>40</v>
      </c>
      <c r="AO180" s="203"/>
      <c r="AP180" s="207" t="s">
        <v>76</v>
      </c>
      <c r="AQ180" s="199" t="s">
        <v>1619</v>
      </c>
      <c r="AR180" s="202"/>
      <c r="AS180" s="205">
        <v>2035</v>
      </c>
      <c r="AT180" s="206"/>
      <c r="AU180" s="201" t="s">
        <v>24</v>
      </c>
      <c r="AV180" s="193" t="s">
        <v>13</v>
      </c>
      <c r="AW180" s="205">
        <v>1107</v>
      </c>
    </row>
    <row r="181" spans="1:49">
      <c r="A181" s="192" t="s">
        <v>91</v>
      </c>
      <c r="B181" s="194" t="s">
        <v>1555</v>
      </c>
      <c r="C181" s="160" t="s">
        <v>2612</v>
      </c>
      <c r="D181" s="193" t="s">
        <v>2613</v>
      </c>
      <c r="E181" s="195">
        <v>159</v>
      </c>
      <c r="F181" s="196">
        <v>159</v>
      </c>
      <c r="G181" s="197">
        <v>159</v>
      </c>
      <c r="H181" s="195">
        <v>159</v>
      </c>
      <c r="I181" s="196">
        <v>159</v>
      </c>
      <c r="J181" s="197">
        <v>159</v>
      </c>
      <c r="K181" s="195">
        <v>159</v>
      </c>
      <c r="L181" s="196">
        <v>159</v>
      </c>
      <c r="M181" s="197">
        <v>159</v>
      </c>
      <c r="N181" s="195">
        <v>159</v>
      </c>
      <c r="O181" s="196">
        <v>159</v>
      </c>
      <c r="P181" s="197">
        <v>159</v>
      </c>
      <c r="Q181" s="195">
        <v>159</v>
      </c>
      <c r="R181" s="196">
        <v>159</v>
      </c>
      <c r="S181" s="197">
        <v>159</v>
      </c>
      <c r="T181" s="195">
        <v>159</v>
      </c>
      <c r="U181" s="196">
        <v>159</v>
      </c>
      <c r="V181" s="197">
        <v>159</v>
      </c>
      <c r="W181" s="195">
        <v>159</v>
      </c>
      <c r="X181" s="196">
        <v>159</v>
      </c>
      <c r="Y181" s="197">
        <v>159</v>
      </c>
      <c r="Z181" s="195">
        <v>159</v>
      </c>
      <c r="AA181" s="196">
        <v>159</v>
      </c>
      <c r="AB181" s="197">
        <v>159</v>
      </c>
      <c r="AC181" s="195">
        <v>159</v>
      </c>
      <c r="AD181" s="196">
        <v>159</v>
      </c>
      <c r="AE181" s="197">
        <v>159</v>
      </c>
      <c r="AF181" s="195">
        <v>159</v>
      </c>
      <c r="AG181" s="196">
        <v>159</v>
      </c>
      <c r="AH181" s="197">
        <v>159</v>
      </c>
      <c r="AI181" s="200" t="s">
        <v>2610</v>
      </c>
      <c r="AJ181" s="193" t="s">
        <v>1625</v>
      </c>
      <c r="AK181" s="201" t="s">
        <v>1609</v>
      </c>
      <c r="AL181" s="205">
        <v>53</v>
      </c>
      <c r="AM181" s="200">
        <v>159</v>
      </c>
      <c r="AN181" s="204">
        <v>159</v>
      </c>
      <c r="AO181" s="203"/>
      <c r="AP181" s="207" t="s">
        <v>76</v>
      </c>
      <c r="AQ181" s="199" t="s">
        <v>1620</v>
      </c>
      <c r="AR181" s="202"/>
      <c r="AS181" s="205">
        <v>2038</v>
      </c>
      <c r="AT181" s="206"/>
      <c r="AU181" s="201" t="s">
        <v>24</v>
      </c>
      <c r="AV181" s="193" t="s">
        <v>16</v>
      </c>
      <c r="AW181" s="205">
        <v>1109</v>
      </c>
    </row>
    <row r="182" spans="1:49">
      <c r="A182" s="192" t="s">
        <v>91</v>
      </c>
      <c r="B182" s="194" t="s">
        <v>1555</v>
      </c>
      <c r="C182" s="160" t="s">
        <v>2614</v>
      </c>
      <c r="D182" s="193" t="s">
        <v>2615</v>
      </c>
      <c r="E182" s="195">
        <v>39</v>
      </c>
      <c r="F182" s="196">
        <v>39</v>
      </c>
      <c r="G182" s="197">
        <v>39</v>
      </c>
      <c r="H182" s="195">
        <v>39</v>
      </c>
      <c r="I182" s="196">
        <v>39</v>
      </c>
      <c r="J182" s="197">
        <v>39</v>
      </c>
      <c r="K182" s="195">
        <v>39</v>
      </c>
      <c r="L182" s="196">
        <v>39</v>
      </c>
      <c r="M182" s="197">
        <v>39</v>
      </c>
      <c r="N182" s="195">
        <v>39</v>
      </c>
      <c r="O182" s="196">
        <v>39</v>
      </c>
      <c r="P182" s="197">
        <v>39</v>
      </c>
      <c r="Q182" s="195">
        <v>39</v>
      </c>
      <c r="R182" s="196">
        <v>39</v>
      </c>
      <c r="S182" s="197">
        <v>39</v>
      </c>
      <c r="T182" s="195">
        <v>39</v>
      </c>
      <c r="U182" s="196">
        <v>39</v>
      </c>
      <c r="V182" s="197">
        <v>39</v>
      </c>
      <c r="W182" s="195">
        <v>39</v>
      </c>
      <c r="X182" s="196">
        <v>39</v>
      </c>
      <c r="Y182" s="197">
        <v>39</v>
      </c>
      <c r="Z182" s="195">
        <v>39</v>
      </c>
      <c r="AA182" s="196">
        <v>39</v>
      </c>
      <c r="AB182" s="197">
        <v>39</v>
      </c>
      <c r="AC182" s="195">
        <v>39</v>
      </c>
      <c r="AD182" s="196">
        <v>39</v>
      </c>
      <c r="AE182" s="197">
        <v>39</v>
      </c>
      <c r="AF182" s="195">
        <v>39</v>
      </c>
      <c r="AG182" s="196">
        <v>39</v>
      </c>
      <c r="AH182" s="197">
        <v>39</v>
      </c>
      <c r="AI182" s="200" t="s">
        <v>2610</v>
      </c>
      <c r="AJ182" s="193" t="s">
        <v>1625</v>
      </c>
      <c r="AK182" s="201" t="s">
        <v>1609</v>
      </c>
      <c r="AL182" s="205">
        <v>13</v>
      </c>
      <c r="AM182" s="200">
        <v>39</v>
      </c>
      <c r="AN182" s="204">
        <v>39</v>
      </c>
      <c r="AO182" s="203"/>
      <c r="AP182" s="207" t="s">
        <v>76</v>
      </c>
      <c r="AQ182" s="199" t="s">
        <v>1620</v>
      </c>
      <c r="AR182" s="202"/>
      <c r="AS182" s="205">
        <v>2040</v>
      </c>
      <c r="AT182" s="206"/>
      <c r="AU182" s="201" t="s">
        <v>24</v>
      </c>
      <c r="AV182" s="193" t="s">
        <v>16</v>
      </c>
      <c r="AW182" s="205">
        <v>1110</v>
      </c>
    </row>
    <row r="183" spans="1:49">
      <c r="A183" s="192" t="s">
        <v>91</v>
      </c>
      <c r="B183" s="194" t="s">
        <v>1555</v>
      </c>
      <c r="C183" s="160" t="s">
        <v>936</v>
      </c>
      <c r="D183" s="193" t="s">
        <v>741</v>
      </c>
      <c r="E183" s="195">
        <v>25</v>
      </c>
      <c r="F183" s="196">
        <v>25</v>
      </c>
      <c r="G183" s="197">
        <v>25</v>
      </c>
      <c r="H183" s="195">
        <v>25</v>
      </c>
      <c r="I183" s="196">
        <v>25</v>
      </c>
      <c r="J183" s="197">
        <v>25</v>
      </c>
      <c r="K183" s="195">
        <v>25</v>
      </c>
      <c r="L183" s="196">
        <v>25</v>
      </c>
      <c r="M183" s="197">
        <v>25</v>
      </c>
      <c r="N183" s="195">
        <v>25</v>
      </c>
      <c r="O183" s="196">
        <v>25</v>
      </c>
      <c r="P183" s="197">
        <v>25</v>
      </c>
      <c r="Q183" s="195">
        <v>25</v>
      </c>
      <c r="R183" s="196">
        <v>25</v>
      </c>
      <c r="S183" s="197">
        <v>25</v>
      </c>
      <c r="T183" s="195">
        <v>25</v>
      </c>
      <c r="U183" s="196">
        <v>25</v>
      </c>
      <c r="V183" s="197">
        <v>25</v>
      </c>
      <c r="W183" s="195">
        <v>25</v>
      </c>
      <c r="X183" s="196">
        <v>25</v>
      </c>
      <c r="Y183" s="197">
        <v>25</v>
      </c>
      <c r="Z183" s="195">
        <v>25</v>
      </c>
      <c r="AA183" s="196">
        <v>25</v>
      </c>
      <c r="AB183" s="197">
        <v>25</v>
      </c>
      <c r="AC183" s="195">
        <v>25</v>
      </c>
      <c r="AD183" s="196">
        <v>25</v>
      </c>
      <c r="AE183" s="197">
        <v>25</v>
      </c>
      <c r="AF183" s="195">
        <v>25</v>
      </c>
      <c r="AG183" s="196">
        <v>25</v>
      </c>
      <c r="AH183" s="197">
        <v>25</v>
      </c>
      <c r="AI183" s="200" t="s">
        <v>2616</v>
      </c>
      <c r="AJ183" s="193" t="s">
        <v>1602</v>
      </c>
      <c r="AK183" s="201" t="s">
        <v>1603</v>
      </c>
      <c r="AL183" s="205">
        <v>1</v>
      </c>
      <c r="AM183" s="200"/>
      <c r="AN183" s="204">
        <v>25</v>
      </c>
      <c r="AO183" s="203">
        <v>52</v>
      </c>
      <c r="AP183" s="207" t="s">
        <v>76</v>
      </c>
      <c r="AQ183" s="199" t="s">
        <v>1619</v>
      </c>
      <c r="AR183" s="202"/>
      <c r="AS183" s="205">
        <v>2034</v>
      </c>
      <c r="AT183" s="206"/>
      <c r="AU183" s="201" t="s">
        <v>24</v>
      </c>
      <c r="AV183" s="193" t="s">
        <v>19</v>
      </c>
      <c r="AW183" s="205">
        <v>1568</v>
      </c>
    </row>
    <row r="184" spans="1:49">
      <c r="A184" s="192" t="s">
        <v>105</v>
      </c>
      <c r="B184" s="194" t="s">
        <v>1555</v>
      </c>
      <c r="C184" s="160" t="s">
        <v>2617</v>
      </c>
      <c r="D184" s="193" t="s">
        <v>2618</v>
      </c>
      <c r="E184" s="195">
        <v>30</v>
      </c>
      <c r="F184" s="196">
        <v>30</v>
      </c>
      <c r="G184" s="197">
        <v>30</v>
      </c>
      <c r="H184" s="195">
        <v>30</v>
      </c>
      <c r="I184" s="196">
        <v>30</v>
      </c>
      <c r="J184" s="197">
        <v>30</v>
      </c>
      <c r="K184" s="195">
        <v>30</v>
      </c>
      <c r="L184" s="196">
        <v>30</v>
      </c>
      <c r="M184" s="197">
        <v>30</v>
      </c>
      <c r="N184" s="195">
        <v>30</v>
      </c>
      <c r="O184" s="196">
        <v>30</v>
      </c>
      <c r="P184" s="197">
        <v>30</v>
      </c>
      <c r="Q184" s="195">
        <v>30</v>
      </c>
      <c r="R184" s="196">
        <v>30</v>
      </c>
      <c r="S184" s="197">
        <v>30</v>
      </c>
      <c r="T184" s="195">
        <v>30</v>
      </c>
      <c r="U184" s="196">
        <v>30</v>
      </c>
      <c r="V184" s="197">
        <v>30</v>
      </c>
      <c r="W184" s="195">
        <v>30</v>
      </c>
      <c r="X184" s="196">
        <v>30</v>
      </c>
      <c r="Y184" s="197">
        <v>30</v>
      </c>
      <c r="Z184" s="195">
        <v>30</v>
      </c>
      <c r="AA184" s="196">
        <v>30</v>
      </c>
      <c r="AB184" s="197">
        <v>30</v>
      </c>
      <c r="AC184" s="195">
        <v>30</v>
      </c>
      <c r="AD184" s="196">
        <v>30</v>
      </c>
      <c r="AE184" s="197">
        <v>30</v>
      </c>
      <c r="AF184" s="195">
        <v>30</v>
      </c>
      <c r="AG184" s="196">
        <v>30</v>
      </c>
      <c r="AH184" s="197">
        <v>30</v>
      </c>
      <c r="AI184" s="200" t="s">
        <v>1735</v>
      </c>
      <c r="AJ184" s="193" t="s">
        <v>1700</v>
      </c>
      <c r="AK184" s="201" t="s">
        <v>1658</v>
      </c>
      <c r="AL184" s="205">
        <v>1</v>
      </c>
      <c r="AM184" s="200">
        <v>32.4</v>
      </c>
      <c r="AN184" s="204">
        <v>32.4</v>
      </c>
      <c r="AO184" s="203"/>
      <c r="AP184" s="207" t="s">
        <v>76</v>
      </c>
      <c r="AQ184" s="199" t="s">
        <v>1619</v>
      </c>
      <c r="AR184" s="202"/>
      <c r="AS184" s="205">
        <v>2100</v>
      </c>
      <c r="AT184" s="206"/>
      <c r="AU184" s="201" t="s">
        <v>24</v>
      </c>
      <c r="AV184" s="193" t="s">
        <v>17</v>
      </c>
      <c r="AW184" s="205">
        <v>1111</v>
      </c>
    </row>
    <row r="185" spans="1:49">
      <c r="A185" s="192" t="s">
        <v>110</v>
      </c>
      <c r="B185" s="194" t="s">
        <v>1555</v>
      </c>
      <c r="C185" s="160" t="s">
        <v>2633</v>
      </c>
      <c r="D185" s="193" t="s">
        <v>2634</v>
      </c>
      <c r="E185" s="195">
        <v>172</v>
      </c>
      <c r="F185" s="196">
        <v>172</v>
      </c>
      <c r="G185" s="197">
        <v>168</v>
      </c>
      <c r="H185" s="195">
        <v>172</v>
      </c>
      <c r="I185" s="196">
        <v>172</v>
      </c>
      <c r="J185" s="197">
        <v>168</v>
      </c>
      <c r="K185" s="195">
        <v>172</v>
      </c>
      <c r="L185" s="196">
        <v>172</v>
      </c>
      <c r="M185" s="197">
        <v>168</v>
      </c>
      <c r="N185" s="195">
        <v>172</v>
      </c>
      <c r="O185" s="196">
        <v>172</v>
      </c>
      <c r="P185" s="197">
        <v>168</v>
      </c>
      <c r="Q185" s="195">
        <v>172</v>
      </c>
      <c r="R185" s="196">
        <v>172</v>
      </c>
      <c r="S185" s="197">
        <v>168</v>
      </c>
      <c r="T185" s="195">
        <v>172</v>
      </c>
      <c r="U185" s="196">
        <v>172</v>
      </c>
      <c r="V185" s="197">
        <v>168</v>
      </c>
      <c r="W185" s="195">
        <v>172</v>
      </c>
      <c r="X185" s="196">
        <v>172</v>
      </c>
      <c r="Y185" s="197">
        <v>168</v>
      </c>
      <c r="Z185" s="195">
        <v>172</v>
      </c>
      <c r="AA185" s="196">
        <v>172</v>
      </c>
      <c r="AB185" s="197">
        <v>168</v>
      </c>
      <c r="AC185" s="195">
        <v>172</v>
      </c>
      <c r="AD185" s="196">
        <v>172</v>
      </c>
      <c r="AE185" s="197">
        <v>168</v>
      </c>
      <c r="AF185" s="195">
        <v>172</v>
      </c>
      <c r="AG185" s="196">
        <v>172</v>
      </c>
      <c r="AH185" s="197">
        <v>168</v>
      </c>
      <c r="AI185" s="200" t="s">
        <v>805</v>
      </c>
      <c r="AJ185" s="193" t="s">
        <v>1673</v>
      </c>
      <c r="AK185" s="201" t="s">
        <v>1592</v>
      </c>
      <c r="AL185" s="205">
        <v>1</v>
      </c>
      <c r="AM185" s="200"/>
      <c r="AN185" s="204">
        <v>156</v>
      </c>
      <c r="AO185" s="203"/>
      <c r="AP185" s="207" t="s">
        <v>76</v>
      </c>
      <c r="AQ185" s="199" t="s">
        <v>1619</v>
      </c>
      <c r="AR185" s="202"/>
      <c r="AS185" s="205">
        <v>2070</v>
      </c>
      <c r="AT185" s="206"/>
      <c r="AU185" s="201" t="s">
        <v>24</v>
      </c>
      <c r="AV185" s="193" t="s">
        <v>13</v>
      </c>
      <c r="AW185" s="205">
        <v>1115</v>
      </c>
    </row>
    <row r="186" spans="1:49">
      <c r="A186" s="192" t="s">
        <v>110</v>
      </c>
      <c r="B186" s="194" t="s">
        <v>1555</v>
      </c>
      <c r="C186" s="160" t="s">
        <v>2633</v>
      </c>
      <c r="D186" s="193" t="s">
        <v>2635</v>
      </c>
      <c r="E186" s="195">
        <v>172</v>
      </c>
      <c r="F186" s="196">
        <v>172</v>
      </c>
      <c r="G186" s="197">
        <v>168</v>
      </c>
      <c r="H186" s="195">
        <v>172</v>
      </c>
      <c r="I186" s="196">
        <v>172</v>
      </c>
      <c r="J186" s="197">
        <v>168</v>
      </c>
      <c r="K186" s="195">
        <v>172</v>
      </c>
      <c r="L186" s="196">
        <v>172</v>
      </c>
      <c r="M186" s="197">
        <v>168</v>
      </c>
      <c r="N186" s="195">
        <v>172</v>
      </c>
      <c r="O186" s="196">
        <v>172</v>
      </c>
      <c r="P186" s="197">
        <v>168</v>
      </c>
      <c r="Q186" s="195">
        <v>172</v>
      </c>
      <c r="R186" s="196">
        <v>172</v>
      </c>
      <c r="S186" s="197">
        <v>168</v>
      </c>
      <c r="T186" s="195">
        <v>172</v>
      </c>
      <c r="U186" s="196">
        <v>172</v>
      </c>
      <c r="V186" s="197">
        <v>168</v>
      </c>
      <c r="W186" s="195">
        <v>172</v>
      </c>
      <c r="X186" s="196">
        <v>172</v>
      </c>
      <c r="Y186" s="197">
        <v>168</v>
      </c>
      <c r="Z186" s="195">
        <v>172</v>
      </c>
      <c r="AA186" s="196">
        <v>172</v>
      </c>
      <c r="AB186" s="197">
        <v>168</v>
      </c>
      <c r="AC186" s="195">
        <v>172</v>
      </c>
      <c r="AD186" s="196">
        <v>172</v>
      </c>
      <c r="AE186" s="197">
        <v>168</v>
      </c>
      <c r="AF186" s="195">
        <v>172</v>
      </c>
      <c r="AG186" s="196">
        <v>172</v>
      </c>
      <c r="AH186" s="197">
        <v>168</v>
      </c>
      <c r="AI186" s="200" t="s">
        <v>805</v>
      </c>
      <c r="AJ186" s="193" t="s">
        <v>1673</v>
      </c>
      <c r="AK186" s="201" t="s">
        <v>1592</v>
      </c>
      <c r="AL186" s="205">
        <v>1</v>
      </c>
      <c r="AM186" s="200"/>
      <c r="AN186" s="204">
        <v>156</v>
      </c>
      <c r="AO186" s="203"/>
      <c r="AP186" s="207" t="s">
        <v>76</v>
      </c>
      <c r="AQ186" s="199" t="s">
        <v>1619</v>
      </c>
      <c r="AR186" s="202"/>
      <c r="AS186" s="205">
        <v>2070</v>
      </c>
      <c r="AT186" s="206"/>
      <c r="AU186" s="201" t="s">
        <v>24</v>
      </c>
      <c r="AV186" s="193" t="s">
        <v>13</v>
      </c>
      <c r="AW186" s="205">
        <v>1115</v>
      </c>
    </row>
    <row r="187" spans="1:49">
      <c r="A187" s="192" t="s">
        <v>105</v>
      </c>
      <c r="B187" s="194" t="s">
        <v>1555</v>
      </c>
      <c r="C187" s="160" t="s">
        <v>2638</v>
      </c>
      <c r="D187" s="193" t="s">
        <v>2639</v>
      </c>
      <c r="E187" s="195">
        <v>87</v>
      </c>
      <c r="F187" s="196">
        <v>33</v>
      </c>
      <c r="G187" s="197">
        <v>33</v>
      </c>
      <c r="H187" s="195">
        <v>88</v>
      </c>
      <c r="I187" s="196">
        <v>33</v>
      </c>
      <c r="J187" s="197">
        <v>33</v>
      </c>
      <c r="K187" s="195">
        <v>33</v>
      </c>
      <c r="L187" s="196">
        <v>88</v>
      </c>
      <c r="M187" s="197">
        <v>88</v>
      </c>
      <c r="N187" s="195">
        <v>88</v>
      </c>
      <c r="O187" s="196">
        <v>88</v>
      </c>
      <c r="P187" s="197">
        <v>88</v>
      </c>
      <c r="Q187" s="195">
        <v>88</v>
      </c>
      <c r="R187" s="196">
        <v>55</v>
      </c>
      <c r="S187" s="197">
        <v>55</v>
      </c>
      <c r="T187" s="195">
        <v>88</v>
      </c>
      <c r="U187" s="196">
        <v>33</v>
      </c>
      <c r="V187" s="197">
        <v>33</v>
      </c>
      <c r="W187" s="195">
        <v>88</v>
      </c>
      <c r="X187" s="196">
        <v>88</v>
      </c>
      <c r="Y187" s="197">
        <v>88</v>
      </c>
      <c r="Z187" s="195">
        <v>88</v>
      </c>
      <c r="AA187" s="196">
        <v>88</v>
      </c>
      <c r="AB187" s="197">
        <v>88</v>
      </c>
      <c r="AC187" s="195">
        <v>88</v>
      </c>
      <c r="AD187" s="196">
        <v>88</v>
      </c>
      <c r="AE187" s="197">
        <v>88</v>
      </c>
      <c r="AF187" s="195">
        <v>88</v>
      </c>
      <c r="AG187" s="196">
        <v>88</v>
      </c>
      <c r="AH187" s="197">
        <v>88</v>
      </c>
      <c r="AI187" s="200" t="s">
        <v>1735</v>
      </c>
      <c r="AJ187" s="193" t="s">
        <v>1700</v>
      </c>
      <c r="AK187" s="201" t="s">
        <v>1658</v>
      </c>
      <c r="AL187" s="205">
        <v>2</v>
      </c>
      <c r="AM187" s="200">
        <v>81.599999999999994</v>
      </c>
      <c r="AN187" s="204">
        <v>81.599999999999994</v>
      </c>
      <c r="AO187" s="203"/>
      <c r="AP187" s="207" t="s">
        <v>76</v>
      </c>
      <c r="AQ187" s="199" t="s">
        <v>1619</v>
      </c>
      <c r="AR187" s="202"/>
      <c r="AS187" s="205">
        <v>2100</v>
      </c>
      <c r="AT187" s="206"/>
      <c r="AU187" s="201" t="s">
        <v>24</v>
      </c>
      <c r="AV187" s="193" t="s">
        <v>17</v>
      </c>
      <c r="AW187" s="205">
        <v>1116</v>
      </c>
    </row>
    <row r="188" spans="1:49">
      <c r="A188" s="192" t="s">
        <v>77</v>
      </c>
      <c r="B188" s="194" t="s">
        <v>1555</v>
      </c>
      <c r="C188" s="160" t="s">
        <v>269</v>
      </c>
      <c r="D188" s="193" t="s">
        <v>271</v>
      </c>
      <c r="E188" s="195">
        <v>99.974000000000004</v>
      </c>
      <c r="F188" s="196">
        <v>98.79</v>
      </c>
      <c r="G188" s="197">
        <v>97.531999999999996</v>
      </c>
      <c r="H188" s="195">
        <v>99.974000000000004</v>
      </c>
      <c r="I188" s="196">
        <v>98.79</v>
      </c>
      <c r="J188" s="197">
        <v>97.531999999999996</v>
      </c>
      <c r="K188" s="195">
        <v>99.974000000000004</v>
      </c>
      <c r="L188" s="196">
        <v>98.79</v>
      </c>
      <c r="M188" s="197">
        <v>97.531999999999996</v>
      </c>
      <c r="N188" s="195">
        <v>99.974000000000004</v>
      </c>
      <c r="O188" s="196">
        <v>98.79</v>
      </c>
      <c r="P188" s="197">
        <v>97.531999999999996</v>
      </c>
      <c r="Q188" s="195">
        <v>99.974000000000004</v>
      </c>
      <c r="R188" s="196">
        <v>98.79</v>
      </c>
      <c r="S188" s="197">
        <v>97.531999999999996</v>
      </c>
      <c r="T188" s="195">
        <v>99.974000000000004</v>
      </c>
      <c r="U188" s="196">
        <v>98.79</v>
      </c>
      <c r="V188" s="197">
        <v>97.531999999999996</v>
      </c>
      <c r="W188" s="195">
        <v>99.974000000000004</v>
      </c>
      <c r="X188" s="196">
        <v>98.79</v>
      </c>
      <c r="Y188" s="197">
        <v>97.531999999999996</v>
      </c>
      <c r="Z188" s="195">
        <v>99.974000000000004</v>
      </c>
      <c r="AA188" s="196">
        <v>98.79</v>
      </c>
      <c r="AB188" s="197">
        <v>97.531999999999996</v>
      </c>
      <c r="AC188" s="195">
        <v>99.974000000000004</v>
      </c>
      <c r="AD188" s="196">
        <v>98.79</v>
      </c>
      <c r="AE188" s="197">
        <v>97.531999999999996</v>
      </c>
      <c r="AF188" s="195">
        <v>99.974000000000004</v>
      </c>
      <c r="AG188" s="196">
        <v>98.79</v>
      </c>
      <c r="AH188" s="197">
        <v>97.531999999999996</v>
      </c>
      <c r="AI188" s="200" t="s">
        <v>270</v>
      </c>
      <c r="AJ188" s="193" t="s">
        <v>1631</v>
      </c>
      <c r="AK188" s="201" t="s">
        <v>1614</v>
      </c>
      <c r="AL188" s="205">
        <v>74</v>
      </c>
      <c r="AM188" s="200">
        <v>107.226</v>
      </c>
      <c r="AN188" s="204">
        <v>118.4</v>
      </c>
      <c r="AO188" s="203"/>
      <c r="AP188" s="207" t="s">
        <v>76</v>
      </c>
      <c r="AQ188" s="199" t="s">
        <v>1620</v>
      </c>
      <c r="AR188" s="202">
        <v>44562</v>
      </c>
      <c r="AS188" s="205">
        <v>2048</v>
      </c>
      <c r="AT188" s="206"/>
      <c r="AU188" s="201" t="s">
        <v>24</v>
      </c>
      <c r="AV188" s="193" t="s">
        <v>1615</v>
      </c>
      <c r="AW188" s="205">
        <v>1384</v>
      </c>
    </row>
    <row r="189" spans="1:49">
      <c r="A189" s="192" t="s">
        <v>45</v>
      </c>
      <c r="B189" s="194" t="s">
        <v>1555</v>
      </c>
      <c r="C189" s="160" t="s">
        <v>608</v>
      </c>
      <c r="D189" s="193" t="s">
        <v>2646</v>
      </c>
      <c r="E189" s="195">
        <v>220</v>
      </c>
      <c r="F189" s="196">
        <v>220</v>
      </c>
      <c r="G189" s="197">
        <v>207.1</v>
      </c>
      <c r="H189" s="195">
        <v>220</v>
      </c>
      <c r="I189" s="196">
        <v>220</v>
      </c>
      <c r="J189" s="197">
        <v>207.1</v>
      </c>
      <c r="K189" s="195">
        <v>220</v>
      </c>
      <c r="L189" s="196">
        <v>220</v>
      </c>
      <c r="M189" s="197">
        <v>207.1</v>
      </c>
      <c r="N189" s="195">
        <v>220</v>
      </c>
      <c r="O189" s="196">
        <v>220</v>
      </c>
      <c r="P189" s="197">
        <v>207.1</v>
      </c>
      <c r="Q189" s="195">
        <v>220</v>
      </c>
      <c r="R189" s="196">
        <v>220</v>
      </c>
      <c r="S189" s="197">
        <v>207.1</v>
      </c>
      <c r="T189" s="195">
        <v>220</v>
      </c>
      <c r="U189" s="196">
        <v>220</v>
      </c>
      <c r="V189" s="197">
        <v>207.1</v>
      </c>
      <c r="W189" s="195">
        <v>220</v>
      </c>
      <c r="X189" s="196">
        <v>220</v>
      </c>
      <c r="Y189" s="197">
        <v>207.1</v>
      </c>
      <c r="Z189" s="195">
        <v>220</v>
      </c>
      <c r="AA189" s="196">
        <v>220</v>
      </c>
      <c r="AB189" s="197">
        <v>207.1</v>
      </c>
      <c r="AC189" s="195">
        <v>220</v>
      </c>
      <c r="AD189" s="196">
        <v>220</v>
      </c>
      <c r="AE189" s="197">
        <v>207.1</v>
      </c>
      <c r="AF189" s="195">
        <v>220</v>
      </c>
      <c r="AG189" s="196">
        <v>220</v>
      </c>
      <c r="AH189" s="197">
        <v>207.1</v>
      </c>
      <c r="AI189" s="200" t="s">
        <v>609</v>
      </c>
      <c r="AJ189" s="193" t="s">
        <v>1631</v>
      </c>
      <c r="AK189" s="201" t="s">
        <v>1614</v>
      </c>
      <c r="AL189" s="205">
        <v>100</v>
      </c>
      <c r="AM189" s="200">
        <v>230</v>
      </c>
      <c r="AN189" s="204">
        <v>230</v>
      </c>
      <c r="AO189" s="203"/>
      <c r="AP189" s="207" t="s">
        <v>76</v>
      </c>
      <c r="AQ189" s="199" t="s">
        <v>1620</v>
      </c>
      <c r="AR189" s="202">
        <v>44896</v>
      </c>
      <c r="AS189" s="205">
        <v>2050</v>
      </c>
      <c r="AT189" s="206"/>
      <c r="AU189" s="201" t="s">
        <v>24</v>
      </c>
      <c r="AV189" s="193" t="s">
        <v>1615</v>
      </c>
      <c r="AW189" s="205">
        <v>1453</v>
      </c>
    </row>
    <row r="190" spans="1:49">
      <c r="A190" s="192" t="s">
        <v>45</v>
      </c>
      <c r="B190" s="194" t="s">
        <v>1555</v>
      </c>
      <c r="C190" s="160" t="s">
        <v>726</v>
      </c>
      <c r="D190" s="193" t="s">
        <v>727</v>
      </c>
      <c r="E190" s="195">
        <v>28.994</v>
      </c>
      <c r="F190" s="196">
        <v>28.994</v>
      </c>
      <c r="G190" s="197">
        <v>28.994</v>
      </c>
      <c r="H190" s="195">
        <v>28.994</v>
      </c>
      <c r="I190" s="196">
        <v>28.994</v>
      </c>
      <c r="J190" s="197">
        <v>28.994</v>
      </c>
      <c r="K190" s="195">
        <v>28.994</v>
      </c>
      <c r="L190" s="196">
        <v>28.994</v>
      </c>
      <c r="M190" s="197">
        <v>28.994</v>
      </c>
      <c r="N190" s="195">
        <v>28.994</v>
      </c>
      <c r="O190" s="196">
        <v>28.994</v>
      </c>
      <c r="P190" s="197">
        <v>28.994</v>
      </c>
      <c r="Q190" s="195">
        <v>28.994</v>
      </c>
      <c r="R190" s="196">
        <v>28.994</v>
      </c>
      <c r="S190" s="197">
        <v>28.994</v>
      </c>
      <c r="T190" s="195">
        <v>28.994</v>
      </c>
      <c r="U190" s="196">
        <v>28.994</v>
      </c>
      <c r="V190" s="197">
        <v>28.994</v>
      </c>
      <c r="W190" s="195">
        <v>28.994</v>
      </c>
      <c r="X190" s="196">
        <v>28.994</v>
      </c>
      <c r="Y190" s="197">
        <v>28.994</v>
      </c>
      <c r="Z190" s="195">
        <v>28.994</v>
      </c>
      <c r="AA190" s="196">
        <v>28.994</v>
      </c>
      <c r="AB190" s="197">
        <v>28.994</v>
      </c>
      <c r="AC190" s="195">
        <v>28.994</v>
      </c>
      <c r="AD190" s="196">
        <v>28.994</v>
      </c>
      <c r="AE190" s="197">
        <v>28.994</v>
      </c>
      <c r="AF190" s="195">
        <v>28.994</v>
      </c>
      <c r="AG190" s="196">
        <v>28.994</v>
      </c>
      <c r="AH190" s="197">
        <v>28.994</v>
      </c>
      <c r="AI190" s="200" t="s">
        <v>609</v>
      </c>
      <c r="AJ190" s="193" t="s">
        <v>1631</v>
      </c>
      <c r="AK190" s="201" t="s">
        <v>1614</v>
      </c>
      <c r="AL190" s="205">
        <v>14</v>
      </c>
      <c r="AM190" s="200">
        <v>28.98</v>
      </c>
      <c r="AN190" s="204">
        <v>28.98</v>
      </c>
      <c r="AO190" s="203"/>
      <c r="AP190" s="207" t="s">
        <v>76</v>
      </c>
      <c r="AQ190" s="199" t="s">
        <v>1620</v>
      </c>
      <c r="AR190" s="202">
        <v>45017</v>
      </c>
      <c r="AS190" s="205">
        <v>2050</v>
      </c>
      <c r="AT190" s="206"/>
      <c r="AU190" s="201" t="s">
        <v>24</v>
      </c>
      <c r="AV190" s="193" t="s">
        <v>1615</v>
      </c>
      <c r="AW190" s="205">
        <v>1675</v>
      </c>
    </row>
    <row r="191" spans="1:49">
      <c r="A191" s="192" t="s">
        <v>91</v>
      </c>
      <c r="B191" s="194" t="s">
        <v>1555</v>
      </c>
      <c r="C191" s="160" t="s">
        <v>667</v>
      </c>
      <c r="D191" s="193" t="s">
        <v>668</v>
      </c>
      <c r="E191" s="195">
        <v>126</v>
      </c>
      <c r="F191" s="196">
        <v>126</v>
      </c>
      <c r="G191" s="197">
        <v>126</v>
      </c>
      <c r="H191" s="195">
        <v>126</v>
      </c>
      <c r="I191" s="196">
        <v>126</v>
      </c>
      <c r="J191" s="197">
        <v>126</v>
      </c>
      <c r="K191" s="195">
        <v>126</v>
      </c>
      <c r="L191" s="196">
        <v>126</v>
      </c>
      <c r="M191" s="197">
        <v>126</v>
      </c>
      <c r="N191" s="195">
        <v>126</v>
      </c>
      <c r="O191" s="196">
        <v>126</v>
      </c>
      <c r="P191" s="197">
        <v>126</v>
      </c>
      <c r="Q191" s="195">
        <v>126</v>
      </c>
      <c r="R191" s="196">
        <v>126</v>
      </c>
      <c r="S191" s="197">
        <v>126</v>
      </c>
      <c r="T191" s="195">
        <v>126</v>
      </c>
      <c r="U191" s="196">
        <v>126</v>
      </c>
      <c r="V191" s="197">
        <v>126</v>
      </c>
      <c r="W191" s="195">
        <v>126</v>
      </c>
      <c r="X191" s="196">
        <v>126</v>
      </c>
      <c r="Y191" s="197">
        <v>126</v>
      </c>
      <c r="Z191" s="195">
        <v>126</v>
      </c>
      <c r="AA191" s="196">
        <v>126</v>
      </c>
      <c r="AB191" s="197">
        <v>126</v>
      </c>
      <c r="AC191" s="195">
        <v>126</v>
      </c>
      <c r="AD191" s="196">
        <v>126</v>
      </c>
      <c r="AE191" s="197">
        <v>126</v>
      </c>
      <c r="AF191" s="195">
        <v>126</v>
      </c>
      <c r="AG191" s="196">
        <v>126</v>
      </c>
      <c r="AH191" s="197">
        <v>126</v>
      </c>
      <c r="AI191" s="200" t="s">
        <v>290</v>
      </c>
      <c r="AJ191" s="193" t="s">
        <v>1625</v>
      </c>
      <c r="AK191" s="201" t="s">
        <v>1609</v>
      </c>
      <c r="AL191" s="205">
        <v>35</v>
      </c>
      <c r="AM191" s="200">
        <v>126</v>
      </c>
      <c r="AN191" s="204">
        <v>126</v>
      </c>
      <c r="AO191" s="203"/>
      <c r="AP191" s="207" t="s">
        <v>76</v>
      </c>
      <c r="AQ191" s="199" t="s">
        <v>1620</v>
      </c>
      <c r="AR191" s="202">
        <v>44044</v>
      </c>
      <c r="AS191" s="205">
        <v>2045</v>
      </c>
      <c r="AT191" s="206"/>
      <c r="AU191" s="201" t="s">
        <v>24</v>
      </c>
      <c r="AV191" s="193" t="s">
        <v>16</v>
      </c>
      <c r="AW191" s="205">
        <v>1119</v>
      </c>
    </row>
    <row r="192" spans="1:49">
      <c r="A192" s="192" t="s">
        <v>91</v>
      </c>
      <c r="B192" s="194" t="s">
        <v>1555</v>
      </c>
      <c r="C192" s="160" t="s">
        <v>289</v>
      </c>
      <c r="D192" s="193" t="s">
        <v>291</v>
      </c>
      <c r="E192" s="195">
        <v>86.4</v>
      </c>
      <c r="F192" s="196">
        <v>86.4</v>
      </c>
      <c r="G192" s="197">
        <v>86.4</v>
      </c>
      <c r="H192" s="195">
        <v>86.4</v>
      </c>
      <c r="I192" s="196">
        <v>86.4</v>
      </c>
      <c r="J192" s="197">
        <v>86.4</v>
      </c>
      <c r="K192" s="195">
        <v>86.4</v>
      </c>
      <c r="L192" s="196">
        <v>86.4</v>
      </c>
      <c r="M192" s="197">
        <v>86.4</v>
      </c>
      <c r="N192" s="195">
        <v>86.4</v>
      </c>
      <c r="O192" s="196">
        <v>86.4</v>
      </c>
      <c r="P192" s="197">
        <v>86.4</v>
      </c>
      <c r="Q192" s="195">
        <v>86.4</v>
      </c>
      <c r="R192" s="196">
        <v>86.4</v>
      </c>
      <c r="S192" s="197">
        <v>86.4</v>
      </c>
      <c r="T192" s="195">
        <v>86.4</v>
      </c>
      <c r="U192" s="196">
        <v>86.4</v>
      </c>
      <c r="V192" s="197">
        <v>86.4</v>
      </c>
      <c r="W192" s="195">
        <v>86.4</v>
      </c>
      <c r="X192" s="196">
        <v>86.4</v>
      </c>
      <c r="Y192" s="197">
        <v>86.4</v>
      </c>
      <c r="Z192" s="195">
        <v>86.4</v>
      </c>
      <c r="AA192" s="196">
        <v>86.4</v>
      </c>
      <c r="AB192" s="197">
        <v>86.4</v>
      </c>
      <c r="AC192" s="195">
        <v>86.4</v>
      </c>
      <c r="AD192" s="196">
        <v>86.4</v>
      </c>
      <c r="AE192" s="197">
        <v>86.4</v>
      </c>
      <c r="AF192" s="195">
        <v>86.4</v>
      </c>
      <c r="AG192" s="196">
        <v>86.4</v>
      </c>
      <c r="AH192" s="197">
        <v>86.4</v>
      </c>
      <c r="AI192" s="200" t="s">
        <v>290</v>
      </c>
      <c r="AJ192" s="193" t="s">
        <v>1625</v>
      </c>
      <c r="AK192" s="201" t="s">
        <v>1609</v>
      </c>
      <c r="AL192" s="205">
        <v>24</v>
      </c>
      <c r="AM192" s="200">
        <v>86.4</v>
      </c>
      <c r="AN192" s="204">
        <v>86.4</v>
      </c>
      <c r="AO192" s="203"/>
      <c r="AP192" s="207" t="s">
        <v>76</v>
      </c>
      <c r="AQ192" s="199" t="s">
        <v>1620</v>
      </c>
      <c r="AR192" s="202">
        <v>44593</v>
      </c>
      <c r="AS192" s="205">
        <v>2045</v>
      </c>
      <c r="AT192" s="206"/>
      <c r="AU192" s="201" t="s">
        <v>24</v>
      </c>
      <c r="AV192" s="193" t="s">
        <v>16</v>
      </c>
      <c r="AW192" s="205">
        <v>1574</v>
      </c>
    </row>
    <row r="193" spans="1:49">
      <c r="A193" s="192" t="s">
        <v>91</v>
      </c>
      <c r="B193" s="194" t="s">
        <v>1555</v>
      </c>
      <c r="C193" s="160" t="s">
        <v>2675</v>
      </c>
      <c r="D193" s="193" t="s">
        <v>2677</v>
      </c>
      <c r="E193" s="195">
        <v>21.06</v>
      </c>
      <c r="F193" s="196">
        <v>21.06</v>
      </c>
      <c r="G193" s="197">
        <v>21.06</v>
      </c>
      <c r="H193" s="195">
        <v>21.06</v>
      </c>
      <c r="I193" s="196">
        <v>21.06</v>
      </c>
      <c r="J193" s="197">
        <v>21.06</v>
      </c>
      <c r="K193" s="195">
        <v>21.06</v>
      </c>
      <c r="L193" s="196">
        <v>21.06</v>
      </c>
      <c r="M193" s="197">
        <v>21.06</v>
      </c>
      <c r="N193" s="195">
        <v>21.06</v>
      </c>
      <c r="O193" s="196">
        <v>21.06</v>
      </c>
      <c r="P193" s="197">
        <v>21.06</v>
      </c>
      <c r="Q193" s="195">
        <v>21.06</v>
      </c>
      <c r="R193" s="196">
        <v>21.06</v>
      </c>
      <c r="S193" s="197">
        <v>21.06</v>
      </c>
      <c r="T193" s="195">
        <v>21.06</v>
      </c>
      <c r="U193" s="196">
        <v>21.06</v>
      </c>
      <c r="V193" s="197">
        <v>21.06</v>
      </c>
      <c r="W193" s="195">
        <v>21.06</v>
      </c>
      <c r="X193" s="196">
        <v>21.06</v>
      </c>
      <c r="Y193" s="197">
        <v>21.06</v>
      </c>
      <c r="Z193" s="195">
        <v>21.06</v>
      </c>
      <c r="AA193" s="196">
        <v>21.06</v>
      </c>
      <c r="AB193" s="197">
        <v>21.06</v>
      </c>
      <c r="AC193" s="195">
        <v>21.06</v>
      </c>
      <c r="AD193" s="196">
        <v>21.06</v>
      </c>
      <c r="AE193" s="197">
        <v>21.06</v>
      </c>
      <c r="AF193" s="195">
        <v>21.06</v>
      </c>
      <c r="AG193" s="196">
        <v>21.06</v>
      </c>
      <c r="AH193" s="197">
        <v>21.06</v>
      </c>
      <c r="AI193" s="200" t="s">
        <v>2676</v>
      </c>
      <c r="AJ193" s="193" t="s">
        <v>1589</v>
      </c>
      <c r="AK193" s="201" t="s">
        <v>1635</v>
      </c>
      <c r="AL193" s="205">
        <v>18</v>
      </c>
      <c r="AM193" s="200"/>
      <c r="AN193" s="204">
        <v>20.7</v>
      </c>
      <c r="AO193" s="203"/>
      <c r="AP193" s="207" t="s">
        <v>76</v>
      </c>
      <c r="AQ193" s="199" t="s">
        <v>1619</v>
      </c>
      <c r="AR193" s="202"/>
      <c r="AS193" s="205">
        <v>2070</v>
      </c>
      <c r="AT193" s="206"/>
      <c r="AU193" s="201" t="s">
        <v>24</v>
      </c>
      <c r="AV193" s="193" t="s">
        <v>20</v>
      </c>
      <c r="AW193" s="205">
        <v>1122</v>
      </c>
    </row>
    <row r="194" spans="1:49">
      <c r="A194" s="192" t="s">
        <v>110</v>
      </c>
      <c r="B194" s="194" t="s">
        <v>1555</v>
      </c>
      <c r="C194" s="160" t="s">
        <v>121</v>
      </c>
      <c r="D194" s="193" t="s">
        <v>2693</v>
      </c>
      <c r="E194" s="195">
        <v>560</v>
      </c>
      <c r="F194" s="196">
        <v>560</v>
      </c>
      <c r="G194" s="197">
        <v>540</v>
      </c>
      <c r="H194" s="195">
        <v>560</v>
      </c>
      <c r="I194" s="196">
        <v>560</v>
      </c>
      <c r="J194" s="197">
        <v>540</v>
      </c>
      <c r="K194" s="195">
        <v>560</v>
      </c>
      <c r="L194" s="196">
        <v>560</v>
      </c>
      <c r="M194" s="197">
        <v>540</v>
      </c>
      <c r="N194" s="195">
        <v>560</v>
      </c>
      <c r="O194" s="196">
        <v>560</v>
      </c>
      <c r="P194" s="197">
        <v>540</v>
      </c>
      <c r="Q194" s="195">
        <v>560</v>
      </c>
      <c r="R194" s="196">
        <v>560</v>
      </c>
      <c r="S194" s="197">
        <v>540</v>
      </c>
      <c r="T194" s="195">
        <v>560</v>
      </c>
      <c r="U194" s="196">
        <v>560</v>
      </c>
      <c r="V194" s="197">
        <v>540</v>
      </c>
      <c r="W194" s="195">
        <v>560</v>
      </c>
      <c r="X194" s="196">
        <v>560</v>
      </c>
      <c r="Y194" s="197">
        <v>540</v>
      </c>
      <c r="Z194" s="195">
        <v>560</v>
      </c>
      <c r="AA194" s="196">
        <v>560</v>
      </c>
      <c r="AB194" s="197">
        <v>540</v>
      </c>
      <c r="AC194" s="195">
        <v>560</v>
      </c>
      <c r="AD194" s="196">
        <v>560</v>
      </c>
      <c r="AE194" s="197">
        <v>540</v>
      </c>
      <c r="AF194" s="195">
        <v>560</v>
      </c>
      <c r="AG194" s="196">
        <v>560</v>
      </c>
      <c r="AH194" s="197">
        <v>540</v>
      </c>
      <c r="AI194" s="200" t="s">
        <v>122</v>
      </c>
      <c r="AJ194" s="193" t="s">
        <v>1739</v>
      </c>
      <c r="AK194" s="201" t="s">
        <v>2692</v>
      </c>
      <c r="AL194" s="205">
        <v>1</v>
      </c>
      <c r="AM194" s="200">
        <v>0</v>
      </c>
      <c r="AN194" s="204">
        <v>560</v>
      </c>
      <c r="AO194" s="203"/>
      <c r="AP194" s="207" t="s">
        <v>76</v>
      </c>
      <c r="AQ194" s="199" t="s">
        <v>1619</v>
      </c>
      <c r="AR194" s="202"/>
      <c r="AS194" s="205">
        <v>2035</v>
      </c>
      <c r="AT194" s="206"/>
      <c r="AU194" s="201" t="s">
        <v>24</v>
      </c>
      <c r="AV194" s="193" t="s">
        <v>11</v>
      </c>
      <c r="AW194" s="205">
        <v>1124</v>
      </c>
    </row>
    <row r="195" spans="1:49">
      <c r="A195" s="192" t="s">
        <v>110</v>
      </c>
      <c r="B195" s="194" t="s">
        <v>1555</v>
      </c>
      <c r="C195" s="160" t="s">
        <v>121</v>
      </c>
      <c r="D195" s="193" t="s">
        <v>123</v>
      </c>
      <c r="E195" s="195">
        <v>530</v>
      </c>
      <c r="F195" s="196">
        <v>530</v>
      </c>
      <c r="G195" s="197">
        <v>500</v>
      </c>
      <c r="H195" s="195">
        <v>530</v>
      </c>
      <c r="I195" s="196">
        <v>530</v>
      </c>
      <c r="J195" s="197">
        <v>500</v>
      </c>
      <c r="K195" s="195">
        <v>530</v>
      </c>
      <c r="L195" s="196">
        <v>530</v>
      </c>
      <c r="M195" s="197">
        <v>500</v>
      </c>
      <c r="N195" s="195">
        <v>530</v>
      </c>
      <c r="O195" s="196">
        <v>530</v>
      </c>
      <c r="P195" s="197">
        <v>500</v>
      </c>
      <c r="Q195" s="195">
        <v>530</v>
      </c>
      <c r="R195" s="196">
        <v>530</v>
      </c>
      <c r="S195" s="197">
        <v>500</v>
      </c>
      <c r="T195" s="195">
        <v>530</v>
      </c>
      <c r="U195" s="196">
        <v>530</v>
      </c>
      <c r="V195" s="197">
        <v>500</v>
      </c>
      <c r="W195" s="195">
        <v>530</v>
      </c>
      <c r="X195" s="196">
        <v>530</v>
      </c>
      <c r="Y195" s="197">
        <v>500</v>
      </c>
      <c r="Z195" s="195">
        <v>530</v>
      </c>
      <c r="AA195" s="196">
        <v>530</v>
      </c>
      <c r="AB195" s="197">
        <v>500</v>
      </c>
      <c r="AC195" s="195">
        <v>530</v>
      </c>
      <c r="AD195" s="196">
        <v>530</v>
      </c>
      <c r="AE195" s="197">
        <v>500</v>
      </c>
      <c r="AF195" s="195">
        <v>530</v>
      </c>
      <c r="AG195" s="196">
        <v>530</v>
      </c>
      <c r="AH195" s="197">
        <v>500</v>
      </c>
      <c r="AI195" s="200" t="s">
        <v>122</v>
      </c>
      <c r="AJ195" s="193" t="s">
        <v>1739</v>
      </c>
      <c r="AK195" s="201" t="s">
        <v>2692</v>
      </c>
      <c r="AL195" s="205">
        <v>1</v>
      </c>
      <c r="AM195" s="200">
        <v>0</v>
      </c>
      <c r="AN195" s="204">
        <v>530</v>
      </c>
      <c r="AO195" s="203"/>
      <c r="AP195" s="207" t="s">
        <v>76</v>
      </c>
      <c r="AQ195" s="199" t="s">
        <v>1619</v>
      </c>
      <c r="AR195" s="202"/>
      <c r="AS195" s="205">
        <v>2035</v>
      </c>
      <c r="AT195" s="206"/>
      <c r="AU195" s="201" t="s">
        <v>24</v>
      </c>
      <c r="AV195" s="193" t="s">
        <v>11</v>
      </c>
      <c r="AW195" s="205">
        <v>1124</v>
      </c>
    </row>
    <row r="196" spans="1:49">
      <c r="A196" s="192" t="s">
        <v>110</v>
      </c>
      <c r="B196" s="194" t="s">
        <v>1555</v>
      </c>
      <c r="C196" s="160" t="s">
        <v>121</v>
      </c>
      <c r="D196" s="193" t="s">
        <v>2694</v>
      </c>
      <c r="E196" s="195">
        <v>560</v>
      </c>
      <c r="F196" s="196">
        <v>560</v>
      </c>
      <c r="G196" s="197">
        <v>510</v>
      </c>
      <c r="H196" s="195">
        <v>560</v>
      </c>
      <c r="I196" s="196">
        <v>560</v>
      </c>
      <c r="J196" s="197">
        <v>510</v>
      </c>
      <c r="K196" s="195">
        <v>560</v>
      </c>
      <c r="L196" s="196">
        <v>560</v>
      </c>
      <c r="M196" s="197">
        <v>510</v>
      </c>
      <c r="N196" s="195">
        <v>560</v>
      </c>
      <c r="O196" s="196">
        <v>560</v>
      </c>
      <c r="P196" s="197">
        <v>510</v>
      </c>
      <c r="Q196" s="195">
        <v>560</v>
      </c>
      <c r="R196" s="196">
        <v>560</v>
      </c>
      <c r="S196" s="197">
        <v>510</v>
      </c>
      <c r="T196" s="195">
        <v>560</v>
      </c>
      <c r="U196" s="196">
        <v>560</v>
      </c>
      <c r="V196" s="197">
        <v>510</v>
      </c>
      <c r="W196" s="195">
        <v>560</v>
      </c>
      <c r="X196" s="196">
        <v>560</v>
      </c>
      <c r="Y196" s="197">
        <v>510</v>
      </c>
      <c r="Z196" s="195">
        <v>560</v>
      </c>
      <c r="AA196" s="196">
        <v>560</v>
      </c>
      <c r="AB196" s="197">
        <v>510</v>
      </c>
      <c r="AC196" s="195">
        <v>560</v>
      </c>
      <c r="AD196" s="196">
        <v>560</v>
      </c>
      <c r="AE196" s="197">
        <v>510</v>
      </c>
      <c r="AF196" s="195">
        <v>560</v>
      </c>
      <c r="AG196" s="196">
        <v>560</v>
      </c>
      <c r="AH196" s="197">
        <v>510</v>
      </c>
      <c r="AI196" s="200" t="s">
        <v>122</v>
      </c>
      <c r="AJ196" s="193" t="s">
        <v>1739</v>
      </c>
      <c r="AK196" s="201" t="s">
        <v>2692</v>
      </c>
      <c r="AL196" s="205">
        <v>1</v>
      </c>
      <c r="AM196" s="200">
        <v>0</v>
      </c>
      <c r="AN196" s="204">
        <v>560</v>
      </c>
      <c r="AO196" s="203"/>
      <c r="AP196" s="207" t="s">
        <v>76</v>
      </c>
      <c r="AQ196" s="199" t="s">
        <v>1619</v>
      </c>
      <c r="AR196" s="202"/>
      <c r="AS196" s="205">
        <v>2035</v>
      </c>
      <c r="AT196" s="206"/>
      <c r="AU196" s="201" t="s">
        <v>24</v>
      </c>
      <c r="AV196" s="193" t="s">
        <v>11</v>
      </c>
      <c r="AW196" s="205">
        <v>1124</v>
      </c>
    </row>
    <row r="197" spans="1:49">
      <c r="A197" s="192" t="s">
        <v>110</v>
      </c>
      <c r="B197" s="194" t="s">
        <v>1555</v>
      </c>
      <c r="C197" s="160" t="s">
        <v>121</v>
      </c>
      <c r="D197" s="193" t="s">
        <v>2695</v>
      </c>
      <c r="E197" s="195">
        <v>560</v>
      </c>
      <c r="F197" s="196">
        <v>540</v>
      </c>
      <c r="G197" s="197">
        <v>530</v>
      </c>
      <c r="H197" s="195">
        <v>560</v>
      </c>
      <c r="I197" s="196">
        <v>540</v>
      </c>
      <c r="J197" s="197">
        <v>530</v>
      </c>
      <c r="K197" s="195">
        <v>560</v>
      </c>
      <c r="L197" s="196">
        <v>540</v>
      </c>
      <c r="M197" s="197">
        <v>530</v>
      </c>
      <c r="N197" s="195">
        <v>560</v>
      </c>
      <c r="O197" s="196">
        <v>540</v>
      </c>
      <c r="P197" s="197">
        <v>530</v>
      </c>
      <c r="Q197" s="195">
        <v>560</v>
      </c>
      <c r="R197" s="196">
        <v>540</v>
      </c>
      <c r="S197" s="197">
        <v>530</v>
      </c>
      <c r="T197" s="195">
        <v>560</v>
      </c>
      <c r="U197" s="196">
        <v>540</v>
      </c>
      <c r="V197" s="197">
        <v>530</v>
      </c>
      <c r="W197" s="195">
        <v>560</v>
      </c>
      <c r="X197" s="196">
        <v>540</v>
      </c>
      <c r="Y197" s="197">
        <v>530</v>
      </c>
      <c r="Z197" s="195">
        <v>560</v>
      </c>
      <c r="AA197" s="196">
        <v>540</v>
      </c>
      <c r="AB197" s="197">
        <v>530</v>
      </c>
      <c r="AC197" s="195">
        <v>560</v>
      </c>
      <c r="AD197" s="196">
        <v>540</v>
      </c>
      <c r="AE197" s="197">
        <v>530</v>
      </c>
      <c r="AF197" s="195">
        <v>560</v>
      </c>
      <c r="AG197" s="196">
        <v>540</v>
      </c>
      <c r="AH197" s="197">
        <v>530</v>
      </c>
      <c r="AI197" s="200" t="s">
        <v>122</v>
      </c>
      <c r="AJ197" s="193" t="s">
        <v>1739</v>
      </c>
      <c r="AK197" s="201" t="s">
        <v>2692</v>
      </c>
      <c r="AL197" s="205">
        <v>1</v>
      </c>
      <c r="AM197" s="200">
        <v>0</v>
      </c>
      <c r="AN197" s="204">
        <v>560</v>
      </c>
      <c r="AO197" s="203"/>
      <c r="AP197" s="207" t="s">
        <v>76</v>
      </c>
      <c r="AQ197" s="199" t="s">
        <v>1619</v>
      </c>
      <c r="AR197" s="202"/>
      <c r="AS197" s="205">
        <v>2035</v>
      </c>
      <c r="AT197" s="206"/>
      <c r="AU197" s="201" t="s">
        <v>24</v>
      </c>
      <c r="AV197" s="193" t="s">
        <v>11</v>
      </c>
      <c r="AW197" s="205">
        <v>1124</v>
      </c>
    </row>
    <row r="198" spans="1:49">
      <c r="A198" s="192" t="s">
        <v>110</v>
      </c>
      <c r="B198" s="194" t="s">
        <v>1555</v>
      </c>
      <c r="C198" s="160" t="s">
        <v>643</v>
      </c>
      <c r="D198" s="193" t="s">
        <v>645</v>
      </c>
      <c r="E198" s="195">
        <v>580</v>
      </c>
      <c r="F198" s="196">
        <v>555</v>
      </c>
      <c r="G198" s="197">
        <v>540</v>
      </c>
      <c r="H198" s="195">
        <v>580</v>
      </c>
      <c r="I198" s="196">
        <v>555</v>
      </c>
      <c r="J198" s="197">
        <v>540</v>
      </c>
      <c r="K198" s="195">
        <v>580</v>
      </c>
      <c r="L198" s="196">
        <v>555</v>
      </c>
      <c r="M198" s="197">
        <v>540</v>
      </c>
      <c r="N198" s="195">
        <v>580</v>
      </c>
      <c r="O198" s="196">
        <v>555</v>
      </c>
      <c r="P198" s="197">
        <v>540</v>
      </c>
      <c r="Q198" s="195">
        <v>580</v>
      </c>
      <c r="R198" s="196">
        <v>555</v>
      </c>
      <c r="S198" s="197">
        <v>540</v>
      </c>
      <c r="T198" s="195">
        <v>580</v>
      </c>
      <c r="U198" s="196">
        <v>555</v>
      </c>
      <c r="V198" s="197">
        <v>540</v>
      </c>
      <c r="W198" s="195">
        <v>580</v>
      </c>
      <c r="X198" s="196">
        <v>555</v>
      </c>
      <c r="Y198" s="197">
        <v>540</v>
      </c>
      <c r="Z198" s="195">
        <v>580</v>
      </c>
      <c r="AA198" s="196">
        <v>555</v>
      </c>
      <c r="AB198" s="197">
        <v>540</v>
      </c>
      <c r="AC198" s="195">
        <v>580</v>
      </c>
      <c r="AD198" s="196">
        <v>555</v>
      </c>
      <c r="AE198" s="197">
        <v>540</v>
      </c>
      <c r="AF198" s="195">
        <v>580</v>
      </c>
      <c r="AG198" s="196">
        <v>555</v>
      </c>
      <c r="AH198" s="197">
        <v>540</v>
      </c>
      <c r="AI198" s="200" t="s">
        <v>748</v>
      </c>
      <c r="AJ198" s="193" t="s">
        <v>1739</v>
      </c>
      <c r="AK198" s="201" t="s">
        <v>2692</v>
      </c>
      <c r="AL198" s="205">
        <v>1</v>
      </c>
      <c r="AM198" s="200"/>
      <c r="AN198" s="204">
        <v>580</v>
      </c>
      <c r="AO198" s="203"/>
      <c r="AP198" s="207" t="s">
        <v>76</v>
      </c>
      <c r="AQ198" s="199" t="s">
        <v>1619</v>
      </c>
      <c r="AR198" s="202"/>
      <c r="AS198" s="205">
        <v>2047</v>
      </c>
      <c r="AT198" s="206"/>
      <c r="AU198" s="201" t="s">
        <v>24</v>
      </c>
      <c r="AV198" s="193" t="s">
        <v>11</v>
      </c>
      <c r="AW198" s="205">
        <v>1125</v>
      </c>
    </row>
    <row r="199" spans="1:49">
      <c r="A199" s="192" t="s">
        <v>110</v>
      </c>
      <c r="B199" s="194" t="s">
        <v>1555</v>
      </c>
      <c r="C199" s="160" t="s">
        <v>643</v>
      </c>
      <c r="D199" s="193" t="s">
        <v>2696</v>
      </c>
      <c r="E199" s="195">
        <v>580</v>
      </c>
      <c r="F199" s="196">
        <v>560</v>
      </c>
      <c r="G199" s="197">
        <v>550</v>
      </c>
      <c r="H199" s="195">
        <v>580</v>
      </c>
      <c r="I199" s="196">
        <v>560</v>
      </c>
      <c r="J199" s="197">
        <v>550</v>
      </c>
      <c r="K199" s="195">
        <v>580</v>
      </c>
      <c r="L199" s="196">
        <v>560</v>
      </c>
      <c r="M199" s="197">
        <v>550</v>
      </c>
      <c r="N199" s="195">
        <v>580</v>
      </c>
      <c r="O199" s="196">
        <v>560</v>
      </c>
      <c r="P199" s="197">
        <v>550</v>
      </c>
      <c r="Q199" s="195">
        <v>580</v>
      </c>
      <c r="R199" s="196">
        <v>560</v>
      </c>
      <c r="S199" s="197">
        <v>550</v>
      </c>
      <c r="T199" s="195">
        <v>580</v>
      </c>
      <c r="U199" s="196">
        <v>560</v>
      </c>
      <c r="V199" s="197">
        <v>550</v>
      </c>
      <c r="W199" s="195">
        <v>580</v>
      </c>
      <c r="X199" s="196">
        <v>560</v>
      </c>
      <c r="Y199" s="197">
        <v>550</v>
      </c>
      <c r="Z199" s="195">
        <v>580</v>
      </c>
      <c r="AA199" s="196">
        <v>560</v>
      </c>
      <c r="AB199" s="197">
        <v>550</v>
      </c>
      <c r="AC199" s="195">
        <v>580</v>
      </c>
      <c r="AD199" s="196">
        <v>560</v>
      </c>
      <c r="AE199" s="197">
        <v>550</v>
      </c>
      <c r="AF199" s="195">
        <v>580</v>
      </c>
      <c r="AG199" s="196">
        <v>560</v>
      </c>
      <c r="AH199" s="197">
        <v>550</v>
      </c>
      <c r="AI199" s="200" t="s">
        <v>748</v>
      </c>
      <c r="AJ199" s="193" t="s">
        <v>1739</v>
      </c>
      <c r="AK199" s="201" t="s">
        <v>2692</v>
      </c>
      <c r="AL199" s="205">
        <v>1</v>
      </c>
      <c r="AM199" s="200"/>
      <c r="AN199" s="204">
        <v>580</v>
      </c>
      <c r="AO199" s="203"/>
      <c r="AP199" s="207" t="s">
        <v>76</v>
      </c>
      <c r="AQ199" s="199" t="s">
        <v>1619</v>
      </c>
      <c r="AR199" s="202"/>
      <c r="AS199" s="205">
        <v>2047</v>
      </c>
      <c r="AT199" s="206"/>
      <c r="AU199" s="201" t="s">
        <v>24</v>
      </c>
      <c r="AV199" s="193" t="s">
        <v>11</v>
      </c>
      <c r="AW199" s="205">
        <v>1125</v>
      </c>
    </row>
    <row r="200" spans="1:49">
      <c r="A200" s="192" t="s">
        <v>110</v>
      </c>
      <c r="B200" s="194" t="s">
        <v>1555</v>
      </c>
      <c r="C200" s="160" t="s">
        <v>1400</v>
      </c>
      <c r="D200" s="193" t="s">
        <v>2704</v>
      </c>
      <c r="E200" s="195">
        <v>420</v>
      </c>
      <c r="F200" s="196">
        <v>420</v>
      </c>
      <c r="G200" s="197">
        <v>420</v>
      </c>
      <c r="H200" s="195">
        <v>420</v>
      </c>
      <c r="I200" s="196">
        <v>420</v>
      </c>
      <c r="J200" s="197">
        <v>420</v>
      </c>
      <c r="K200" s="195">
        <v>420</v>
      </c>
      <c r="L200" s="196">
        <v>420</v>
      </c>
      <c r="M200" s="197">
        <v>420</v>
      </c>
      <c r="N200" s="195">
        <v>420</v>
      </c>
      <c r="O200" s="196">
        <v>420</v>
      </c>
      <c r="P200" s="197">
        <v>420</v>
      </c>
      <c r="Q200" s="195">
        <v>420</v>
      </c>
      <c r="R200" s="196">
        <v>420</v>
      </c>
      <c r="S200" s="197">
        <v>420</v>
      </c>
      <c r="T200" s="195">
        <v>420</v>
      </c>
      <c r="U200" s="196">
        <v>420</v>
      </c>
      <c r="V200" s="197">
        <v>420</v>
      </c>
      <c r="W200" s="195">
        <v>420</v>
      </c>
      <c r="X200" s="196">
        <v>420</v>
      </c>
      <c r="Y200" s="197">
        <v>420</v>
      </c>
      <c r="Z200" s="195">
        <v>420</v>
      </c>
      <c r="AA200" s="196">
        <v>420</v>
      </c>
      <c r="AB200" s="197">
        <v>420</v>
      </c>
      <c r="AC200" s="195">
        <v>420</v>
      </c>
      <c r="AD200" s="196">
        <v>420</v>
      </c>
      <c r="AE200" s="197">
        <v>420</v>
      </c>
      <c r="AF200" s="195">
        <v>420</v>
      </c>
      <c r="AG200" s="196">
        <v>420</v>
      </c>
      <c r="AH200" s="197">
        <v>420</v>
      </c>
      <c r="AI200" s="200" t="s">
        <v>2703</v>
      </c>
      <c r="AJ200" s="193" t="s">
        <v>1625</v>
      </c>
      <c r="AK200" s="201" t="s">
        <v>1609</v>
      </c>
      <c r="AL200" s="205">
        <v>140</v>
      </c>
      <c r="AM200" s="200"/>
      <c r="AN200" s="204">
        <v>420</v>
      </c>
      <c r="AO200" s="203"/>
      <c r="AP200" s="207" t="s">
        <v>76</v>
      </c>
      <c r="AQ200" s="199" t="s">
        <v>1620</v>
      </c>
      <c r="AR200" s="202"/>
      <c r="AS200" s="205">
        <v>2038</v>
      </c>
      <c r="AT200" s="206"/>
      <c r="AU200" s="201" t="s">
        <v>24</v>
      </c>
      <c r="AV200" s="193" t="s">
        <v>16</v>
      </c>
      <c r="AW200" s="205">
        <v>1128</v>
      </c>
    </row>
    <row r="201" spans="1:49">
      <c r="A201" s="192" t="s">
        <v>105</v>
      </c>
      <c r="B201" s="194" t="s">
        <v>1555</v>
      </c>
      <c r="C201" s="160" t="s">
        <v>2707</v>
      </c>
      <c r="D201" s="193" t="s">
        <v>2708</v>
      </c>
      <c r="E201" s="195">
        <v>81</v>
      </c>
      <c r="F201" s="196">
        <v>81</v>
      </c>
      <c r="G201" s="197">
        <v>81</v>
      </c>
      <c r="H201" s="195">
        <v>81</v>
      </c>
      <c r="I201" s="196">
        <v>81</v>
      </c>
      <c r="J201" s="197">
        <v>81</v>
      </c>
      <c r="K201" s="195">
        <v>81</v>
      </c>
      <c r="L201" s="196">
        <v>81</v>
      </c>
      <c r="M201" s="197">
        <v>81</v>
      </c>
      <c r="N201" s="195">
        <v>81</v>
      </c>
      <c r="O201" s="196">
        <v>0</v>
      </c>
      <c r="P201" s="197">
        <v>0</v>
      </c>
      <c r="Q201" s="195">
        <v>0</v>
      </c>
      <c r="R201" s="196">
        <v>84</v>
      </c>
      <c r="S201" s="197">
        <v>84</v>
      </c>
      <c r="T201" s="195">
        <v>84</v>
      </c>
      <c r="U201" s="196">
        <v>84</v>
      </c>
      <c r="V201" s="197">
        <v>84</v>
      </c>
      <c r="W201" s="195">
        <v>84</v>
      </c>
      <c r="X201" s="196">
        <v>84</v>
      </c>
      <c r="Y201" s="197">
        <v>84</v>
      </c>
      <c r="Z201" s="195">
        <v>84</v>
      </c>
      <c r="AA201" s="196">
        <v>84</v>
      </c>
      <c r="AB201" s="197">
        <v>84</v>
      </c>
      <c r="AC201" s="195">
        <v>84</v>
      </c>
      <c r="AD201" s="196">
        <v>84</v>
      </c>
      <c r="AE201" s="197">
        <v>84</v>
      </c>
      <c r="AF201" s="195">
        <v>84</v>
      </c>
      <c r="AG201" s="196">
        <v>84</v>
      </c>
      <c r="AH201" s="197">
        <v>84</v>
      </c>
      <c r="AI201" s="200" t="s">
        <v>1735</v>
      </c>
      <c r="AJ201" s="193" t="s">
        <v>1700</v>
      </c>
      <c r="AK201" s="201" t="s">
        <v>1658</v>
      </c>
      <c r="AL201" s="205">
        <v>1</v>
      </c>
      <c r="AM201" s="200">
        <v>79.900000000000006</v>
      </c>
      <c r="AN201" s="204">
        <v>79.900000000000006</v>
      </c>
      <c r="AO201" s="203"/>
      <c r="AP201" s="207" t="s">
        <v>76</v>
      </c>
      <c r="AQ201" s="199" t="s">
        <v>1619</v>
      </c>
      <c r="AR201" s="202"/>
      <c r="AS201" s="205">
        <v>2100</v>
      </c>
      <c r="AT201" s="206"/>
      <c r="AU201" s="201" t="s">
        <v>24</v>
      </c>
      <c r="AV201" s="193" t="s">
        <v>17</v>
      </c>
      <c r="AW201" s="205">
        <v>1130</v>
      </c>
    </row>
    <row r="202" spans="1:49">
      <c r="A202" s="192" t="s">
        <v>45</v>
      </c>
      <c r="B202" s="194" t="s">
        <v>1555</v>
      </c>
      <c r="C202" s="160" t="s">
        <v>2714</v>
      </c>
      <c r="D202" s="193" t="s">
        <v>2716</v>
      </c>
      <c r="E202" s="195">
        <v>46.7</v>
      </c>
      <c r="F202" s="196">
        <v>46.7</v>
      </c>
      <c r="G202" s="197">
        <v>46.7</v>
      </c>
      <c r="H202" s="195">
        <v>46.7</v>
      </c>
      <c r="I202" s="196">
        <v>46.7</v>
      </c>
      <c r="J202" s="197">
        <v>46.7</v>
      </c>
      <c r="K202" s="195">
        <v>46.7</v>
      </c>
      <c r="L202" s="196">
        <v>46.7</v>
      </c>
      <c r="M202" s="197">
        <v>46.7</v>
      </c>
      <c r="N202" s="195">
        <v>46.7</v>
      </c>
      <c r="O202" s="196">
        <v>46.7</v>
      </c>
      <c r="P202" s="197">
        <v>46.7</v>
      </c>
      <c r="Q202" s="195">
        <v>46.7</v>
      </c>
      <c r="R202" s="196">
        <v>46.7</v>
      </c>
      <c r="S202" s="197">
        <v>46.7</v>
      </c>
      <c r="T202" s="195">
        <v>46.7</v>
      </c>
      <c r="U202" s="196">
        <v>46.7</v>
      </c>
      <c r="V202" s="197">
        <v>46.7</v>
      </c>
      <c r="W202" s="195">
        <v>46.7</v>
      </c>
      <c r="X202" s="196">
        <v>46.7</v>
      </c>
      <c r="Y202" s="197">
        <v>46.7</v>
      </c>
      <c r="Z202" s="195">
        <v>46.7</v>
      </c>
      <c r="AA202" s="196">
        <v>46.7</v>
      </c>
      <c r="AB202" s="197">
        <v>46.7</v>
      </c>
      <c r="AC202" s="195">
        <v>46.7</v>
      </c>
      <c r="AD202" s="196">
        <v>46.7</v>
      </c>
      <c r="AE202" s="197">
        <v>46.7</v>
      </c>
      <c r="AF202" s="195">
        <v>46.7</v>
      </c>
      <c r="AG202" s="196">
        <v>46.7</v>
      </c>
      <c r="AH202" s="197">
        <v>46.7</v>
      </c>
      <c r="AI202" s="200" t="s">
        <v>2715</v>
      </c>
      <c r="AJ202" s="193" t="s">
        <v>1631</v>
      </c>
      <c r="AK202" s="201" t="s">
        <v>1614</v>
      </c>
      <c r="AL202" s="205">
        <v>20</v>
      </c>
      <c r="AM202" s="200">
        <v>50</v>
      </c>
      <c r="AN202" s="204">
        <v>50</v>
      </c>
      <c r="AO202" s="203"/>
      <c r="AP202" s="207" t="s">
        <v>76</v>
      </c>
      <c r="AQ202" s="199" t="s">
        <v>1620</v>
      </c>
      <c r="AR202" s="202">
        <v>43435</v>
      </c>
      <c r="AS202" s="205">
        <v>2048</v>
      </c>
      <c r="AT202" s="206"/>
      <c r="AU202" s="201" t="s">
        <v>24</v>
      </c>
      <c r="AV202" s="193" t="s">
        <v>1615</v>
      </c>
      <c r="AW202" s="205">
        <v>1280</v>
      </c>
    </row>
    <row r="203" spans="1:49" ht="21">
      <c r="A203" s="192" t="s">
        <v>91</v>
      </c>
      <c r="B203" s="194" t="s">
        <v>1555</v>
      </c>
      <c r="C203" s="160" t="s">
        <v>355</v>
      </c>
      <c r="D203" s="193" t="s">
        <v>356</v>
      </c>
      <c r="E203" s="195">
        <v>16.8</v>
      </c>
      <c r="F203" s="196">
        <v>16.128</v>
      </c>
      <c r="G203" s="197">
        <v>15.792</v>
      </c>
      <c r="H203" s="195">
        <v>16.8</v>
      </c>
      <c r="I203" s="196">
        <v>16.128</v>
      </c>
      <c r="J203" s="197">
        <v>15.792</v>
      </c>
      <c r="K203" s="195">
        <v>16.8</v>
      </c>
      <c r="L203" s="196">
        <v>16.128</v>
      </c>
      <c r="M203" s="197">
        <v>15.792</v>
      </c>
      <c r="N203" s="195">
        <v>16.8</v>
      </c>
      <c r="O203" s="196">
        <v>16.128</v>
      </c>
      <c r="P203" s="197">
        <v>15.792</v>
      </c>
      <c r="Q203" s="195">
        <v>16.8</v>
      </c>
      <c r="R203" s="196">
        <v>16.128</v>
      </c>
      <c r="S203" s="197">
        <v>15.792</v>
      </c>
      <c r="T203" s="195">
        <v>16.8</v>
      </c>
      <c r="U203" s="196">
        <v>16.128</v>
      </c>
      <c r="V203" s="197">
        <v>15.792</v>
      </c>
      <c r="W203" s="195">
        <v>16.8</v>
      </c>
      <c r="X203" s="196">
        <v>16.128</v>
      </c>
      <c r="Y203" s="197">
        <v>15.792</v>
      </c>
      <c r="Z203" s="195">
        <v>16.8</v>
      </c>
      <c r="AA203" s="196">
        <v>16.128</v>
      </c>
      <c r="AB203" s="197">
        <v>15.792</v>
      </c>
      <c r="AC203" s="195">
        <v>16.8</v>
      </c>
      <c r="AD203" s="196">
        <v>16.128</v>
      </c>
      <c r="AE203" s="197">
        <v>15.792</v>
      </c>
      <c r="AF203" s="195">
        <v>16.8</v>
      </c>
      <c r="AG203" s="196">
        <v>16.128</v>
      </c>
      <c r="AH203" s="197">
        <v>15.792</v>
      </c>
      <c r="AI203" s="200" t="s">
        <v>347</v>
      </c>
      <c r="AJ203" s="193" t="s">
        <v>1631</v>
      </c>
      <c r="AK203" s="201" t="s">
        <v>1614</v>
      </c>
      <c r="AL203" s="205">
        <v>6</v>
      </c>
      <c r="AM203" s="200"/>
      <c r="AN203" s="204">
        <v>16.8</v>
      </c>
      <c r="AO203" s="203"/>
      <c r="AP203" s="207" t="s">
        <v>76</v>
      </c>
      <c r="AQ203" s="199" t="s">
        <v>1620</v>
      </c>
      <c r="AR203" s="202">
        <v>44682</v>
      </c>
      <c r="AS203" s="205">
        <v>2041</v>
      </c>
      <c r="AT203" s="206"/>
      <c r="AU203" s="201" t="s">
        <v>24</v>
      </c>
      <c r="AV203" s="193" t="s">
        <v>1615</v>
      </c>
      <c r="AW203" s="205">
        <v>1847</v>
      </c>
    </row>
    <row r="204" spans="1:49" ht="21">
      <c r="A204" s="192" t="s">
        <v>91</v>
      </c>
      <c r="B204" s="194" t="s">
        <v>1555</v>
      </c>
      <c r="C204" s="160" t="s">
        <v>357</v>
      </c>
      <c r="D204" s="193" t="s">
        <v>358</v>
      </c>
      <c r="E204" s="195">
        <v>12.36</v>
      </c>
      <c r="F204" s="196">
        <v>11.88</v>
      </c>
      <c r="G204" s="197">
        <v>11.64</v>
      </c>
      <c r="H204" s="195">
        <v>12.36</v>
      </c>
      <c r="I204" s="196">
        <v>11.88</v>
      </c>
      <c r="J204" s="197">
        <v>11.64</v>
      </c>
      <c r="K204" s="195">
        <v>12.36</v>
      </c>
      <c r="L204" s="196">
        <v>11.88</v>
      </c>
      <c r="M204" s="197">
        <v>11.64</v>
      </c>
      <c r="N204" s="195">
        <v>12.36</v>
      </c>
      <c r="O204" s="196">
        <v>11.88</v>
      </c>
      <c r="P204" s="197">
        <v>11.64</v>
      </c>
      <c r="Q204" s="195">
        <v>12.36</v>
      </c>
      <c r="R204" s="196">
        <v>11.88</v>
      </c>
      <c r="S204" s="197">
        <v>11.64</v>
      </c>
      <c r="T204" s="195">
        <v>12.36</v>
      </c>
      <c r="U204" s="196">
        <v>11.88</v>
      </c>
      <c r="V204" s="197">
        <v>11.64</v>
      </c>
      <c r="W204" s="195">
        <v>12.36</v>
      </c>
      <c r="X204" s="196">
        <v>11.88</v>
      </c>
      <c r="Y204" s="197">
        <v>11.64</v>
      </c>
      <c r="Z204" s="195">
        <v>12.36</v>
      </c>
      <c r="AA204" s="196">
        <v>11.88</v>
      </c>
      <c r="AB204" s="197">
        <v>11.64</v>
      </c>
      <c r="AC204" s="195">
        <v>12.36</v>
      </c>
      <c r="AD204" s="196">
        <v>11.88</v>
      </c>
      <c r="AE204" s="197">
        <v>11.64</v>
      </c>
      <c r="AF204" s="195">
        <v>12.36</v>
      </c>
      <c r="AG204" s="196">
        <v>11.88</v>
      </c>
      <c r="AH204" s="197">
        <v>11.64</v>
      </c>
      <c r="AI204" s="200" t="s">
        <v>347</v>
      </c>
      <c r="AJ204" s="193" t="s">
        <v>1631</v>
      </c>
      <c r="AK204" s="201" t="s">
        <v>1614</v>
      </c>
      <c r="AL204" s="205">
        <v>6</v>
      </c>
      <c r="AM204" s="200"/>
      <c r="AN204" s="204">
        <v>12.36</v>
      </c>
      <c r="AO204" s="203"/>
      <c r="AP204" s="207" t="s">
        <v>76</v>
      </c>
      <c r="AQ204" s="199" t="s">
        <v>1620</v>
      </c>
      <c r="AR204" s="202">
        <v>44927</v>
      </c>
      <c r="AS204" s="205">
        <v>2041</v>
      </c>
      <c r="AT204" s="206"/>
      <c r="AU204" s="201" t="s">
        <v>24</v>
      </c>
      <c r="AV204" s="193" t="s">
        <v>1615</v>
      </c>
      <c r="AW204" s="205">
        <v>2010</v>
      </c>
    </row>
    <row r="205" spans="1:49">
      <c r="A205" s="192" t="s">
        <v>91</v>
      </c>
      <c r="B205" s="194" t="s">
        <v>1599</v>
      </c>
      <c r="C205" s="160" t="s">
        <v>94</v>
      </c>
      <c r="D205" s="193" t="s">
        <v>96</v>
      </c>
      <c r="E205" s="195">
        <v>29.986000000000001</v>
      </c>
      <c r="F205" s="196">
        <v>29.986000000000001</v>
      </c>
      <c r="G205" s="197">
        <v>29.986000000000001</v>
      </c>
      <c r="H205" s="195">
        <v>29.986000000000001</v>
      </c>
      <c r="I205" s="196">
        <v>29.986000000000001</v>
      </c>
      <c r="J205" s="197">
        <v>29.986000000000001</v>
      </c>
      <c r="K205" s="195">
        <v>29.986000000000001</v>
      </c>
      <c r="L205" s="196">
        <v>29.986000000000001</v>
      </c>
      <c r="M205" s="197">
        <v>29.986000000000001</v>
      </c>
      <c r="N205" s="195">
        <v>29.986000000000001</v>
      </c>
      <c r="O205" s="196">
        <v>29.986000000000001</v>
      </c>
      <c r="P205" s="197">
        <v>29.986000000000001</v>
      </c>
      <c r="Q205" s="195">
        <v>29.986000000000001</v>
      </c>
      <c r="R205" s="196">
        <v>29.986000000000001</v>
      </c>
      <c r="S205" s="197">
        <v>29.986000000000001</v>
      </c>
      <c r="T205" s="195">
        <v>29.986000000000001</v>
      </c>
      <c r="U205" s="196">
        <v>29.986000000000001</v>
      </c>
      <c r="V205" s="197">
        <v>29.986000000000001</v>
      </c>
      <c r="W205" s="195">
        <v>29.986000000000001</v>
      </c>
      <c r="X205" s="196">
        <v>29.986000000000001</v>
      </c>
      <c r="Y205" s="197">
        <v>29.986000000000001</v>
      </c>
      <c r="Z205" s="195">
        <v>29.986000000000001</v>
      </c>
      <c r="AA205" s="196">
        <v>29.986000000000001</v>
      </c>
      <c r="AB205" s="197">
        <v>29.986000000000001</v>
      </c>
      <c r="AC205" s="195">
        <v>29.986000000000001</v>
      </c>
      <c r="AD205" s="196">
        <v>29.986000000000001</v>
      </c>
      <c r="AE205" s="197">
        <v>29.986000000000001</v>
      </c>
      <c r="AF205" s="195">
        <v>29.986000000000001</v>
      </c>
      <c r="AG205" s="196">
        <v>29.986000000000001</v>
      </c>
      <c r="AH205" s="197">
        <v>29.986000000000001</v>
      </c>
      <c r="AI205" s="200" t="s">
        <v>2721</v>
      </c>
      <c r="AJ205" s="193" t="s">
        <v>1631</v>
      </c>
      <c r="AK205" s="201" t="s">
        <v>1614</v>
      </c>
      <c r="AL205" s="205">
        <v>11</v>
      </c>
      <c r="AM205" s="200"/>
      <c r="AN205" s="204">
        <v>29.986000000000001</v>
      </c>
      <c r="AO205" s="203"/>
      <c r="AP205" s="207" t="s">
        <v>317</v>
      </c>
      <c r="AQ205" s="199" t="s">
        <v>1620</v>
      </c>
      <c r="AR205" s="202">
        <v>45200</v>
      </c>
      <c r="AS205" s="205">
        <v>2058</v>
      </c>
      <c r="AT205" s="206"/>
      <c r="AU205" s="201" t="s">
        <v>26</v>
      </c>
      <c r="AV205" s="193" t="s">
        <v>1615</v>
      </c>
      <c r="AW205" s="205">
        <v>2410</v>
      </c>
    </row>
    <row r="206" spans="1:49">
      <c r="A206" s="192" t="s">
        <v>77</v>
      </c>
      <c r="B206" s="194" t="s">
        <v>1555</v>
      </c>
      <c r="C206" s="160" t="s">
        <v>540</v>
      </c>
      <c r="D206" s="193" t="s">
        <v>542</v>
      </c>
      <c r="E206" s="195">
        <v>27.3</v>
      </c>
      <c r="F206" s="196">
        <v>27.3</v>
      </c>
      <c r="G206" s="197">
        <v>27.3</v>
      </c>
      <c r="H206" s="195">
        <v>27.3</v>
      </c>
      <c r="I206" s="196">
        <v>27.3</v>
      </c>
      <c r="J206" s="197">
        <v>27.3</v>
      </c>
      <c r="K206" s="195">
        <v>27.3</v>
      </c>
      <c r="L206" s="196">
        <v>27.3</v>
      </c>
      <c r="M206" s="197">
        <v>27.3</v>
      </c>
      <c r="N206" s="195">
        <v>27.3</v>
      </c>
      <c r="O206" s="196">
        <v>27.3</v>
      </c>
      <c r="P206" s="197">
        <v>27.3</v>
      </c>
      <c r="Q206" s="195">
        <v>27.3</v>
      </c>
      <c r="R206" s="196">
        <v>27.3</v>
      </c>
      <c r="S206" s="197">
        <v>27.3</v>
      </c>
      <c r="T206" s="195">
        <v>27.3</v>
      </c>
      <c r="U206" s="196">
        <v>27.3</v>
      </c>
      <c r="V206" s="197">
        <v>27.3</v>
      </c>
      <c r="W206" s="195">
        <v>27.3</v>
      </c>
      <c r="X206" s="196">
        <v>27.3</v>
      </c>
      <c r="Y206" s="197">
        <v>27.3</v>
      </c>
      <c r="Z206" s="195">
        <v>27.3</v>
      </c>
      <c r="AA206" s="196">
        <v>27.3</v>
      </c>
      <c r="AB206" s="197">
        <v>27.3</v>
      </c>
      <c r="AC206" s="195">
        <v>27.3</v>
      </c>
      <c r="AD206" s="196">
        <v>27.3</v>
      </c>
      <c r="AE206" s="197">
        <v>27.3</v>
      </c>
      <c r="AF206" s="195">
        <v>27.3</v>
      </c>
      <c r="AG206" s="196">
        <v>27.3</v>
      </c>
      <c r="AH206" s="197">
        <v>27.3</v>
      </c>
      <c r="AI206" s="200" t="s">
        <v>541</v>
      </c>
      <c r="AJ206" s="193" t="s">
        <v>1631</v>
      </c>
      <c r="AK206" s="201" t="s">
        <v>1614</v>
      </c>
      <c r="AL206" s="205">
        <v>1</v>
      </c>
      <c r="AM206" s="200">
        <v>34.5</v>
      </c>
      <c r="AN206" s="204">
        <v>34.5</v>
      </c>
      <c r="AO206" s="203"/>
      <c r="AP206" s="207" t="s">
        <v>76</v>
      </c>
      <c r="AQ206" s="199" t="s">
        <v>1620</v>
      </c>
      <c r="AR206" s="202">
        <v>44256</v>
      </c>
      <c r="AS206" s="205">
        <v>2048</v>
      </c>
      <c r="AT206" s="206"/>
      <c r="AU206" s="201" t="s">
        <v>24</v>
      </c>
      <c r="AV206" s="193" t="s">
        <v>1615</v>
      </c>
      <c r="AW206" s="205">
        <v>1689</v>
      </c>
    </row>
    <row r="207" spans="1:49">
      <c r="A207" s="192" t="s">
        <v>105</v>
      </c>
      <c r="B207" s="194" t="s">
        <v>1555</v>
      </c>
      <c r="C207" s="160" t="s">
        <v>2755</v>
      </c>
      <c r="D207" s="193" t="s">
        <v>2756</v>
      </c>
      <c r="E207" s="195">
        <v>44</v>
      </c>
      <c r="F207" s="196">
        <v>44</v>
      </c>
      <c r="G207" s="197">
        <v>44</v>
      </c>
      <c r="H207" s="195">
        <v>44</v>
      </c>
      <c r="I207" s="196">
        <v>44</v>
      </c>
      <c r="J207" s="197">
        <v>44</v>
      </c>
      <c r="K207" s="195">
        <v>44</v>
      </c>
      <c r="L207" s="196">
        <v>44</v>
      </c>
      <c r="M207" s="197">
        <v>44</v>
      </c>
      <c r="N207" s="195">
        <v>44</v>
      </c>
      <c r="O207" s="196">
        <v>0</v>
      </c>
      <c r="P207" s="197">
        <v>0</v>
      </c>
      <c r="Q207" s="195">
        <v>44</v>
      </c>
      <c r="R207" s="196">
        <v>44</v>
      </c>
      <c r="S207" s="197">
        <v>44</v>
      </c>
      <c r="T207" s="195">
        <v>44</v>
      </c>
      <c r="U207" s="196">
        <v>44</v>
      </c>
      <c r="V207" s="197">
        <v>44</v>
      </c>
      <c r="W207" s="195">
        <v>44</v>
      </c>
      <c r="X207" s="196">
        <v>44</v>
      </c>
      <c r="Y207" s="197">
        <v>44</v>
      </c>
      <c r="Z207" s="195">
        <v>44</v>
      </c>
      <c r="AA207" s="196">
        <v>44</v>
      </c>
      <c r="AB207" s="197">
        <v>44</v>
      </c>
      <c r="AC207" s="195">
        <v>44</v>
      </c>
      <c r="AD207" s="196">
        <v>44</v>
      </c>
      <c r="AE207" s="197">
        <v>44</v>
      </c>
      <c r="AF207" s="195">
        <v>44</v>
      </c>
      <c r="AG207" s="196">
        <v>44</v>
      </c>
      <c r="AH207" s="197">
        <v>44</v>
      </c>
      <c r="AI207" s="200" t="s">
        <v>1735</v>
      </c>
      <c r="AJ207" s="193" t="s">
        <v>1700</v>
      </c>
      <c r="AK207" s="201" t="s">
        <v>1658</v>
      </c>
      <c r="AL207" s="205">
        <v>1</v>
      </c>
      <c r="AM207" s="200">
        <v>40</v>
      </c>
      <c r="AN207" s="204">
        <v>40</v>
      </c>
      <c r="AO207" s="203"/>
      <c r="AP207" s="207" t="s">
        <v>76</v>
      </c>
      <c r="AQ207" s="199" t="s">
        <v>1619</v>
      </c>
      <c r="AR207" s="202"/>
      <c r="AS207" s="205">
        <v>2100</v>
      </c>
      <c r="AT207" s="206"/>
      <c r="AU207" s="201" t="s">
        <v>24</v>
      </c>
      <c r="AV207" s="193" t="s">
        <v>17</v>
      </c>
      <c r="AW207" s="205">
        <v>1133</v>
      </c>
    </row>
    <row r="208" spans="1:49">
      <c r="A208" s="192" t="s">
        <v>45</v>
      </c>
      <c r="B208" s="194" t="s">
        <v>1599</v>
      </c>
      <c r="C208" s="160" t="s">
        <v>610</v>
      </c>
      <c r="D208" s="193" t="s">
        <v>2773</v>
      </c>
      <c r="E208" s="195">
        <v>115.02</v>
      </c>
      <c r="F208" s="196">
        <v>111.726</v>
      </c>
      <c r="G208" s="197">
        <v>107.08199999999999</v>
      </c>
      <c r="H208" s="195">
        <v>115.02</v>
      </c>
      <c r="I208" s="196">
        <v>111.726</v>
      </c>
      <c r="J208" s="197">
        <v>107.08199999999999</v>
      </c>
      <c r="K208" s="195">
        <v>115.02</v>
      </c>
      <c r="L208" s="196">
        <v>111.726</v>
      </c>
      <c r="M208" s="197">
        <v>107.08199999999999</v>
      </c>
      <c r="N208" s="195">
        <v>115.02</v>
      </c>
      <c r="O208" s="196">
        <v>111.726</v>
      </c>
      <c r="P208" s="197">
        <v>107.08199999999999</v>
      </c>
      <c r="Q208" s="195">
        <v>115.02</v>
      </c>
      <c r="R208" s="196">
        <v>111.726</v>
      </c>
      <c r="S208" s="197">
        <v>107.08199999999999</v>
      </c>
      <c r="T208" s="195">
        <v>115.02</v>
      </c>
      <c r="U208" s="196">
        <v>111.726</v>
      </c>
      <c r="V208" s="197">
        <v>107.08199999999999</v>
      </c>
      <c r="W208" s="195">
        <v>115.02</v>
      </c>
      <c r="X208" s="196">
        <v>111.726</v>
      </c>
      <c r="Y208" s="197">
        <v>107.08199999999999</v>
      </c>
      <c r="Z208" s="195">
        <v>115.02</v>
      </c>
      <c r="AA208" s="196">
        <v>111.726</v>
      </c>
      <c r="AB208" s="197">
        <v>107.08199999999999</v>
      </c>
      <c r="AC208" s="195">
        <v>115.02</v>
      </c>
      <c r="AD208" s="196">
        <v>111.726</v>
      </c>
      <c r="AE208" s="197">
        <v>107.08199999999999</v>
      </c>
      <c r="AF208" s="195">
        <v>115.02</v>
      </c>
      <c r="AG208" s="196">
        <v>111.726</v>
      </c>
      <c r="AH208" s="197">
        <v>107.08199999999999</v>
      </c>
      <c r="AI208" s="200" t="s">
        <v>611</v>
      </c>
      <c r="AJ208" s="193" t="s">
        <v>1631</v>
      </c>
      <c r="AK208" s="201" t="s">
        <v>1614</v>
      </c>
      <c r="AL208" s="205">
        <v>54</v>
      </c>
      <c r="AM208" s="200">
        <v>0</v>
      </c>
      <c r="AN208" s="204">
        <v>135</v>
      </c>
      <c r="AO208" s="203"/>
      <c r="AP208" s="207" t="s">
        <v>26</v>
      </c>
      <c r="AQ208" s="199" t="s">
        <v>1620</v>
      </c>
      <c r="AR208" s="202">
        <v>45017</v>
      </c>
      <c r="AS208" s="205">
        <v>2052</v>
      </c>
      <c r="AT208" s="206"/>
      <c r="AU208" s="201" t="s">
        <v>26</v>
      </c>
      <c r="AV208" s="193" t="s">
        <v>1615</v>
      </c>
      <c r="AW208" s="205">
        <v>1628</v>
      </c>
    </row>
    <row r="209" spans="1:49">
      <c r="A209" s="192" t="s">
        <v>77</v>
      </c>
      <c r="B209" s="194" t="s">
        <v>1555</v>
      </c>
      <c r="C209" s="160" t="s">
        <v>2780</v>
      </c>
      <c r="D209" s="193" t="s">
        <v>2781</v>
      </c>
      <c r="E209" s="195">
        <v>26</v>
      </c>
      <c r="F209" s="196">
        <v>26</v>
      </c>
      <c r="G209" s="197">
        <v>26</v>
      </c>
      <c r="H209" s="195">
        <v>26</v>
      </c>
      <c r="I209" s="196">
        <v>26</v>
      </c>
      <c r="J209" s="197">
        <v>26</v>
      </c>
      <c r="K209" s="195">
        <v>26</v>
      </c>
      <c r="L209" s="196">
        <v>26</v>
      </c>
      <c r="M209" s="197">
        <v>26</v>
      </c>
      <c r="N209" s="195">
        <v>26</v>
      </c>
      <c r="O209" s="196">
        <v>26</v>
      </c>
      <c r="P209" s="197">
        <v>26</v>
      </c>
      <c r="Q209" s="195">
        <v>26</v>
      </c>
      <c r="R209" s="196">
        <v>26</v>
      </c>
      <c r="S209" s="197">
        <v>26</v>
      </c>
      <c r="T209" s="195">
        <v>26</v>
      </c>
      <c r="U209" s="196">
        <v>26</v>
      </c>
      <c r="V209" s="197">
        <v>26</v>
      </c>
      <c r="W209" s="195">
        <v>26</v>
      </c>
      <c r="X209" s="196">
        <v>26</v>
      </c>
      <c r="Y209" s="197">
        <v>26</v>
      </c>
      <c r="Z209" s="195">
        <v>26</v>
      </c>
      <c r="AA209" s="196">
        <v>26</v>
      </c>
      <c r="AB209" s="197">
        <v>26</v>
      </c>
      <c r="AC209" s="195">
        <v>26</v>
      </c>
      <c r="AD209" s="196">
        <v>26</v>
      </c>
      <c r="AE209" s="197">
        <v>26</v>
      </c>
      <c r="AF209" s="195">
        <v>26</v>
      </c>
      <c r="AG209" s="196">
        <v>26</v>
      </c>
      <c r="AH209" s="197">
        <v>26</v>
      </c>
      <c r="AI209" s="200" t="s">
        <v>625</v>
      </c>
      <c r="AJ209" s="193" t="s">
        <v>1631</v>
      </c>
      <c r="AK209" s="201" t="s">
        <v>1614</v>
      </c>
      <c r="AL209" s="205">
        <v>1</v>
      </c>
      <c r="AM209" s="200">
        <v>26</v>
      </c>
      <c r="AN209" s="204">
        <v>26</v>
      </c>
      <c r="AO209" s="203"/>
      <c r="AP209" s="207" t="s">
        <v>76</v>
      </c>
      <c r="AQ209" s="199" t="s">
        <v>1620</v>
      </c>
      <c r="AR209" s="202">
        <v>44378</v>
      </c>
      <c r="AS209" s="205">
        <v>2050</v>
      </c>
      <c r="AT209" s="206"/>
      <c r="AU209" s="201" t="s">
        <v>24</v>
      </c>
      <c r="AV209" s="193" t="s">
        <v>1615</v>
      </c>
      <c r="AW209" s="205">
        <v>1537</v>
      </c>
    </row>
    <row r="210" spans="1:49">
      <c r="A210" s="192" t="s">
        <v>77</v>
      </c>
      <c r="B210" s="194" t="s">
        <v>1555</v>
      </c>
      <c r="C210" s="160" t="s">
        <v>2789</v>
      </c>
      <c r="D210" s="193" t="s">
        <v>2790</v>
      </c>
      <c r="E210" s="195">
        <v>426</v>
      </c>
      <c r="F210" s="196">
        <v>400</v>
      </c>
      <c r="G210" s="197">
        <v>335</v>
      </c>
      <c r="H210" s="195">
        <v>426</v>
      </c>
      <c r="I210" s="196">
        <v>400</v>
      </c>
      <c r="J210" s="197">
        <v>335</v>
      </c>
      <c r="K210" s="195">
        <v>426</v>
      </c>
      <c r="L210" s="196">
        <v>400</v>
      </c>
      <c r="M210" s="197">
        <v>335</v>
      </c>
      <c r="N210" s="195">
        <v>426</v>
      </c>
      <c r="O210" s="196">
        <v>400</v>
      </c>
      <c r="P210" s="197">
        <v>335</v>
      </c>
      <c r="Q210" s="195">
        <v>426</v>
      </c>
      <c r="R210" s="196">
        <v>400</v>
      </c>
      <c r="S210" s="197">
        <v>335</v>
      </c>
      <c r="T210" s="195">
        <v>426</v>
      </c>
      <c r="U210" s="196">
        <v>400</v>
      </c>
      <c r="V210" s="197">
        <v>335</v>
      </c>
      <c r="W210" s="195">
        <v>426</v>
      </c>
      <c r="X210" s="196">
        <v>400</v>
      </c>
      <c r="Y210" s="197">
        <v>335</v>
      </c>
      <c r="Z210" s="195">
        <v>426</v>
      </c>
      <c r="AA210" s="196">
        <v>400</v>
      </c>
      <c r="AB210" s="197">
        <v>335</v>
      </c>
      <c r="AC210" s="195">
        <v>426</v>
      </c>
      <c r="AD210" s="196">
        <v>400</v>
      </c>
      <c r="AE210" s="197">
        <v>335</v>
      </c>
      <c r="AF210" s="195">
        <v>426</v>
      </c>
      <c r="AG210" s="196">
        <v>400</v>
      </c>
      <c r="AH210" s="197">
        <v>335</v>
      </c>
      <c r="AI210" s="200" t="s">
        <v>2787</v>
      </c>
      <c r="AJ210" s="193" t="s">
        <v>1946</v>
      </c>
      <c r="AK210" s="201" t="s">
        <v>1740</v>
      </c>
      <c r="AL210" s="205">
        <v>1</v>
      </c>
      <c r="AM210" s="200"/>
      <c r="AN210" s="204">
        <v>426</v>
      </c>
      <c r="AO210" s="203"/>
      <c r="AP210" s="207" t="s">
        <v>76</v>
      </c>
      <c r="AQ210" s="199" t="s">
        <v>1619</v>
      </c>
      <c r="AR210" s="202"/>
      <c r="AS210" s="205">
        <v>2051</v>
      </c>
      <c r="AT210" s="206"/>
      <c r="AU210" s="201" t="s">
        <v>24</v>
      </c>
      <c r="AV210" s="193" t="s">
        <v>11</v>
      </c>
      <c r="AW210" s="205">
        <v>1134</v>
      </c>
    </row>
    <row r="211" spans="1:49">
      <c r="A211" s="192" t="s">
        <v>77</v>
      </c>
      <c r="B211" s="194" t="s">
        <v>1555</v>
      </c>
      <c r="C211" s="160" t="s">
        <v>2789</v>
      </c>
      <c r="D211" s="193" t="s">
        <v>2791</v>
      </c>
      <c r="E211" s="195">
        <v>426</v>
      </c>
      <c r="F211" s="196">
        <v>400</v>
      </c>
      <c r="G211" s="197">
        <v>335</v>
      </c>
      <c r="H211" s="195">
        <v>426</v>
      </c>
      <c r="I211" s="196">
        <v>400</v>
      </c>
      <c r="J211" s="197">
        <v>335</v>
      </c>
      <c r="K211" s="195">
        <v>426</v>
      </c>
      <c r="L211" s="196">
        <v>400</v>
      </c>
      <c r="M211" s="197">
        <v>335</v>
      </c>
      <c r="N211" s="195">
        <v>426</v>
      </c>
      <c r="O211" s="196">
        <v>400</v>
      </c>
      <c r="P211" s="197">
        <v>335</v>
      </c>
      <c r="Q211" s="195">
        <v>426</v>
      </c>
      <c r="R211" s="196">
        <v>400</v>
      </c>
      <c r="S211" s="197">
        <v>335</v>
      </c>
      <c r="T211" s="195">
        <v>426</v>
      </c>
      <c r="U211" s="196">
        <v>400</v>
      </c>
      <c r="V211" s="197">
        <v>335</v>
      </c>
      <c r="W211" s="195">
        <v>426</v>
      </c>
      <c r="X211" s="196">
        <v>400</v>
      </c>
      <c r="Y211" s="197">
        <v>335</v>
      </c>
      <c r="Z211" s="195">
        <v>426</v>
      </c>
      <c r="AA211" s="196">
        <v>400</v>
      </c>
      <c r="AB211" s="197">
        <v>335</v>
      </c>
      <c r="AC211" s="195">
        <v>426</v>
      </c>
      <c r="AD211" s="196">
        <v>400</v>
      </c>
      <c r="AE211" s="197">
        <v>335</v>
      </c>
      <c r="AF211" s="195">
        <v>426</v>
      </c>
      <c r="AG211" s="196">
        <v>400</v>
      </c>
      <c r="AH211" s="197">
        <v>335</v>
      </c>
      <c r="AI211" s="200" t="s">
        <v>2787</v>
      </c>
      <c r="AJ211" s="193" t="s">
        <v>1946</v>
      </c>
      <c r="AK211" s="201" t="s">
        <v>1740</v>
      </c>
      <c r="AL211" s="205">
        <v>1</v>
      </c>
      <c r="AM211" s="200"/>
      <c r="AN211" s="204">
        <v>426</v>
      </c>
      <c r="AO211" s="203"/>
      <c r="AP211" s="207" t="s">
        <v>76</v>
      </c>
      <c r="AQ211" s="199" t="s">
        <v>1619</v>
      </c>
      <c r="AR211" s="202"/>
      <c r="AS211" s="205">
        <v>2051</v>
      </c>
      <c r="AT211" s="206"/>
      <c r="AU211" s="201" t="s">
        <v>24</v>
      </c>
      <c r="AV211" s="193" t="s">
        <v>11</v>
      </c>
      <c r="AW211" s="205">
        <v>1134</v>
      </c>
    </row>
    <row r="212" spans="1:49">
      <c r="A212" s="192" t="s">
        <v>91</v>
      </c>
      <c r="B212" s="194" t="s">
        <v>1555</v>
      </c>
      <c r="C212" s="160" t="s">
        <v>2793</v>
      </c>
      <c r="D212" s="193" t="s">
        <v>2794</v>
      </c>
      <c r="E212" s="195">
        <v>90</v>
      </c>
      <c r="F212" s="196">
        <v>73</v>
      </c>
      <c r="G212" s="197">
        <v>68</v>
      </c>
      <c r="H212" s="195">
        <v>90</v>
      </c>
      <c r="I212" s="196">
        <v>73</v>
      </c>
      <c r="J212" s="197">
        <v>68</v>
      </c>
      <c r="K212" s="195">
        <v>90</v>
      </c>
      <c r="L212" s="196">
        <v>73</v>
      </c>
      <c r="M212" s="197">
        <v>68</v>
      </c>
      <c r="N212" s="195">
        <v>90</v>
      </c>
      <c r="O212" s="196">
        <v>73</v>
      </c>
      <c r="P212" s="197">
        <v>68</v>
      </c>
      <c r="Q212" s="195">
        <v>90</v>
      </c>
      <c r="R212" s="196">
        <v>73</v>
      </c>
      <c r="S212" s="197">
        <v>68</v>
      </c>
      <c r="T212" s="195">
        <v>90</v>
      </c>
      <c r="U212" s="196">
        <v>73</v>
      </c>
      <c r="V212" s="197">
        <v>68</v>
      </c>
      <c r="W212" s="195">
        <v>90</v>
      </c>
      <c r="X212" s="196">
        <v>73</v>
      </c>
      <c r="Y212" s="197">
        <v>68</v>
      </c>
      <c r="Z212" s="195">
        <v>90</v>
      </c>
      <c r="AA212" s="196">
        <v>73</v>
      </c>
      <c r="AB212" s="197">
        <v>68</v>
      </c>
      <c r="AC212" s="195">
        <v>0</v>
      </c>
      <c r="AD212" s="196">
        <v>0</v>
      </c>
      <c r="AE212" s="197">
        <v>0</v>
      </c>
      <c r="AF212" s="195">
        <v>0</v>
      </c>
      <c r="AG212" s="196">
        <v>0</v>
      </c>
      <c r="AH212" s="197">
        <v>0</v>
      </c>
      <c r="AI212" s="200" t="s">
        <v>2167</v>
      </c>
      <c r="AJ212" s="193" t="s">
        <v>1673</v>
      </c>
      <c r="AK212" s="201" t="s">
        <v>1592</v>
      </c>
      <c r="AL212" s="205">
        <v>1</v>
      </c>
      <c r="AM212" s="200"/>
      <c r="AN212" s="204">
        <v>90</v>
      </c>
      <c r="AO212" s="203"/>
      <c r="AP212" s="207" t="s">
        <v>76</v>
      </c>
      <c r="AQ212" s="199" t="s">
        <v>1619</v>
      </c>
      <c r="AR212" s="202"/>
      <c r="AS212" s="205">
        <v>2030</v>
      </c>
      <c r="AT212" s="206"/>
      <c r="AU212" s="201" t="s">
        <v>24</v>
      </c>
      <c r="AV212" s="193" t="s">
        <v>13</v>
      </c>
      <c r="AW212" s="205">
        <v>1135</v>
      </c>
    </row>
    <row r="213" spans="1:49">
      <c r="A213" s="192" t="s">
        <v>45</v>
      </c>
      <c r="B213" s="194" t="s">
        <v>1555</v>
      </c>
      <c r="C213" s="160" t="s">
        <v>612</v>
      </c>
      <c r="D213" s="193" t="s">
        <v>614</v>
      </c>
      <c r="E213" s="195">
        <v>36.014000000000003</v>
      </c>
      <c r="F213" s="196">
        <v>36.014000000000003</v>
      </c>
      <c r="G213" s="197">
        <v>32.405999999999999</v>
      </c>
      <c r="H213" s="195">
        <v>36.014000000000003</v>
      </c>
      <c r="I213" s="196">
        <v>36.014000000000003</v>
      </c>
      <c r="J213" s="197">
        <v>32.405999999999999</v>
      </c>
      <c r="K213" s="195">
        <v>36.014000000000003</v>
      </c>
      <c r="L213" s="196">
        <v>36.014000000000003</v>
      </c>
      <c r="M213" s="197">
        <v>32.405999999999999</v>
      </c>
      <c r="N213" s="195">
        <v>36.014000000000003</v>
      </c>
      <c r="O213" s="196">
        <v>36.014000000000003</v>
      </c>
      <c r="P213" s="197">
        <v>32.405999999999999</v>
      </c>
      <c r="Q213" s="195">
        <v>36.014000000000003</v>
      </c>
      <c r="R213" s="196">
        <v>36.014000000000003</v>
      </c>
      <c r="S213" s="197">
        <v>32.405999999999999</v>
      </c>
      <c r="T213" s="195">
        <v>36.014000000000003</v>
      </c>
      <c r="U213" s="196">
        <v>36.014000000000003</v>
      </c>
      <c r="V213" s="197">
        <v>32.405999999999999</v>
      </c>
      <c r="W213" s="195">
        <v>36.014000000000003</v>
      </c>
      <c r="X213" s="196">
        <v>36.014000000000003</v>
      </c>
      <c r="Y213" s="197">
        <v>32.405999999999999</v>
      </c>
      <c r="Z213" s="195">
        <v>36.014000000000003</v>
      </c>
      <c r="AA213" s="196">
        <v>36.014000000000003</v>
      </c>
      <c r="AB213" s="197">
        <v>32.405999999999999</v>
      </c>
      <c r="AC213" s="195">
        <v>36.014000000000003</v>
      </c>
      <c r="AD213" s="196">
        <v>36.014000000000003</v>
      </c>
      <c r="AE213" s="197">
        <v>32.405999999999999</v>
      </c>
      <c r="AF213" s="195">
        <v>36.014000000000003</v>
      </c>
      <c r="AG213" s="196">
        <v>36.014000000000003</v>
      </c>
      <c r="AH213" s="197">
        <v>32.405999999999999</v>
      </c>
      <c r="AI213" s="200" t="s">
        <v>2803</v>
      </c>
      <c r="AJ213" s="193" t="s">
        <v>1631</v>
      </c>
      <c r="AK213" s="201" t="s">
        <v>1614</v>
      </c>
      <c r="AL213" s="205">
        <v>22</v>
      </c>
      <c r="AM213" s="200">
        <v>32.340000000000003</v>
      </c>
      <c r="AN213" s="204">
        <v>36.08</v>
      </c>
      <c r="AO213" s="203"/>
      <c r="AP213" s="207" t="s">
        <v>76</v>
      </c>
      <c r="AQ213" s="199" t="s">
        <v>1620</v>
      </c>
      <c r="AR213" s="202">
        <v>44228</v>
      </c>
      <c r="AS213" s="205">
        <v>2045</v>
      </c>
      <c r="AT213" s="206"/>
      <c r="AU213" s="201" t="s">
        <v>24</v>
      </c>
      <c r="AV213" s="193" t="s">
        <v>1615</v>
      </c>
      <c r="AW213" s="205">
        <v>1641</v>
      </c>
    </row>
    <row r="214" spans="1:49">
      <c r="A214" s="192" t="s">
        <v>110</v>
      </c>
      <c r="B214" s="194" t="s">
        <v>1555</v>
      </c>
      <c r="C214" s="160" t="s">
        <v>407</v>
      </c>
      <c r="D214" s="193" t="s">
        <v>409</v>
      </c>
      <c r="E214" s="195">
        <v>312</v>
      </c>
      <c r="F214" s="196">
        <v>312</v>
      </c>
      <c r="G214" s="197">
        <v>312</v>
      </c>
      <c r="H214" s="195">
        <v>312</v>
      </c>
      <c r="I214" s="196">
        <v>312</v>
      </c>
      <c r="J214" s="197">
        <v>312</v>
      </c>
      <c r="K214" s="195">
        <v>312</v>
      </c>
      <c r="L214" s="196">
        <v>312</v>
      </c>
      <c r="M214" s="197">
        <v>312</v>
      </c>
      <c r="N214" s="195">
        <v>312</v>
      </c>
      <c r="O214" s="196">
        <v>312</v>
      </c>
      <c r="P214" s="197">
        <v>312</v>
      </c>
      <c r="Q214" s="195">
        <v>312</v>
      </c>
      <c r="R214" s="196">
        <v>312</v>
      </c>
      <c r="S214" s="197">
        <v>312</v>
      </c>
      <c r="T214" s="195">
        <v>312</v>
      </c>
      <c r="U214" s="196">
        <v>312</v>
      </c>
      <c r="V214" s="197">
        <v>312</v>
      </c>
      <c r="W214" s="195">
        <v>312</v>
      </c>
      <c r="X214" s="196">
        <v>312</v>
      </c>
      <c r="Y214" s="197">
        <v>312</v>
      </c>
      <c r="Z214" s="195">
        <v>312</v>
      </c>
      <c r="AA214" s="196">
        <v>312</v>
      </c>
      <c r="AB214" s="197">
        <v>312</v>
      </c>
      <c r="AC214" s="195">
        <v>312</v>
      </c>
      <c r="AD214" s="196">
        <v>312</v>
      </c>
      <c r="AE214" s="197">
        <v>312</v>
      </c>
      <c r="AF214" s="195"/>
      <c r="AG214" s="196"/>
      <c r="AH214" s="197"/>
      <c r="AI214" s="200" t="s">
        <v>408</v>
      </c>
      <c r="AJ214" s="193" t="s">
        <v>1625</v>
      </c>
      <c r="AK214" s="201" t="s">
        <v>1609</v>
      </c>
      <c r="AL214" s="205">
        <v>104</v>
      </c>
      <c r="AM214" s="200">
        <v>312</v>
      </c>
      <c r="AN214" s="204">
        <v>312</v>
      </c>
      <c r="AO214" s="203"/>
      <c r="AP214" s="207" t="s">
        <v>76</v>
      </c>
      <c r="AQ214" s="199" t="s">
        <v>1620</v>
      </c>
      <c r="AR214" s="202">
        <v>44743</v>
      </c>
      <c r="AS214" s="205">
        <v>2044</v>
      </c>
      <c r="AT214" s="206"/>
      <c r="AU214" s="201" t="s">
        <v>24</v>
      </c>
      <c r="AV214" s="193" t="s">
        <v>16</v>
      </c>
      <c r="AW214" s="205">
        <v>1425</v>
      </c>
    </row>
    <row r="215" spans="1:49">
      <c r="A215" s="192" t="s">
        <v>45</v>
      </c>
      <c r="B215" s="194" t="s">
        <v>1555</v>
      </c>
      <c r="C215" s="160" t="s">
        <v>1162</v>
      </c>
      <c r="D215" s="193" t="s">
        <v>2830</v>
      </c>
      <c r="E215" s="195">
        <v>56</v>
      </c>
      <c r="F215" s="196">
        <v>56</v>
      </c>
      <c r="G215" s="197">
        <v>56</v>
      </c>
      <c r="H215" s="195">
        <v>56</v>
      </c>
      <c r="I215" s="196">
        <v>56</v>
      </c>
      <c r="J215" s="197">
        <v>56</v>
      </c>
      <c r="K215" s="195">
        <v>56</v>
      </c>
      <c r="L215" s="196">
        <v>56</v>
      </c>
      <c r="M215" s="197">
        <v>56</v>
      </c>
      <c r="N215" s="195">
        <v>56</v>
      </c>
      <c r="O215" s="196">
        <v>56</v>
      </c>
      <c r="P215" s="197">
        <v>56</v>
      </c>
      <c r="Q215" s="195">
        <v>56</v>
      </c>
      <c r="R215" s="196">
        <v>56</v>
      </c>
      <c r="S215" s="197">
        <v>56</v>
      </c>
      <c r="T215" s="195">
        <v>56</v>
      </c>
      <c r="U215" s="196">
        <v>56</v>
      </c>
      <c r="V215" s="197">
        <v>56</v>
      </c>
      <c r="W215" s="195">
        <v>56</v>
      </c>
      <c r="X215" s="196">
        <v>56</v>
      </c>
      <c r="Y215" s="197">
        <v>56</v>
      </c>
      <c r="Z215" s="195">
        <v>56</v>
      </c>
      <c r="AA215" s="196">
        <v>56</v>
      </c>
      <c r="AB215" s="197">
        <v>56</v>
      </c>
      <c r="AC215" s="195">
        <v>56</v>
      </c>
      <c r="AD215" s="196">
        <v>56</v>
      </c>
      <c r="AE215" s="197">
        <v>56</v>
      </c>
      <c r="AF215" s="195">
        <v>56</v>
      </c>
      <c r="AG215" s="196">
        <v>56</v>
      </c>
      <c r="AH215" s="197">
        <v>56</v>
      </c>
      <c r="AI215" s="200" t="s">
        <v>2829</v>
      </c>
      <c r="AJ215" s="193" t="s">
        <v>1631</v>
      </c>
      <c r="AK215" s="201" t="s">
        <v>1614</v>
      </c>
      <c r="AL215" s="205">
        <v>56</v>
      </c>
      <c r="AM215" s="200"/>
      <c r="AN215" s="204">
        <v>56</v>
      </c>
      <c r="AO215" s="203"/>
      <c r="AP215" s="207" t="s">
        <v>76</v>
      </c>
      <c r="AQ215" s="199" t="s">
        <v>1620</v>
      </c>
      <c r="AR215" s="202"/>
      <c r="AS215" s="205">
        <v>2046</v>
      </c>
      <c r="AT215" s="206"/>
      <c r="AU215" s="201" t="s">
        <v>24</v>
      </c>
      <c r="AV215" s="193" t="s">
        <v>1615</v>
      </c>
      <c r="AW215" s="205">
        <v>1318</v>
      </c>
    </row>
    <row r="216" spans="1:49" ht="21">
      <c r="A216" s="192" t="s">
        <v>91</v>
      </c>
      <c r="B216" s="194" t="s">
        <v>1555</v>
      </c>
      <c r="C216" s="160" t="s">
        <v>359</v>
      </c>
      <c r="D216" s="193" t="s">
        <v>360</v>
      </c>
      <c r="E216" s="195">
        <v>6.1280000000000001</v>
      </c>
      <c r="F216" s="196">
        <v>5.8819999999999997</v>
      </c>
      <c r="G216" s="197">
        <v>5.76</v>
      </c>
      <c r="H216" s="195">
        <v>6.1280000000000001</v>
      </c>
      <c r="I216" s="196">
        <v>5.8819999999999997</v>
      </c>
      <c r="J216" s="197">
        <v>5.76</v>
      </c>
      <c r="K216" s="195">
        <v>6.1280000000000001</v>
      </c>
      <c r="L216" s="196">
        <v>5.8819999999999997</v>
      </c>
      <c r="M216" s="197">
        <v>5.76</v>
      </c>
      <c r="N216" s="195">
        <v>6.1280000000000001</v>
      </c>
      <c r="O216" s="196">
        <v>5.8819999999999997</v>
      </c>
      <c r="P216" s="197">
        <v>5.76</v>
      </c>
      <c r="Q216" s="195">
        <v>6.1280000000000001</v>
      </c>
      <c r="R216" s="196">
        <v>5.8819999999999997</v>
      </c>
      <c r="S216" s="197">
        <v>5.76</v>
      </c>
      <c r="T216" s="195">
        <v>6.1280000000000001</v>
      </c>
      <c r="U216" s="196">
        <v>5.8819999999999997</v>
      </c>
      <c r="V216" s="197">
        <v>5.76</v>
      </c>
      <c r="W216" s="195">
        <v>6.1280000000000001</v>
      </c>
      <c r="X216" s="196">
        <v>5.8819999999999997</v>
      </c>
      <c r="Y216" s="197">
        <v>5.76</v>
      </c>
      <c r="Z216" s="195">
        <v>6.1280000000000001</v>
      </c>
      <c r="AA216" s="196">
        <v>5.8819999999999997</v>
      </c>
      <c r="AB216" s="197">
        <v>5.76</v>
      </c>
      <c r="AC216" s="195">
        <v>6.1280000000000001</v>
      </c>
      <c r="AD216" s="196">
        <v>5.8819999999999997</v>
      </c>
      <c r="AE216" s="197">
        <v>5.76</v>
      </c>
      <c r="AF216" s="195">
        <v>6.1280000000000001</v>
      </c>
      <c r="AG216" s="196">
        <v>5.8819999999999997</v>
      </c>
      <c r="AH216" s="197">
        <v>5.76</v>
      </c>
      <c r="AI216" s="200" t="s">
        <v>347</v>
      </c>
      <c r="AJ216" s="193" t="s">
        <v>1631</v>
      </c>
      <c r="AK216" s="201" t="s">
        <v>1614</v>
      </c>
      <c r="AL216" s="205">
        <v>2</v>
      </c>
      <c r="AM216" s="200"/>
      <c r="AN216" s="204">
        <v>6.12</v>
      </c>
      <c r="AO216" s="203"/>
      <c r="AP216" s="207" t="s">
        <v>76</v>
      </c>
      <c r="AQ216" s="199" t="s">
        <v>1620</v>
      </c>
      <c r="AR216" s="202">
        <v>44774</v>
      </c>
      <c r="AS216" s="205">
        <v>2031</v>
      </c>
      <c r="AT216" s="206"/>
      <c r="AU216" s="201" t="s">
        <v>24</v>
      </c>
      <c r="AV216" s="193" t="s">
        <v>1615</v>
      </c>
      <c r="AW216" s="205">
        <v>1849</v>
      </c>
    </row>
    <row r="217" spans="1:49">
      <c r="A217" s="192" t="s">
        <v>91</v>
      </c>
      <c r="B217" s="194" t="s">
        <v>1555</v>
      </c>
      <c r="C217" s="160" t="s">
        <v>361</v>
      </c>
      <c r="D217" s="193" t="s">
        <v>362</v>
      </c>
      <c r="E217" s="195">
        <v>5.86</v>
      </c>
      <c r="F217" s="196">
        <v>5.6260000000000003</v>
      </c>
      <c r="G217" s="197">
        <v>5.508</v>
      </c>
      <c r="H217" s="195">
        <v>5.86</v>
      </c>
      <c r="I217" s="196">
        <v>5.6260000000000003</v>
      </c>
      <c r="J217" s="197">
        <v>5.508</v>
      </c>
      <c r="K217" s="195">
        <v>5.86</v>
      </c>
      <c r="L217" s="196">
        <v>5.6260000000000003</v>
      </c>
      <c r="M217" s="197">
        <v>5.508</v>
      </c>
      <c r="N217" s="195">
        <v>5.86</v>
      </c>
      <c r="O217" s="196">
        <v>5.6260000000000003</v>
      </c>
      <c r="P217" s="197">
        <v>5.508</v>
      </c>
      <c r="Q217" s="195">
        <v>5.86</v>
      </c>
      <c r="R217" s="196">
        <v>5.6260000000000003</v>
      </c>
      <c r="S217" s="197">
        <v>5.508</v>
      </c>
      <c r="T217" s="195">
        <v>5.86</v>
      </c>
      <c r="U217" s="196">
        <v>5.6260000000000003</v>
      </c>
      <c r="V217" s="197">
        <v>5.508</v>
      </c>
      <c r="W217" s="195">
        <v>5.86</v>
      </c>
      <c r="X217" s="196">
        <v>5.6260000000000003</v>
      </c>
      <c r="Y217" s="197">
        <v>5.508</v>
      </c>
      <c r="Z217" s="195">
        <v>5.86</v>
      </c>
      <c r="AA217" s="196">
        <v>5.6260000000000003</v>
      </c>
      <c r="AB217" s="197">
        <v>5.508</v>
      </c>
      <c r="AC217" s="195">
        <v>5.86</v>
      </c>
      <c r="AD217" s="196">
        <v>5.6260000000000003</v>
      </c>
      <c r="AE217" s="197">
        <v>5.508</v>
      </c>
      <c r="AF217" s="195">
        <v>5.86</v>
      </c>
      <c r="AG217" s="196">
        <v>5.6260000000000003</v>
      </c>
      <c r="AH217" s="197">
        <v>5.508</v>
      </c>
      <c r="AI217" s="200" t="s">
        <v>347</v>
      </c>
      <c r="AJ217" s="193" t="s">
        <v>1631</v>
      </c>
      <c r="AK217" s="201" t="s">
        <v>1614</v>
      </c>
      <c r="AL217" s="205">
        <v>2</v>
      </c>
      <c r="AM217" s="200"/>
      <c r="AN217" s="204">
        <v>5.88</v>
      </c>
      <c r="AO217" s="203"/>
      <c r="AP217" s="207" t="s">
        <v>76</v>
      </c>
      <c r="AQ217" s="199" t="s">
        <v>1620</v>
      </c>
      <c r="AR217" s="202">
        <v>44713</v>
      </c>
      <c r="AS217" s="205">
        <v>2041</v>
      </c>
      <c r="AT217" s="206"/>
      <c r="AU217" s="201" t="s">
        <v>24</v>
      </c>
      <c r="AV217" s="193" t="s">
        <v>1615</v>
      </c>
      <c r="AW217" s="205">
        <v>1850</v>
      </c>
    </row>
    <row r="218" spans="1:49">
      <c r="A218" s="192" t="s">
        <v>91</v>
      </c>
      <c r="B218" s="194" t="s">
        <v>1555</v>
      </c>
      <c r="C218" s="160" t="s">
        <v>363</v>
      </c>
      <c r="D218" s="193" t="s">
        <v>364</v>
      </c>
      <c r="E218" s="195">
        <v>7.3710000000000004</v>
      </c>
      <c r="F218" s="196">
        <v>7.077</v>
      </c>
      <c r="G218" s="197">
        <v>6.93</v>
      </c>
      <c r="H218" s="195">
        <v>7.3710000000000004</v>
      </c>
      <c r="I218" s="196">
        <v>7.077</v>
      </c>
      <c r="J218" s="197">
        <v>6.93</v>
      </c>
      <c r="K218" s="195">
        <v>7.3710000000000004</v>
      </c>
      <c r="L218" s="196">
        <v>7.077</v>
      </c>
      <c r="M218" s="197">
        <v>6.93</v>
      </c>
      <c r="N218" s="195">
        <v>7.3710000000000004</v>
      </c>
      <c r="O218" s="196">
        <v>7.077</v>
      </c>
      <c r="P218" s="197">
        <v>6.93</v>
      </c>
      <c r="Q218" s="195">
        <v>7.3710000000000004</v>
      </c>
      <c r="R218" s="196">
        <v>7.077</v>
      </c>
      <c r="S218" s="197">
        <v>6.93</v>
      </c>
      <c r="T218" s="195">
        <v>7.3710000000000004</v>
      </c>
      <c r="U218" s="196">
        <v>7.077</v>
      </c>
      <c r="V218" s="197">
        <v>6.93</v>
      </c>
      <c r="W218" s="195">
        <v>7.3710000000000004</v>
      </c>
      <c r="X218" s="196">
        <v>7.077</v>
      </c>
      <c r="Y218" s="197">
        <v>6.93</v>
      </c>
      <c r="Z218" s="195">
        <v>7.3710000000000004</v>
      </c>
      <c r="AA218" s="196">
        <v>7.077</v>
      </c>
      <c r="AB218" s="197">
        <v>6.93</v>
      </c>
      <c r="AC218" s="195">
        <v>7.3710000000000004</v>
      </c>
      <c r="AD218" s="196">
        <v>7.077</v>
      </c>
      <c r="AE218" s="197">
        <v>6.93</v>
      </c>
      <c r="AF218" s="195">
        <v>7.3710000000000004</v>
      </c>
      <c r="AG218" s="196">
        <v>7.077</v>
      </c>
      <c r="AH218" s="197">
        <v>6.93</v>
      </c>
      <c r="AI218" s="200" t="s">
        <v>347</v>
      </c>
      <c r="AJ218" s="193" t="s">
        <v>1631</v>
      </c>
      <c r="AK218" s="201" t="s">
        <v>1614</v>
      </c>
      <c r="AL218" s="205">
        <v>3</v>
      </c>
      <c r="AM218" s="200"/>
      <c r="AN218" s="204">
        <v>7.38</v>
      </c>
      <c r="AO218" s="203"/>
      <c r="AP218" s="207" t="s">
        <v>76</v>
      </c>
      <c r="AQ218" s="199" t="s">
        <v>1620</v>
      </c>
      <c r="AR218" s="202">
        <v>44713</v>
      </c>
      <c r="AS218" s="205">
        <v>2045</v>
      </c>
      <c r="AT218" s="206"/>
      <c r="AU218" s="201" t="s">
        <v>24</v>
      </c>
      <c r="AV218" s="193" t="s">
        <v>1615</v>
      </c>
      <c r="AW218" s="205">
        <v>1851</v>
      </c>
    </row>
    <row r="219" spans="1:49">
      <c r="A219" s="192" t="s">
        <v>91</v>
      </c>
      <c r="B219" s="194" t="s">
        <v>1555</v>
      </c>
      <c r="C219" s="160" t="s">
        <v>365</v>
      </c>
      <c r="D219" s="193" t="s">
        <v>366</v>
      </c>
      <c r="E219" s="195">
        <v>5.86</v>
      </c>
      <c r="F219" s="196">
        <v>5.6260000000000003</v>
      </c>
      <c r="G219" s="197">
        <v>5.508</v>
      </c>
      <c r="H219" s="195">
        <v>5.86</v>
      </c>
      <c r="I219" s="196">
        <v>5.6260000000000003</v>
      </c>
      <c r="J219" s="197">
        <v>5.508</v>
      </c>
      <c r="K219" s="195">
        <v>5.86</v>
      </c>
      <c r="L219" s="196">
        <v>5.6260000000000003</v>
      </c>
      <c r="M219" s="197">
        <v>5.508</v>
      </c>
      <c r="N219" s="195">
        <v>5.86</v>
      </c>
      <c r="O219" s="196">
        <v>5.6260000000000003</v>
      </c>
      <c r="P219" s="197">
        <v>5.508</v>
      </c>
      <c r="Q219" s="195">
        <v>5.86</v>
      </c>
      <c r="R219" s="196">
        <v>5.6260000000000003</v>
      </c>
      <c r="S219" s="197">
        <v>5.508</v>
      </c>
      <c r="T219" s="195">
        <v>5.86</v>
      </c>
      <c r="U219" s="196">
        <v>5.6260000000000003</v>
      </c>
      <c r="V219" s="197">
        <v>5.508</v>
      </c>
      <c r="W219" s="195">
        <v>5.86</v>
      </c>
      <c r="X219" s="196">
        <v>5.6260000000000003</v>
      </c>
      <c r="Y219" s="197">
        <v>5.508</v>
      </c>
      <c r="Z219" s="195">
        <v>5.86</v>
      </c>
      <c r="AA219" s="196">
        <v>5.6260000000000003</v>
      </c>
      <c r="AB219" s="197">
        <v>5.508</v>
      </c>
      <c r="AC219" s="195">
        <v>5.86</v>
      </c>
      <c r="AD219" s="196">
        <v>5.6260000000000003</v>
      </c>
      <c r="AE219" s="197">
        <v>5.508</v>
      </c>
      <c r="AF219" s="195">
        <v>5.86</v>
      </c>
      <c r="AG219" s="196">
        <v>5.6260000000000003</v>
      </c>
      <c r="AH219" s="197">
        <v>5.508</v>
      </c>
      <c r="AI219" s="200" t="s">
        <v>347</v>
      </c>
      <c r="AJ219" s="193" t="s">
        <v>1631</v>
      </c>
      <c r="AK219" s="201" t="s">
        <v>1614</v>
      </c>
      <c r="AL219" s="205">
        <v>2</v>
      </c>
      <c r="AM219" s="200"/>
      <c r="AN219" s="204">
        <v>5.88</v>
      </c>
      <c r="AO219" s="203"/>
      <c r="AP219" s="207" t="s">
        <v>76</v>
      </c>
      <c r="AQ219" s="199" t="s">
        <v>1620</v>
      </c>
      <c r="AR219" s="202">
        <v>44774</v>
      </c>
      <c r="AS219" s="205">
        <v>2041</v>
      </c>
      <c r="AT219" s="206"/>
      <c r="AU219" s="201" t="s">
        <v>24</v>
      </c>
      <c r="AV219" s="193" t="s">
        <v>1615</v>
      </c>
      <c r="AW219" s="205">
        <v>1852</v>
      </c>
    </row>
    <row r="220" spans="1:49">
      <c r="A220" s="192" t="s">
        <v>110</v>
      </c>
      <c r="B220" s="194" t="s">
        <v>1555</v>
      </c>
      <c r="C220" s="160" t="s">
        <v>716</v>
      </c>
      <c r="D220" s="193" t="s">
        <v>2837</v>
      </c>
      <c r="E220" s="195">
        <v>292</v>
      </c>
      <c r="F220" s="196">
        <v>266</v>
      </c>
      <c r="G220" s="197">
        <v>257</v>
      </c>
      <c r="H220" s="195">
        <v>292</v>
      </c>
      <c r="I220" s="196">
        <v>266</v>
      </c>
      <c r="J220" s="197">
        <v>257</v>
      </c>
      <c r="K220" s="195">
        <v>292</v>
      </c>
      <c r="L220" s="196">
        <v>266</v>
      </c>
      <c r="M220" s="197">
        <v>257</v>
      </c>
      <c r="N220" s="195">
        <v>292</v>
      </c>
      <c r="O220" s="196">
        <v>266</v>
      </c>
      <c r="P220" s="197">
        <v>257</v>
      </c>
      <c r="Q220" s="195">
        <v>292</v>
      </c>
      <c r="R220" s="196">
        <v>266</v>
      </c>
      <c r="S220" s="197">
        <v>257</v>
      </c>
      <c r="T220" s="195">
        <v>292</v>
      </c>
      <c r="U220" s="196">
        <v>266</v>
      </c>
      <c r="V220" s="197">
        <v>257</v>
      </c>
      <c r="W220" s="195">
        <v>292</v>
      </c>
      <c r="X220" s="196">
        <v>266</v>
      </c>
      <c r="Y220" s="197">
        <v>257</v>
      </c>
      <c r="Z220" s="195">
        <v>292</v>
      </c>
      <c r="AA220" s="196">
        <v>266</v>
      </c>
      <c r="AB220" s="197">
        <v>257</v>
      </c>
      <c r="AC220" s="195">
        <v>292</v>
      </c>
      <c r="AD220" s="196">
        <v>266</v>
      </c>
      <c r="AE220" s="197">
        <v>257</v>
      </c>
      <c r="AF220" s="195">
        <v>292</v>
      </c>
      <c r="AG220" s="196">
        <v>266</v>
      </c>
      <c r="AH220" s="197">
        <v>257</v>
      </c>
      <c r="AI220" s="200" t="s">
        <v>717</v>
      </c>
      <c r="AJ220" s="193" t="s">
        <v>1673</v>
      </c>
      <c r="AK220" s="201" t="s">
        <v>1592</v>
      </c>
      <c r="AL220" s="205">
        <v>1</v>
      </c>
      <c r="AM220" s="200"/>
      <c r="AN220" s="204">
        <v>292</v>
      </c>
      <c r="AO220" s="203"/>
      <c r="AP220" s="207" t="s">
        <v>76</v>
      </c>
      <c r="AQ220" s="199" t="s">
        <v>1619</v>
      </c>
      <c r="AR220" s="202"/>
      <c r="AS220" s="205">
        <v>2047</v>
      </c>
      <c r="AT220" s="206"/>
      <c r="AU220" s="201" t="s">
        <v>24</v>
      </c>
      <c r="AV220" s="193" t="s">
        <v>13</v>
      </c>
      <c r="AW220" s="205">
        <v>1139</v>
      </c>
    </row>
    <row r="221" spans="1:49">
      <c r="A221" s="192" t="s">
        <v>110</v>
      </c>
      <c r="B221" s="194" t="s">
        <v>1555</v>
      </c>
      <c r="C221" s="160" t="s">
        <v>716</v>
      </c>
      <c r="D221" s="193" t="s">
        <v>752</v>
      </c>
      <c r="E221" s="195">
        <v>292</v>
      </c>
      <c r="F221" s="196">
        <v>266</v>
      </c>
      <c r="G221" s="197">
        <v>257</v>
      </c>
      <c r="H221" s="195">
        <v>292</v>
      </c>
      <c r="I221" s="196">
        <v>266</v>
      </c>
      <c r="J221" s="197">
        <v>257</v>
      </c>
      <c r="K221" s="195">
        <v>292</v>
      </c>
      <c r="L221" s="196">
        <v>266</v>
      </c>
      <c r="M221" s="197">
        <v>257</v>
      </c>
      <c r="N221" s="195">
        <v>292</v>
      </c>
      <c r="O221" s="196">
        <v>266</v>
      </c>
      <c r="P221" s="197">
        <v>257</v>
      </c>
      <c r="Q221" s="195">
        <v>292</v>
      </c>
      <c r="R221" s="196">
        <v>266</v>
      </c>
      <c r="S221" s="197">
        <v>257</v>
      </c>
      <c r="T221" s="195">
        <v>292</v>
      </c>
      <c r="U221" s="196">
        <v>266</v>
      </c>
      <c r="V221" s="197">
        <v>257</v>
      </c>
      <c r="W221" s="195">
        <v>292</v>
      </c>
      <c r="X221" s="196">
        <v>266</v>
      </c>
      <c r="Y221" s="197">
        <v>257</v>
      </c>
      <c r="Z221" s="195">
        <v>292</v>
      </c>
      <c r="AA221" s="196">
        <v>266</v>
      </c>
      <c r="AB221" s="197">
        <v>257</v>
      </c>
      <c r="AC221" s="195">
        <v>292</v>
      </c>
      <c r="AD221" s="196">
        <v>266</v>
      </c>
      <c r="AE221" s="197">
        <v>257</v>
      </c>
      <c r="AF221" s="195">
        <v>292</v>
      </c>
      <c r="AG221" s="196">
        <v>266</v>
      </c>
      <c r="AH221" s="197">
        <v>257</v>
      </c>
      <c r="AI221" s="200" t="s">
        <v>717</v>
      </c>
      <c r="AJ221" s="193" t="s">
        <v>1673</v>
      </c>
      <c r="AK221" s="201" t="s">
        <v>1592</v>
      </c>
      <c r="AL221" s="205">
        <v>1</v>
      </c>
      <c r="AM221" s="200"/>
      <c r="AN221" s="204">
        <v>292</v>
      </c>
      <c r="AO221" s="203"/>
      <c r="AP221" s="207" t="s">
        <v>76</v>
      </c>
      <c r="AQ221" s="199" t="s">
        <v>1619</v>
      </c>
      <c r="AR221" s="202"/>
      <c r="AS221" s="205">
        <v>2047</v>
      </c>
      <c r="AT221" s="206"/>
      <c r="AU221" s="201" t="s">
        <v>24</v>
      </c>
      <c r="AV221" s="193" t="s">
        <v>13</v>
      </c>
      <c r="AW221" s="205">
        <v>1139</v>
      </c>
    </row>
    <row r="222" spans="1:49">
      <c r="A222" s="192" t="s">
        <v>110</v>
      </c>
      <c r="B222" s="194" t="s">
        <v>1555</v>
      </c>
      <c r="C222" s="160" t="s">
        <v>393</v>
      </c>
      <c r="D222" s="193" t="s">
        <v>2841</v>
      </c>
      <c r="E222" s="195">
        <v>157.5</v>
      </c>
      <c r="F222" s="196">
        <v>157.5</v>
      </c>
      <c r="G222" s="197">
        <v>157.5</v>
      </c>
      <c r="H222" s="195">
        <v>157.5</v>
      </c>
      <c r="I222" s="196">
        <v>157.5</v>
      </c>
      <c r="J222" s="197">
        <v>157.5</v>
      </c>
      <c r="K222" s="195">
        <v>157.5</v>
      </c>
      <c r="L222" s="196">
        <v>157.5</v>
      </c>
      <c r="M222" s="197">
        <v>157.5</v>
      </c>
      <c r="N222" s="195">
        <v>157.5</v>
      </c>
      <c r="O222" s="196">
        <v>157.5</v>
      </c>
      <c r="P222" s="197">
        <v>157.5</v>
      </c>
      <c r="Q222" s="195">
        <v>157.5</v>
      </c>
      <c r="R222" s="196">
        <v>157.5</v>
      </c>
      <c r="S222" s="197">
        <v>157.5</v>
      </c>
      <c r="T222" s="195">
        <v>157.5</v>
      </c>
      <c r="U222" s="196">
        <v>157.5</v>
      </c>
      <c r="V222" s="197">
        <v>157.5</v>
      </c>
      <c r="W222" s="195">
        <v>157.5</v>
      </c>
      <c r="X222" s="196">
        <v>157.5</v>
      </c>
      <c r="Y222" s="197">
        <v>157.5</v>
      </c>
      <c r="Z222" s="195">
        <v>157.5</v>
      </c>
      <c r="AA222" s="196">
        <v>157.5</v>
      </c>
      <c r="AB222" s="197">
        <v>157.5</v>
      </c>
      <c r="AC222" s="195">
        <v>157.5</v>
      </c>
      <c r="AD222" s="196">
        <v>157.5</v>
      </c>
      <c r="AE222" s="197">
        <v>157.5</v>
      </c>
      <c r="AF222" s="195">
        <v>157.5</v>
      </c>
      <c r="AG222" s="196">
        <v>157.5</v>
      </c>
      <c r="AH222" s="197">
        <v>157.5</v>
      </c>
      <c r="AI222" s="200" t="s">
        <v>394</v>
      </c>
      <c r="AJ222" s="193" t="s">
        <v>1625</v>
      </c>
      <c r="AK222" s="201" t="s">
        <v>1609</v>
      </c>
      <c r="AL222" s="205">
        <v>35</v>
      </c>
      <c r="AM222" s="200">
        <v>157.5</v>
      </c>
      <c r="AN222" s="204">
        <v>157.5</v>
      </c>
      <c r="AO222" s="203"/>
      <c r="AP222" s="207" t="s">
        <v>401</v>
      </c>
      <c r="AQ222" s="199" t="s">
        <v>1620</v>
      </c>
      <c r="AR222" s="202">
        <v>45047</v>
      </c>
      <c r="AS222" s="205">
        <v>2047</v>
      </c>
      <c r="AT222" s="206"/>
      <c r="AU222" s="201" t="s">
        <v>24</v>
      </c>
      <c r="AV222" s="193" t="s">
        <v>16</v>
      </c>
      <c r="AW222" s="205">
        <v>1138</v>
      </c>
    </row>
    <row r="223" spans="1:49">
      <c r="A223" s="192" t="s">
        <v>77</v>
      </c>
      <c r="B223" s="194" t="s">
        <v>1555</v>
      </c>
      <c r="C223" s="160" t="s">
        <v>843</v>
      </c>
      <c r="D223" s="193" t="s">
        <v>2849</v>
      </c>
      <c r="E223" s="195">
        <v>180.465</v>
      </c>
      <c r="F223" s="196">
        <v>180.465</v>
      </c>
      <c r="G223" s="197">
        <v>166.95</v>
      </c>
      <c r="H223" s="195">
        <v>180.465</v>
      </c>
      <c r="I223" s="196">
        <v>180.465</v>
      </c>
      <c r="J223" s="197">
        <v>166.95</v>
      </c>
      <c r="K223" s="195">
        <v>180.465</v>
      </c>
      <c r="L223" s="196">
        <v>180.465</v>
      </c>
      <c r="M223" s="197">
        <v>166.95</v>
      </c>
      <c r="N223" s="195">
        <v>180.465</v>
      </c>
      <c r="O223" s="196">
        <v>180.465</v>
      </c>
      <c r="P223" s="197">
        <v>166.95</v>
      </c>
      <c r="Q223" s="195">
        <v>180.465</v>
      </c>
      <c r="R223" s="196">
        <v>180.465</v>
      </c>
      <c r="S223" s="197">
        <v>166.95</v>
      </c>
      <c r="T223" s="195">
        <v>180.465</v>
      </c>
      <c r="U223" s="196">
        <v>180.465</v>
      </c>
      <c r="V223" s="197">
        <v>166.95</v>
      </c>
      <c r="W223" s="195">
        <v>180.465</v>
      </c>
      <c r="X223" s="196">
        <v>180.465</v>
      </c>
      <c r="Y223" s="197">
        <v>166.95</v>
      </c>
      <c r="Z223" s="195">
        <v>180.465</v>
      </c>
      <c r="AA223" s="196">
        <v>180.465</v>
      </c>
      <c r="AB223" s="197">
        <v>166.95</v>
      </c>
      <c r="AC223" s="195">
        <v>180.465</v>
      </c>
      <c r="AD223" s="196">
        <v>180.465</v>
      </c>
      <c r="AE223" s="197">
        <v>166.95</v>
      </c>
      <c r="AF223" s="195">
        <v>180.465</v>
      </c>
      <c r="AG223" s="196">
        <v>180.465</v>
      </c>
      <c r="AH223" s="197">
        <v>166.95</v>
      </c>
      <c r="AI223" s="200" t="s">
        <v>442</v>
      </c>
      <c r="AJ223" s="193" t="s">
        <v>1625</v>
      </c>
      <c r="AK223" s="201" t="s">
        <v>1609</v>
      </c>
      <c r="AL223" s="205">
        <v>53</v>
      </c>
      <c r="AM223" s="200">
        <v>180.518</v>
      </c>
      <c r="AN223" s="204">
        <v>180.518</v>
      </c>
      <c r="AO223" s="203"/>
      <c r="AP223" s="207" t="s">
        <v>76</v>
      </c>
      <c r="AQ223" s="199" t="s">
        <v>1620</v>
      </c>
      <c r="AR223" s="202">
        <v>43374</v>
      </c>
      <c r="AS223" s="205">
        <v>2043</v>
      </c>
      <c r="AT223" s="206"/>
      <c r="AU223" s="201" t="s">
        <v>24</v>
      </c>
      <c r="AV223" s="193" t="s">
        <v>16</v>
      </c>
      <c r="AW223" s="205">
        <v>1258</v>
      </c>
    </row>
    <row r="224" spans="1:49">
      <c r="A224" s="192" t="s">
        <v>77</v>
      </c>
      <c r="B224" s="194" t="s">
        <v>1555</v>
      </c>
      <c r="C224" s="160" t="s">
        <v>272</v>
      </c>
      <c r="D224" s="193" t="s">
        <v>274</v>
      </c>
      <c r="E224" s="195">
        <v>81.72</v>
      </c>
      <c r="F224" s="196">
        <v>81.72</v>
      </c>
      <c r="G224" s="197">
        <v>81.72</v>
      </c>
      <c r="H224" s="195">
        <v>81.72</v>
      </c>
      <c r="I224" s="196">
        <v>81.72</v>
      </c>
      <c r="J224" s="197">
        <v>81.72</v>
      </c>
      <c r="K224" s="195">
        <v>81.72</v>
      </c>
      <c r="L224" s="196">
        <v>81.72</v>
      </c>
      <c r="M224" s="197">
        <v>81.72</v>
      </c>
      <c r="N224" s="195">
        <v>81.72</v>
      </c>
      <c r="O224" s="196">
        <v>81.72</v>
      </c>
      <c r="P224" s="197">
        <v>81.72</v>
      </c>
      <c r="Q224" s="195">
        <v>81.72</v>
      </c>
      <c r="R224" s="196">
        <v>81.72</v>
      </c>
      <c r="S224" s="197">
        <v>81.72</v>
      </c>
      <c r="T224" s="195">
        <v>81.72</v>
      </c>
      <c r="U224" s="196">
        <v>81.72</v>
      </c>
      <c r="V224" s="197">
        <v>81.72</v>
      </c>
      <c r="W224" s="195">
        <v>81.72</v>
      </c>
      <c r="X224" s="196">
        <v>81.72</v>
      </c>
      <c r="Y224" s="197">
        <v>81.72</v>
      </c>
      <c r="Z224" s="195">
        <v>81.72</v>
      </c>
      <c r="AA224" s="196">
        <v>81.72</v>
      </c>
      <c r="AB224" s="197">
        <v>81.72</v>
      </c>
      <c r="AC224" s="195">
        <v>81.72</v>
      </c>
      <c r="AD224" s="196">
        <v>81.72</v>
      </c>
      <c r="AE224" s="197">
        <v>81.72</v>
      </c>
      <c r="AF224" s="195">
        <v>81.72</v>
      </c>
      <c r="AG224" s="196">
        <v>81.72</v>
      </c>
      <c r="AH224" s="197">
        <v>81.72</v>
      </c>
      <c r="AI224" s="200" t="s">
        <v>273</v>
      </c>
      <c r="AJ224" s="193" t="s">
        <v>1631</v>
      </c>
      <c r="AK224" s="201" t="s">
        <v>1614</v>
      </c>
      <c r="AL224" s="205">
        <v>36</v>
      </c>
      <c r="AM224" s="200"/>
      <c r="AN224" s="204">
        <v>99</v>
      </c>
      <c r="AO224" s="203"/>
      <c r="AP224" s="207" t="s">
        <v>76</v>
      </c>
      <c r="AQ224" s="199" t="s">
        <v>1620</v>
      </c>
      <c r="AR224" s="202">
        <v>45017</v>
      </c>
      <c r="AS224" s="205">
        <v>2057</v>
      </c>
      <c r="AT224" s="206"/>
      <c r="AU224" s="201" t="s">
        <v>24</v>
      </c>
      <c r="AV224" s="193" t="s">
        <v>1615</v>
      </c>
      <c r="AW224" s="205">
        <v>1880</v>
      </c>
    </row>
    <row r="225" spans="1:49">
      <c r="A225" s="192" t="s">
        <v>110</v>
      </c>
      <c r="B225" s="194" t="s">
        <v>1555</v>
      </c>
      <c r="C225" s="160" t="s">
        <v>754</v>
      </c>
      <c r="D225" s="193" t="s">
        <v>756</v>
      </c>
      <c r="E225" s="195">
        <v>99.88</v>
      </c>
      <c r="F225" s="196">
        <v>99.88</v>
      </c>
      <c r="G225" s="197">
        <v>0</v>
      </c>
      <c r="H225" s="195">
        <v>99.88</v>
      </c>
      <c r="I225" s="196">
        <v>99.88</v>
      </c>
      <c r="J225" s="197">
        <v>0</v>
      </c>
      <c r="K225" s="195">
        <v>132</v>
      </c>
      <c r="L225" s="196">
        <v>132</v>
      </c>
      <c r="M225" s="197">
        <v>0</v>
      </c>
      <c r="N225" s="195">
        <v>132</v>
      </c>
      <c r="O225" s="196">
        <v>132</v>
      </c>
      <c r="P225" s="197">
        <v>0</v>
      </c>
      <c r="Q225" s="195">
        <v>132</v>
      </c>
      <c r="R225" s="196">
        <v>132</v>
      </c>
      <c r="S225" s="197">
        <v>0</v>
      </c>
      <c r="T225" s="195">
        <v>132</v>
      </c>
      <c r="U225" s="196">
        <v>132</v>
      </c>
      <c r="V225" s="197">
        <v>0</v>
      </c>
      <c r="W225" s="195">
        <v>132</v>
      </c>
      <c r="X225" s="196">
        <v>132</v>
      </c>
      <c r="Y225" s="197">
        <v>0</v>
      </c>
      <c r="Z225" s="195">
        <v>132</v>
      </c>
      <c r="AA225" s="196">
        <v>132</v>
      </c>
      <c r="AB225" s="197">
        <v>0</v>
      </c>
      <c r="AC225" s="195">
        <v>132</v>
      </c>
      <c r="AD225" s="196">
        <v>132</v>
      </c>
      <c r="AE225" s="197">
        <v>0</v>
      </c>
      <c r="AF225" s="195">
        <v>132</v>
      </c>
      <c r="AG225" s="196">
        <v>132</v>
      </c>
      <c r="AH225" s="197">
        <v>0</v>
      </c>
      <c r="AI225" s="200" t="s">
        <v>755</v>
      </c>
      <c r="AJ225" s="193" t="s">
        <v>1625</v>
      </c>
      <c r="AK225" s="201" t="s">
        <v>1609</v>
      </c>
      <c r="AL225" s="205">
        <v>44</v>
      </c>
      <c r="AM225" s="200"/>
      <c r="AN225" s="204">
        <v>138.6</v>
      </c>
      <c r="AO225" s="203"/>
      <c r="AP225" s="207" t="s">
        <v>401</v>
      </c>
      <c r="AQ225" s="199" t="s">
        <v>1620</v>
      </c>
      <c r="AR225" s="202">
        <v>43282</v>
      </c>
      <c r="AS225" s="205">
        <v>2043</v>
      </c>
      <c r="AT225" s="206"/>
      <c r="AU225" s="201" t="s">
        <v>24</v>
      </c>
      <c r="AV225" s="193" t="s">
        <v>16</v>
      </c>
      <c r="AW225" s="205">
        <v>1141</v>
      </c>
    </row>
    <row r="226" spans="1:49">
      <c r="A226" s="192" t="s">
        <v>110</v>
      </c>
      <c r="B226" s="194" t="s">
        <v>1555</v>
      </c>
      <c r="C226" s="160" t="s">
        <v>1309</v>
      </c>
      <c r="D226" s="193" t="s">
        <v>2871</v>
      </c>
      <c r="E226" s="195">
        <v>131.19999999999999</v>
      </c>
      <c r="F226" s="196">
        <v>131.19999999999999</v>
      </c>
      <c r="G226" s="197">
        <v>0</v>
      </c>
      <c r="H226" s="195">
        <v>131.19999999999999</v>
      </c>
      <c r="I226" s="196">
        <v>131.19999999999999</v>
      </c>
      <c r="J226" s="197">
        <v>0</v>
      </c>
      <c r="K226" s="195">
        <v>131.19999999999999</v>
      </c>
      <c r="L226" s="196">
        <v>131.19999999999999</v>
      </c>
      <c r="M226" s="197">
        <v>0</v>
      </c>
      <c r="N226" s="195">
        <v>131.19999999999999</v>
      </c>
      <c r="O226" s="196">
        <v>131.19999999999999</v>
      </c>
      <c r="P226" s="197">
        <v>0</v>
      </c>
      <c r="Q226" s="195">
        <v>131.19999999999999</v>
      </c>
      <c r="R226" s="196">
        <v>131.19999999999999</v>
      </c>
      <c r="S226" s="197">
        <v>0</v>
      </c>
      <c r="T226" s="195">
        <v>131.19999999999999</v>
      </c>
      <c r="U226" s="196">
        <v>131.19999999999999</v>
      </c>
      <c r="V226" s="197">
        <v>0</v>
      </c>
      <c r="W226" s="195">
        <v>131.19999999999999</v>
      </c>
      <c r="X226" s="196">
        <v>131.19999999999999</v>
      </c>
      <c r="Y226" s="197">
        <v>0</v>
      </c>
      <c r="Z226" s="195">
        <v>131.19999999999999</v>
      </c>
      <c r="AA226" s="196">
        <v>131.19999999999999</v>
      </c>
      <c r="AB226" s="197">
        <v>0</v>
      </c>
      <c r="AC226" s="195">
        <v>131.19999999999999</v>
      </c>
      <c r="AD226" s="196">
        <v>131.19999999999999</v>
      </c>
      <c r="AE226" s="197">
        <v>0</v>
      </c>
      <c r="AF226" s="195">
        <v>131.19999999999999</v>
      </c>
      <c r="AG226" s="196">
        <v>131.19999999999999</v>
      </c>
      <c r="AH226" s="197">
        <v>0</v>
      </c>
      <c r="AI226" s="200" t="s">
        <v>2870</v>
      </c>
      <c r="AJ226" s="193" t="s">
        <v>1625</v>
      </c>
      <c r="AK226" s="201" t="s">
        <v>1609</v>
      </c>
      <c r="AL226" s="205">
        <v>64</v>
      </c>
      <c r="AM226" s="200"/>
      <c r="AN226" s="204">
        <v>131.19999999999999</v>
      </c>
      <c r="AO226" s="203"/>
      <c r="AP226" s="207" t="s">
        <v>76</v>
      </c>
      <c r="AQ226" s="199" t="s">
        <v>1620</v>
      </c>
      <c r="AR226" s="202"/>
      <c r="AS226" s="205">
        <v>2043</v>
      </c>
      <c r="AT226" s="206"/>
      <c r="AU226" s="201" t="s">
        <v>24</v>
      </c>
      <c r="AV226" s="193" t="s">
        <v>16</v>
      </c>
      <c r="AW226" s="205">
        <v>1142</v>
      </c>
    </row>
    <row r="227" spans="1:49">
      <c r="A227" s="192" t="s">
        <v>45</v>
      </c>
      <c r="B227" s="194" t="s">
        <v>1555</v>
      </c>
      <c r="C227" s="160" t="s">
        <v>635</v>
      </c>
      <c r="D227" s="193" t="s">
        <v>637</v>
      </c>
      <c r="E227" s="195">
        <v>730</v>
      </c>
      <c r="F227" s="196">
        <v>710</v>
      </c>
      <c r="G227" s="197">
        <v>705</v>
      </c>
      <c r="H227" s="195">
        <v>730</v>
      </c>
      <c r="I227" s="196">
        <v>710</v>
      </c>
      <c r="J227" s="197">
        <v>705</v>
      </c>
      <c r="K227" s="195">
        <v>730</v>
      </c>
      <c r="L227" s="196">
        <v>710</v>
      </c>
      <c r="M227" s="197">
        <v>705</v>
      </c>
      <c r="N227" s="195">
        <v>730</v>
      </c>
      <c r="O227" s="196">
        <v>710</v>
      </c>
      <c r="P227" s="197">
        <v>705</v>
      </c>
      <c r="Q227" s="195">
        <v>730</v>
      </c>
      <c r="R227" s="196">
        <v>710</v>
      </c>
      <c r="S227" s="197">
        <v>705</v>
      </c>
      <c r="T227" s="195">
        <v>730</v>
      </c>
      <c r="U227" s="196">
        <v>710</v>
      </c>
      <c r="V227" s="197">
        <v>705</v>
      </c>
      <c r="W227" s="195">
        <v>730</v>
      </c>
      <c r="X227" s="196">
        <v>710</v>
      </c>
      <c r="Y227" s="197">
        <v>705</v>
      </c>
      <c r="Z227" s="195">
        <v>730</v>
      </c>
      <c r="AA227" s="196">
        <v>710</v>
      </c>
      <c r="AB227" s="197">
        <v>705</v>
      </c>
      <c r="AC227" s="195">
        <v>730</v>
      </c>
      <c r="AD227" s="196">
        <v>710</v>
      </c>
      <c r="AE227" s="197">
        <v>705</v>
      </c>
      <c r="AF227" s="195">
        <v>730</v>
      </c>
      <c r="AG227" s="196">
        <v>710</v>
      </c>
      <c r="AH227" s="197">
        <v>705</v>
      </c>
      <c r="AI227" s="200" t="s">
        <v>636</v>
      </c>
      <c r="AJ227" s="193" t="s">
        <v>1739</v>
      </c>
      <c r="AK227" s="201" t="s">
        <v>1740</v>
      </c>
      <c r="AL227" s="205">
        <v>1</v>
      </c>
      <c r="AM227" s="200"/>
      <c r="AN227" s="204">
        <v>730</v>
      </c>
      <c r="AO227" s="203"/>
      <c r="AP227" s="207" t="s">
        <v>76</v>
      </c>
      <c r="AQ227" s="199" t="s">
        <v>1619</v>
      </c>
      <c r="AR227" s="202"/>
      <c r="AS227" s="205">
        <v>2040</v>
      </c>
      <c r="AT227" s="206"/>
      <c r="AU227" s="201" t="s">
        <v>24</v>
      </c>
      <c r="AV227" s="193" t="s">
        <v>11</v>
      </c>
      <c r="AW227" s="205">
        <v>1144</v>
      </c>
    </row>
    <row r="228" spans="1:49">
      <c r="A228" s="192" t="s">
        <v>45</v>
      </c>
      <c r="B228" s="194" t="s">
        <v>1555</v>
      </c>
      <c r="C228" s="160" t="s">
        <v>635</v>
      </c>
      <c r="D228" s="193" t="s">
        <v>2875</v>
      </c>
      <c r="E228" s="195">
        <v>700</v>
      </c>
      <c r="F228" s="196">
        <v>680</v>
      </c>
      <c r="G228" s="197">
        <v>675</v>
      </c>
      <c r="H228" s="195">
        <v>700</v>
      </c>
      <c r="I228" s="196">
        <v>680</v>
      </c>
      <c r="J228" s="197">
        <v>675</v>
      </c>
      <c r="K228" s="195">
        <v>700</v>
      </c>
      <c r="L228" s="196">
        <v>680</v>
      </c>
      <c r="M228" s="197">
        <v>675</v>
      </c>
      <c r="N228" s="195">
        <v>700</v>
      </c>
      <c r="O228" s="196">
        <v>680</v>
      </c>
      <c r="P228" s="197">
        <v>675</v>
      </c>
      <c r="Q228" s="195">
        <v>700</v>
      </c>
      <c r="R228" s="196">
        <v>680</v>
      </c>
      <c r="S228" s="197">
        <v>675</v>
      </c>
      <c r="T228" s="195">
        <v>700</v>
      </c>
      <c r="U228" s="196">
        <v>680</v>
      </c>
      <c r="V228" s="197">
        <v>675</v>
      </c>
      <c r="W228" s="195">
        <v>700</v>
      </c>
      <c r="X228" s="196">
        <v>680</v>
      </c>
      <c r="Y228" s="197">
        <v>675</v>
      </c>
      <c r="Z228" s="195">
        <v>700</v>
      </c>
      <c r="AA228" s="196">
        <v>680</v>
      </c>
      <c r="AB228" s="197">
        <v>675</v>
      </c>
      <c r="AC228" s="195">
        <v>700</v>
      </c>
      <c r="AD228" s="196">
        <v>680</v>
      </c>
      <c r="AE228" s="197">
        <v>675</v>
      </c>
      <c r="AF228" s="195">
        <v>700</v>
      </c>
      <c r="AG228" s="196">
        <v>680</v>
      </c>
      <c r="AH228" s="197">
        <v>675</v>
      </c>
      <c r="AI228" s="200" t="s">
        <v>636</v>
      </c>
      <c r="AJ228" s="193" t="s">
        <v>1739</v>
      </c>
      <c r="AK228" s="201" t="s">
        <v>1740</v>
      </c>
      <c r="AL228" s="205">
        <v>1</v>
      </c>
      <c r="AM228" s="200"/>
      <c r="AN228" s="204">
        <v>660</v>
      </c>
      <c r="AO228" s="203"/>
      <c r="AP228" s="207" t="s">
        <v>76</v>
      </c>
      <c r="AQ228" s="199" t="s">
        <v>1619</v>
      </c>
      <c r="AR228" s="202"/>
      <c r="AS228" s="205">
        <v>2040</v>
      </c>
      <c r="AT228" s="206"/>
      <c r="AU228" s="201" t="s">
        <v>24</v>
      </c>
      <c r="AV228" s="193" t="s">
        <v>11</v>
      </c>
      <c r="AW228" s="205">
        <v>1144</v>
      </c>
    </row>
    <row r="229" spans="1:49">
      <c r="A229" s="192" t="s">
        <v>77</v>
      </c>
      <c r="B229" s="194" t="s">
        <v>1555</v>
      </c>
      <c r="C229" s="160" t="s">
        <v>2881</v>
      </c>
      <c r="D229" s="193" t="s">
        <v>2883</v>
      </c>
      <c r="E229" s="195">
        <v>140</v>
      </c>
      <c r="F229" s="196">
        <v>139</v>
      </c>
      <c r="G229" s="197">
        <v>135</v>
      </c>
      <c r="H229" s="195">
        <v>140</v>
      </c>
      <c r="I229" s="196">
        <v>139</v>
      </c>
      <c r="J229" s="197">
        <v>135</v>
      </c>
      <c r="K229" s="195">
        <v>140</v>
      </c>
      <c r="L229" s="196">
        <v>139</v>
      </c>
      <c r="M229" s="197">
        <v>135</v>
      </c>
      <c r="N229" s="195">
        <v>140</v>
      </c>
      <c r="O229" s="196">
        <v>139</v>
      </c>
      <c r="P229" s="197">
        <v>135</v>
      </c>
      <c r="Q229" s="195">
        <v>140</v>
      </c>
      <c r="R229" s="196">
        <v>139</v>
      </c>
      <c r="S229" s="197">
        <v>135</v>
      </c>
      <c r="T229" s="195">
        <v>140</v>
      </c>
      <c r="U229" s="196">
        <v>139</v>
      </c>
      <c r="V229" s="197">
        <v>135</v>
      </c>
      <c r="W229" s="195">
        <v>140</v>
      </c>
      <c r="X229" s="196">
        <v>139</v>
      </c>
      <c r="Y229" s="197">
        <v>135</v>
      </c>
      <c r="Z229" s="195">
        <v>140</v>
      </c>
      <c r="AA229" s="196">
        <v>139</v>
      </c>
      <c r="AB229" s="197">
        <v>135</v>
      </c>
      <c r="AC229" s="195">
        <v>140</v>
      </c>
      <c r="AD229" s="196">
        <v>139</v>
      </c>
      <c r="AE229" s="197">
        <v>135</v>
      </c>
      <c r="AF229" s="195">
        <v>140</v>
      </c>
      <c r="AG229" s="196">
        <v>139</v>
      </c>
      <c r="AH229" s="197">
        <v>135</v>
      </c>
      <c r="AI229" s="200" t="s">
        <v>2882</v>
      </c>
      <c r="AJ229" s="193" t="s">
        <v>1673</v>
      </c>
      <c r="AK229" s="201" t="s">
        <v>1635</v>
      </c>
      <c r="AL229" s="205">
        <v>1</v>
      </c>
      <c r="AM229" s="200"/>
      <c r="AN229" s="204">
        <v>146</v>
      </c>
      <c r="AO229" s="203"/>
      <c r="AP229" s="207" t="s">
        <v>76</v>
      </c>
      <c r="AQ229" s="199" t="s">
        <v>1619</v>
      </c>
      <c r="AR229" s="202"/>
      <c r="AS229" s="205">
        <v>2033</v>
      </c>
      <c r="AT229" s="206"/>
      <c r="AU229" s="201" t="s">
        <v>24</v>
      </c>
      <c r="AV229" s="193" t="s">
        <v>13</v>
      </c>
      <c r="AW229" s="205">
        <v>1145</v>
      </c>
    </row>
    <row r="230" spans="1:49">
      <c r="A230" s="192" t="s">
        <v>77</v>
      </c>
      <c r="B230" s="194" t="s">
        <v>1555</v>
      </c>
      <c r="C230" s="160" t="s">
        <v>2881</v>
      </c>
      <c r="D230" s="193" t="s">
        <v>2884</v>
      </c>
      <c r="E230" s="195">
        <v>140</v>
      </c>
      <c r="F230" s="196">
        <v>139</v>
      </c>
      <c r="G230" s="197">
        <v>135</v>
      </c>
      <c r="H230" s="195">
        <v>140</v>
      </c>
      <c r="I230" s="196">
        <v>139</v>
      </c>
      <c r="J230" s="197">
        <v>135</v>
      </c>
      <c r="K230" s="195">
        <v>140</v>
      </c>
      <c r="L230" s="196">
        <v>139</v>
      </c>
      <c r="M230" s="197">
        <v>135</v>
      </c>
      <c r="N230" s="195">
        <v>140</v>
      </c>
      <c r="O230" s="196">
        <v>139</v>
      </c>
      <c r="P230" s="197">
        <v>135</v>
      </c>
      <c r="Q230" s="195">
        <v>140</v>
      </c>
      <c r="R230" s="196">
        <v>139</v>
      </c>
      <c r="S230" s="197">
        <v>135</v>
      </c>
      <c r="T230" s="195">
        <v>140</v>
      </c>
      <c r="U230" s="196">
        <v>139</v>
      </c>
      <c r="V230" s="197">
        <v>135</v>
      </c>
      <c r="W230" s="195">
        <v>140</v>
      </c>
      <c r="X230" s="196">
        <v>139</v>
      </c>
      <c r="Y230" s="197">
        <v>135</v>
      </c>
      <c r="Z230" s="195">
        <v>140</v>
      </c>
      <c r="AA230" s="196">
        <v>139</v>
      </c>
      <c r="AB230" s="197">
        <v>135</v>
      </c>
      <c r="AC230" s="195">
        <v>140</v>
      </c>
      <c r="AD230" s="196">
        <v>139</v>
      </c>
      <c r="AE230" s="197">
        <v>135</v>
      </c>
      <c r="AF230" s="195">
        <v>140</v>
      </c>
      <c r="AG230" s="196">
        <v>139</v>
      </c>
      <c r="AH230" s="197">
        <v>135</v>
      </c>
      <c r="AI230" s="200" t="s">
        <v>2882</v>
      </c>
      <c r="AJ230" s="193" t="s">
        <v>1673</v>
      </c>
      <c r="AK230" s="201" t="s">
        <v>1635</v>
      </c>
      <c r="AL230" s="205">
        <v>1</v>
      </c>
      <c r="AM230" s="200"/>
      <c r="AN230" s="204">
        <v>146</v>
      </c>
      <c r="AO230" s="203"/>
      <c r="AP230" s="207" t="s">
        <v>76</v>
      </c>
      <c r="AQ230" s="199" t="s">
        <v>1619</v>
      </c>
      <c r="AR230" s="202"/>
      <c r="AS230" s="205">
        <v>2033</v>
      </c>
      <c r="AT230" s="206"/>
      <c r="AU230" s="201" t="s">
        <v>24</v>
      </c>
      <c r="AV230" s="193" t="s">
        <v>13</v>
      </c>
      <c r="AW230" s="205">
        <v>1145</v>
      </c>
    </row>
    <row r="231" spans="1:49">
      <c r="A231" s="192" t="s">
        <v>77</v>
      </c>
      <c r="B231" s="194" t="s">
        <v>1555</v>
      </c>
      <c r="C231" s="160" t="s">
        <v>2881</v>
      </c>
      <c r="D231" s="193" t="s">
        <v>2885</v>
      </c>
      <c r="E231" s="195">
        <v>120</v>
      </c>
      <c r="F231" s="196">
        <v>118</v>
      </c>
      <c r="G231" s="197">
        <v>117</v>
      </c>
      <c r="H231" s="195">
        <v>120</v>
      </c>
      <c r="I231" s="196">
        <v>118</v>
      </c>
      <c r="J231" s="197">
        <v>117</v>
      </c>
      <c r="K231" s="195">
        <v>120</v>
      </c>
      <c r="L231" s="196">
        <v>118</v>
      </c>
      <c r="M231" s="197">
        <v>117</v>
      </c>
      <c r="N231" s="195">
        <v>120</v>
      </c>
      <c r="O231" s="196">
        <v>118</v>
      </c>
      <c r="P231" s="197">
        <v>117</v>
      </c>
      <c r="Q231" s="195">
        <v>120</v>
      </c>
      <c r="R231" s="196">
        <v>118</v>
      </c>
      <c r="S231" s="197">
        <v>117</v>
      </c>
      <c r="T231" s="195">
        <v>120</v>
      </c>
      <c r="U231" s="196">
        <v>118</v>
      </c>
      <c r="V231" s="197">
        <v>117</v>
      </c>
      <c r="W231" s="195">
        <v>120</v>
      </c>
      <c r="X231" s="196">
        <v>118</v>
      </c>
      <c r="Y231" s="197">
        <v>117</v>
      </c>
      <c r="Z231" s="195">
        <v>120</v>
      </c>
      <c r="AA231" s="196">
        <v>118</v>
      </c>
      <c r="AB231" s="197">
        <v>117</v>
      </c>
      <c r="AC231" s="195">
        <v>120</v>
      </c>
      <c r="AD231" s="196">
        <v>118</v>
      </c>
      <c r="AE231" s="197">
        <v>117</v>
      </c>
      <c r="AF231" s="195">
        <v>120</v>
      </c>
      <c r="AG231" s="196">
        <v>118</v>
      </c>
      <c r="AH231" s="197">
        <v>117</v>
      </c>
      <c r="AI231" s="200" t="s">
        <v>2882</v>
      </c>
      <c r="AJ231" s="193" t="s">
        <v>1673</v>
      </c>
      <c r="AK231" s="201" t="s">
        <v>1635</v>
      </c>
      <c r="AL231" s="205">
        <v>1</v>
      </c>
      <c r="AM231" s="200"/>
      <c r="AN231" s="204">
        <v>131.5</v>
      </c>
      <c r="AO231" s="203"/>
      <c r="AP231" s="207" t="s">
        <v>76</v>
      </c>
      <c r="AQ231" s="199" t="s">
        <v>1619</v>
      </c>
      <c r="AR231" s="202"/>
      <c r="AS231" s="205">
        <v>2044</v>
      </c>
      <c r="AT231" s="206"/>
      <c r="AU231" s="201" t="s">
        <v>24</v>
      </c>
      <c r="AV231" s="193" t="s">
        <v>13</v>
      </c>
      <c r="AW231" s="205">
        <v>1145</v>
      </c>
    </row>
    <row r="232" spans="1:49">
      <c r="A232" s="192" t="s">
        <v>110</v>
      </c>
      <c r="B232" s="194" t="s">
        <v>1555</v>
      </c>
      <c r="C232" s="160" t="s">
        <v>1014</v>
      </c>
      <c r="D232" s="193" t="s">
        <v>2889</v>
      </c>
      <c r="E232" s="195">
        <v>225.7</v>
      </c>
      <c r="F232" s="196">
        <v>225.7</v>
      </c>
      <c r="G232" s="197">
        <v>176.04599999999999</v>
      </c>
      <c r="H232" s="195">
        <v>225.7</v>
      </c>
      <c r="I232" s="196">
        <v>225.7</v>
      </c>
      <c r="J232" s="197">
        <v>176.04599999999999</v>
      </c>
      <c r="K232" s="195">
        <v>225.7</v>
      </c>
      <c r="L232" s="196">
        <v>225.7</v>
      </c>
      <c r="M232" s="197">
        <v>176.04599999999999</v>
      </c>
      <c r="N232" s="195">
        <v>225.7</v>
      </c>
      <c r="O232" s="196">
        <v>225.7</v>
      </c>
      <c r="P232" s="197">
        <v>176.04599999999999</v>
      </c>
      <c r="Q232" s="195">
        <v>225.7</v>
      </c>
      <c r="R232" s="196">
        <v>225.7</v>
      </c>
      <c r="S232" s="197">
        <v>176.04599999999999</v>
      </c>
      <c r="T232" s="195">
        <v>225.7</v>
      </c>
      <c r="U232" s="196">
        <v>225.7</v>
      </c>
      <c r="V232" s="197">
        <v>176.04599999999999</v>
      </c>
      <c r="W232" s="195">
        <v>225.7</v>
      </c>
      <c r="X232" s="196">
        <v>225.7</v>
      </c>
      <c r="Y232" s="197">
        <v>176.04599999999999</v>
      </c>
      <c r="Z232" s="195">
        <v>225.7</v>
      </c>
      <c r="AA232" s="196">
        <v>225.7</v>
      </c>
      <c r="AB232" s="197">
        <v>176.04599999999999</v>
      </c>
      <c r="AC232" s="195">
        <v>225.7</v>
      </c>
      <c r="AD232" s="196">
        <v>225.7</v>
      </c>
      <c r="AE232" s="197">
        <v>176.04599999999999</v>
      </c>
      <c r="AF232" s="195">
        <v>225.7</v>
      </c>
      <c r="AG232" s="196">
        <v>225.7</v>
      </c>
      <c r="AH232" s="197">
        <v>176.04599999999999</v>
      </c>
      <c r="AI232" s="200" t="s">
        <v>684</v>
      </c>
      <c r="AJ232" s="193" t="s">
        <v>1625</v>
      </c>
      <c r="AK232" s="201" t="s">
        <v>1609</v>
      </c>
      <c r="AL232" s="205">
        <v>61</v>
      </c>
      <c r="AM232" s="200">
        <v>225.7</v>
      </c>
      <c r="AN232" s="204">
        <v>225.7</v>
      </c>
      <c r="AO232" s="203"/>
      <c r="AP232" s="207" t="s">
        <v>76</v>
      </c>
      <c r="AQ232" s="199" t="s">
        <v>1620</v>
      </c>
      <c r="AR232" s="202">
        <v>44440</v>
      </c>
      <c r="AS232" s="205">
        <v>2049</v>
      </c>
      <c r="AT232" s="206"/>
      <c r="AU232" s="201" t="s">
        <v>24</v>
      </c>
      <c r="AV232" s="193" t="s">
        <v>16</v>
      </c>
      <c r="AW232" s="205">
        <v>1262</v>
      </c>
    </row>
    <row r="233" spans="1:49">
      <c r="A233" s="192" t="s">
        <v>110</v>
      </c>
      <c r="B233" s="194" t="s">
        <v>1555</v>
      </c>
      <c r="C233" s="160" t="s">
        <v>381</v>
      </c>
      <c r="D233" s="193" t="s">
        <v>383</v>
      </c>
      <c r="E233" s="195">
        <v>209</v>
      </c>
      <c r="F233" s="196">
        <v>209</v>
      </c>
      <c r="G233" s="197">
        <v>189.24</v>
      </c>
      <c r="H233" s="195">
        <v>209</v>
      </c>
      <c r="I233" s="196">
        <v>209</v>
      </c>
      <c r="J233" s="197">
        <v>189.24</v>
      </c>
      <c r="K233" s="195">
        <v>209</v>
      </c>
      <c r="L233" s="196">
        <v>209</v>
      </c>
      <c r="M233" s="197">
        <v>189.24</v>
      </c>
      <c r="N233" s="195">
        <v>209</v>
      </c>
      <c r="O233" s="196">
        <v>209</v>
      </c>
      <c r="P233" s="197">
        <v>189.24</v>
      </c>
      <c r="Q233" s="195">
        <v>209</v>
      </c>
      <c r="R233" s="196">
        <v>209</v>
      </c>
      <c r="S233" s="197">
        <v>189.24</v>
      </c>
      <c r="T233" s="195">
        <v>209</v>
      </c>
      <c r="U233" s="196">
        <v>209</v>
      </c>
      <c r="V233" s="197">
        <v>189.24</v>
      </c>
      <c r="W233" s="195">
        <v>209</v>
      </c>
      <c r="X233" s="196">
        <v>209</v>
      </c>
      <c r="Y233" s="197">
        <v>189.24</v>
      </c>
      <c r="Z233" s="195">
        <v>209</v>
      </c>
      <c r="AA233" s="196">
        <v>209</v>
      </c>
      <c r="AB233" s="197">
        <v>189.24</v>
      </c>
      <c r="AC233" s="195">
        <v>209</v>
      </c>
      <c r="AD233" s="196">
        <v>209</v>
      </c>
      <c r="AE233" s="197">
        <v>189.24</v>
      </c>
      <c r="AF233" s="195">
        <v>209</v>
      </c>
      <c r="AG233" s="196">
        <v>209</v>
      </c>
      <c r="AH233" s="197">
        <v>189.24</v>
      </c>
      <c r="AI233" s="200" t="s">
        <v>382</v>
      </c>
      <c r="AJ233" s="193" t="s">
        <v>1625</v>
      </c>
      <c r="AK233" s="201" t="s">
        <v>1609</v>
      </c>
      <c r="AL233" s="205">
        <v>38</v>
      </c>
      <c r="AM233" s="200"/>
      <c r="AN233" s="204">
        <v>209</v>
      </c>
      <c r="AO233" s="203"/>
      <c r="AP233" s="207" t="s">
        <v>76</v>
      </c>
      <c r="AQ233" s="199" t="s">
        <v>1620</v>
      </c>
      <c r="AR233" s="202">
        <v>44835</v>
      </c>
      <c r="AS233" s="205">
        <v>2052</v>
      </c>
      <c r="AT233" s="206"/>
      <c r="AU233" s="201" t="s">
        <v>24</v>
      </c>
      <c r="AV233" s="193" t="s">
        <v>16</v>
      </c>
      <c r="AW233" s="205">
        <v>1506</v>
      </c>
    </row>
    <row r="234" spans="1:49">
      <c r="A234" s="192" t="s">
        <v>110</v>
      </c>
      <c r="B234" s="194" t="s">
        <v>1555</v>
      </c>
      <c r="C234" s="160" t="s">
        <v>2890</v>
      </c>
      <c r="D234" s="193" t="s">
        <v>2891</v>
      </c>
      <c r="E234" s="195">
        <v>760</v>
      </c>
      <c r="F234" s="196">
        <v>950</v>
      </c>
      <c r="G234" s="197">
        <v>950</v>
      </c>
      <c r="H234" s="195">
        <v>760</v>
      </c>
      <c r="I234" s="196">
        <v>950</v>
      </c>
      <c r="J234" s="197">
        <v>950</v>
      </c>
      <c r="K234" s="195">
        <v>760</v>
      </c>
      <c r="L234" s="196">
        <v>950</v>
      </c>
      <c r="M234" s="197">
        <v>950</v>
      </c>
      <c r="N234" s="195">
        <v>760</v>
      </c>
      <c r="O234" s="196">
        <v>950</v>
      </c>
      <c r="P234" s="197">
        <v>950</v>
      </c>
      <c r="Q234" s="195">
        <v>760</v>
      </c>
      <c r="R234" s="196">
        <v>950</v>
      </c>
      <c r="S234" s="197">
        <v>950</v>
      </c>
      <c r="T234" s="195">
        <v>855</v>
      </c>
      <c r="U234" s="196">
        <v>950</v>
      </c>
      <c r="V234" s="197">
        <v>950</v>
      </c>
      <c r="W234" s="195">
        <v>950</v>
      </c>
      <c r="X234" s="196">
        <v>950</v>
      </c>
      <c r="Y234" s="197">
        <v>950</v>
      </c>
      <c r="Z234" s="195">
        <v>950</v>
      </c>
      <c r="AA234" s="196">
        <v>950</v>
      </c>
      <c r="AB234" s="197">
        <v>950</v>
      </c>
      <c r="AC234" s="195">
        <v>950</v>
      </c>
      <c r="AD234" s="196">
        <v>950</v>
      </c>
      <c r="AE234" s="197">
        <v>950</v>
      </c>
      <c r="AF234" s="195">
        <v>950</v>
      </c>
      <c r="AG234" s="196">
        <v>950</v>
      </c>
      <c r="AH234" s="197">
        <v>950</v>
      </c>
      <c r="AI234" s="200" t="s">
        <v>805</v>
      </c>
      <c r="AJ234" s="193" t="s">
        <v>1700</v>
      </c>
      <c r="AK234" s="201" t="s">
        <v>1658</v>
      </c>
      <c r="AL234" s="205">
        <v>10</v>
      </c>
      <c r="AM234" s="200"/>
      <c r="AN234" s="204">
        <v>950</v>
      </c>
      <c r="AO234" s="203"/>
      <c r="AP234" s="207" t="s">
        <v>76</v>
      </c>
      <c r="AQ234" s="199" t="s">
        <v>1619</v>
      </c>
      <c r="AR234" s="202"/>
      <c r="AS234" s="205">
        <v>2070</v>
      </c>
      <c r="AT234" s="206"/>
      <c r="AU234" s="201" t="s">
        <v>24</v>
      </c>
      <c r="AV234" s="193" t="s">
        <v>17</v>
      </c>
      <c r="AW234" s="205">
        <v>1147</v>
      </c>
    </row>
    <row r="235" spans="1:49">
      <c r="A235" s="192" t="s">
        <v>110</v>
      </c>
      <c r="B235" s="194" t="s">
        <v>1555</v>
      </c>
      <c r="C235" s="160" t="s">
        <v>2892</v>
      </c>
      <c r="D235" s="193" t="s">
        <v>2891</v>
      </c>
      <c r="E235" s="195">
        <v>437.5</v>
      </c>
      <c r="F235" s="196">
        <v>587.5</v>
      </c>
      <c r="G235" s="197">
        <v>587.5</v>
      </c>
      <c r="H235" s="195">
        <v>450</v>
      </c>
      <c r="I235" s="196">
        <v>600</v>
      </c>
      <c r="J235" s="197">
        <v>600</v>
      </c>
      <c r="K235" s="195">
        <v>450</v>
      </c>
      <c r="L235" s="196">
        <v>600</v>
      </c>
      <c r="M235" s="197">
        <v>600</v>
      </c>
      <c r="N235" s="195">
        <v>600</v>
      </c>
      <c r="O235" s="196">
        <v>600</v>
      </c>
      <c r="P235" s="197">
        <v>600</v>
      </c>
      <c r="Q235" s="195">
        <v>600</v>
      </c>
      <c r="R235" s="196">
        <v>600</v>
      </c>
      <c r="S235" s="197">
        <v>600</v>
      </c>
      <c r="T235" s="195">
        <v>600</v>
      </c>
      <c r="U235" s="196">
        <v>600</v>
      </c>
      <c r="V235" s="197">
        <v>600</v>
      </c>
      <c r="W235" s="195">
        <v>600</v>
      </c>
      <c r="X235" s="196">
        <v>600</v>
      </c>
      <c r="Y235" s="197">
        <v>600</v>
      </c>
      <c r="Z235" s="195">
        <v>600</v>
      </c>
      <c r="AA235" s="196">
        <v>600</v>
      </c>
      <c r="AB235" s="197">
        <v>600</v>
      </c>
      <c r="AC235" s="195">
        <v>600</v>
      </c>
      <c r="AD235" s="196">
        <v>600</v>
      </c>
      <c r="AE235" s="197">
        <v>600</v>
      </c>
      <c r="AF235" s="195">
        <v>600</v>
      </c>
      <c r="AG235" s="196">
        <v>600</v>
      </c>
      <c r="AH235" s="197">
        <v>600</v>
      </c>
      <c r="AI235" s="200" t="s">
        <v>805</v>
      </c>
      <c r="AJ235" s="193" t="s">
        <v>1700</v>
      </c>
      <c r="AK235" s="201" t="s">
        <v>1658</v>
      </c>
      <c r="AL235" s="205">
        <v>4</v>
      </c>
      <c r="AM235" s="200"/>
      <c r="AN235" s="204">
        <v>552</v>
      </c>
      <c r="AO235" s="203"/>
      <c r="AP235" s="207" t="s">
        <v>76</v>
      </c>
      <c r="AQ235" s="199" t="s">
        <v>1619</v>
      </c>
      <c r="AR235" s="202"/>
      <c r="AS235" s="205">
        <v>2070</v>
      </c>
      <c r="AT235" s="206"/>
      <c r="AU235" s="201" t="s">
        <v>24</v>
      </c>
      <c r="AV235" s="193" t="s">
        <v>17</v>
      </c>
      <c r="AW235" s="205">
        <v>1148</v>
      </c>
    </row>
    <row r="236" spans="1:49">
      <c r="A236" s="192" t="s">
        <v>91</v>
      </c>
      <c r="B236" s="194" t="s">
        <v>1555</v>
      </c>
      <c r="C236" s="160" t="s">
        <v>367</v>
      </c>
      <c r="D236" s="193" t="s">
        <v>368</v>
      </c>
      <c r="E236" s="195">
        <v>13.746</v>
      </c>
      <c r="F236" s="196">
        <v>13.194000000000001</v>
      </c>
      <c r="G236" s="197">
        <v>12.917999999999999</v>
      </c>
      <c r="H236" s="195">
        <v>13.746</v>
      </c>
      <c r="I236" s="196">
        <v>13.194000000000001</v>
      </c>
      <c r="J236" s="197">
        <v>12.917999999999999</v>
      </c>
      <c r="K236" s="195">
        <v>13.746</v>
      </c>
      <c r="L236" s="196">
        <v>13.194000000000001</v>
      </c>
      <c r="M236" s="197">
        <v>12.917999999999999</v>
      </c>
      <c r="N236" s="195">
        <v>13.746</v>
      </c>
      <c r="O236" s="196">
        <v>13.194000000000001</v>
      </c>
      <c r="P236" s="197">
        <v>12.917999999999999</v>
      </c>
      <c r="Q236" s="195">
        <v>13.746</v>
      </c>
      <c r="R236" s="196">
        <v>13.194000000000001</v>
      </c>
      <c r="S236" s="197">
        <v>12.917999999999999</v>
      </c>
      <c r="T236" s="195">
        <v>13.746</v>
      </c>
      <c r="U236" s="196">
        <v>13.194000000000001</v>
      </c>
      <c r="V236" s="197">
        <v>12.917999999999999</v>
      </c>
      <c r="W236" s="195">
        <v>13.746</v>
      </c>
      <c r="X236" s="196">
        <v>13.194000000000001</v>
      </c>
      <c r="Y236" s="197">
        <v>12.917999999999999</v>
      </c>
      <c r="Z236" s="195">
        <v>13.746</v>
      </c>
      <c r="AA236" s="196">
        <v>13.194000000000001</v>
      </c>
      <c r="AB236" s="197">
        <v>12.917999999999999</v>
      </c>
      <c r="AC236" s="195">
        <v>13.746</v>
      </c>
      <c r="AD236" s="196">
        <v>13.194000000000001</v>
      </c>
      <c r="AE236" s="197">
        <v>12.917999999999999</v>
      </c>
      <c r="AF236" s="195">
        <v>13.746</v>
      </c>
      <c r="AG236" s="196">
        <v>13.194000000000001</v>
      </c>
      <c r="AH236" s="197">
        <v>12.917999999999999</v>
      </c>
      <c r="AI236" s="200" t="s">
        <v>347</v>
      </c>
      <c r="AJ236" s="193" t="s">
        <v>1631</v>
      </c>
      <c r="AK236" s="201" t="s">
        <v>1614</v>
      </c>
      <c r="AL236" s="205">
        <v>6</v>
      </c>
      <c r="AM236" s="200"/>
      <c r="AN236" s="204">
        <v>13.74</v>
      </c>
      <c r="AO236" s="203"/>
      <c r="AP236" s="207" t="s">
        <v>76</v>
      </c>
      <c r="AQ236" s="199" t="s">
        <v>1620</v>
      </c>
      <c r="AR236" s="202">
        <v>44774</v>
      </c>
      <c r="AS236" s="205">
        <v>2041</v>
      </c>
      <c r="AT236" s="206"/>
      <c r="AU236" s="201" t="s">
        <v>24</v>
      </c>
      <c r="AV236" s="193" t="s">
        <v>1615</v>
      </c>
      <c r="AW236" s="205">
        <v>1853</v>
      </c>
    </row>
    <row r="237" spans="1:49">
      <c r="A237" s="192" t="s">
        <v>105</v>
      </c>
      <c r="B237" s="194" t="s">
        <v>1555</v>
      </c>
      <c r="C237" s="160" t="s">
        <v>1368</v>
      </c>
      <c r="D237" s="193" t="s">
        <v>2896</v>
      </c>
      <c r="E237" s="195">
        <v>168</v>
      </c>
      <c r="F237" s="196">
        <v>168</v>
      </c>
      <c r="G237" s="197">
        <v>168</v>
      </c>
      <c r="H237" s="195">
        <v>168</v>
      </c>
      <c r="I237" s="196">
        <v>168</v>
      </c>
      <c r="J237" s="197">
        <v>168</v>
      </c>
      <c r="K237" s="195">
        <v>168</v>
      </c>
      <c r="L237" s="196">
        <v>168</v>
      </c>
      <c r="M237" s="197">
        <v>168</v>
      </c>
      <c r="N237" s="195">
        <v>168</v>
      </c>
      <c r="O237" s="196">
        <v>168</v>
      </c>
      <c r="P237" s="197">
        <v>168</v>
      </c>
      <c r="Q237" s="195">
        <v>168</v>
      </c>
      <c r="R237" s="196">
        <v>168</v>
      </c>
      <c r="S237" s="197">
        <v>168</v>
      </c>
      <c r="T237" s="195">
        <v>168</v>
      </c>
      <c r="U237" s="196">
        <v>168</v>
      </c>
      <c r="V237" s="197">
        <v>168</v>
      </c>
      <c r="W237" s="195">
        <v>168</v>
      </c>
      <c r="X237" s="196">
        <v>168</v>
      </c>
      <c r="Y237" s="197">
        <v>168</v>
      </c>
      <c r="Z237" s="195">
        <v>168</v>
      </c>
      <c r="AA237" s="196">
        <v>168</v>
      </c>
      <c r="AB237" s="197">
        <v>168</v>
      </c>
      <c r="AC237" s="195">
        <v>168</v>
      </c>
      <c r="AD237" s="196">
        <v>168</v>
      </c>
      <c r="AE237" s="197">
        <v>168</v>
      </c>
      <c r="AF237" s="195">
        <v>168</v>
      </c>
      <c r="AG237" s="196">
        <v>168</v>
      </c>
      <c r="AH237" s="197">
        <v>168</v>
      </c>
      <c r="AI237" s="200" t="s">
        <v>2895</v>
      </c>
      <c r="AJ237" s="193" t="s">
        <v>1625</v>
      </c>
      <c r="AK237" s="201" t="s">
        <v>1609</v>
      </c>
      <c r="AL237" s="205">
        <v>56</v>
      </c>
      <c r="AM237" s="200"/>
      <c r="AN237" s="204">
        <v>168</v>
      </c>
      <c r="AO237" s="203"/>
      <c r="AP237" s="207" t="s">
        <v>76</v>
      </c>
      <c r="AQ237" s="199" t="s">
        <v>1620</v>
      </c>
      <c r="AR237" s="202"/>
      <c r="AS237" s="205">
        <v>2050</v>
      </c>
      <c r="AT237" s="206"/>
      <c r="AU237" s="201" t="s">
        <v>24</v>
      </c>
      <c r="AV237" s="193" t="s">
        <v>16</v>
      </c>
      <c r="AW237" s="205">
        <v>1149</v>
      </c>
    </row>
    <row r="238" spans="1:49">
      <c r="A238" s="192" t="s">
        <v>45</v>
      </c>
      <c r="B238" s="194" t="s">
        <v>1555</v>
      </c>
      <c r="C238" s="160" t="s">
        <v>651</v>
      </c>
      <c r="D238" s="193" t="s">
        <v>653</v>
      </c>
      <c r="E238" s="195">
        <v>104.64</v>
      </c>
      <c r="F238" s="196">
        <v>104.64</v>
      </c>
      <c r="G238" s="197">
        <v>104.64</v>
      </c>
      <c r="H238" s="195">
        <v>104.64</v>
      </c>
      <c r="I238" s="196">
        <v>104.64</v>
      </c>
      <c r="J238" s="197">
        <v>104.64</v>
      </c>
      <c r="K238" s="195">
        <v>104.64</v>
      </c>
      <c r="L238" s="196">
        <v>104.64</v>
      </c>
      <c r="M238" s="197">
        <v>104.64</v>
      </c>
      <c r="N238" s="195">
        <v>104.64</v>
      </c>
      <c r="O238" s="196">
        <v>104.64</v>
      </c>
      <c r="P238" s="197">
        <v>104.64</v>
      </c>
      <c r="Q238" s="195">
        <v>104.64</v>
      </c>
      <c r="R238" s="196">
        <v>104.64</v>
      </c>
      <c r="S238" s="197">
        <v>104.64</v>
      </c>
      <c r="T238" s="195">
        <v>104.64</v>
      </c>
      <c r="U238" s="196">
        <v>104.64</v>
      </c>
      <c r="V238" s="197">
        <v>104.64</v>
      </c>
      <c r="W238" s="195">
        <v>104.64</v>
      </c>
      <c r="X238" s="196">
        <v>104.64</v>
      </c>
      <c r="Y238" s="197">
        <v>104.64</v>
      </c>
      <c r="Z238" s="195">
        <v>104.64</v>
      </c>
      <c r="AA238" s="196">
        <v>104.64</v>
      </c>
      <c r="AB238" s="197">
        <v>104.64</v>
      </c>
      <c r="AC238" s="195">
        <v>104.64</v>
      </c>
      <c r="AD238" s="196">
        <v>104.64</v>
      </c>
      <c r="AE238" s="197">
        <v>104.64</v>
      </c>
      <c r="AF238" s="195">
        <v>104.64</v>
      </c>
      <c r="AG238" s="196">
        <v>104.64</v>
      </c>
      <c r="AH238" s="197">
        <v>104.64</v>
      </c>
      <c r="AI238" s="200" t="s">
        <v>2912</v>
      </c>
      <c r="AJ238" s="193" t="s">
        <v>1631</v>
      </c>
      <c r="AK238" s="201" t="s">
        <v>1614</v>
      </c>
      <c r="AL238" s="205">
        <v>48</v>
      </c>
      <c r="AM238" s="200"/>
      <c r="AN238" s="204">
        <v>104.64</v>
      </c>
      <c r="AO238" s="203"/>
      <c r="AP238" s="207" t="s">
        <v>76</v>
      </c>
      <c r="AQ238" s="199" t="s">
        <v>1620</v>
      </c>
      <c r="AR238" s="202">
        <v>44013</v>
      </c>
      <c r="AS238" s="205">
        <v>2049</v>
      </c>
      <c r="AT238" s="206"/>
      <c r="AU238" s="201" t="s">
        <v>24</v>
      </c>
      <c r="AV238" s="193" t="s">
        <v>1615</v>
      </c>
      <c r="AW238" s="205">
        <v>1414</v>
      </c>
    </row>
    <row r="239" spans="1:49">
      <c r="A239" s="192" t="s">
        <v>45</v>
      </c>
      <c r="B239" s="194" t="s">
        <v>1555</v>
      </c>
      <c r="C239" s="160" t="s">
        <v>568</v>
      </c>
      <c r="D239" s="193" t="s">
        <v>2913</v>
      </c>
      <c r="E239" s="195">
        <v>400</v>
      </c>
      <c r="F239" s="196">
        <v>400</v>
      </c>
      <c r="G239" s="197">
        <v>400</v>
      </c>
      <c r="H239" s="195">
        <v>400</v>
      </c>
      <c r="I239" s="196">
        <v>400</v>
      </c>
      <c r="J239" s="197">
        <v>400</v>
      </c>
      <c r="K239" s="195">
        <v>400</v>
      </c>
      <c r="L239" s="196">
        <v>400</v>
      </c>
      <c r="M239" s="197">
        <v>400</v>
      </c>
      <c r="N239" s="195">
        <v>400</v>
      </c>
      <c r="O239" s="196">
        <v>400</v>
      </c>
      <c r="P239" s="197">
        <v>400</v>
      </c>
      <c r="Q239" s="195">
        <v>400</v>
      </c>
      <c r="R239" s="196">
        <v>400</v>
      </c>
      <c r="S239" s="197">
        <v>400</v>
      </c>
      <c r="T239" s="195">
        <v>400</v>
      </c>
      <c r="U239" s="196">
        <v>400</v>
      </c>
      <c r="V239" s="197">
        <v>400</v>
      </c>
      <c r="W239" s="195">
        <v>400</v>
      </c>
      <c r="X239" s="196">
        <v>400</v>
      </c>
      <c r="Y239" s="197">
        <v>400</v>
      </c>
      <c r="Z239" s="195">
        <v>400</v>
      </c>
      <c r="AA239" s="196">
        <v>400</v>
      </c>
      <c r="AB239" s="197">
        <v>400</v>
      </c>
      <c r="AC239" s="195">
        <v>400</v>
      </c>
      <c r="AD239" s="196">
        <v>400</v>
      </c>
      <c r="AE239" s="197">
        <v>400</v>
      </c>
      <c r="AF239" s="195">
        <v>400</v>
      </c>
      <c r="AG239" s="196">
        <v>400</v>
      </c>
      <c r="AH239" s="197">
        <v>400</v>
      </c>
      <c r="AI239" s="200" t="s">
        <v>65</v>
      </c>
      <c r="AJ239" s="193" t="s">
        <v>1631</v>
      </c>
      <c r="AK239" s="201" t="s">
        <v>1614</v>
      </c>
      <c r="AL239" s="205">
        <v>1</v>
      </c>
      <c r="AM239" s="200">
        <v>400</v>
      </c>
      <c r="AN239" s="204">
        <v>400</v>
      </c>
      <c r="AO239" s="203"/>
      <c r="AP239" s="207" t="s">
        <v>401</v>
      </c>
      <c r="AQ239" s="199" t="s">
        <v>1620</v>
      </c>
      <c r="AR239" s="202">
        <v>45047</v>
      </c>
      <c r="AS239" s="205">
        <v>2052</v>
      </c>
      <c r="AT239" s="206"/>
      <c r="AU239" s="201" t="s">
        <v>24</v>
      </c>
      <c r="AV239" s="193" t="s">
        <v>1615</v>
      </c>
      <c r="AW239" s="205">
        <v>1854</v>
      </c>
    </row>
    <row r="240" spans="1:49">
      <c r="A240" s="192" t="s">
        <v>110</v>
      </c>
      <c r="B240" s="194" t="s">
        <v>1555</v>
      </c>
      <c r="C240" s="160" t="s">
        <v>882</v>
      </c>
      <c r="D240" s="193" t="s">
        <v>2919</v>
      </c>
      <c r="E240" s="195">
        <v>510</v>
      </c>
      <c r="F240" s="196">
        <v>510</v>
      </c>
      <c r="G240" s="197">
        <v>475</v>
      </c>
      <c r="H240" s="195">
        <v>510</v>
      </c>
      <c r="I240" s="196">
        <v>510</v>
      </c>
      <c r="J240" s="197">
        <v>475</v>
      </c>
      <c r="K240" s="195">
        <v>510</v>
      </c>
      <c r="L240" s="196">
        <v>510</v>
      </c>
      <c r="M240" s="197">
        <v>475</v>
      </c>
      <c r="N240" s="195">
        <v>510</v>
      </c>
      <c r="O240" s="196">
        <v>510</v>
      </c>
      <c r="P240" s="197">
        <v>475</v>
      </c>
      <c r="Q240" s="195">
        <v>510</v>
      </c>
      <c r="R240" s="196">
        <v>510</v>
      </c>
      <c r="S240" s="197">
        <v>475</v>
      </c>
      <c r="T240" s="195">
        <v>510</v>
      </c>
      <c r="U240" s="196">
        <v>510</v>
      </c>
      <c r="V240" s="197">
        <v>475</v>
      </c>
      <c r="W240" s="195">
        <v>510</v>
      </c>
      <c r="X240" s="196">
        <v>510</v>
      </c>
      <c r="Y240" s="197">
        <v>475</v>
      </c>
      <c r="Z240" s="195">
        <v>510</v>
      </c>
      <c r="AA240" s="196">
        <v>510</v>
      </c>
      <c r="AB240" s="197">
        <v>475</v>
      </c>
      <c r="AC240" s="195">
        <v>510</v>
      </c>
      <c r="AD240" s="196">
        <v>510</v>
      </c>
      <c r="AE240" s="197">
        <v>475</v>
      </c>
      <c r="AF240" s="195">
        <v>510</v>
      </c>
      <c r="AG240" s="196">
        <v>510</v>
      </c>
      <c r="AH240" s="197">
        <v>475</v>
      </c>
      <c r="AI240" s="200" t="s">
        <v>883</v>
      </c>
      <c r="AJ240" s="193" t="s">
        <v>1739</v>
      </c>
      <c r="AK240" s="201" t="s">
        <v>1592</v>
      </c>
      <c r="AL240" s="205">
        <v>1</v>
      </c>
      <c r="AM240" s="200"/>
      <c r="AN240" s="204">
        <v>500</v>
      </c>
      <c r="AO240" s="203"/>
      <c r="AP240" s="207" t="s">
        <v>76</v>
      </c>
      <c r="AQ240" s="199" t="s">
        <v>1619</v>
      </c>
      <c r="AR240" s="202"/>
      <c r="AS240" s="205">
        <v>2039</v>
      </c>
      <c r="AT240" s="206"/>
      <c r="AU240" s="201" t="s">
        <v>24</v>
      </c>
      <c r="AV240" s="193" t="s">
        <v>14</v>
      </c>
      <c r="AW240" s="205">
        <v>1150</v>
      </c>
    </row>
    <row r="241" spans="1:49">
      <c r="A241" s="192" t="s">
        <v>110</v>
      </c>
      <c r="B241" s="194" t="s">
        <v>1555</v>
      </c>
      <c r="C241" s="160" t="s">
        <v>886</v>
      </c>
      <c r="D241" s="193" t="s">
        <v>2946</v>
      </c>
      <c r="E241" s="195">
        <v>71.040000000000006</v>
      </c>
      <c r="F241" s="196">
        <v>71.040000000000006</v>
      </c>
      <c r="G241" s="197">
        <v>71.040000000000006</v>
      </c>
      <c r="H241" s="195">
        <v>71.040000000000006</v>
      </c>
      <c r="I241" s="196">
        <v>71.040000000000006</v>
      </c>
      <c r="J241" s="197">
        <v>71.040000000000006</v>
      </c>
      <c r="K241" s="195">
        <v>71.040000000000006</v>
      </c>
      <c r="L241" s="196">
        <v>71.040000000000006</v>
      </c>
      <c r="M241" s="197">
        <v>71.040000000000006</v>
      </c>
      <c r="N241" s="195">
        <v>71.040000000000006</v>
      </c>
      <c r="O241" s="196">
        <v>71.040000000000006</v>
      </c>
      <c r="P241" s="197">
        <v>71.040000000000006</v>
      </c>
      <c r="Q241" s="195">
        <v>71.040000000000006</v>
      </c>
      <c r="R241" s="196">
        <v>71.040000000000006</v>
      </c>
      <c r="S241" s="197">
        <v>71.040000000000006</v>
      </c>
      <c r="T241" s="195">
        <v>71.040000000000006</v>
      </c>
      <c r="U241" s="196">
        <v>71.040000000000006</v>
      </c>
      <c r="V241" s="197">
        <v>71.040000000000006</v>
      </c>
      <c r="W241" s="195">
        <v>71.040000000000006</v>
      </c>
      <c r="X241" s="196">
        <v>71.040000000000006</v>
      </c>
      <c r="Y241" s="197">
        <v>71.040000000000006</v>
      </c>
      <c r="Z241" s="195">
        <v>71.040000000000006</v>
      </c>
      <c r="AA241" s="196">
        <v>71.040000000000006</v>
      </c>
      <c r="AB241" s="197">
        <v>71.040000000000006</v>
      </c>
      <c r="AC241" s="195">
        <v>71.040000000000006</v>
      </c>
      <c r="AD241" s="196">
        <v>71.040000000000006</v>
      </c>
      <c r="AE241" s="197">
        <v>71.040000000000006</v>
      </c>
      <c r="AF241" s="195"/>
      <c r="AG241" s="196"/>
      <c r="AH241" s="197"/>
      <c r="AI241" s="200" t="s">
        <v>887</v>
      </c>
      <c r="AJ241" s="193" t="s">
        <v>1631</v>
      </c>
      <c r="AK241" s="201" t="s">
        <v>1614</v>
      </c>
      <c r="AL241" s="205">
        <v>37</v>
      </c>
      <c r="AM241" s="200"/>
      <c r="AN241" s="204">
        <v>74</v>
      </c>
      <c r="AO241" s="203"/>
      <c r="AP241" s="207" t="s">
        <v>76</v>
      </c>
      <c r="AQ241" s="199" t="s">
        <v>1620</v>
      </c>
      <c r="AR241" s="202">
        <v>43678</v>
      </c>
      <c r="AS241" s="205">
        <v>2044</v>
      </c>
      <c r="AT241" s="206"/>
      <c r="AU241" s="201" t="s">
        <v>24</v>
      </c>
      <c r="AV241" s="193" t="s">
        <v>1615</v>
      </c>
      <c r="AW241" s="205">
        <v>1461</v>
      </c>
    </row>
    <row r="242" spans="1:49">
      <c r="A242" s="192" t="s">
        <v>110</v>
      </c>
      <c r="B242" s="194" t="s">
        <v>1555</v>
      </c>
      <c r="C242" s="160" t="s">
        <v>886</v>
      </c>
      <c r="D242" s="193" t="s">
        <v>2947</v>
      </c>
      <c r="E242" s="195">
        <v>36.479999999999997</v>
      </c>
      <c r="F242" s="196">
        <v>36.479999999999997</v>
      </c>
      <c r="G242" s="197">
        <v>36.479999999999997</v>
      </c>
      <c r="H242" s="195">
        <v>36.479999999999997</v>
      </c>
      <c r="I242" s="196">
        <v>36.479999999999997</v>
      </c>
      <c r="J242" s="197">
        <v>36.479999999999997</v>
      </c>
      <c r="K242" s="195">
        <v>36.479999999999997</v>
      </c>
      <c r="L242" s="196">
        <v>36.479999999999997</v>
      </c>
      <c r="M242" s="197">
        <v>36.479999999999997</v>
      </c>
      <c r="N242" s="195">
        <v>36.479999999999997</v>
      </c>
      <c r="O242" s="196">
        <v>36.479999999999997</v>
      </c>
      <c r="P242" s="197">
        <v>36.479999999999997</v>
      </c>
      <c r="Q242" s="195">
        <v>36.479999999999997</v>
      </c>
      <c r="R242" s="196">
        <v>36.479999999999997</v>
      </c>
      <c r="S242" s="197">
        <v>36.479999999999997</v>
      </c>
      <c r="T242" s="195">
        <v>36.479999999999997</v>
      </c>
      <c r="U242" s="196">
        <v>36.479999999999997</v>
      </c>
      <c r="V242" s="197">
        <v>36.479999999999997</v>
      </c>
      <c r="W242" s="195">
        <v>36.479999999999997</v>
      </c>
      <c r="X242" s="196">
        <v>36.479999999999997</v>
      </c>
      <c r="Y242" s="197">
        <v>36.479999999999997</v>
      </c>
      <c r="Z242" s="195">
        <v>36.479999999999997</v>
      </c>
      <c r="AA242" s="196">
        <v>36.479999999999997</v>
      </c>
      <c r="AB242" s="197">
        <v>36.479999999999997</v>
      </c>
      <c r="AC242" s="195">
        <v>36.479999999999997</v>
      </c>
      <c r="AD242" s="196">
        <v>36.479999999999997</v>
      </c>
      <c r="AE242" s="197">
        <v>36.479999999999997</v>
      </c>
      <c r="AF242" s="195"/>
      <c r="AG242" s="196"/>
      <c r="AH242" s="197"/>
      <c r="AI242" s="200" t="s">
        <v>887</v>
      </c>
      <c r="AJ242" s="193" t="s">
        <v>1631</v>
      </c>
      <c r="AK242" s="201" t="s">
        <v>1614</v>
      </c>
      <c r="AL242" s="205">
        <v>19</v>
      </c>
      <c r="AM242" s="200"/>
      <c r="AN242" s="204">
        <v>36.479999999999997</v>
      </c>
      <c r="AO242" s="203"/>
      <c r="AP242" s="207" t="s">
        <v>76</v>
      </c>
      <c r="AQ242" s="199" t="s">
        <v>1620</v>
      </c>
      <c r="AR242" s="202">
        <v>43678</v>
      </c>
      <c r="AS242" s="205">
        <v>2044</v>
      </c>
      <c r="AT242" s="206"/>
      <c r="AU242" s="201" t="s">
        <v>24</v>
      </c>
      <c r="AV242" s="193" t="s">
        <v>1615</v>
      </c>
      <c r="AW242" s="205">
        <v>1461</v>
      </c>
    </row>
    <row r="243" spans="1:49">
      <c r="A243" s="192" t="s">
        <v>45</v>
      </c>
      <c r="B243" s="194" t="s">
        <v>1555</v>
      </c>
      <c r="C243" s="160" t="s">
        <v>1238</v>
      </c>
      <c r="D243" s="193" t="s">
        <v>2949</v>
      </c>
      <c r="E243" s="195">
        <v>102.02500000000001</v>
      </c>
      <c r="F243" s="196">
        <v>102.02500000000001</v>
      </c>
      <c r="G243" s="197">
        <v>102.02500000000001</v>
      </c>
      <c r="H243" s="195">
        <v>102.02500000000001</v>
      </c>
      <c r="I243" s="196">
        <v>102.02500000000001</v>
      </c>
      <c r="J243" s="197">
        <v>102.02500000000001</v>
      </c>
      <c r="K243" s="195">
        <v>102.02500000000001</v>
      </c>
      <c r="L243" s="196">
        <v>102.02500000000001</v>
      </c>
      <c r="M243" s="197">
        <v>102.02500000000001</v>
      </c>
      <c r="N243" s="195">
        <v>102.02500000000001</v>
      </c>
      <c r="O243" s="196">
        <v>102.02500000000001</v>
      </c>
      <c r="P243" s="197">
        <v>102.02500000000001</v>
      </c>
      <c r="Q243" s="195">
        <v>102.02500000000001</v>
      </c>
      <c r="R243" s="196">
        <v>102.02500000000001</v>
      </c>
      <c r="S243" s="197">
        <v>102.02500000000001</v>
      </c>
      <c r="T243" s="195">
        <v>102.02500000000001</v>
      </c>
      <c r="U243" s="196">
        <v>102.02500000000001</v>
      </c>
      <c r="V243" s="197">
        <v>102.02500000000001</v>
      </c>
      <c r="W243" s="195">
        <v>102.02500000000001</v>
      </c>
      <c r="X243" s="196">
        <v>102.02500000000001</v>
      </c>
      <c r="Y243" s="197">
        <v>102.02500000000001</v>
      </c>
      <c r="Z243" s="195">
        <v>102.02500000000001</v>
      </c>
      <c r="AA243" s="196">
        <v>102.02500000000001</v>
      </c>
      <c r="AB243" s="197">
        <v>102.02500000000001</v>
      </c>
      <c r="AC243" s="195">
        <v>102.02500000000001</v>
      </c>
      <c r="AD243" s="196">
        <v>102.02500000000001</v>
      </c>
      <c r="AE243" s="197">
        <v>102.02500000000001</v>
      </c>
      <c r="AF243" s="195">
        <v>102.02500000000001</v>
      </c>
      <c r="AG243" s="196">
        <v>102.02500000000001</v>
      </c>
      <c r="AH243" s="197">
        <v>102.02500000000001</v>
      </c>
      <c r="AI243" s="200" t="s">
        <v>193</v>
      </c>
      <c r="AJ243" s="193" t="s">
        <v>1613</v>
      </c>
      <c r="AK243" s="201" t="s">
        <v>1614</v>
      </c>
      <c r="AL243" s="205">
        <v>77</v>
      </c>
      <c r="AM243" s="200"/>
      <c r="AN243" s="204">
        <v>102.02500000000001</v>
      </c>
      <c r="AO243" s="203"/>
      <c r="AP243" s="207" t="s">
        <v>76</v>
      </c>
      <c r="AQ243" s="199" t="s">
        <v>1620</v>
      </c>
      <c r="AR243" s="202"/>
      <c r="AS243" s="205">
        <v>2042</v>
      </c>
      <c r="AT243" s="206"/>
      <c r="AU243" s="201" t="s">
        <v>24</v>
      </c>
      <c r="AV243" s="193" t="s">
        <v>1615</v>
      </c>
      <c r="AW243" s="205">
        <v>1323</v>
      </c>
    </row>
    <row r="244" spans="1:49">
      <c r="A244" s="192" t="s">
        <v>77</v>
      </c>
      <c r="B244" s="194" t="s">
        <v>1555</v>
      </c>
      <c r="C244" s="160" t="s">
        <v>275</v>
      </c>
      <c r="D244" s="193" t="s">
        <v>277</v>
      </c>
      <c r="E244" s="195">
        <v>54.99</v>
      </c>
      <c r="F244" s="196">
        <v>53.43</v>
      </c>
      <c r="G244" s="197">
        <v>52.311999999999998</v>
      </c>
      <c r="H244" s="195">
        <v>54.99</v>
      </c>
      <c r="I244" s="196">
        <v>53.43</v>
      </c>
      <c r="J244" s="197">
        <v>52.311999999999998</v>
      </c>
      <c r="K244" s="195">
        <v>54.99</v>
      </c>
      <c r="L244" s="196">
        <v>53.43</v>
      </c>
      <c r="M244" s="197">
        <v>52.311999999999998</v>
      </c>
      <c r="N244" s="195">
        <v>54.99</v>
      </c>
      <c r="O244" s="196">
        <v>53.43</v>
      </c>
      <c r="P244" s="197">
        <v>52.311999999999998</v>
      </c>
      <c r="Q244" s="195">
        <v>54.99</v>
      </c>
      <c r="R244" s="196">
        <v>53.43</v>
      </c>
      <c r="S244" s="197">
        <v>52.311999999999998</v>
      </c>
      <c r="T244" s="195">
        <v>54.99</v>
      </c>
      <c r="U244" s="196">
        <v>53.43</v>
      </c>
      <c r="V244" s="197">
        <v>52.311999999999998</v>
      </c>
      <c r="W244" s="195">
        <v>54.99</v>
      </c>
      <c r="X244" s="196">
        <v>53.43</v>
      </c>
      <c r="Y244" s="197">
        <v>52.311999999999998</v>
      </c>
      <c r="Z244" s="195">
        <v>54.99</v>
      </c>
      <c r="AA244" s="196">
        <v>53.43</v>
      </c>
      <c r="AB244" s="197">
        <v>52.311999999999998</v>
      </c>
      <c r="AC244" s="195">
        <v>54.99</v>
      </c>
      <c r="AD244" s="196">
        <v>53.43</v>
      </c>
      <c r="AE244" s="197">
        <v>52.311999999999998</v>
      </c>
      <c r="AF244" s="195">
        <v>54.99</v>
      </c>
      <c r="AG244" s="196">
        <v>53.43</v>
      </c>
      <c r="AH244" s="197">
        <v>52.311999999999998</v>
      </c>
      <c r="AI244" s="200" t="s">
        <v>276</v>
      </c>
      <c r="AJ244" s="193" t="s">
        <v>1631</v>
      </c>
      <c r="AK244" s="201" t="s">
        <v>1614</v>
      </c>
      <c r="AL244" s="205">
        <v>26</v>
      </c>
      <c r="AM244" s="200">
        <v>0</v>
      </c>
      <c r="AN244" s="204">
        <v>55.64</v>
      </c>
      <c r="AO244" s="203"/>
      <c r="AP244" s="207" t="s">
        <v>76</v>
      </c>
      <c r="AQ244" s="199" t="s">
        <v>1620</v>
      </c>
      <c r="AR244" s="202">
        <v>44652</v>
      </c>
      <c r="AS244" s="205">
        <v>2049</v>
      </c>
      <c r="AT244" s="206"/>
      <c r="AU244" s="201" t="s">
        <v>24</v>
      </c>
      <c r="AV244" s="193" t="s">
        <v>1615</v>
      </c>
      <c r="AW244" s="205">
        <v>1591</v>
      </c>
    </row>
    <row r="245" spans="1:49">
      <c r="A245" s="192" t="s">
        <v>77</v>
      </c>
      <c r="B245" s="194" t="s">
        <v>1555</v>
      </c>
      <c r="C245" s="160" t="s">
        <v>712</v>
      </c>
      <c r="D245" s="193" t="s">
        <v>2950</v>
      </c>
      <c r="E245" s="195">
        <v>173</v>
      </c>
      <c r="F245" s="196">
        <v>150</v>
      </c>
      <c r="G245" s="197">
        <v>144</v>
      </c>
      <c r="H245" s="195">
        <v>173</v>
      </c>
      <c r="I245" s="196">
        <v>150</v>
      </c>
      <c r="J245" s="197">
        <v>144</v>
      </c>
      <c r="K245" s="195">
        <v>173</v>
      </c>
      <c r="L245" s="196">
        <v>150</v>
      </c>
      <c r="M245" s="197">
        <v>144</v>
      </c>
      <c r="N245" s="195">
        <v>173</v>
      </c>
      <c r="O245" s="196">
        <v>150</v>
      </c>
      <c r="P245" s="197">
        <v>144</v>
      </c>
      <c r="Q245" s="195">
        <v>173</v>
      </c>
      <c r="R245" s="196">
        <v>150</v>
      </c>
      <c r="S245" s="197">
        <v>144</v>
      </c>
      <c r="T245" s="195">
        <v>173</v>
      </c>
      <c r="U245" s="196">
        <v>150</v>
      </c>
      <c r="V245" s="197">
        <v>144</v>
      </c>
      <c r="W245" s="195">
        <v>173</v>
      </c>
      <c r="X245" s="196">
        <v>150</v>
      </c>
      <c r="Y245" s="197">
        <v>144</v>
      </c>
      <c r="Z245" s="195">
        <v>173</v>
      </c>
      <c r="AA245" s="196">
        <v>150</v>
      </c>
      <c r="AB245" s="197">
        <v>144</v>
      </c>
      <c r="AC245" s="195">
        <v>173</v>
      </c>
      <c r="AD245" s="196">
        <v>150</v>
      </c>
      <c r="AE245" s="197">
        <v>144</v>
      </c>
      <c r="AF245" s="195">
        <v>173</v>
      </c>
      <c r="AG245" s="196">
        <v>150</v>
      </c>
      <c r="AH245" s="197">
        <v>144</v>
      </c>
      <c r="AI245" s="200" t="s">
        <v>713</v>
      </c>
      <c r="AJ245" s="193" t="s">
        <v>1673</v>
      </c>
      <c r="AK245" s="201" t="s">
        <v>1592</v>
      </c>
      <c r="AL245" s="205">
        <v>1</v>
      </c>
      <c r="AM245" s="200"/>
      <c r="AN245" s="204">
        <v>173</v>
      </c>
      <c r="AO245" s="203"/>
      <c r="AP245" s="207" t="s">
        <v>76</v>
      </c>
      <c r="AQ245" s="199" t="s">
        <v>1619</v>
      </c>
      <c r="AR245" s="202"/>
      <c r="AS245" s="205">
        <v>2050</v>
      </c>
      <c r="AT245" s="206"/>
      <c r="AU245" s="201" t="s">
        <v>24</v>
      </c>
      <c r="AV245" s="193" t="s">
        <v>13</v>
      </c>
      <c r="AW245" s="205">
        <v>1433</v>
      </c>
    </row>
    <row r="246" spans="1:49">
      <c r="A246" s="192" t="s">
        <v>77</v>
      </c>
      <c r="B246" s="194" t="s">
        <v>1555</v>
      </c>
      <c r="C246" s="160" t="s">
        <v>712</v>
      </c>
      <c r="D246" s="193" t="s">
        <v>2951</v>
      </c>
      <c r="E246" s="195">
        <v>173</v>
      </c>
      <c r="F246" s="196">
        <v>150</v>
      </c>
      <c r="G246" s="197">
        <v>144</v>
      </c>
      <c r="H246" s="195">
        <v>173</v>
      </c>
      <c r="I246" s="196">
        <v>150</v>
      </c>
      <c r="J246" s="197">
        <v>144</v>
      </c>
      <c r="K246" s="195">
        <v>173</v>
      </c>
      <c r="L246" s="196">
        <v>150</v>
      </c>
      <c r="M246" s="197">
        <v>144</v>
      </c>
      <c r="N246" s="195">
        <v>173</v>
      </c>
      <c r="O246" s="196">
        <v>150</v>
      </c>
      <c r="P246" s="197">
        <v>144</v>
      </c>
      <c r="Q246" s="195">
        <v>173</v>
      </c>
      <c r="R246" s="196">
        <v>150</v>
      </c>
      <c r="S246" s="197">
        <v>144</v>
      </c>
      <c r="T246" s="195">
        <v>173</v>
      </c>
      <c r="U246" s="196">
        <v>150</v>
      </c>
      <c r="V246" s="197">
        <v>144</v>
      </c>
      <c r="W246" s="195">
        <v>173</v>
      </c>
      <c r="X246" s="196">
        <v>150</v>
      </c>
      <c r="Y246" s="197">
        <v>144</v>
      </c>
      <c r="Z246" s="195">
        <v>173</v>
      </c>
      <c r="AA246" s="196">
        <v>150</v>
      </c>
      <c r="AB246" s="197">
        <v>144</v>
      </c>
      <c r="AC246" s="195">
        <v>173</v>
      </c>
      <c r="AD246" s="196">
        <v>150</v>
      </c>
      <c r="AE246" s="197">
        <v>144</v>
      </c>
      <c r="AF246" s="195">
        <v>173</v>
      </c>
      <c r="AG246" s="196">
        <v>150</v>
      </c>
      <c r="AH246" s="197">
        <v>144</v>
      </c>
      <c r="AI246" s="200" t="s">
        <v>713</v>
      </c>
      <c r="AJ246" s="193" t="s">
        <v>1673</v>
      </c>
      <c r="AK246" s="201" t="s">
        <v>1592</v>
      </c>
      <c r="AL246" s="205">
        <v>1</v>
      </c>
      <c r="AM246" s="200"/>
      <c r="AN246" s="204">
        <v>173</v>
      </c>
      <c r="AO246" s="203"/>
      <c r="AP246" s="207" t="s">
        <v>76</v>
      </c>
      <c r="AQ246" s="199" t="s">
        <v>1619</v>
      </c>
      <c r="AR246" s="202"/>
      <c r="AS246" s="205">
        <v>2050</v>
      </c>
      <c r="AT246" s="206"/>
      <c r="AU246" s="201" t="s">
        <v>24</v>
      </c>
      <c r="AV246" s="193" t="s">
        <v>13</v>
      </c>
      <c r="AW246" s="205">
        <v>1433</v>
      </c>
    </row>
    <row r="247" spans="1:49">
      <c r="A247" s="192" t="s">
        <v>77</v>
      </c>
      <c r="B247" s="194" t="s">
        <v>1555</v>
      </c>
      <c r="C247" s="160" t="s">
        <v>2952</v>
      </c>
      <c r="D247" s="193" t="s">
        <v>2954</v>
      </c>
      <c r="E247" s="195">
        <v>25</v>
      </c>
      <c r="F247" s="196">
        <v>24.22</v>
      </c>
      <c r="G247" s="197">
        <v>23.1</v>
      </c>
      <c r="H247" s="195">
        <v>25</v>
      </c>
      <c r="I247" s="196">
        <v>24.22</v>
      </c>
      <c r="J247" s="197">
        <v>23.1</v>
      </c>
      <c r="K247" s="195">
        <v>25</v>
      </c>
      <c r="L247" s="196">
        <v>24.22</v>
      </c>
      <c r="M247" s="197">
        <v>23.1</v>
      </c>
      <c r="N247" s="195">
        <v>25</v>
      </c>
      <c r="O247" s="196">
        <v>24.22</v>
      </c>
      <c r="P247" s="197">
        <v>23.1</v>
      </c>
      <c r="Q247" s="195">
        <v>25</v>
      </c>
      <c r="R247" s="196">
        <v>24.22</v>
      </c>
      <c r="S247" s="197">
        <v>23.1</v>
      </c>
      <c r="T247" s="195">
        <v>25</v>
      </c>
      <c r="U247" s="196">
        <v>24.22</v>
      </c>
      <c r="V247" s="197">
        <v>23.1</v>
      </c>
      <c r="W247" s="195">
        <v>25</v>
      </c>
      <c r="X247" s="196">
        <v>24.22</v>
      </c>
      <c r="Y247" s="197">
        <v>23.1</v>
      </c>
      <c r="Z247" s="195">
        <v>25</v>
      </c>
      <c r="AA247" s="196">
        <v>24.22</v>
      </c>
      <c r="AB247" s="197">
        <v>23.1</v>
      </c>
      <c r="AC247" s="195">
        <v>25</v>
      </c>
      <c r="AD247" s="196">
        <v>24.22</v>
      </c>
      <c r="AE247" s="197">
        <v>23.1</v>
      </c>
      <c r="AF247" s="195">
        <v>25</v>
      </c>
      <c r="AG247" s="196">
        <v>24.22</v>
      </c>
      <c r="AH247" s="197">
        <v>23.1</v>
      </c>
      <c r="AI247" s="200" t="s">
        <v>2953</v>
      </c>
      <c r="AJ247" s="193" t="s">
        <v>1613</v>
      </c>
      <c r="AK247" s="201" t="s">
        <v>1614</v>
      </c>
      <c r="AL247" s="205">
        <v>1</v>
      </c>
      <c r="AM247" s="200">
        <v>25</v>
      </c>
      <c r="AN247" s="204">
        <v>25</v>
      </c>
      <c r="AO247" s="203"/>
      <c r="AP247" s="207" t="s">
        <v>76</v>
      </c>
      <c r="AQ247" s="199" t="s">
        <v>1620</v>
      </c>
      <c r="AR247" s="202">
        <v>43678</v>
      </c>
      <c r="AS247" s="205">
        <v>2043</v>
      </c>
      <c r="AT247" s="206"/>
      <c r="AU247" s="201" t="s">
        <v>24</v>
      </c>
      <c r="AV247" s="193" t="s">
        <v>1615</v>
      </c>
      <c r="AW247" s="205">
        <v>1386</v>
      </c>
    </row>
    <row r="248" spans="1:49">
      <c r="A248" s="192" t="s">
        <v>110</v>
      </c>
      <c r="B248" s="194" t="s">
        <v>1555</v>
      </c>
      <c r="C248" s="160" t="s">
        <v>2955</v>
      </c>
      <c r="D248" s="193" t="s">
        <v>2957</v>
      </c>
      <c r="E248" s="195">
        <v>63.008000000000003</v>
      </c>
      <c r="F248" s="196">
        <v>63.008000000000003</v>
      </c>
      <c r="G248" s="197">
        <v>40.991999999999997</v>
      </c>
      <c r="H248" s="195">
        <v>63.008000000000003</v>
      </c>
      <c r="I248" s="196">
        <v>63.008000000000003</v>
      </c>
      <c r="J248" s="197">
        <v>40.991999999999997</v>
      </c>
      <c r="K248" s="195">
        <v>63.008000000000003</v>
      </c>
      <c r="L248" s="196">
        <v>63.008000000000003</v>
      </c>
      <c r="M248" s="197">
        <v>40.991999999999997</v>
      </c>
      <c r="N248" s="195">
        <v>63.008000000000003</v>
      </c>
      <c r="O248" s="196">
        <v>63.008000000000003</v>
      </c>
      <c r="P248" s="197">
        <v>40.991999999999997</v>
      </c>
      <c r="Q248" s="195">
        <v>63.008000000000003</v>
      </c>
      <c r="R248" s="196">
        <v>63.008000000000003</v>
      </c>
      <c r="S248" s="197">
        <v>40.991999999999997</v>
      </c>
      <c r="T248" s="195">
        <v>63.008000000000003</v>
      </c>
      <c r="U248" s="196">
        <v>63.008000000000003</v>
      </c>
      <c r="V248" s="197">
        <v>40.991999999999997</v>
      </c>
      <c r="W248" s="195">
        <v>63.008000000000003</v>
      </c>
      <c r="X248" s="196">
        <v>63.008000000000003</v>
      </c>
      <c r="Y248" s="197">
        <v>40.991999999999997</v>
      </c>
      <c r="Z248" s="195">
        <v>63.008000000000003</v>
      </c>
      <c r="AA248" s="196">
        <v>63.008000000000003</v>
      </c>
      <c r="AB248" s="197">
        <v>40.991999999999997</v>
      </c>
      <c r="AC248" s="195">
        <v>63.008000000000003</v>
      </c>
      <c r="AD248" s="196">
        <v>63.008000000000003</v>
      </c>
      <c r="AE248" s="197">
        <v>40.991999999999997</v>
      </c>
      <c r="AF248" s="195">
        <v>63.008000000000003</v>
      </c>
      <c r="AG248" s="196">
        <v>63.008000000000003</v>
      </c>
      <c r="AH248" s="197">
        <v>63.008000000000003</v>
      </c>
      <c r="AI248" s="200" t="s">
        <v>2956</v>
      </c>
      <c r="AJ248" s="193" t="s">
        <v>1625</v>
      </c>
      <c r="AK248" s="201" t="s">
        <v>1609</v>
      </c>
      <c r="AL248" s="205">
        <v>32</v>
      </c>
      <c r="AM248" s="200"/>
      <c r="AN248" s="204">
        <v>67.2</v>
      </c>
      <c r="AO248" s="203"/>
      <c r="AP248" s="207" t="s">
        <v>76</v>
      </c>
      <c r="AQ248" s="199" t="s">
        <v>1620</v>
      </c>
      <c r="AR248" s="202"/>
      <c r="AS248" s="205">
        <v>2037</v>
      </c>
      <c r="AT248" s="206"/>
      <c r="AU248" s="201" t="s">
        <v>24</v>
      </c>
      <c r="AV248" s="193" t="s">
        <v>16</v>
      </c>
      <c r="AW248" s="205">
        <v>1152</v>
      </c>
    </row>
    <row r="249" spans="1:49">
      <c r="A249" s="192" t="s">
        <v>91</v>
      </c>
      <c r="B249" s="194" t="s">
        <v>1555</v>
      </c>
      <c r="C249" s="160" t="s">
        <v>694</v>
      </c>
      <c r="D249" s="193" t="s">
        <v>696</v>
      </c>
      <c r="E249" s="195">
        <v>186</v>
      </c>
      <c r="F249" s="196">
        <v>175</v>
      </c>
      <c r="G249" s="197">
        <v>172</v>
      </c>
      <c r="H249" s="195">
        <v>186</v>
      </c>
      <c r="I249" s="196">
        <v>175</v>
      </c>
      <c r="J249" s="197">
        <v>172</v>
      </c>
      <c r="K249" s="195">
        <v>186</v>
      </c>
      <c r="L249" s="196">
        <v>175</v>
      </c>
      <c r="M249" s="197">
        <v>172</v>
      </c>
      <c r="N249" s="195">
        <v>186</v>
      </c>
      <c r="O249" s="196">
        <v>175</v>
      </c>
      <c r="P249" s="197">
        <v>172</v>
      </c>
      <c r="Q249" s="195">
        <v>0</v>
      </c>
      <c r="R249" s="196">
        <v>0</v>
      </c>
      <c r="S249" s="197">
        <v>0</v>
      </c>
      <c r="T249" s="195">
        <v>0</v>
      </c>
      <c r="U249" s="196">
        <v>0</v>
      </c>
      <c r="V249" s="197">
        <v>0</v>
      </c>
      <c r="W249" s="195">
        <v>0</v>
      </c>
      <c r="X249" s="196">
        <v>0</v>
      </c>
      <c r="Y249" s="197">
        <v>0</v>
      </c>
      <c r="Z249" s="195">
        <v>0</v>
      </c>
      <c r="AA249" s="196">
        <v>0</v>
      </c>
      <c r="AB249" s="197">
        <v>0</v>
      </c>
      <c r="AC249" s="195">
        <v>0</v>
      </c>
      <c r="AD249" s="196">
        <v>0</v>
      </c>
      <c r="AE249" s="197">
        <v>0</v>
      </c>
      <c r="AF249" s="195"/>
      <c r="AG249" s="196"/>
      <c r="AH249" s="197"/>
      <c r="AI249" s="200" t="s">
        <v>695</v>
      </c>
      <c r="AJ249" s="193" t="s">
        <v>2072</v>
      </c>
      <c r="AK249" s="201" t="s">
        <v>1592</v>
      </c>
      <c r="AL249" s="205">
        <v>2</v>
      </c>
      <c r="AM249" s="200"/>
      <c r="AN249" s="204">
        <v>180</v>
      </c>
      <c r="AO249" s="203"/>
      <c r="AP249" s="207" t="s">
        <v>76</v>
      </c>
      <c r="AQ249" s="199" t="s">
        <v>1619</v>
      </c>
      <c r="AR249" s="202"/>
      <c r="AS249" s="205">
        <v>2026</v>
      </c>
      <c r="AT249" s="206"/>
      <c r="AU249" s="201" t="s">
        <v>24</v>
      </c>
      <c r="AV249" s="193" t="s">
        <v>12</v>
      </c>
      <c r="AW249" s="205">
        <v>1154</v>
      </c>
    </row>
    <row r="250" spans="1:49">
      <c r="A250" s="192" t="s">
        <v>45</v>
      </c>
      <c r="B250" s="194" t="s">
        <v>1555</v>
      </c>
      <c r="C250" s="160" t="s">
        <v>1141</v>
      </c>
      <c r="D250" s="193" t="s">
        <v>2989</v>
      </c>
      <c r="E250" s="195">
        <v>50.5</v>
      </c>
      <c r="F250" s="196">
        <v>50.5</v>
      </c>
      <c r="G250" s="197">
        <v>50.5</v>
      </c>
      <c r="H250" s="195">
        <v>50.5</v>
      </c>
      <c r="I250" s="196">
        <v>50.5</v>
      </c>
      <c r="J250" s="197">
        <v>50.5</v>
      </c>
      <c r="K250" s="195">
        <v>50.5</v>
      </c>
      <c r="L250" s="196">
        <v>50.5</v>
      </c>
      <c r="M250" s="197">
        <v>50.5</v>
      </c>
      <c r="N250" s="195">
        <v>50.5</v>
      </c>
      <c r="O250" s="196">
        <v>50.5</v>
      </c>
      <c r="P250" s="197">
        <v>50.5</v>
      </c>
      <c r="Q250" s="195">
        <v>50.5</v>
      </c>
      <c r="R250" s="196">
        <v>50.5</v>
      </c>
      <c r="S250" s="197">
        <v>50.5</v>
      </c>
      <c r="T250" s="195">
        <v>50.5</v>
      </c>
      <c r="U250" s="196">
        <v>50.5</v>
      </c>
      <c r="V250" s="197">
        <v>50.5</v>
      </c>
      <c r="W250" s="195">
        <v>50.5</v>
      </c>
      <c r="X250" s="196">
        <v>50.5</v>
      </c>
      <c r="Y250" s="197">
        <v>50.5</v>
      </c>
      <c r="Z250" s="195">
        <v>50.5</v>
      </c>
      <c r="AA250" s="196">
        <v>50.5</v>
      </c>
      <c r="AB250" s="197">
        <v>50.5</v>
      </c>
      <c r="AC250" s="195">
        <v>50.5</v>
      </c>
      <c r="AD250" s="196">
        <v>50.5</v>
      </c>
      <c r="AE250" s="197">
        <v>50.5</v>
      </c>
      <c r="AF250" s="195"/>
      <c r="AG250" s="196"/>
      <c r="AH250" s="197"/>
      <c r="AI250" s="200" t="s">
        <v>2988</v>
      </c>
      <c r="AJ250" s="193" t="s">
        <v>1631</v>
      </c>
      <c r="AK250" s="201" t="s">
        <v>1614</v>
      </c>
      <c r="AL250" s="205">
        <v>1</v>
      </c>
      <c r="AM250" s="200"/>
      <c r="AN250" s="204">
        <v>55</v>
      </c>
      <c r="AO250" s="203"/>
      <c r="AP250" s="207" t="s">
        <v>76</v>
      </c>
      <c r="AQ250" s="199" t="s">
        <v>1620</v>
      </c>
      <c r="AR250" s="202"/>
      <c r="AS250" s="205">
        <v>2058</v>
      </c>
      <c r="AT250" s="206"/>
      <c r="AU250" s="201" t="s">
        <v>24</v>
      </c>
      <c r="AV250" s="193" t="s">
        <v>1615</v>
      </c>
      <c r="AW250" s="205">
        <v>1402</v>
      </c>
    </row>
    <row r="251" spans="1:49">
      <c r="A251" s="192" t="s">
        <v>91</v>
      </c>
      <c r="B251" s="194" t="s">
        <v>1555</v>
      </c>
      <c r="C251" s="160" t="s">
        <v>938</v>
      </c>
      <c r="D251" s="193" t="s">
        <v>2990</v>
      </c>
      <c r="E251" s="195">
        <v>498</v>
      </c>
      <c r="F251" s="196">
        <v>468</v>
      </c>
      <c r="G251" s="197">
        <v>416</v>
      </c>
      <c r="H251" s="195">
        <v>498</v>
      </c>
      <c r="I251" s="196">
        <v>468</v>
      </c>
      <c r="J251" s="197">
        <v>416</v>
      </c>
      <c r="K251" s="195">
        <v>498</v>
      </c>
      <c r="L251" s="196">
        <v>468</v>
      </c>
      <c r="M251" s="197">
        <v>416</v>
      </c>
      <c r="N251" s="195">
        <v>498</v>
      </c>
      <c r="O251" s="196">
        <v>468</v>
      </c>
      <c r="P251" s="197">
        <v>416</v>
      </c>
      <c r="Q251" s="195">
        <v>498</v>
      </c>
      <c r="R251" s="196">
        <v>468</v>
      </c>
      <c r="S251" s="197">
        <v>416</v>
      </c>
      <c r="T251" s="195">
        <v>498</v>
      </c>
      <c r="U251" s="196">
        <v>468</v>
      </c>
      <c r="V251" s="197">
        <v>416</v>
      </c>
      <c r="W251" s="195">
        <v>498</v>
      </c>
      <c r="X251" s="196">
        <v>468</v>
      </c>
      <c r="Y251" s="197">
        <v>416</v>
      </c>
      <c r="Z251" s="195">
        <v>498</v>
      </c>
      <c r="AA251" s="196">
        <v>468</v>
      </c>
      <c r="AB251" s="197">
        <v>416</v>
      </c>
      <c r="AC251" s="195">
        <v>498</v>
      </c>
      <c r="AD251" s="196">
        <v>468</v>
      </c>
      <c r="AE251" s="197">
        <v>416</v>
      </c>
      <c r="AF251" s="195">
        <v>498</v>
      </c>
      <c r="AG251" s="196">
        <v>468</v>
      </c>
      <c r="AH251" s="197">
        <v>416</v>
      </c>
      <c r="AI251" s="200" t="s">
        <v>226</v>
      </c>
      <c r="AJ251" s="193" t="s">
        <v>2072</v>
      </c>
      <c r="AK251" s="201" t="s">
        <v>1592</v>
      </c>
      <c r="AL251" s="205">
        <v>3</v>
      </c>
      <c r="AM251" s="200">
        <v>0</v>
      </c>
      <c r="AN251" s="204">
        <v>529</v>
      </c>
      <c r="AO251" s="203"/>
      <c r="AP251" s="207" t="s">
        <v>76</v>
      </c>
      <c r="AQ251" s="199" t="s">
        <v>1619</v>
      </c>
      <c r="AR251" s="202"/>
      <c r="AS251" s="205">
        <v>2037</v>
      </c>
      <c r="AT251" s="206"/>
      <c r="AU251" s="201" t="s">
        <v>24</v>
      </c>
      <c r="AV251" s="193" t="s">
        <v>12</v>
      </c>
      <c r="AW251" s="205">
        <v>1158</v>
      </c>
    </row>
    <row r="252" spans="1:49">
      <c r="A252" s="192" t="s">
        <v>110</v>
      </c>
      <c r="B252" s="194" t="s">
        <v>1555</v>
      </c>
      <c r="C252" s="160" t="s">
        <v>127</v>
      </c>
      <c r="D252" s="193" t="s">
        <v>129</v>
      </c>
      <c r="E252" s="195">
        <v>5</v>
      </c>
      <c r="F252" s="196">
        <v>5</v>
      </c>
      <c r="G252" s="197">
        <v>5</v>
      </c>
      <c r="H252" s="195">
        <v>5</v>
      </c>
      <c r="I252" s="196">
        <v>5</v>
      </c>
      <c r="J252" s="197">
        <v>5</v>
      </c>
      <c r="K252" s="195">
        <v>5</v>
      </c>
      <c r="L252" s="196">
        <v>5</v>
      </c>
      <c r="M252" s="197">
        <v>5</v>
      </c>
      <c r="N252" s="195">
        <v>5</v>
      </c>
      <c r="O252" s="196">
        <v>5</v>
      </c>
      <c r="P252" s="197">
        <v>5</v>
      </c>
      <c r="Q252" s="195">
        <v>5</v>
      </c>
      <c r="R252" s="196">
        <v>5</v>
      </c>
      <c r="S252" s="197">
        <v>5</v>
      </c>
      <c r="T252" s="195">
        <v>5</v>
      </c>
      <c r="U252" s="196">
        <v>5</v>
      </c>
      <c r="V252" s="197">
        <v>5</v>
      </c>
      <c r="W252" s="195">
        <v>5</v>
      </c>
      <c r="X252" s="196">
        <v>5</v>
      </c>
      <c r="Y252" s="197">
        <v>5</v>
      </c>
      <c r="Z252" s="195">
        <v>5</v>
      </c>
      <c r="AA252" s="196">
        <v>5</v>
      </c>
      <c r="AB252" s="197">
        <v>5</v>
      </c>
      <c r="AC252" s="195">
        <v>5</v>
      </c>
      <c r="AD252" s="196">
        <v>5</v>
      </c>
      <c r="AE252" s="197">
        <v>5</v>
      </c>
      <c r="AF252" s="195">
        <v>5</v>
      </c>
      <c r="AG252" s="196">
        <v>5</v>
      </c>
      <c r="AH252" s="197">
        <v>5</v>
      </c>
      <c r="AI252" s="200" t="s">
        <v>2997</v>
      </c>
      <c r="AJ252" s="193" t="s">
        <v>1602</v>
      </c>
      <c r="AK252" s="201" t="s">
        <v>1603</v>
      </c>
      <c r="AL252" s="205">
        <v>1</v>
      </c>
      <c r="AM252" s="200">
        <v>5</v>
      </c>
      <c r="AN252" s="204">
        <v>5</v>
      </c>
      <c r="AO252" s="203">
        <v>10</v>
      </c>
      <c r="AP252" s="207" t="s">
        <v>401</v>
      </c>
      <c r="AQ252" s="199" t="s">
        <v>1619</v>
      </c>
      <c r="AR252" s="202">
        <v>45047</v>
      </c>
      <c r="AS252" s="205">
        <v>2038</v>
      </c>
      <c r="AT252" s="206"/>
      <c r="AU252" s="201" t="s">
        <v>24</v>
      </c>
      <c r="AV252" s="193" t="s">
        <v>19</v>
      </c>
      <c r="AW252" s="205">
        <v>2425</v>
      </c>
    </row>
    <row r="253" spans="1:49">
      <c r="A253" s="192" t="s">
        <v>105</v>
      </c>
      <c r="B253" s="194" t="s">
        <v>1555</v>
      </c>
      <c r="C253" s="160" t="s">
        <v>3015</v>
      </c>
      <c r="D253" s="193" t="s">
        <v>3016</v>
      </c>
      <c r="E253" s="195">
        <v>114</v>
      </c>
      <c r="F253" s="196">
        <v>114</v>
      </c>
      <c r="G253" s="197">
        <v>114</v>
      </c>
      <c r="H253" s="195">
        <v>114</v>
      </c>
      <c r="I253" s="196">
        <v>114</v>
      </c>
      <c r="J253" s="197">
        <v>114</v>
      </c>
      <c r="K253" s="195">
        <v>57</v>
      </c>
      <c r="L253" s="196">
        <v>57</v>
      </c>
      <c r="M253" s="197">
        <v>57</v>
      </c>
      <c r="N253" s="195">
        <v>0</v>
      </c>
      <c r="O253" s="196">
        <v>114</v>
      </c>
      <c r="P253" s="197">
        <v>114</v>
      </c>
      <c r="Q253" s="195">
        <v>114</v>
      </c>
      <c r="R253" s="196">
        <v>114</v>
      </c>
      <c r="S253" s="197">
        <v>114</v>
      </c>
      <c r="T253" s="195">
        <v>114</v>
      </c>
      <c r="U253" s="196">
        <v>114</v>
      </c>
      <c r="V253" s="197">
        <v>114</v>
      </c>
      <c r="W253" s="195">
        <v>114</v>
      </c>
      <c r="X253" s="196">
        <v>57</v>
      </c>
      <c r="Y253" s="197">
        <v>57</v>
      </c>
      <c r="Z253" s="195">
        <v>57</v>
      </c>
      <c r="AA253" s="196">
        <v>114</v>
      </c>
      <c r="AB253" s="197">
        <v>114</v>
      </c>
      <c r="AC253" s="195">
        <v>114</v>
      </c>
      <c r="AD253" s="196">
        <v>114</v>
      </c>
      <c r="AE253" s="197">
        <v>114</v>
      </c>
      <c r="AF253" s="195">
        <v>114</v>
      </c>
      <c r="AG253" s="196">
        <v>114</v>
      </c>
      <c r="AH253" s="197">
        <v>114</v>
      </c>
      <c r="AI253" s="200" t="s">
        <v>1735</v>
      </c>
      <c r="AJ253" s="193" t="s">
        <v>1700</v>
      </c>
      <c r="AK253" s="201" t="s">
        <v>1658</v>
      </c>
      <c r="AL253" s="205">
        <v>2</v>
      </c>
      <c r="AM253" s="200">
        <v>100</v>
      </c>
      <c r="AN253" s="204">
        <v>100</v>
      </c>
      <c r="AO253" s="203"/>
      <c r="AP253" s="207" t="s">
        <v>76</v>
      </c>
      <c r="AQ253" s="199" t="s">
        <v>1619</v>
      </c>
      <c r="AR253" s="202"/>
      <c r="AS253" s="205">
        <v>2100</v>
      </c>
      <c r="AT253" s="206"/>
      <c r="AU253" s="201" t="s">
        <v>24</v>
      </c>
      <c r="AV253" s="193" t="s">
        <v>17</v>
      </c>
      <c r="AW253" s="205">
        <v>1162</v>
      </c>
    </row>
    <row r="254" spans="1:49">
      <c r="A254" s="192" t="s">
        <v>105</v>
      </c>
      <c r="B254" s="194" t="s">
        <v>1555</v>
      </c>
      <c r="C254" s="160" t="s">
        <v>3015</v>
      </c>
      <c r="D254" s="193" t="s">
        <v>3017</v>
      </c>
      <c r="E254" s="195">
        <v>228</v>
      </c>
      <c r="F254" s="196">
        <v>228</v>
      </c>
      <c r="G254" s="197">
        <v>228</v>
      </c>
      <c r="H254" s="195">
        <v>171</v>
      </c>
      <c r="I254" s="196">
        <v>171</v>
      </c>
      <c r="J254" s="197">
        <v>171</v>
      </c>
      <c r="K254" s="195">
        <v>228</v>
      </c>
      <c r="L254" s="196">
        <v>228</v>
      </c>
      <c r="M254" s="197">
        <v>228</v>
      </c>
      <c r="N254" s="195">
        <v>0</v>
      </c>
      <c r="O254" s="196">
        <v>171</v>
      </c>
      <c r="P254" s="197">
        <v>171</v>
      </c>
      <c r="Q254" s="195">
        <v>171</v>
      </c>
      <c r="R254" s="196">
        <v>171</v>
      </c>
      <c r="S254" s="197">
        <v>171</v>
      </c>
      <c r="T254" s="195">
        <v>171</v>
      </c>
      <c r="U254" s="196">
        <v>171</v>
      </c>
      <c r="V254" s="197">
        <v>171</v>
      </c>
      <c r="W254" s="195">
        <v>228</v>
      </c>
      <c r="X254" s="196">
        <v>228</v>
      </c>
      <c r="Y254" s="197">
        <v>228</v>
      </c>
      <c r="Z254" s="195">
        <v>171</v>
      </c>
      <c r="AA254" s="196">
        <v>171</v>
      </c>
      <c r="AB254" s="197">
        <v>171</v>
      </c>
      <c r="AC254" s="195">
        <v>228</v>
      </c>
      <c r="AD254" s="196">
        <v>171</v>
      </c>
      <c r="AE254" s="197">
        <v>171</v>
      </c>
      <c r="AF254" s="195">
        <v>228</v>
      </c>
      <c r="AG254" s="196">
        <v>171</v>
      </c>
      <c r="AH254" s="197">
        <v>171</v>
      </c>
      <c r="AI254" s="200" t="s">
        <v>1735</v>
      </c>
      <c r="AJ254" s="193" t="s">
        <v>1700</v>
      </c>
      <c r="AK254" s="201" t="s">
        <v>1658</v>
      </c>
      <c r="AL254" s="205">
        <v>4</v>
      </c>
      <c r="AM254" s="200">
        <v>200</v>
      </c>
      <c r="AN254" s="204">
        <v>200</v>
      </c>
      <c r="AO254" s="203"/>
      <c r="AP254" s="207" t="s">
        <v>76</v>
      </c>
      <c r="AQ254" s="199" t="s">
        <v>1619</v>
      </c>
      <c r="AR254" s="202"/>
      <c r="AS254" s="205">
        <v>2100</v>
      </c>
      <c r="AT254" s="206"/>
      <c r="AU254" s="201" t="s">
        <v>24</v>
      </c>
      <c r="AV254" s="193" t="s">
        <v>17</v>
      </c>
      <c r="AW254" s="205">
        <v>1162</v>
      </c>
    </row>
    <row r="255" spans="1:49">
      <c r="A255" s="192" t="s">
        <v>91</v>
      </c>
      <c r="B255" s="194" t="s">
        <v>1555</v>
      </c>
      <c r="C255" s="160" t="s">
        <v>97</v>
      </c>
      <c r="D255" s="193" t="s">
        <v>3018</v>
      </c>
      <c r="E255" s="195">
        <v>79.2</v>
      </c>
      <c r="F255" s="196">
        <v>79.2</v>
      </c>
      <c r="G255" s="197">
        <v>79.2</v>
      </c>
      <c r="H255" s="195">
        <v>79.2</v>
      </c>
      <c r="I255" s="196">
        <v>79.2</v>
      </c>
      <c r="J255" s="197">
        <v>79.2</v>
      </c>
      <c r="K255" s="195">
        <v>79.2</v>
      </c>
      <c r="L255" s="196">
        <v>79.2</v>
      </c>
      <c r="M255" s="197">
        <v>79.2</v>
      </c>
      <c r="N255" s="195">
        <v>79.2</v>
      </c>
      <c r="O255" s="196">
        <v>79.2</v>
      </c>
      <c r="P255" s="197">
        <v>79.2</v>
      </c>
      <c r="Q255" s="195">
        <v>79.2</v>
      </c>
      <c r="R255" s="196">
        <v>79.2</v>
      </c>
      <c r="S255" s="197">
        <v>79.2</v>
      </c>
      <c r="T255" s="195">
        <v>79.2</v>
      </c>
      <c r="U255" s="196">
        <v>79.2</v>
      </c>
      <c r="V255" s="197">
        <v>79.2</v>
      </c>
      <c r="W255" s="195">
        <v>79.2</v>
      </c>
      <c r="X255" s="196">
        <v>79.2</v>
      </c>
      <c r="Y255" s="197">
        <v>79.2</v>
      </c>
      <c r="Z255" s="195">
        <v>79.2</v>
      </c>
      <c r="AA255" s="196">
        <v>79.2</v>
      </c>
      <c r="AB255" s="197">
        <v>79.2</v>
      </c>
      <c r="AC255" s="195">
        <v>79.2</v>
      </c>
      <c r="AD255" s="196">
        <v>79.2</v>
      </c>
      <c r="AE255" s="197">
        <v>79.2</v>
      </c>
      <c r="AF255" s="195">
        <v>79.2</v>
      </c>
      <c r="AG255" s="196">
        <v>79.2</v>
      </c>
      <c r="AH255" s="197">
        <v>79.2</v>
      </c>
      <c r="AI255" s="200" t="s">
        <v>98</v>
      </c>
      <c r="AJ255" s="193" t="s">
        <v>1613</v>
      </c>
      <c r="AK255" s="201" t="s">
        <v>1614</v>
      </c>
      <c r="AL255" s="205">
        <v>36</v>
      </c>
      <c r="AM255" s="200">
        <v>79.2</v>
      </c>
      <c r="AN255" s="204">
        <v>79.2</v>
      </c>
      <c r="AO255" s="203"/>
      <c r="AP255" s="207" t="s">
        <v>76</v>
      </c>
      <c r="AQ255" s="199" t="s">
        <v>1620</v>
      </c>
      <c r="AR255" s="202">
        <v>44927</v>
      </c>
      <c r="AS255" s="205">
        <v>2047</v>
      </c>
      <c r="AT255" s="206"/>
      <c r="AU255" s="201" t="s">
        <v>24</v>
      </c>
      <c r="AV255" s="193" t="s">
        <v>1615</v>
      </c>
      <c r="AW255" s="205">
        <v>1392</v>
      </c>
    </row>
    <row r="256" spans="1:49">
      <c r="A256" s="192" t="s">
        <v>91</v>
      </c>
      <c r="B256" s="194" t="s">
        <v>1555</v>
      </c>
      <c r="C256" s="160" t="s">
        <v>296</v>
      </c>
      <c r="D256" s="193" t="s">
        <v>3020</v>
      </c>
      <c r="E256" s="195">
        <v>210</v>
      </c>
      <c r="F256" s="196">
        <v>210</v>
      </c>
      <c r="G256" s="197">
        <v>210</v>
      </c>
      <c r="H256" s="195">
        <v>210</v>
      </c>
      <c r="I256" s="196">
        <v>210</v>
      </c>
      <c r="J256" s="197">
        <v>210</v>
      </c>
      <c r="K256" s="195">
        <v>210</v>
      </c>
      <c r="L256" s="196">
        <v>210</v>
      </c>
      <c r="M256" s="197">
        <v>210</v>
      </c>
      <c r="N256" s="195">
        <v>210</v>
      </c>
      <c r="O256" s="196">
        <v>210</v>
      </c>
      <c r="P256" s="197">
        <v>210</v>
      </c>
      <c r="Q256" s="195">
        <v>210</v>
      </c>
      <c r="R256" s="196">
        <v>210</v>
      </c>
      <c r="S256" s="197">
        <v>210</v>
      </c>
      <c r="T256" s="195">
        <v>210</v>
      </c>
      <c r="U256" s="196">
        <v>210</v>
      </c>
      <c r="V256" s="197">
        <v>210</v>
      </c>
      <c r="W256" s="195">
        <v>210</v>
      </c>
      <c r="X256" s="196">
        <v>210</v>
      </c>
      <c r="Y256" s="197">
        <v>210</v>
      </c>
      <c r="Z256" s="195">
        <v>210</v>
      </c>
      <c r="AA256" s="196">
        <v>210</v>
      </c>
      <c r="AB256" s="197">
        <v>210</v>
      </c>
      <c r="AC256" s="195">
        <v>210</v>
      </c>
      <c r="AD256" s="196">
        <v>210</v>
      </c>
      <c r="AE256" s="197">
        <v>210</v>
      </c>
      <c r="AF256" s="195">
        <v>210</v>
      </c>
      <c r="AG256" s="196">
        <v>210</v>
      </c>
      <c r="AH256" s="197">
        <v>210</v>
      </c>
      <c r="AI256" s="200" t="s">
        <v>98</v>
      </c>
      <c r="AJ256" s="193" t="s">
        <v>1625</v>
      </c>
      <c r="AK256" s="201" t="s">
        <v>1609</v>
      </c>
      <c r="AL256" s="205">
        <v>50</v>
      </c>
      <c r="AM256" s="200">
        <v>210</v>
      </c>
      <c r="AN256" s="204">
        <v>210</v>
      </c>
      <c r="AO256" s="203"/>
      <c r="AP256" s="207" t="s">
        <v>76</v>
      </c>
      <c r="AQ256" s="199" t="s">
        <v>1620</v>
      </c>
      <c r="AR256" s="202"/>
      <c r="AS256" s="205">
        <v>2052</v>
      </c>
      <c r="AT256" s="206"/>
      <c r="AU256" s="201" t="s">
        <v>24</v>
      </c>
      <c r="AV256" s="193" t="s">
        <v>16</v>
      </c>
      <c r="AW256" s="205">
        <v>1375</v>
      </c>
    </row>
    <row r="257" spans="1:49">
      <c r="A257" s="192" t="s">
        <v>91</v>
      </c>
      <c r="B257" s="194" t="s">
        <v>1555</v>
      </c>
      <c r="C257" s="160" t="s">
        <v>3027</v>
      </c>
      <c r="D257" s="193" t="s">
        <v>3028</v>
      </c>
      <c r="E257" s="195">
        <v>50</v>
      </c>
      <c r="F257" s="196">
        <v>42</v>
      </c>
      <c r="G257" s="197">
        <v>38</v>
      </c>
      <c r="H257" s="195">
        <v>50</v>
      </c>
      <c r="I257" s="196">
        <v>42</v>
      </c>
      <c r="J257" s="197">
        <v>38</v>
      </c>
      <c r="K257" s="195">
        <v>50</v>
      </c>
      <c r="L257" s="196">
        <v>42</v>
      </c>
      <c r="M257" s="197">
        <v>38</v>
      </c>
      <c r="N257" s="195">
        <v>50</v>
      </c>
      <c r="O257" s="196">
        <v>42</v>
      </c>
      <c r="P257" s="197">
        <v>38</v>
      </c>
      <c r="Q257" s="195">
        <v>50</v>
      </c>
      <c r="R257" s="196">
        <v>42</v>
      </c>
      <c r="S257" s="197">
        <v>38</v>
      </c>
      <c r="T257" s="195">
        <v>50</v>
      </c>
      <c r="U257" s="196">
        <v>42</v>
      </c>
      <c r="V257" s="197">
        <v>38</v>
      </c>
      <c r="W257" s="195">
        <v>50</v>
      </c>
      <c r="X257" s="196">
        <v>42</v>
      </c>
      <c r="Y257" s="197">
        <v>38</v>
      </c>
      <c r="Z257" s="195">
        <v>50</v>
      </c>
      <c r="AA257" s="196">
        <v>42</v>
      </c>
      <c r="AB257" s="197">
        <v>38</v>
      </c>
      <c r="AC257" s="195">
        <v>0</v>
      </c>
      <c r="AD257" s="196">
        <v>0</v>
      </c>
      <c r="AE257" s="197">
        <v>0</v>
      </c>
      <c r="AF257" s="195">
        <v>0</v>
      </c>
      <c r="AG257" s="196">
        <v>0</v>
      </c>
      <c r="AH257" s="197">
        <v>0</v>
      </c>
      <c r="AI257" s="200" t="s">
        <v>2167</v>
      </c>
      <c r="AJ257" s="193" t="s">
        <v>1673</v>
      </c>
      <c r="AK257" s="201" t="s">
        <v>1635</v>
      </c>
      <c r="AL257" s="205">
        <v>2</v>
      </c>
      <c r="AM257" s="200"/>
      <c r="AN257" s="204">
        <v>50</v>
      </c>
      <c r="AO257" s="203"/>
      <c r="AP257" s="207" t="s">
        <v>76</v>
      </c>
      <c r="AQ257" s="199" t="s">
        <v>1619</v>
      </c>
      <c r="AR257" s="202"/>
      <c r="AS257" s="205">
        <v>2030</v>
      </c>
      <c r="AT257" s="206"/>
      <c r="AU257" s="201" t="s">
        <v>24</v>
      </c>
      <c r="AV257" s="193" t="s">
        <v>13</v>
      </c>
      <c r="AW257" s="205">
        <v>1163</v>
      </c>
    </row>
    <row r="258" spans="1:49">
      <c r="A258" s="192" t="s">
        <v>91</v>
      </c>
      <c r="B258" s="194" t="s">
        <v>1555</v>
      </c>
      <c r="C258" s="160" t="s">
        <v>3027</v>
      </c>
      <c r="D258" s="193" t="s">
        <v>3029</v>
      </c>
      <c r="E258" s="195">
        <v>23.5</v>
      </c>
      <c r="F258" s="196">
        <v>20</v>
      </c>
      <c r="G258" s="197">
        <v>19</v>
      </c>
      <c r="H258" s="195">
        <v>23.5</v>
      </c>
      <c r="I258" s="196">
        <v>20</v>
      </c>
      <c r="J258" s="197">
        <v>19</v>
      </c>
      <c r="K258" s="195">
        <v>23.5</v>
      </c>
      <c r="L258" s="196">
        <v>20</v>
      </c>
      <c r="M258" s="197">
        <v>19</v>
      </c>
      <c r="N258" s="195">
        <v>23.5</v>
      </c>
      <c r="O258" s="196">
        <v>20</v>
      </c>
      <c r="P258" s="197">
        <v>19</v>
      </c>
      <c r="Q258" s="195">
        <v>23.5</v>
      </c>
      <c r="R258" s="196">
        <v>20</v>
      </c>
      <c r="S258" s="197">
        <v>19</v>
      </c>
      <c r="T258" s="195">
        <v>23.5</v>
      </c>
      <c r="U258" s="196">
        <v>20</v>
      </c>
      <c r="V258" s="197">
        <v>19</v>
      </c>
      <c r="W258" s="195">
        <v>23.5</v>
      </c>
      <c r="X258" s="196">
        <v>20</v>
      </c>
      <c r="Y258" s="197">
        <v>19</v>
      </c>
      <c r="Z258" s="195">
        <v>23.5</v>
      </c>
      <c r="AA258" s="196">
        <v>20</v>
      </c>
      <c r="AB258" s="197">
        <v>19</v>
      </c>
      <c r="AC258" s="195">
        <v>0</v>
      </c>
      <c r="AD258" s="196">
        <v>0</v>
      </c>
      <c r="AE258" s="197">
        <v>0</v>
      </c>
      <c r="AF258" s="195">
        <v>0</v>
      </c>
      <c r="AG258" s="196">
        <v>0</v>
      </c>
      <c r="AH258" s="197">
        <v>0</v>
      </c>
      <c r="AI258" s="200" t="s">
        <v>2167</v>
      </c>
      <c r="AJ258" s="193" t="s">
        <v>1673</v>
      </c>
      <c r="AK258" s="201" t="s">
        <v>1635</v>
      </c>
      <c r="AL258" s="205">
        <v>1</v>
      </c>
      <c r="AM258" s="200"/>
      <c r="AN258" s="204">
        <v>23.5</v>
      </c>
      <c r="AO258" s="203"/>
      <c r="AP258" s="207" t="s">
        <v>76</v>
      </c>
      <c r="AQ258" s="199" t="s">
        <v>1619</v>
      </c>
      <c r="AR258" s="202"/>
      <c r="AS258" s="205">
        <v>2030</v>
      </c>
      <c r="AT258" s="206"/>
      <c r="AU258" s="201" t="s">
        <v>24</v>
      </c>
      <c r="AV258" s="193" t="s">
        <v>13</v>
      </c>
      <c r="AW258" s="205">
        <v>1163</v>
      </c>
    </row>
    <row r="259" spans="1:49">
      <c r="A259" s="192" t="s">
        <v>91</v>
      </c>
      <c r="B259" s="194" t="s">
        <v>1555</v>
      </c>
      <c r="C259" s="160" t="s">
        <v>3033</v>
      </c>
      <c r="D259" s="193" t="s">
        <v>3034</v>
      </c>
      <c r="E259" s="195">
        <v>46.8</v>
      </c>
      <c r="F259" s="196">
        <v>46.8</v>
      </c>
      <c r="G259" s="197">
        <v>46.8</v>
      </c>
      <c r="H259" s="195">
        <v>46.8</v>
      </c>
      <c r="I259" s="196">
        <v>46.8</v>
      </c>
      <c r="J259" s="197">
        <v>46.8</v>
      </c>
      <c r="K259" s="195">
        <v>46.8</v>
      </c>
      <c r="L259" s="196">
        <v>46.8</v>
      </c>
      <c r="M259" s="197">
        <v>46.8</v>
      </c>
      <c r="N259" s="195">
        <v>46.8</v>
      </c>
      <c r="O259" s="196">
        <v>46.8</v>
      </c>
      <c r="P259" s="197">
        <v>46.8</v>
      </c>
      <c r="Q259" s="195">
        <v>46.8</v>
      </c>
      <c r="R259" s="196">
        <v>46.8</v>
      </c>
      <c r="S259" s="197">
        <v>46.8</v>
      </c>
      <c r="T259" s="195">
        <v>46.8</v>
      </c>
      <c r="U259" s="196">
        <v>46.8</v>
      </c>
      <c r="V259" s="197">
        <v>46.8</v>
      </c>
      <c r="W259" s="195">
        <v>46.8</v>
      </c>
      <c r="X259" s="196">
        <v>46.8</v>
      </c>
      <c r="Y259" s="197">
        <v>46.8</v>
      </c>
      <c r="Z259" s="195">
        <v>46.8</v>
      </c>
      <c r="AA259" s="196">
        <v>46.8</v>
      </c>
      <c r="AB259" s="197">
        <v>46.8</v>
      </c>
      <c r="AC259" s="195">
        <v>46.8</v>
      </c>
      <c r="AD259" s="196">
        <v>46.8</v>
      </c>
      <c r="AE259" s="197">
        <v>46.8</v>
      </c>
      <c r="AF259" s="195">
        <v>46.8</v>
      </c>
      <c r="AG259" s="196">
        <v>46.8</v>
      </c>
      <c r="AH259" s="197">
        <v>46.8</v>
      </c>
      <c r="AI259" s="200" t="s">
        <v>805</v>
      </c>
      <c r="AJ259" s="193" t="s">
        <v>1589</v>
      </c>
      <c r="AK259" s="201" t="s">
        <v>1635</v>
      </c>
      <c r="AL259" s="205">
        <v>36</v>
      </c>
      <c r="AM259" s="200"/>
      <c r="AN259" s="204">
        <v>46.8</v>
      </c>
      <c r="AO259" s="203"/>
      <c r="AP259" s="207" t="s">
        <v>76</v>
      </c>
      <c r="AQ259" s="199" t="s">
        <v>1619</v>
      </c>
      <c r="AR259" s="202"/>
      <c r="AS259" s="205">
        <v>2070</v>
      </c>
      <c r="AT259" s="206"/>
      <c r="AU259" s="201" t="s">
        <v>24</v>
      </c>
      <c r="AV259" s="193" t="s">
        <v>20</v>
      </c>
      <c r="AW259" s="205">
        <v>1391</v>
      </c>
    </row>
    <row r="260" spans="1:49">
      <c r="A260" s="192" t="s">
        <v>91</v>
      </c>
      <c r="B260" s="194" t="s">
        <v>1555</v>
      </c>
      <c r="C260" s="160" t="s">
        <v>742</v>
      </c>
      <c r="D260" s="193" t="s">
        <v>3054</v>
      </c>
      <c r="E260" s="195">
        <v>29</v>
      </c>
      <c r="F260" s="196">
        <v>23</v>
      </c>
      <c r="G260" s="197">
        <v>21</v>
      </c>
      <c r="H260" s="195">
        <v>29</v>
      </c>
      <c r="I260" s="196">
        <v>23</v>
      </c>
      <c r="J260" s="197">
        <v>21</v>
      </c>
      <c r="K260" s="195">
        <v>29</v>
      </c>
      <c r="L260" s="196">
        <v>23</v>
      </c>
      <c r="M260" s="197">
        <v>21</v>
      </c>
      <c r="N260" s="195">
        <v>29</v>
      </c>
      <c r="O260" s="196">
        <v>23</v>
      </c>
      <c r="P260" s="197">
        <v>21</v>
      </c>
      <c r="Q260" s="195">
        <v>29</v>
      </c>
      <c r="R260" s="196">
        <v>23</v>
      </c>
      <c r="S260" s="197">
        <v>21</v>
      </c>
      <c r="T260" s="195">
        <v>29</v>
      </c>
      <c r="U260" s="196">
        <v>23</v>
      </c>
      <c r="V260" s="197">
        <v>21</v>
      </c>
      <c r="W260" s="195">
        <v>29</v>
      </c>
      <c r="X260" s="196">
        <v>23</v>
      </c>
      <c r="Y260" s="197">
        <v>21</v>
      </c>
      <c r="Z260" s="195">
        <v>29</v>
      </c>
      <c r="AA260" s="196">
        <v>23</v>
      </c>
      <c r="AB260" s="197">
        <v>21</v>
      </c>
      <c r="AC260" s="195">
        <v>29</v>
      </c>
      <c r="AD260" s="196">
        <v>23</v>
      </c>
      <c r="AE260" s="197">
        <v>21</v>
      </c>
      <c r="AF260" s="195">
        <v>29</v>
      </c>
      <c r="AG260" s="196">
        <v>23</v>
      </c>
      <c r="AH260" s="197">
        <v>21</v>
      </c>
      <c r="AI260" s="200" t="s">
        <v>717</v>
      </c>
      <c r="AJ260" s="193" t="s">
        <v>1673</v>
      </c>
      <c r="AK260" s="201" t="s">
        <v>1592</v>
      </c>
      <c r="AL260" s="205">
        <v>1</v>
      </c>
      <c r="AM260" s="200">
        <v>0</v>
      </c>
      <c r="AN260" s="204">
        <v>29</v>
      </c>
      <c r="AO260" s="203"/>
      <c r="AP260" s="207" t="s">
        <v>76</v>
      </c>
      <c r="AQ260" s="199" t="s">
        <v>1619</v>
      </c>
      <c r="AR260" s="202"/>
      <c r="AS260" s="205">
        <v>2053</v>
      </c>
      <c r="AT260" s="206"/>
      <c r="AU260" s="201" t="s">
        <v>24</v>
      </c>
      <c r="AV260" s="193" t="s">
        <v>13</v>
      </c>
      <c r="AW260" s="205">
        <v>1166</v>
      </c>
    </row>
    <row r="261" spans="1:49">
      <c r="A261" s="192" t="s">
        <v>91</v>
      </c>
      <c r="B261" s="194" t="s">
        <v>1555</v>
      </c>
      <c r="C261" s="160" t="s">
        <v>742</v>
      </c>
      <c r="D261" s="193" t="s">
        <v>3055</v>
      </c>
      <c r="E261" s="195">
        <v>23</v>
      </c>
      <c r="F261" s="196">
        <v>20</v>
      </c>
      <c r="G261" s="197">
        <v>18</v>
      </c>
      <c r="H261" s="195">
        <v>23</v>
      </c>
      <c r="I261" s="196">
        <v>20</v>
      </c>
      <c r="J261" s="197">
        <v>18</v>
      </c>
      <c r="K261" s="195">
        <v>23</v>
      </c>
      <c r="L261" s="196">
        <v>20</v>
      </c>
      <c r="M261" s="197">
        <v>18</v>
      </c>
      <c r="N261" s="195">
        <v>23</v>
      </c>
      <c r="O261" s="196">
        <v>20</v>
      </c>
      <c r="P261" s="197">
        <v>18</v>
      </c>
      <c r="Q261" s="195">
        <v>23</v>
      </c>
      <c r="R261" s="196">
        <v>20</v>
      </c>
      <c r="S261" s="197">
        <v>18</v>
      </c>
      <c r="T261" s="195">
        <v>23</v>
      </c>
      <c r="U261" s="196">
        <v>20</v>
      </c>
      <c r="V261" s="197">
        <v>18</v>
      </c>
      <c r="W261" s="195">
        <v>23</v>
      </c>
      <c r="X261" s="196">
        <v>20</v>
      </c>
      <c r="Y261" s="197">
        <v>18</v>
      </c>
      <c r="Z261" s="195">
        <v>23</v>
      </c>
      <c r="AA261" s="196">
        <v>20</v>
      </c>
      <c r="AB261" s="197">
        <v>18</v>
      </c>
      <c r="AC261" s="195">
        <v>23</v>
      </c>
      <c r="AD261" s="196">
        <v>20</v>
      </c>
      <c r="AE261" s="197">
        <v>18</v>
      </c>
      <c r="AF261" s="195">
        <v>23</v>
      </c>
      <c r="AG261" s="196">
        <v>20</v>
      </c>
      <c r="AH261" s="197">
        <v>18</v>
      </c>
      <c r="AI261" s="200" t="s">
        <v>717</v>
      </c>
      <c r="AJ261" s="193" t="s">
        <v>1673</v>
      </c>
      <c r="AK261" s="201" t="s">
        <v>1592</v>
      </c>
      <c r="AL261" s="205">
        <v>1</v>
      </c>
      <c r="AM261" s="200">
        <v>0</v>
      </c>
      <c r="AN261" s="204">
        <v>24</v>
      </c>
      <c r="AO261" s="203"/>
      <c r="AP261" s="207" t="s">
        <v>76</v>
      </c>
      <c r="AQ261" s="199" t="s">
        <v>1619</v>
      </c>
      <c r="AR261" s="202"/>
      <c r="AS261" s="205">
        <v>2054</v>
      </c>
      <c r="AT261" s="206"/>
      <c r="AU261" s="201" t="s">
        <v>24</v>
      </c>
      <c r="AV261" s="193" t="s">
        <v>13</v>
      </c>
      <c r="AW261" s="205">
        <v>1166</v>
      </c>
    </row>
    <row r="262" spans="1:49">
      <c r="A262" s="192" t="s">
        <v>91</v>
      </c>
      <c r="B262" s="194" t="s">
        <v>1555</v>
      </c>
      <c r="C262" s="160" t="s">
        <v>742</v>
      </c>
      <c r="D262" s="193" t="s">
        <v>3056</v>
      </c>
      <c r="E262" s="195">
        <v>29</v>
      </c>
      <c r="F262" s="196">
        <v>23</v>
      </c>
      <c r="G262" s="197">
        <v>21</v>
      </c>
      <c r="H262" s="195">
        <v>29</v>
      </c>
      <c r="I262" s="196">
        <v>23</v>
      </c>
      <c r="J262" s="197">
        <v>21</v>
      </c>
      <c r="K262" s="195">
        <v>29</v>
      </c>
      <c r="L262" s="196">
        <v>23</v>
      </c>
      <c r="M262" s="197">
        <v>21</v>
      </c>
      <c r="N262" s="195">
        <v>29</v>
      </c>
      <c r="O262" s="196">
        <v>23</v>
      </c>
      <c r="P262" s="197">
        <v>21</v>
      </c>
      <c r="Q262" s="195">
        <v>29</v>
      </c>
      <c r="R262" s="196">
        <v>23</v>
      </c>
      <c r="S262" s="197">
        <v>21</v>
      </c>
      <c r="T262" s="195">
        <v>29</v>
      </c>
      <c r="U262" s="196">
        <v>23</v>
      </c>
      <c r="V262" s="197">
        <v>21</v>
      </c>
      <c r="W262" s="195">
        <v>29</v>
      </c>
      <c r="X262" s="196">
        <v>23</v>
      </c>
      <c r="Y262" s="197">
        <v>21</v>
      </c>
      <c r="Z262" s="195">
        <v>29</v>
      </c>
      <c r="AA262" s="196">
        <v>23</v>
      </c>
      <c r="AB262" s="197">
        <v>21</v>
      </c>
      <c r="AC262" s="195">
        <v>29</v>
      </c>
      <c r="AD262" s="196">
        <v>23</v>
      </c>
      <c r="AE262" s="197">
        <v>21</v>
      </c>
      <c r="AF262" s="195">
        <v>29</v>
      </c>
      <c r="AG262" s="196">
        <v>23</v>
      </c>
      <c r="AH262" s="197">
        <v>21</v>
      </c>
      <c r="AI262" s="200" t="s">
        <v>717</v>
      </c>
      <c r="AJ262" s="193" t="s">
        <v>1673</v>
      </c>
      <c r="AK262" s="201" t="s">
        <v>1592</v>
      </c>
      <c r="AL262" s="205">
        <v>1</v>
      </c>
      <c r="AM262" s="200">
        <v>0</v>
      </c>
      <c r="AN262" s="204">
        <v>29</v>
      </c>
      <c r="AO262" s="203"/>
      <c r="AP262" s="207" t="s">
        <v>76</v>
      </c>
      <c r="AQ262" s="199" t="s">
        <v>1619</v>
      </c>
      <c r="AR262" s="202"/>
      <c r="AS262" s="205">
        <v>2054</v>
      </c>
      <c r="AT262" s="206"/>
      <c r="AU262" s="201" t="s">
        <v>24</v>
      </c>
      <c r="AV262" s="193" t="s">
        <v>13</v>
      </c>
      <c r="AW262" s="205">
        <v>1166</v>
      </c>
    </row>
    <row r="263" spans="1:49">
      <c r="A263" s="192" t="s">
        <v>91</v>
      </c>
      <c r="B263" s="194" t="s">
        <v>1555</v>
      </c>
      <c r="C263" s="160" t="s">
        <v>742</v>
      </c>
      <c r="D263" s="193" t="s">
        <v>3057</v>
      </c>
      <c r="E263" s="195">
        <v>23</v>
      </c>
      <c r="F263" s="196">
        <v>20</v>
      </c>
      <c r="G263" s="197">
        <v>18</v>
      </c>
      <c r="H263" s="195">
        <v>23</v>
      </c>
      <c r="I263" s="196">
        <v>20</v>
      </c>
      <c r="J263" s="197">
        <v>18</v>
      </c>
      <c r="K263" s="195">
        <v>23</v>
      </c>
      <c r="L263" s="196">
        <v>20</v>
      </c>
      <c r="M263" s="197">
        <v>18</v>
      </c>
      <c r="N263" s="195">
        <v>23</v>
      </c>
      <c r="O263" s="196">
        <v>20</v>
      </c>
      <c r="P263" s="197">
        <v>18</v>
      </c>
      <c r="Q263" s="195">
        <v>23</v>
      </c>
      <c r="R263" s="196">
        <v>20</v>
      </c>
      <c r="S263" s="197">
        <v>18</v>
      </c>
      <c r="T263" s="195">
        <v>23</v>
      </c>
      <c r="U263" s="196">
        <v>20</v>
      </c>
      <c r="V263" s="197">
        <v>18</v>
      </c>
      <c r="W263" s="195">
        <v>23</v>
      </c>
      <c r="X263" s="196">
        <v>20</v>
      </c>
      <c r="Y263" s="197">
        <v>18</v>
      </c>
      <c r="Z263" s="195">
        <v>23</v>
      </c>
      <c r="AA263" s="196">
        <v>20</v>
      </c>
      <c r="AB263" s="197">
        <v>18</v>
      </c>
      <c r="AC263" s="195">
        <v>23</v>
      </c>
      <c r="AD263" s="196">
        <v>20</v>
      </c>
      <c r="AE263" s="197">
        <v>18</v>
      </c>
      <c r="AF263" s="195">
        <v>23</v>
      </c>
      <c r="AG263" s="196">
        <v>20</v>
      </c>
      <c r="AH263" s="197">
        <v>18</v>
      </c>
      <c r="AI263" s="200" t="s">
        <v>717</v>
      </c>
      <c r="AJ263" s="193" t="s">
        <v>1673</v>
      </c>
      <c r="AK263" s="201" t="s">
        <v>1592</v>
      </c>
      <c r="AL263" s="205">
        <v>1</v>
      </c>
      <c r="AM263" s="200">
        <v>0</v>
      </c>
      <c r="AN263" s="204">
        <v>24</v>
      </c>
      <c r="AO263" s="203"/>
      <c r="AP263" s="207" t="s">
        <v>76</v>
      </c>
      <c r="AQ263" s="199" t="s">
        <v>1619</v>
      </c>
      <c r="AR263" s="202"/>
      <c r="AS263" s="205">
        <v>2055</v>
      </c>
      <c r="AT263" s="206"/>
      <c r="AU263" s="201" t="s">
        <v>24</v>
      </c>
      <c r="AV263" s="193" t="s">
        <v>13</v>
      </c>
      <c r="AW263" s="205">
        <v>1166</v>
      </c>
    </row>
    <row r="264" spans="1:49">
      <c r="A264" s="192" t="s">
        <v>91</v>
      </c>
      <c r="B264" s="194" t="s">
        <v>1555</v>
      </c>
      <c r="C264" s="160" t="s">
        <v>742</v>
      </c>
      <c r="D264" s="193" t="s">
        <v>3058</v>
      </c>
      <c r="E264" s="195">
        <v>120</v>
      </c>
      <c r="F264" s="196">
        <v>114</v>
      </c>
      <c r="G264" s="197">
        <v>111</v>
      </c>
      <c r="H264" s="195">
        <v>120</v>
      </c>
      <c r="I264" s="196">
        <v>114</v>
      </c>
      <c r="J264" s="197">
        <v>111</v>
      </c>
      <c r="K264" s="195">
        <v>120</v>
      </c>
      <c r="L264" s="196">
        <v>114</v>
      </c>
      <c r="M264" s="197">
        <v>111</v>
      </c>
      <c r="N264" s="195">
        <v>120</v>
      </c>
      <c r="O264" s="196">
        <v>114</v>
      </c>
      <c r="P264" s="197">
        <v>111</v>
      </c>
      <c r="Q264" s="195">
        <v>120</v>
      </c>
      <c r="R264" s="196">
        <v>114</v>
      </c>
      <c r="S264" s="197">
        <v>111</v>
      </c>
      <c r="T264" s="195">
        <v>120</v>
      </c>
      <c r="U264" s="196">
        <v>114</v>
      </c>
      <c r="V264" s="197">
        <v>111</v>
      </c>
      <c r="W264" s="195">
        <v>120</v>
      </c>
      <c r="X264" s="196">
        <v>114</v>
      </c>
      <c r="Y264" s="197">
        <v>111</v>
      </c>
      <c r="Z264" s="195">
        <v>120</v>
      </c>
      <c r="AA264" s="196">
        <v>114</v>
      </c>
      <c r="AB264" s="197">
        <v>111</v>
      </c>
      <c r="AC264" s="195">
        <v>120</v>
      </c>
      <c r="AD264" s="196">
        <v>114</v>
      </c>
      <c r="AE264" s="197">
        <v>111</v>
      </c>
      <c r="AF264" s="195">
        <v>120</v>
      </c>
      <c r="AG264" s="196">
        <v>114</v>
      </c>
      <c r="AH264" s="197">
        <v>111</v>
      </c>
      <c r="AI264" s="200" t="s">
        <v>717</v>
      </c>
      <c r="AJ264" s="193" t="s">
        <v>1673</v>
      </c>
      <c r="AK264" s="201" t="s">
        <v>1592</v>
      </c>
      <c r="AL264" s="205">
        <v>1</v>
      </c>
      <c r="AM264" s="200">
        <v>0</v>
      </c>
      <c r="AN264" s="204">
        <v>128</v>
      </c>
      <c r="AO264" s="203"/>
      <c r="AP264" s="207" t="s">
        <v>76</v>
      </c>
      <c r="AQ264" s="199" t="s">
        <v>1619</v>
      </c>
      <c r="AR264" s="202"/>
      <c r="AS264" s="205">
        <v>2044</v>
      </c>
      <c r="AT264" s="206"/>
      <c r="AU264" s="201" t="s">
        <v>24</v>
      </c>
      <c r="AV264" s="193" t="s">
        <v>13</v>
      </c>
      <c r="AW264" s="205">
        <v>1166</v>
      </c>
    </row>
    <row r="265" spans="1:49">
      <c r="A265" s="192" t="s">
        <v>45</v>
      </c>
      <c r="B265" s="194" t="s">
        <v>1555</v>
      </c>
      <c r="C265" s="160" t="s">
        <v>333</v>
      </c>
      <c r="D265" s="193" t="s">
        <v>3060</v>
      </c>
      <c r="E265" s="195">
        <v>10</v>
      </c>
      <c r="F265" s="196">
        <v>10</v>
      </c>
      <c r="G265" s="197">
        <v>10</v>
      </c>
      <c r="H265" s="195">
        <v>10</v>
      </c>
      <c r="I265" s="196">
        <v>10</v>
      </c>
      <c r="J265" s="197">
        <v>10</v>
      </c>
      <c r="K265" s="195">
        <v>10</v>
      </c>
      <c r="L265" s="196">
        <v>10</v>
      </c>
      <c r="M265" s="197">
        <v>10</v>
      </c>
      <c r="N265" s="195">
        <v>10</v>
      </c>
      <c r="O265" s="196">
        <v>10</v>
      </c>
      <c r="P265" s="197">
        <v>10</v>
      </c>
      <c r="Q265" s="195">
        <v>10</v>
      </c>
      <c r="R265" s="196">
        <v>10</v>
      </c>
      <c r="S265" s="197">
        <v>10</v>
      </c>
      <c r="T265" s="195">
        <v>10</v>
      </c>
      <c r="U265" s="196">
        <v>10</v>
      </c>
      <c r="V265" s="197">
        <v>10</v>
      </c>
      <c r="W265" s="195">
        <v>10</v>
      </c>
      <c r="X265" s="196">
        <v>10</v>
      </c>
      <c r="Y265" s="197">
        <v>10</v>
      </c>
      <c r="Z265" s="195">
        <v>10</v>
      </c>
      <c r="AA265" s="196">
        <v>10</v>
      </c>
      <c r="AB265" s="197">
        <v>10</v>
      </c>
      <c r="AC265" s="195">
        <v>10</v>
      </c>
      <c r="AD265" s="196">
        <v>10</v>
      </c>
      <c r="AE265" s="197">
        <v>10</v>
      </c>
      <c r="AF265" s="195"/>
      <c r="AG265" s="196"/>
      <c r="AH265" s="197"/>
      <c r="AI265" s="200" t="s">
        <v>3059</v>
      </c>
      <c r="AJ265" s="193" t="s">
        <v>1602</v>
      </c>
      <c r="AK265" s="201" t="s">
        <v>1603</v>
      </c>
      <c r="AL265" s="205">
        <v>1</v>
      </c>
      <c r="AM265" s="200"/>
      <c r="AN265" s="204">
        <v>10</v>
      </c>
      <c r="AO265" s="203">
        <v>20</v>
      </c>
      <c r="AP265" s="207" t="s">
        <v>401</v>
      </c>
      <c r="AQ265" s="199" t="s">
        <v>1619</v>
      </c>
      <c r="AR265" s="202">
        <v>44835</v>
      </c>
      <c r="AS265" s="205"/>
      <c r="AT265" s="206"/>
      <c r="AU265" s="201" t="s">
        <v>24</v>
      </c>
      <c r="AV265" s="193" t="s">
        <v>19</v>
      </c>
      <c r="AW265" s="205">
        <v>1934</v>
      </c>
    </row>
    <row r="266" spans="1:49">
      <c r="A266" s="192" t="s">
        <v>110</v>
      </c>
      <c r="B266" s="194" t="s">
        <v>1599</v>
      </c>
      <c r="C266" s="160" t="s">
        <v>130</v>
      </c>
      <c r="D266" s="193"/>
      <c r="E266" s="195">
        <v>0</v>
      </c>
      <c r="F266" s="196">
        <v>0</v>
      </c>
      <c r="G266" s="197">
        <v>0</v>
      </c>
      <c r="H266" s="195">
        <v>0</v>
      </c>
      <c r="I266" s="196">
        <v>200</v>
      </c>
      <c r="J266" s="197">
        <v>200</v>
      </c>
      <c r="K266" s="195">
        <v>200</v>
      </c>
      <c r="L266" s="196">
        <v>200</v>
      </c>
      <c r="M266" s="197">
        <v>200</v>
      </c>
      <c r="N266" s="195">
        <v>200</v>
      </c>
      <c r="O266" s="196">
        <v>200</v>
      </c>
      <c r="P266" s="197">
        <v>200</v>
      </c>
      <c r="Q266" s="195">
        <v>200</v>
      </c>
      <c r="R266" s="196">
        <v>200</v>
      </c>
      <c r="S266" s="197">
        <v>200</v>
      </c>
      <c r="T266" s="195">
        <v>200</v>
      </c>
      <c r="U266" s="196">
        <v>200</v>
      </c>
      <c r="V266" s="197">
        <v>200</v>
      </c>
      <c r="W266" s="195">
        <v>200</v>
      </c>
      <c r="X266" s="196">
        <v>200</v>
      </c>
      <c r="Y266" s="197">
        <v>200</v>
      </c>
      <c r="Z266" s="195">
        <v>200</v>
      </c>
      <c r="AA266" s="196">
        <v>200</v>
      </c>
      <c r="AB266" s="197">
        <v>200</v>
      </c>
      <c r="AC266" s="195">
        <v>200</v>
      </c>
      <c r="AD266" s="196">
        <v>200</v>
      </c>
      <c r="AE266" s="197">
        <v>200</v>
      </c>
      <c r="AF266" s="195">
        <v>200</v>
      </c>
      <c r="AG266" s="196">
        <v>200</v>
      </c>
      <c r="AH266" s="197">
        <v>200</v>
      </c>
      <c r="AI266" s="200" t="s">
        <v>131</v>
      </c>
      <c r="AJ266" s="193" t="s">
        <v>1602</v>
      </c>
      <c r="AK266" s="201" t="s">
        <v>20</v>
      </c>
      <c r="AL266" s="205">
        <v>1</v>
      </c>
      <c r="AM266" s="200"/>
      <c r="AN266" s="204">
        <v>200</v>
      </c>
      <c r="AO266" s="203">
        <v>400</v>
      </c>
      <c r="AP266" s="207" t="s">
        <v>26</v>
      </c>
      <c r="AQ266" s="199" t="s">
        <v>1619</v>
      </c>
      <c r="AR266" s="202">
        <v>45566</v>
      </c>
      <c r="AS266" s="205"/>
      <c r="AT266" s="206"/>
      <c r="AU266" s="201" t="s">
        <v>26</v>
      </c>
      <c r="AV266" s="193" t="s">
        <v>19</v>
      </c>
      <c r="AW266" s="205">
        <v>2460</v>
      </c>
    </row>
    <row r="267" spans="1:49">
      <c r="A267" s="192" t="s">
        <v>105</v>
      </c>
      <c r="B267" s="194" t="s">
        <v>1555</v>
      </c>
      <c r="C267" s="160" t="s">
        <v>3096</v>
      </c>
      <c r="D267" s="193" t="s">
        <v>3097</v>
      </c>
      <c r="E267" s="195">
        <v>116</v>
      </c>
      <c r="F267" s="196">
        <v>116</v>
      </c>
      <c r="G267" s="197">
        <v>116</v>
      </c>
      <c r="H267" s="195">
        <v>116</v>
      </c>
      <c r="I267" s="196">
        <v>116</v>
      </c>
      <c r="J267" s="197">
        <v>116</v>
      </c>
      <c r="K267" s="195">
        <v>116</v>
      </c>
      <c r="L267" s="196">
        <v>116</v>
      </c>
      <c r="M267" s="197">
        <v>116</v>
      </c>
      <c r="N267" s="195">
        <v>116</v>
      </c>
      <c r="O267" s="196">
        <v>116</v>
      </c>
      <c r="P267" s="197">
        <v>116</v>
      </c>
      <c r="Q267" s="195">
        <v>116</v>
      </c>
      <c r="R267" s="196">
        <v>116</v>
      </c>
      <c r="S267" s="197">
        <v>116</v>
      </c>
      <c r="T267" s="195">
        <v>116</v>
      </c>
      <c r="U267" s="196">
        <v>0</v>
      </c>
      <c r="V267" s="197">
        <v>0</v>
      </c>
      <c r="W267" s="195">
        <v>0</v>
      </c>
      <c r="X267" s="196">
        <v>120</v>
      </c>
      <c r="Y267" s="197">
        <v>120</v>
      </c>
      <c r="Z267" s="195">
        <v>120</v>
      </c>
      <c r="AA267" s="196">
        <v>120</v>
      </c>
      <c r="AB267" s="197">
        <v>120</v>
      </c>
      <c r="AC267" s="195">
        <v>120</v>
      </c>
      <c r="AD267" s="196">
        <v>120</v>
      </c>
      <c r="AE267" s="197">
        <v>120</v>
      </c>
      <c r="AF267" s="195">
        <v>120</v>
      </c>
      <c r="AG267" s="196">
        <v>120</v>
      </c>
      <c r="AH267" s="197">
        <v>120</v>
      </c>
      <c r="AI267" s="200" t="s">
        <v>1735</v>
      </c>
      <c r="AJ267" s="193" t="s">
        <v>1700</v>
      </c>
      <c r="AK267" s="201" t="s">
        <v>1658</v>
      </c>
      <c r="AL267" s="205">
        <v>1</v>
      </c>
      <c r="AM267" s="200">
        <v>115.6</v>
      </c>
      <c r="AN267" s="204">
        <v>115.6</v>
      </c>
      <c r="AO267" s="203"/>
      <c r="AP267" s="207" t="s">
        <v>76</v>
      </c>
      <c r="AQ267" s="199" t="s">
        <v>1619</v>
      </c>
      <c r="AR267" s="202"/>
      <c r="AS267" s="205">
        <v>2100</v>
      </c>
      <c r="AT267" s="206"/>
      <c r="AU267" s="201" t="s">
        <v>24</v>
      </c>
      <c r="AV267" s="193" t="s">
        <v>17</v>
      </c>
      <c r="AW267" s="205">
        <v>1168</v>
      </c>
    </row>
    <row r="268" spans="1:49">
      <c r="A268" s="192" t="s">
        <v>105</v>
      </c>
      <c r="B268" s="194" t="s">
        <v>1555</v>
      </c>
      <c r="C268" s="160" t="s">
        <v>3096</v>
      </c>
      <c r="D268" s="193" t="s">
        <v>3098</v>
      </c>
      <c r="E268" s="195">
        <v>116</v>
      </c>
      <c r="F268" s="196">
        <v>116</v>
      </c>
      <c r="G268" s="197">
        <v>116</v>
      </c>
      <c r="H268" s="195">
        <v>116</v>
      </c>
      <c r="I268" s="196">
        <v>116</v>
      </c>
      <c r="J268" s="197">
        <v>116</v>
      </c>
      <c r="K268" s="195">
        <v>116</v>
      </c>
      <c r="L268" s="196">
        <v>116</v>
      </c>
      <c r="M268" s="197">
        <v>116</v>
      </c>
      <c r="N268" s="195">
        <v>116</v>
      </c>
      <c r="O268" s="196">
        <v>116</v>
      </c>
      <c r="P268" s="197">
        <v>116</v>
      </c>
      <c r="Q268" s="195">
        <v>116</v>
      </c>
      <c r="R268" s="196">
        <v>116</v>
      </c>
      <c r="S268" s="197">
        <v>116</v>
      </c>
      <c r="T268" s="195">
        <v>116</v>
      </c>
      <c r="U268" s="196">
        <v>116</v>
      </c>
      <c r="V268" s="197">
        <v>116</v>
      </c>
      <c r="W268" s="195">
        <v>116</v>
      </c>
      <c r="X268" s="196">
        <v>0</v>
      </c>
      <c r="Y268" s="197">
        <v>0</v>
      </c>
      <c r="Z268" s="195">
        <v>0</v>
      </c>
      <c r="AA268" s="196">
        <v>120</v>
      </c>
      <c r="AB268" s="197">
        <v>120</v>
      </c>
      <c r="AC268" s="195">
        <v>120</v>
      </c>
      <c r="AD268" s="196">
        <v>120</v>
      </c>
      <c r="AE268" s="197">
        <v>120</v>
      </c>
      <c r="AF268" s="195">
        <v>120</v>
      </c>
      <c r="AG268" s="196">
        <v>120</v>
      </c>
      <c r="AH268" s="197">
        <v>120</v>
      </c>
      <c r="AI268" s="200" t="s">
        <v>1735</v>
      </c>
      <c r="AJ268" s="193" t="s">
        <v>1700</v>
      </c>
      <c r="AK268" s="201" t="s">
        <v>1658</v>
      </c>
      <c r="AL268" s="205">
        <v>1</v>
      </c>
      <c r="AM268" s="200">
        <v>115.6</v>
      </c>
      <c r="AN268" s="204">
        <v>115.6</v>
      </c>
      <c r="AO268" s="203"/>
      <c r="AP268" s="207" t="s">
        <v>76</v>
      </c>
      <c r="AQ268" s="199" t="s">
        <v>1619</v>
      </c>
      <c r="AR268" s="202"/>
      <c r="AS268" s="205">
        <v>2100</v>
      </c>
      <c r="AT268" s="206"/>
      <c r="AU268" s="201" t="s">
        <v>24</v>
      </c>
      <c r="AV268" s="193" t="s">
        <v>17</v>
      </c>
      <c r="AW268" s="205">
        <v>1168</v>
      </c>
    </row>
    <row r="269" spans="1:49">
      <c r="A269" s="192" t="s">
        <v>45</v>
      </c>
      <c r="B269" s="194" t="s">
        <v>1599</v>
      </c>
      <c r="C269" s="160" t="s">
        <v>337</v>
      </c>
      <c r="D269" s="193" t="s">
        <v>3119</v>
      </c>
      <c r="E269" s="195">
        <v>60</v>
      </c>
      <c r="F269" s="196">
        <v>60</v>
      </c>
      <c r="G269" s="197">
        <v>60</v>
      </c>
      <c r="H269" s="195">
        <v>60</v>
      </c>
      <c r="I269" s="196">
        <v>60</v>
      </c>
      <c r="J269" s="197">
        <v>60</v>
      </c>
      <c r="K269" s="195">
        <v>60</v>
      </c>
      <c r="L269" s="196">
        <v>60</v>
      </c>
      <c r="M269" s="197">
        <v>60</v>
      </c>
      <c r="N269" s="195">
        <v>60</v>
      </c>
      <c r="O269" s="196">
        <v>60</v>
      </c>
      <c r="P269" s="197">
        <v>60</v>
      </c>
      <c r="Q269" s="195">
        <v>60</v>
      </c>
      <c r="R269" s="196">
        <v>60</v>
      </c>
      <c r="S269" s="197">
        <v>60</v>
      </c>
      <c r="T269" s="195">
        <v>60</v>
      </c>
      <c r="U269" s="196">
        <v>60</v>
      </c>
      <c r="V269" s="197">
        <v>60</v>
      </c>
      <c r="W269" s="195">
        <v>60</v>
      </c>
      <c r="X269" s="196">
        <v>60</v>
      </c>
      <c r="Y269" s="197">
        <v>60</v>
      </c>
      <c r="Z269" s="195">
        <v>60</v>
      </c>
      <c r="AA269" s="196">
        <v>60</v>
      </c>
      <c r="AB269" s="197">
        <v>60</v>
      </c>
      <c r="AC269" s="195">
        <v>60</v>
      </c>
      <c r="AD269" s="196">
        <v>60</v>
      </c>
      <c r="AE269" s="197">
        <v>60</v>
      </c>
      <c r="AF269" s="195">
        <v>60</v>
      </c>
      <c r="AG269" s="196">
        <v>60</v>
      </c>
      <c r="AH269" s="197">
        <v>60</v>
      </c>
      <c r="AI269" s="200" t="s">
        <v>326</v>
      </c>
      <c r="AJ269" s="193" t="s">
        <v>1602</v>
      </c>
      <c r="AK269" s="201" t="s">
        <v>1603</v>
      </c>
      <c r="AL269" s="205">
        <v>1</v>
      </c>
      <c r="AM269" s="200"/>
      <c r="AN269" s="204">
        <v>60</v>
      </c>
      <c r="AO269" s="203">
        <v>120</v>
      </c>
      <c r="AP269" s="207" t="s">
        <v>26</v>
      </c>
      <c r="AQ269" s="199" t="s">
        <v>1619</v>
      </c>
      <c r="AR269" s="202">
        <v>44958</v>
      </c>
      <c r="AS269" s="205">
        <v>2051</v>
      </c>
      <c r="AT269" s="206"/>
      <c r="AU269" s="201" t="s">
        <v>26</v>
      </c>
      <c r="AV269" s="193" t="s">
        <v>19</v>
      </c>
      <c r="AW269" s="205">
        <v>1936</v>
      </c>
    </row>
    <row r="270" spans="1:49">
      <c r="A270" s="192" t="s">
        <v>45</v>
      </c>
      <c r="B270" s="194" t="s">
        <v>1599</v>
      </c>
      <c r="C270" s="160" t="s">
        <v>338</v>
      </c>
      <c r="D270" s="193" t="s">
        <v>3121</v>
      </c>
      <c r="E270" s="195">
        <v>65</v>
      </c>
      <c r="F270" s="196">
        <v>65</v>
      </c>
      <c r="G270" s="197">
        <v>65</v>
      </c>
      <c r="H270" s="195">
        <v>65</v>
      </c>
      <c r="I270" s="196">
        <v>65</v>
      </c>
      <c r="J270" s="197">
        <v>65</v>
      </c>
      <c r="K270" s="195">
        <v>65</v>
      </c>
      <c r="L270" s="196">
        <v>65</v>
      </c>
      <c r="M270" s="197">
        <v>65</v>
      </c>
      <c r="N270" s="195">
        <v>65</v>
      </c>
      <c r="O270" s="196">
        <v>65</v>
      </c>
      <c r="P270" s="197">
        <v>65</v>
      </c>
      <c r="Q270" s="195">
        <v>65</v>
      </c>
      <c r="R270" s="196">
        <v>65</v>
      </c>
      <c r="S270" s="197">
        <v>65</v>
      </c>
      <c r="T270" s="195">
        <v>65</v>
      </c>
      <c r="U270" s="196">
        <v>65</v>
      </c>
      <c r="V270" s="197">
        <v>65</v>
      </c>
      <c r="W270" s="195">
        <v>65</v>
      </c>
      <c r="X270" s="196">
        <v>65</v>
      </c>
      <c r="Y270" s="197">
        <v>65</v>
      </c>
      <c r="Z270" s="195">
        <v>65</v>
      </c>
      <c r="AA270" s="196">
        <v>65</v>
      </c>
      <c r="AB270" s="197">
        <v>65</v>
      </c>
      <c r="AC270" s="195">
        <v>65</v>
      </c>
      <c r="AD270" s="196">
        <v>65</v>
      </c>
      <c r="AE270" s="197">
        <v>65</v>
      </c>
      <c r="AF270" s="195">
        <v>65</v>
      </c>
      <c r="AG270" s="196">
        <v>65</v>
      </c>
      <c r="AH270" s="197">
        <v>65</v>
      </c>
      <c r="AI270" s="200" t="s">
        <v>3120</v>
      </c>
      <c r="AJ270" s="193" t="s">
        <v>1602</v>
      </c>
      <c r="AK270" s="201" t="s">
        <v>1603</v>
      </c>
      <c r="AL270" s="205">
        <v>1</v>
      </c>
      <c r="AM270" s="200"/>
      <c r="AN270" s="204">
        <v>65</v>
      </c>
      <c r="AO270" s="203">
        <v>130</v>
      </c>
      <c r="AP270" s="207" t="s">
        <v>26</v>
      </c>
      <c r="AQ270" s="199" t="s">
        <v>1619</v>
      </c>
      <c r="AR270" s="202">
        <v>45139</v>
      </c>
      <c r="AS270" s="205">
        <v>2051</v>
      </c>
      <c r="AT270" s="206"/>
      <c r="AU270" s="201" t="s">
        <v>26</v>
      </c>
      <c r="AV270" s="193" t="s">
        <v>19</v>
      </c>
      <c r="AW270" s="205">
        <v>2018</v>
      </c>
    </row>
    <row r="271" spans="1:49">
      <c r="A271" s="192" t="s">
        <v>45</v>
      </c>
      <c r="B271" s="194" t="s">
        <v>1599</v>
      </c>
      <c r="C271" s="160" t="s">
        <v>570</v>
      </c>
      <c r="D271" s="193" t="s">
        <v>3744</v>
      </c>
      <c r="E271" s="195">
        <v>0</v>
      </c>
      <c r="F271" s="196">
        <v>32.4</v>
      </c>
      <c r="G271" s="197">
        <v>32.4</v>
      </c>
      <c r="H271" s="195">
        <v>32.4</v>
      </c>
      <c r="I271" s="196">
        <v>32.4</v>
      </c>
      <c r="J271" s="197">
        <v>32.4</v>
      </c>
      <c r="K271" s="195">
        <v>32.4</v>
      </c>
      <c r="L271" s="196">
        <v>32.4</v>
      </c>
      <c r="M271" s="197">
        <v>32.4</v>
      </c>
      <c r="N271" s="195">
        <v>32.4</v>
      </c>
      <c r="O271" s="196">
        <v>32.4</v>
      </c>
      <c r="P271" s="197">
        <v>32.4</v>
      </c>
      <c r="Q271" s="195">
        <v>32.4</v>
      </c>
      <c r="R271" s="196">
        <v>32.4</v>
      </c>
      <c r="S271" s="197">
        <v>32.4</v>
      </c>
      <c r="T271" s="195">
        <v>32.4</v>
      </c>
      <c r="U271" s="196">
        <v>32.4</v>
      </c>
      <c r="V271" s="197">
        <v>32.4</v>
      </c>
      <c r="W271" s="195">
        <v>32.4</v>
      </c>
      <c r="X271" s="196">
        <v>32.4</v>
      </c>
      <c r="Y271" s="197">
        <v>32.4</v>
      </c>
      <c r="Z271" s="195">
        <v>32.4</v>
      </c>
      <c r="AA271" s="196">
        <v>32.4</v>
      </c>
      <c r="AB271" s="197">
        <v>32.4</v>
      </c>
      <c r="AC271" s="195">
        <v>32.4</v>
      </c>
      <c r="AD271" s="196">
        <v>32.4</v>
      </c>
      <c r="AE271" s="197">
        <v>32.4</v>
      </c>
      <c r="AF271" s="195">
        <v>32.4</v>
      </c>
      <c r="AG271" s="196">
        <v>32.4</v>
      </c>
      <c r="AH271" s="197">
        <v>32.4</v>
      </c>
      <c r="AI271" s="200" t="s">
        <v>571</v>
      </c>
      <c r="AJ271" s="193" t="s">
        <v>1631</v>
      </c>
      <c r="AK271" s="201" t="s">
        <v>1614</v>
      </c>
      <c r="AL271" s="205">
        <v>360</v>
      </c>
      <c r="AM271" s="200"/>
      <c r="AN271" s="204">
        <v>32.4</v>
      </c>
      <c r="AO271" s="203"/>
      <c r="AP271" s="207" t="s">
        <v>26</v>
      </c>
      <c r="AQ271" s="199" t="s">
        <v>1620</v>
      </c>
      <c r="AR271" s="202">
        <v>45261</v>
      </c>
      <c r="AS271" s="205">
        <v>2047</v>
      </c>
      <c r="AT271" s="206"/>
      <c r="AU271" s="201" t="s">
        <v>26</v>
      </c>
      <c r="AV271" s="193" t="s">
        <v>1615</v>
      </c>
      <c r="AW271" s="205">
        <v>1415</v>
      </c>
    </row>
    <row r="272" spans="1:49">
      <c r="A272" s="192" t="s">
        <v>77</v>
      </c>
      <c r="B272" s="194" t="s">
        <v>1555</v>
      </c>
      <c r="C272" s="160" t="s">
        <v>3133</v>
      </c>
      <c r="D272" s="193" t="s">
        <v>3134</v>
      </c>
      <c r="E272" s="195">
        <v>34</v>
      </c>
      <c r="F272" s="196">
        <v>30</v>
      </c>
      <c r="G272" s="197">
        <v>27</v>
      </c>
      <c r="H272" s="195">
        <v>34</v>
      </c>
      <c r="I272" s="196">
        <v>30</v>
      </c>
      <c r="J272" s="197">
        <v>27</v>
      </c>
      <c r="K272" s="195">
        <v>34</v>
      </c>
      <c r="L272" s="196">
        <v>30</v>
      </c>
      <c r="M272" s="197">
        <v>27</v>
      </c>
      <c r="N272" s="195">
        <v>34</v>
      </c>
      <c r="O272" s="196">
        <v>30</v>
      </c>
      <c r="P272" s="197">
        <v>27</v>
      </c>
      <c r="Q272" s="195">
        <v>34</v>
      </c>
      <c r="R272" s="196">
        <v>30</v>
      </c>
      <c r="S272" s="197">
        <v>27</v>
      </c>
      <c r="T272" s="195">
        <v>34</v>
      </c>
      <c r="U272" s="196">
        <v>30</v>
      </c>
      <c r="V272" s="197">
        <v>27</v>
      </c>
      <c r="W272" s="195">
        <v>34</v>
      </c>
      <c r="X272" s="196">
        <v>30</v>
      </c>
      <c r="Y272" s="197">
        <v>27</v>
      </c>
      <c r="Z272" s="195">
        <v>34</v>
      </c>
      <c r="AA272" s="196">
        <v>30</v>
      </c>
      <c r="AB272" s="197">
        <v>27</v>
      </c>
      <c r="AC272" s="195">
        <v>34</v>
      </c>
      <c r="AD272" s="196">
        <v>30</v>
      </c>
      <c r="AE272" s="197">
        <v>27</v>
      </c>
      <c r="AF272" s="195">
        <v>34</v>
      </c>
      <c r="AG272" s="196">
        <v>30</v>
      </c>
      <c r="AH272" s="197">
        <v>27</v>
      </c>
      <c r="AI272" s="200" t="s">
        <v>717</v>
      </c>
      <c r="AJ272" s="193" t="s">
        <v>1673</v>
      </c>
      <c r="AK272" s="201" t="s">
        <v>1592</v>
      </c>
      <c r="AL272" s="205">
        <v>1</v>
      </c>
      <c r="AM272" s="200"/>
      <c r="AN272" s="204">
        <v>40</v>
      </c>
      <c r="AO272" s="203"/>
      <c r="AP272" s="207" t="s">
        <v>76</v>
      </c>
      <c r="AQ272" s="199" t="s">
        <v>1619</v>
      </c>
      <c r="AR272" s="202"/>
      <c r="AS272" s="205">
        <v>2034</v>
      </c>
      <c r="AT272" s="206"/>
      <c r="AU272" s="201" t="s">
        <v>24</v>
      </c>
      <c r="AV272" s="193" t="s">
        <v>13</v>
      </c>
      <c r="AW272" s="205">
        <v>1173</v>
      </c>
    </row>
    <row r="273" spans="1:49">
      <c r="A273" s="192" t="s">
        <v>77</v>
      </c>
      <c r="B273" s="194" t="s">
        <v>1555</v>
      </c>
      <c r="C273" s="160" t="s">
        <v>3133</v>
      </c>
      <c r="D273" s="193" t="s">
        <v>3135</v>
      </c>
      <c r="E273" s="195">
        <v>34</v>
      </c>
      <c r="F273" s="196">
        <v>30</v>
      </c>
      <c r="G273" s="197">
        <v>27</v>
      </c>
      <c r="H273" s="195">
        <v>34</v>
      </c>
      <c r="I273" s="196">
        <v>30</v>
      </c>
      <c r="J273" s="197">
        <v>27</v>
      </c>
      <c r="K273" s="195">
        <v>34</v>
      </c>
      <c r="L273" s="196">
        <v>30</v>
      </c>
      <c r="M273" s="197">
        <v>27</v>
      </c>
      <c r="N273" s="195">
        <v>34</v>
      </c>
      <c r="O273" s="196">
        <v>30</v>
      </c>
      <c r="P273" s="197">
        <v>27</v>
      </c>
      <c r="Q273" s="195">
        <v>34</v>
      </c>
      <c r="R273" s="196">
        <v>30</v>
      </c>
      <c r="S273" s="197">
        <v>27</v>
      </c>
      <c r="T273" s="195">
        <v>34</v>
      </c>
      <c r="U273" s="196">
        <v>30</v>
      </c>
      <c r="V273" s="197">
        <v>27</v>
      </c>
      <c r="W273" s="195">
        <v>34</v>
      </c>
      <c r="X273" s="196">
        <v>30</v>
      </c>
      <c r="Y273" s="197">
        <v>27</v>
      </c>
      <c r="Z273" s="195">
        <v>34</v>
      </c>
      <c r="AA273" s="196">
        <v>30</v>
      </c>
      <c r="AB273" s="197">
        <v>27</v>
      </c>
      <c r="AC273" s="195">
        <v>34</v>
      </c>
      <c r="AD273" s="196">
        <v>30</v>
      </c>
      <c r="AE273" s="197">
        <v>27</v>
      </c>
      <c r="AF273" s="195">
        <v>34</v>
      </c>
      <c r="AG273" s="196">
        <v>30</v>
      </c>
      <c r="AH273" s="197">
        <v>27</v>
      </c>
      <c r="AI273" s="200" t="s">
        <v>717</v>
      </c>
      <c r="AJ273" s="193" t="s">
        <v>1673</v>
      </c>
      <c r="AK273" s="201" t="s">
        <v>1592</v>
      </c>
      <c r="AL273" s="205">
        <v>1</v>
      </c>
      <c r="AM273" s="200"/>
      <c r="AN273" s="204">
        <v>40</v>
      </c>
      <c r="AO273" s="203"/>
      <c r="AP273" s="207" t="s">
        <v>76</v>
      </c>
      <c r="AQ273" s="199" t="s">
        <v>1619</v>
      </c>
      <c r="AR273" s="202"/>
      <c r="AS273" s="205">
        <v>2034</v>
      </c>
      <c r="AT273" s="206"/>
      <c r="AU273" s="201" t="s">
        <v>24</v>
      </c>
      <c r="AV273" s="193" t="s">
        <v>13</v>
      </c>
      <c r="AW273" s="205">
        <v>1173</v>
      </c>
    </row>
    <row r="274" spans="1:49">
      <c r="A274" s="192" t="s">
        <v>77</v>
      </c>
      <c r="B274" s="194" t="s">
        <v>1555</v>
      </c>
      <c r="C274" s="160" t="s">
        <v>976</v>
      </c>
      <c r="D274" s="193" t="s">
        <v>3139</v>
      </c>
      <c r="E274" s="195">
        <v>115.968</v>
      </c>
      <c r="F274" s="196">
        <v>115.968</v>
      </c>
      <c r="G274" s="197">
        <v>115.968</v>
      </c>
      <c r="H274" s="195">
        <v>115.968</v>
      </c>
      <c r="I274" s="196">
        <v>115.968</v>
      </c>
      <c r="J274" s="197">
        <v>115.968</v>
      </c>
      <c r="K274" s="195">
        <v>115.968</v>
      </c>
      <c r="L274" s="196">
        <v>115.968</v>
      </c>
      <c r="M274" s="197">
        <v>115.968</v>
      </c>
      <c r="N274" s="195">
        <v>115.968</v>
      </c>
      <c r="O274" s="196">
        <v>115.968</v>
      </c>
      <c r="P274" s="197">
        <v>115.968</v>
      </c>
      <c r="Q274" s="195">
        <v>115.968</v>
      </c>
      <c r="R274" s="196">
        <v>115.968</v>
      </c>
      <c r="S274" s="197">
        <v>115.968</v>
      </c>
      <c r="T274" s="195">
        <v>115.968</v>
      </c>
      <c r="U274" s="196">
        <v>115.968</v>
      </c>
      <c r="V274" s="197">
        <v>115.968</v>
      </c>
      <c r="W274" s="195">
        <v>115.968</v>
      </c>
      <c r="X274" s="196">
        <v>115.968</v>
      </c>
      <c r="Y274" s="197">
        <v>115.968</v>
      </c>
      <c r="Z274" s="195">
        <v>115.968</v>
      </c>
      <c r="AA274" s="196">
        <v>115.968</v>
      </c>
      <c r="AB274" s="197">
        <v>115.968</v>
      </c>
      <c r="AC274" s="195">
        <v>115.968</v>
      </c>
      <c r="AD274" s="196">
        <v>115.968</v>
      </c>
      <c r="AE274" s="197">
        <v>115.968</v>
      </c>
      <c r="AF274" s="195">
        <v>115.968</v>
      </c>
      <c r="AG274" s="196">
        <v>115.968</v>
      </c>
      <c r="AH274" s="197">
        <v>115.968</v>
      </c>
      <c r="AI274" s="200" t="s">
        <v>3138</v>
      </c>
      <c r="AJ274" s="193" t="s">
        <v>1631</v>
      </c>
      <c r="AK274" s="201" t="s">
        <v>1614</v>
      </c>
      <c r="AL274" s="205">
        <v>64</v>
      </c>
      <c r="AM274" s="200">
        <v>128</v>
      </c>
      <c r="AN274" s="204">
        <v>128</v>
      </c>
      <c r="AO274" s="203"/>
      <c r="AP274" s="207" t="s">
        <v>76</v>
      </c>
      <c r="AQ274" s="199" t="s">
        <v>1620</v>
      </c>
      <c r="AR274" s="202"/>
      <c r="AS274" s="205">
        <v>2043</v>
      </c>
      <c r="AT274" s="206"/>
      <c r="AU274" s="201" t="s">
        <v>24</v>
      </c>
      <c r="AV274" s="193" t="s">
        <v>1615</v>
      </c>
      <c r="AW274" s="205">
        <v>1401</v>
      </c>
    </row>
    <row r="275" spans="1:49">
      <c r="A275" s="192" t="s">
        <v>77</v>
      </c>
      <c r="B275" s="194" t="s">
        <v>1555</v>
      </c>
      <c r="C275" s="160" t="s">
        <v>978</v>
      </c>
      <c r="D275" s="193" t="s">
        <v>3157</v>
      </c>
      <c r="E275" s="195">
        <v>65</v>
      </c>
      <c r="F275" s="196">
        <v>65</v>
      </c>
      <c r="G275" s="197">
        <v>65</v>
      </c>
      <c r="H275" s="195">
        <v>65</v>
      </c>
      <c r="I275" s="196">
        <v>65</v>
      </c>
      <c r="J275" s="197">
        <v>65</v>
      </c>
      <c r="K275" s="195">
        <v>65</v>
      </c>
      <c r="L275" s="196">
        <v>65</v>
      </c>
      <c r="M275" s="197">
        <v>65</v>
      </c>
      <c r="N275" s="195">
        <v>65</v>
      </c>
      <c r="O275" s="196">
        <v>65</v>
      </c>
      <c r="P275" s="197">
        <v>65</v>
      </c>
      <c r="Q275" s="195">
        <v>65</v>
      </c>
      <c r="R275" s="196">
        <v>65</v>
      </c>
      <c r="S275" s="197">
        <v>65</v>
      </c>
      <c r="T275" s="195">
        <v>65</v>
      </c>
      <c r="U275" s="196">
        <v>65</v>
      </c>
      <c r="V275" s="197">
        <v>65</v>
      </c>
      <c r="W275" s="195">
        <v>65</v>
      </c>
      <c r="X275" s="196">
        <v>65</v>
      </c>
      <c r="Y275" s="197">
        <v>65</v>
      </c>
      <c r="Z275" s="195">
        <v>65</v>
      </c>
      <c r="AA275" s="196">
        <v>65</v>
      </c>
      <c r="AB275" s="197">
        <v>65</v>
      </c>
      <c r="AC275" s="195">
        <v>65</v>
      </c>
      <c r="AD275" s="196">
        <v>65</v>
      </c>
      <c r="AE275" s="197">
        <v>65</v>
      </c>
      <c r="AF275" s="195">
        <v>65</v>
      </c>
      <c r="AG275" s="196">
        <v>65</v>
      </c>
      <c r="AH275" s="197">
        <v>65</v>
      </c>
      <c r="AI275" s="200" t="s">
        <v>3156</v>
      </c>
      <c r="AJ275" s="193" t="s">
        <v>1631</v>
      </c>
      <c r="AK275" s="201" t="s">
        <v>1614</v>
      </c>
      <c r="AL275" s="205">
        <v>1</v>
      </c>
      <c r="AM275" s="200">
        <v>65</v>
      </c>
      <c r="AN275" s="204">
        <v>65</v>
      </c>
      <c r="AO275" s="203"/>
      <c r="AP275" s="207" t="s">
        <v>76</v>
      </c>
      <c r="AQ275" s="199" t="s">
        <v>1620</v>
      </c>
      <c r="AR275" s="202">
        <v>44105</v>
      </c>
      <c r="AS275" s="205">
        <v>2049</v>
      </c>
      <c r="AT275" s="206"/>
      <c r="AU275" s="201" t="s">
        <v>24</v>
      </c>
      <c r="AV275" s="193" t="s">
        <v>1615</v>
      </c>
      <c r="AW275" s="205">
        <v>1493</v>
      </c>
    </row>
    <row r="276" spans="1:49">
      <c r="A276" s="192" t="s">
        <v>45</v>
      </c>
      <c r="B276" s="194" t="s">
        <v>1599</v>
      </c>
      <c r="C276" s="160" t="s">
        <v>522</v>
      </c>
      <c r="D276" s="193" t="s">
        <v>3744</v>
      </c>
      <c r="E276" s="195">
        <v>0</v>
      </c>
      <c r="F276" s="196">
        <v>335.28</v>
      </c>
      <c r="G276" s="197">
        <v>225.06</v>
      </c>
      <c r="H276" s="195">
        <v>386.1</v>
      </c>
      <c r="I276" s="196">
        <v>335.28</v>
      </c>
      <c r="J276" s="197">
        <v>225.06</v>
      </c>
      <c r="K276" s="195">
        <v>386.1</v>
      </c>
      <c r="L276" s="196">
        <v>335.28</v>
      </c>
      <c r="M276" s="197">
        <v>225.06</v>
      </c>
      <c r="N276" s="195">
        <v>386.1</v>
      </c>
      <c r="O276" s="196">
        <v>335.28</v>
      </c>
      <c r="P276" s="197">
        <v>225.06</v>
      </c>
      <c r="Q276" s="195">
        <v>386.1</v>
      </c>
      <c r="R276" s="196">
        <v>335.28</v>
      </c>
      <c r="S276" s="197">
        <v>225.06</v>
      </c>
      <c r="T276" s="195">
        <v>386.1</v>
      </c>
      <c r="U276" s="196">
        <v>335.28</v>
      </c>
      <c r="V276" s="197">
        <v>225.06</v>
      </c>
      <c r="W276" s="195">
        <v>386.1</v>
      </c>
      <c r="X276" s="196">
        <v>335.28</v>
      </c>
      <c r="Y276" s="197">
        <v>225.06</v>
      </c>
      <c r="Z276" s="195">
        <v>386.1</v>
      </c>
      <c r="AA276" s="196">
        <v>335.28</v>
      </c>
      <c r="AB276" s="197">
        <v>225.06</v>
      </c>
      <c r="AC276" s="195">
        <v>386.1</v>
      </c>
      <c r="AD276" s="196">
        <v>335.28</v>
      </c>
      <c r="AE276" s="197">
        <v>225.06</v>
      </c>
      <c r="AF276" s="195">
        <v>386.1</v>
      </c>
      <c r="AG276" s="196">
        <v>335.28</v>
      </c>
      <c r="AH276" s="197">
        <v>225.06</v>
      </c>
      <c r="AI276" s="200" t="s">
        <v>523</v>
      </c>
      <c r="AJ276" s="193" t="s">
        <v>1625</v>
      </c>
      <c r="AK276" s="201" t="s">
        <v>1609</v>
      </c>
      <c r="AL276" s="205">
        <v>66</v>
      </c>
      <c r="AM276" s="200"/>
      <c r="AN276" s="204">
        <v>396</v>
      </c>
      <c r="AO276" s="203"/>
      <c r="AP276" s="207" t="s">
        <v>26</v>
      </c>
      <c r="AQ276" s="199" t="s">
        <v>1620</v>
      </c>
      <c r="AR276" s="202">
        <v>45474</v>
      </c>
      <c r="AS276" s="205">
        <v>2048</v>
      </c>
      <c r="AT276" s="206"/>
      <c r="AU276" s="201" t="s">
        <v>26</v>
      </c>
      <c r="AV276" s="193" t="s">
        <v>16</v>
      </c>
      <c r="AW276" s="205">
        <v>1353</v>
      </c>
    </row>
    <row r="277" spans="1:49">
      <c r="A277" s="192" t="s">
        <v>110</v>
      </c>
      <c r="B277" s="194" t="s">
        <v>1555</v>
      </c>
      <c r="C277" s="160" t="s">
        <v>1025</v>
      </c>
      <c r="D277" s="193" t="s">
        <v>3165</v>
      </c>
      <c r="E277" s="195">
        <v>54</v>
      </c>
      <c r="F277" s="196">
        <v>51</v>
      </c>
      <c r="G277" s="197">
        <v>37.5</v>
      </c>
      <c r="H277" s="195">
        <v>54</v>
      </c>
      <c r="I277" s="196">
        <v>51</v>
      </c>
      <c r="J277" s="197">
        <v>37.5</v>
      </c>
      <c r="K277" s="195">
        <v>54</v>
      </c>
      <c r="L277" s="196">
        <v>51</v>
      </c>
      <c r="M277" s="197">
        <v>37.5</v>
      </c>
      <c r="N277" s="195">
        <v>54</v>
      </c>
      <c r="O277" s="196">
        <v>51</v>
      </c>
      <c r="P277" s="197">
        <v>37.5</v>
      </c>
      <c r="Q277" s="195">
        <v>54</v>
      </c>
      <c r="R277" s="196">
        <v>51</v>
      </c>
      <c r="S277" s="197">
        <v>37.5</v>
      </c>
      <c r="T277" s="195">
        <v>54</v>
      </c>
      <c r="U277" s="196">
        <v>51</v>
      </c>
      <c r="V277" s="197">
        <v>37.5</v>
      </c>
      <c r="W277" s="195">
        <v>54</v>
      </c>
      <c r="X277" s="196">
        <v>51</v>
      </c>
      <c r="Y277" s="197">
        <v>37.5</v>
      </c>
      <c r="Z277" s="195">
        <v>54</v>
      </c>
      <c r="AA277" s="196">
        <v>51</v>
      </c>
      <c r="AB277" s="197">
        <v>37.5</v>
      </c>
      <c r="AC277" s="195">
        <v>54</v>
      </c>
      <c r="AD277" s="196">
        <v>51</v>
      </c>
      <c r="AE277" s="197">
        <v>37.5</v>
      </c>
      <c r="AF277" s="195">
        <v>54</v>
      </c>
      <c r="AG277" s="196">
        <v>51</v>
      </c>
      <c r="AH277" s="197">
        <v>37.5</v>
      </c>
      <c r="AI277" s="200" t="s">
        <v>3164</v>
      </c>
      <c r="AJ277" s="193" t="s">
        <v>1625</v>
      </c>
      <c r="AK277" s="201" t="s">
        <v>1609</v>
      </c>
      <c r="AL277" s="205">
        <v>15</v>
      </c>
      <c r="AM277" s="200">
        <v>54</v>
      </c>
      <c r="AN277" s="204">
        <v>54</v>
      </c>
      <c r="AO277" s="203"/>
      <c r="AP277" s="207" t="s">
        <v>76</v>
      </c>
      <c r="AQ277" s="199" t="s">
        <v>1620</v>
      </c>
      <c r="AR277" s="202"/>
      <c r="AS277" s="205">
        <v>2043</v>
      </c>
      <c r="AT277" s="206"/>
      <c r="AU277" s="201" t="s">
        <v>24</v>
      </c>
      <c r="AV277" s="193" t="s">
        <v>16</v>
      </c>
      <c r="AW277" s="205">
        <v>1244</v>
      </c>
    </row>
    <row r="278" spans="1:49">
      <c r="A278" s="192" t="s">
        <v>45</v>
      </c>
      <c r="B278" s="194" t="s">
        <v>1555</v>
      </c>
      <c r="C278" s="160" t="s">
        <v>3171</v>
      </c>
      <c r="D278" s="193" t="s">
        <v>3173</v>
      </c>
      <c r="E278" s="195">
        <v>270</v>
      </c>
      <c r="F278" s="196">
        <v>252</v>
      </c>
      <c r="G278" s="197">
        <v>155.69999999999999</v>
      </c>
      <c r="H278" s="195">
        <v>270</v>
      </c>
      <c r="I278" s="196">
        <v>252</v>
      </c>
      <c r="J278" s="197">
        <v>155.69999999999999</v>
      </c>
      <c r="K278" s="195">
        <v>270</v>
      </c>
      <c r="L278" s="196">
        <v>252</v>
      </c>
      <c r="M278" s="197">
        <v>155.69999999999999</v>
      </c>
      <c r="N278" s="195">
        <v>270</v>
      </c>
      <c r="O278" s="196">
        <v>252</v>
      </c>
      <c r="P278" s="197">
        <v>155.69999999999999</v>
      </c>
      <c r="Q278" s="195">
        <v>270</v>
      </c>
      <c r="R278" s="196">
        <v>252</v>
      </c>
      <c r="S278" s="197">
        <v>155.69999999999999</v>
      </c>
      <c r="T278" s="195">
        <v>270</v>
      </c>
      <c r="U278" s="196">
        <v>252</v>
      </c>
      <c r="V278" s="197">
        <v>155.69999999999999</v>
      </c>
      <c r="W278" s="195">
        <v>270</v>
      </c>
      <c r="X278" s="196">
        <v>252</v>
      </c>
      <c r="Y278" s="197">
        <v>155.69999999999999</v>
      </c>
      <c r="Z278" s="195">
        <v>270</v>
      </c>
      <c r="AA278" s="196">
        <v>252</v>
      </c>
      <c r="AB278" s="197">
        <v>155.69999999999999</v>
      </c>
      <c r="AC278" s="195">
        <v>270</v>
      </c>
      <c r="AD278" s="196">
        <v>252</v>
      </c>
      <c r="AE278" s="197">
        <v>155.69999999999999</v>
      </c>
      <c r="AF278" s="195">
        <v>270</v>
      </c>
      <c r="AG278" s="196">
        <v>252</v>
      </c>
      <c r="AH278" s="197">
        <v>155.69999999999999</v>
      </c>
      <c r="AI278" s="200" t="s">
        <v>3172</v>
      </c>
      <c r="AJ278" s="193" t="s">
        <v>1625</v>
      </c>
      <c r="AK278" s="201" t="s">
        <v>1609</v>
      </c>
      <c r="AL278" s="205">
        <v>75</v>
      </c>
      <c r="AM278" s="200">
        <v>0</v>
      </c>
      <c r="AN278" s="204">
        <v>270</v>
      </c>
      <c r="AO278" s="203"/>
      <c r="AP278" s="207" t="s">
        <v>76</v>
      </c>
      <c r="AQ278" s="199" t="s">
        <v>1620</v>
      </c>
      <c r="AR278" s="202"/>
      <c r="AS278" s="205">
        <v>2043</v>
      </c>
      <c r="AT278" s="206"/>
      <c r="AU278" s="201" t="s">
        <v>24</v>
      </c>
      <c r="AV278" s="193" t="s">
        <v>16</v>
      </c>
      <c r="AW278" s="205">
        <v>1270</v>
      </c>
    </row>
    <row r="279" spans="1:49">
      <c r="A279" s="192" t="s">
        <v>45</v>
      </c>
      <c r="B279" s="194" t="s">
        <v>1599</v>
      </c>
      <c r="C279" s="160" t="s">
        <v>654</v>
      </c>
      <c r="D279" s="193" t="s">
        <v>3181</v>
      </c>
      <c r="E279" s="195">
        <v>90</v>
      </c>
      <c r="F279" s="196">
        <v>90</v>
      </c>
      <c r="G279" s="197">
        <v>85.8</v>
      </c>
      <c r="H279" s="195">
        <v>90</v>
      </c>
      <c r="I279" s="196">
        <v>90</v>
      </c>
      <c r="J279" s="197">
        <v>85.8</v>
      </c>
      <c r="K279" s="195">
        <v>90</v>
      </c>
      <c r="L279" s="196">
        <v>90</v>
      </c>
      <c r="M279" s="197">
        <v>85.8</v>
      </c>
      <c r="N279" s="195">
        <v>90</v>
      </c>
      <c r="O279" s="196">
        <v>90</v>
      </c>
      <c r="P279" s="197">
        <v>85.8</v>
      </c>
      <c r="Q279" s="195">
        <v>90</v>
      </c>
      <c r="R279" s="196">
        <v>90</v>
      </c>
      <c r="S279" s="197">
        <v>85.8</v>
      </c>
      <c r="T279" s="195">
        <v>90</v>
      </c>
      <c r="U279" s="196">
        <v>90</v>
      </c>
      <c r="V279" s="197">
        <v>85.8</v>
      </c>
      <c r="W279" s="195">
        <v>90</v>
      </c>
      <c r="X279" s="196">
        <v>90</v>
      </c>
      <c r="Y279" s="197">
        <v>85.8</v>
      </c>
      <c r="Z279" s="195">
        <v>90</v>
      </c>
      <c r="AA279" s="196">
        <v>90</v>
      </c>
      <c r="AB279" s="197">
        <v>85.8</v>
      </c>
      <c r="AC279" s="195">
        <v>90</v>
      </c>
      <c r="AD279" s="196">
        <v>90</v>
      </c>
      <c r="AE279" s="197">
        <v>85.8</v>
      </c>
      <c r="AF279" s="195">
        <v>90</v>
      </c>
      <c r="AG279" s="196">
        <v>90</v>
      </c>
      <c r="AH279" s="197">
        <v>85.8</v>
      </c>
      <c r="AI279" s="200" t="s">
        <v>3180</v>
      </c>
      <c r="AJ279" s="193" t="s">
        <v>1631</v>
      </c>
      <c r="AK279" s="201" t="s">
        <v>1614</v>
      </c>
      <c r="AL279" s="205">
        <v>40</v>
      </c>
      <c r="AM279" s="200">
        <v>0</v>
      </c>
      <c r="AN279" s="204">
        <v>90</v>
      </c>
      <c r="AO279" s="203"/>
      <c r="AP279" s="207" t="s">
        <v>26</v>
      </c>
      <c r="AQ279" s="199" t="s">
        <v>1620</v>
      </c>
      <c r="AR279" s="202">
        <v>44927</v>
      </c>
      <c r="AS279" s="205">
        <v>2052</v>
      </c>
      <c r="AT279" s="206"/>
      <c r="AU279" s="201" t="s">
        <v>26</v>
      </c>
      <c r="AV279" s="193" t="s">
        <v>1615</v>
      </c>
      <c r="AW279" s="205">
        <v>1927</v>
      </c>
    </row>
    <row r="280" spans="1:49">
      <c r="A280" s="192" t="s">
        <v>45</v>
      </c>
      <c r="B280" s="194" t="s">
        <v>1555</v>
      </c>
      <c r="C280" s="160" t="s">
        <v>3189</v>
      </c>
      <c r="D280" s="193" t="s">
        <v>3190</v>
      </c>
      <c r="E280" s="195">
        <v>243.5</v>
      </c>
      <c r="F280" s="196">
        <v>243.5</v>
      </c>
      <c r="G280" s="197">
        <v>243.5</v>
      </c>
      <c r="H280" s="195">
        <v>244.5</v>
      </c>
      <c r="I280" s="196">
        <v>244.5</v>
      </c>
      <c r="J280" s="197">
        <v>244.5</v>
      </c>
      <c r="K280" s="195">
        <v>247</v>
      </c>
      <c r="L280" s="196">
        <v>247</v>
      </c>
      <c r="M280" s="197">
        <v>247</v>
      </c>
      <c r="N280" s="195">
        <v>247</v>
      </c>
      <c r="O280" s="196">
        <v>247</v>
      </c>
      <c r="P280" s="197">
        <v>247</v>
      </c>
      <c r="Q280" s="195">
        <v>247</v>
      </c>
      <c r="R280" s="196">
        <v>247</v>
      </c>
      <c r="S280" s="197">
        <v>247</v>
      </c>
      <c r="T280" s="195">
        <v>247</v>
      </c>
      <c r="U280" s="196">
        <v>247</v>
      </c>
      <c r="V280" s="197">
        <v>247</v>
      </c>
      <c r="W280" s="195">
        <v>247</v>
      </c>
      <c r="X280" s="196">
        <v>247</v>
      </c>
      <c r="Y280" s="197">
        <v>247</v>
      </c>
      <c r="Z280" s="195">
        <v>247</v>
      </c>
      <c r="AA280" s="196">
        <v>247</v>
      </c>
      <c r="AB280" s="197">
        <v>247</v>
      </c>
      <c r="AC280" s="195">
        <v>247</v>
      </c>
      <c r="AD280" s="196">
        <v>247</v>
      </c>
      <c r="AE280" s="197">
        <v>247</v>
      </c>
      <c r="AF280" s="195">
        <v>247</v>
      </c>
      <c r="AG280" s="196">
        <v>247</v>
      </c>
      <c r="AH280" s="197">
        <v>247</v>
      </c>
      <c r="AI280" s="200" t="s">
        <v>473</v>
      </c>
      <c r="AJ280" s="193" t="s">
        <v>1657</v>
      </c>
      <c r="AK280" s="201" t="s">
        <v>1658</v>
      </c>
      <c r="AL280" s="205">
        <v>4</v>
      </c>
      <c r="AM280" s="200">
        <v>0</v>
      </c>
      <c r="AN280" s="204">
        <v>240</v>
      </c>
      <c r="AO280" s="203">
        <v>9680</v>
      </c>
      <c r="AP280" s="207" t="s">
        <v>76</v>
      </c>
      <c r="AQ280" s="199" t="s">
        <v>1619</v>
      </c>
      <c r="AR280" s="202"/>
      <c r="AS280" s="205">
        <v>9998</v>
      </c>
      <c r="AT280" s="206"/>
      <c r="AU280" s="201" t="s">
        <v>24</v>
      </c>
      <c r="AV280" s="193" t="s">
        <v>17</v>
      </c>
      <c r="AW280" s="205">
        <v>1177</v>
      </c>
    </row>
    <row r="281" spans="1:49">
      <c r="A281" s="192" t="s">
        <v>45</v>
      </c>
      <c r="B281" s="194" t="s">
        <v>1555</v>
      </c>
      <c r="C281" s="160" t="s">
        <v>1034</v>
      </c>
      <c r="D281" s="193" t="s">
        <v>3198</v>
      </c>
      <c r="E281" s="195">
        <v>198.012</v>
      </c>
      <c r="F281" s="196">
        <v>198.012</v>
      </c>
      <c r="G281" s="197">
        <v>119.48</v>
      </c>
      <c r="H281" s="195">
        <v>198.012</v>
      </c>
      <c r="I281" s="196">
        <v>198.012</v>
      </c>
      <c r="J281" s="197">
        <v>119.48</v>
      </c>
      <c r="K281" s="195">
        <v>198.012</v>
      </c>
      <c r="L281" s="196">
        <v>198.012</v>
      </c>
      <c r="M281" s="197">
        <v>119.48</v>
      </c>
      <c r="N281" s="195">
        <v>198.012</v>
      </c>
      <c r="O281" s="196">
        <v>198.012</v>
      </c>
      <c r="P281" s="197">
        <v>119.48</v>
      </c>
      <c r="Q281" s="195">
        <v>198.012</v>
      </c>
      <c r="R281" s="196">
        <v>198.012</v>
      </c>
      <c r="S281" s="197">
        <v>119.48</v>
      </c>
      <c r="T281" s="195">
        <v>198.012</v>
      </c>
      <c r="U281" s="196">
        <v>198.012</v>
      </c>
      <c r="V281" s="197">
        <v>119.48</v>
      </c>
      <c r="W281" s="195">
        <v>198.012</v>
      </c>
      <c r="X281" s="196">
        <v>198.012</v>
      </c>
      <c r="Y281" s="197">
        <v>119.48</v>
      </c>
      <c r="Z281" s="195">
        <v>198.012</v>
      </c>
      <c r="AA281" s="196">
        <v>198.012</v>
      </c>
      <c r="AB281" s="197">
        <v>119.48</v>
      </c>
      <c r="AC281" s="195">
        <v>198.012</v>
      </c>
      <c r="AD281" s="196">
        <v>198.012</v>
      </c>
      <c r="AE281" s="197">
        <v>119.48</v>
      </c>
      <c r="AF281" s="195">
        <v>198.012</v>
      </c>
      <c r="AG281" s="196">
        <v>198.012</v>
      </c>
      <c r="AH281" s="197">
        <v>119.48</v>
      </c>
      <c r="AI281" s="200" t="s">
        <v>3197</v>
      </c>
      <c r="AJ281" s="193" t="s">
        <v>1625</v>
      </c>
      <c r="AK281" s="201" t="s">
        <v>1609</v>
      </c>
      <c r="AL281" s="205">
        <v>58</v>
      </c>
      <c r="AM281" s="200"/>
      <c r="AN281" s="204">
        <v>198.94</v>
      </c>
      <c r="AO281" s="203"/>
      <c r="AP281" s="207" t="s">
        <v>76</v>
      </c>
      <c r="AQ281" s="199" t="s">
        <v>1620</v>
      </c>
      <c r="AR281" s="202">
        <v>44166</v>
      </c>
      <c r="AS281" s="205">
        <v>2043</v>
      </c>
      <c r="AT281" s="206"/>
      <c r="AU281" s="201" t="s">
        <v>24</v>
      </c>
      <c r="AV281" s="193" t="s">
        <v>16</v>
      </c>
      <c r="AW281" s="205">
        <v>1178</v>
      </c>
    </row>
    <row r="282" spans="1:49">
      <c r="A282" s="192" t="s">
        <v>45</v>
      </c>
      <c r="B282" s="194" t="s">
        <v>1555</v>
      </c>
      <c r="C282" s="160" t="s">
        <v>800</v>
      </c>
      <c r="D282" s="193" t="s">
        <v>3200</v>
      </c>
      <c r="E282" s="195">
        <v>125.7</v>
      </c>
      <c r="F282" s="196">
        <v>108</v>
      </c>
      <c r="G282" s="197">
        <v>108</v>
      </c>
      <c r="H282" s="195">
        <v>125.7</v>
      </c>
      <c r="I282" s="196">
        <v>108</v>
      </c>
      <c r="J282" s="197">
        <v>108</v>
      </c>
      <c r="K282" s="195">
        <v>125.7</v>
      </c>
      <c r="L282" s="196">
        <v>108</v>
      </c>
      <c r="M282" s="197">
        <v>108</v>
      </c>
      <c r="N282" s="195">
        <v>125.7</v>
      </c>
      <c r="O282" s="196">
        <v>108</v>
      </c>
      <c r="P282" s="197">
        <v>108</v>
      </c>
      <c r="Q282" s="195">
        <v>125.7</v>
      </c>
      <c r="R282" s="196">
        <v>108</v>
      </c>
      <c r="S282" s="197">
        <v>108</v>
      </c>
      <c r="T282" s="195">
        <v>125.7</v>
      </c>
      <c r="U282" s="196">
        <v>108</v>
      </c>
      <c r="V282" s="197">
        <v>108</v>
      </c>
      <c r="W282" s="195">
        <v>125.7</v>
      </c>
      <c r="X282" s="196">
        <v>108</v>
      </c>
      <c r="Y282" s="197">
        <v>108</v>
      </c>
      <c r="Z282" s="195">
        <v>125.7</v>
      </c>
      <c r="AA282" s="196">
        <v>108</v>
      </c>
      <c r="AB282" s="197">
        <v>108</v>
      </c>
      <c r="AC282" s="195">
        <v>125.7</v>
      </c>
      <c r="AD282" s="196">
        <v>108</v>
      </c>
      <c r="AE282" s="197">
        <v>108</v>
      </c>
      <c r="AF282" s="195">
        <v>125.7</v>
      </c>
      <c r="AG282" s="196">
        <v>108</v>
      </c>
      <c r="AH282" s="197">
        <v>108</v>
      </c>
      <c r="AI282" s="200" t="s">
        <v>801</v>
      </c>
      <c r="AJ282" s="193" t="s">
        <v>1673</v>
      </c>
      <c r="AK282" s="201" t="s">
        <v>1592</v>
      </c>
      <c r="AL282" s="205">
        <v>3</v>
      </c>
      <c r="AM282" s="200">
        <v>123.233</v>
      </c>
      <c r="AN282" s="204">
        <v>123.233</v>
      </c>
      <c r="AO282" s="203"/>
      <c r="AP282" s="207" t="s">
        <v>76</v>
      </c>
      <c r="AQ282" s="199" t="s">
        <v>1619</v>
      </c>
      <c r="AR282" s="202"/>
      <c r="AS282" s="205">
        <v>2044</v>
      </c>
      <c r="AT282" s="206"/>
      <c r="AU282" s="201" t="s">
        <v>24</v>
      </c>
      <c r="AV282" s="193" t="s">
        <v>13</v>
      </c>
      <c r="AW282" s="205">
        <v>1179</v>
      </c>
    </row>
    <row r="283" spans="1:49">
      <c r="A283" s="192" t="s">
        <v>45</v>
      </c>
      <c r="B283" s="194" t="s">
        <v>1555</v>
      </c>
      <c r="C283" s="160" t="s">
        <v>800</v>
      </c>
      <c r="D283" s="193" t="s">
        <v>3201</v>
      </c>
      <c r="E283" s="195">
        <v>0</v>
      </c>
      <c r="F283" s="196">
        <v>0</v>
      </c>
      <c r="G283" s="197">
        <v>0</v>
      </c>
      <c r="H283" s="195">
        <v>0</v>
      </c>
      <c r="I283" s="196">
        <v>0</v>
      </c>
      <c r="J283" s="197">
        <v>0</v>
      </c>
      <c r="K283" s="195">
        <v>0</v>
      </c>
      <c r="L283" s="196">
        <v>0</v>
      </c>
      <c r="M283" s="197">
        <v>0</v>
      </c>
      <c r="N283" s="195">
        <v>0</v>
      </c>
      <c r="O283" s="196">
        <v>0</v>
      </c>
      <c r="P283" s="197">
        <v>0</v>
      </c>
      <c r="Q283" s="195">
        <v>0</v>
      </c>
      <c r="R283" s="196">
        <v>0</v>
      </c>
      <c r="S283" s="197">
        <v>0</v>
      </c>
      <c r="T283" s="195">
        <v>0</v>
      </c>
      <c r="U283" s="196">
        <v>0</v>
      </c>
      <c r="V283" s="197">
        <v>0</v>
      </c>
      <c r="W283" s="195">
        <v>0</v>
      </c>
      <c r="X283" s="196">
        <v>0</v>
      </c>
      <c r="Y283" s="197">
        <v>0</v>
      </c>
      <c r="Z283" s="195">
        <v>0</v>
      </c>
      <c r="AA283" s="196">
        <v>0</v>
      </c>
      <c r="AB283" s="197">
        <v>0</v>
      </c>
      <c r="AC283" s="195">
        <v>0</v>
      </c>
      <c r="AD283" s="196">
        <v>0</v>
      </c>
      <c r="AE283" s="197">
        <v>0</v>
      </c>
      <c r="AF283" s="195">
        <v>0</v>
      </c>
      <c r="AG283" s="196">
        <v>0</v>
      </c>
      <c r="AH283" s="197">
        <v>0</v>
      </c>
      <c r="AI283" s="200" t="s">
        <v>801</v>
      </c>
      <c r="AJ283" s="193" t="s">
        <v>2072</v>
      </c>
      <c r="AK283" s="201" t="s">
        <v>1592</v>
      </c>
      <c r="AL283" s="205">
        <v>1</v>
      </c>
      <c r="AM283" s="200">
        <v>61.765999999999998</v>
      </c>
      <c r="AN283" s="204">
        <v>61.765999999999998</v>
      </c>
      <c r="AO283" s="203"/>
      <c r="AP283" s="207" t="s">
        <v>76</v>
      </c>
      <c r="AQ283" s="199" t="s">
        <v>1619</v>
      </c>
      <c r="AR283" s="202"/>
      <c r="AS283" s="205">
        <v>2044</v>
      </c>
      <c r="AT283" s="206"/>
      <c r="AU283" s="201" t="s">
        <v>24</v>
      </c>
      <c r="AV283" s="193" t="s">
        <v>12</v>
      </c>
      <c r="AW283" s="205">
        <v>1179</v>
      </c>
    </row>
    <row r="284" spans="1:49">
      <c r="A284" s="192" t="s">
        <v>91</v>
      </c>
      <c r="B284" s="194" t="s">
        <v>1555</v>
      </c>
      <c r="C284" s="160" t="s">
        <v>297</v>
      </c>
      <c r="D284" s="193" t="s">
        <v>299</v>
      </c>
      <c r="E284" s="195">
        <v>156.9</v>
      </c>
      <c r="F284" s="196">
        <v>138.1</v>
      </c>
      <c r="G284" s="197">
        <v>123</v>
      </c>
      <c r="H284" s="195">
        <v>156.9</v>
      </c>
      <c r="I284" s="196">
        <v>138.1</v>
      </c>
      <c r="J284" s="197">
        <v>123</v>
      </c>
      <c r="K284" s="195">
        <v>156.9</v>
      </c>
      <c r="L284" s="196">
        <v>138.1</v>
      </c>
      <c r="M284" s="197">
        <v>123</v>
      </c>
      <c r="N284" s="195">
        <v>156.9</v>
      </c>
      <c r="O284" s="196">
        <v>138.1</v>
      </c>
      <c r="P284" s="197">
        <v>123</v>
      </c>
      <c r="Q284" s="195">
        <v>156.9</v>
      </c>
      <c r="R284" s="196">
        <v>138.1</v>
      </c>
      <c r="S284" s="197">
        <v>123</v>
      </c>
      <c r="T284" s="195">
        <v>156.9</v>
      </c>
      <c r="U284" s="196">
        <v>138.1</v>
      </c>
      <c r="V284" s="197">
        <v>123</v>
      </c>
      <c r="W284" s="195">
        <v>156.9</v>
      </c>
      <c r="X284" s="196">
        <v>138.1</v>
      </c>
      <c r="Y284" s="197">
        <v>123</v>
      </c>
      <c r="Z284" s="195">
        <v>156.9</v>
      </c>
      <c r="AA284" s="196">
        <v>138.1</v>
      </c>
      <c r="AB284" s="197">
        <v>123</v>
      </c>
      <c r="AC284" s="195">
        <v>156.9</v>
      </c>
      <c r="AD284" s="196">
        <v>138.1</v>
      </c>
      <c r="AE284" s="197">
        <v>123</v>
      </c>
      <c r="AF284" s="195">
        <v>156.9</v>
      </c>
      <c r="AG284" s="196">
        <v>138.1</v>
      </c>
      <c r="AH284" s="197">
        <v>123</v>
      </c>
      <c r="AI284" s="200" t="s">
        <v>298</v>
      </c>
      <c r="AJ284" s="193" t="s">
        <v>1673</v>
      </c>
      <c r="AK284" s="201" t="s">
        <v>1635</v>
      </c>
      <c r="AL284" s="205">
        <v>5</v>
      </c>
      <c r="AM284" s="200"/>
      <c r="AN284" s="204">
        <v>154</v>
      </c>
      <c r="AO284" s="203"/>
      <c r="AP284" s="207" t="s">
        <v>76</v>
      </c>
      <c r="AQ284" s="199" t="s">
        <v>1619</v>
      </c>
      <c r="AR284" s="202">
        <v>44713</v>
      </c>
      <c r="AS284" s="205">
        <v>2046</v>
      </c>
      <c r="AT284" s="206"/>
      <c r="AU284" s="201" t="s">
        <v>24</v>
      </c>
      <c r="AV284" s="193" t="s">
        <v>13</v>
      </c>
      <c r="AW284" s="205">
        <v>1532</v>
      </c>
    </row>
    <row r="285" spans="1:49">
      <c r="A285" s="192" t="s">
        <v>91</v>
      </c>
      <c r="B285" s="194" t="s">
        <v>1555</v>
      </c>
      <c r="C285" s="160" t="s">
        <v>3206</v>
      </c>
      <c r="D285" s="193" t="s">
        <v>3208</v>
      </c>
      <c r="E285" s="195">
        <v>144</v>
      </c>
      <c r="F285" s="196">
        <v>144</v>
      </c>
      <c r="G285" s="197">
        <v>133.19999999999999</v>
      </c>
      <c r="H285" s="195">
        <v>144</v>
      </c>
      <c r="I285" s="196">
        <v>144</v>
      </c>
      <c r="J285" s="197">
        <v>133.19999999999999</v>
      </c>
      <c r="K285" s="195">
        <v>144</v>
      </c>
      <c r="L285" s="196">
        <v>144</v>
      </c>
      <c r="M285" s="197">
        <v>133.19999999999999</v>
      </c>
      <c r="N285" s="195">
        <v>144</v>
      </c>
      <c r="O285" s="196">
        <v>144</v>
      </c>
      <c r="P285" s="197">
        <v>133.19999999999999</v>
      </c>
      <c r="Q285" s="195">
        <v>144</v>
      </c>
      <c r="R285" s="196">
        <v>144</v>
      </c>
      <c r="S285" s="197">
        <v>133.19999999999999</v>
      </c>
      <c r="T285" s="195">
        <v>144</v>
      </c>
      <c r="U285" s="196">
        <v>144</v>
      </c>
      <c r="V285" s="197">
        <v>133.19999999999999</v>
      </c>
      <c r="W285" s="195">
        <v>144</v>
      </c>
      <c r="X285" s="196">
        <v>144</v>
      </c>
      <c r="Y285" s="197">
        <v>133.19999999999999</v>
      </c>
      <c r="Z285" s="195">
        <v>144</v>
      </c>
      <c r="AA285" s="196">
        <v>144</v>
      </c>
      <c r="AB285" s="197">
        <v>133.19999999999999</v>
      </c>
      <c r="AC285" s="195">
        <v>144</v>
      </c>
      <c r="AD285" s="196">
        <v>144</v>
      </c>
      <c r="AE285" s="197">
        <v>133.19999999999999</v>
      </c>
      <c r="AF285" s="195">
        <v>144</v>
      </c>
      <c r="AG285" s="196">
        <v>144</v>
      </c>
      <c r="AH285" s="197">
        <v>133.19999999999999</v>
      </c>
      <c r="AI285" s="200" t="s">
        <v>3207</v>
      </c>
      <c r="AJ285" s="193" t="s">
        <v>1625</v>
      </c>
      <c r="AK285" s="201" t="s">
        <v>1609</v>
      </c>
      <c r="AL285" s="205">
        <v>48</v>
      </c>
      <c r="AM285" s="200"/>
      <c r="AN285" s="204">
        <v>144</v>
      </c>
      <c r="AO285" s="203"/>
      <c r="AP285" s="207" t="s">
        <v>76</v>
      </c>
      <c r="AQ285" s="199" t="s">
        <v>1620</v>
      </c>
      <c r="AR285" s="202"/>
      <c r="AS285" s="205">
        <v>2039</v>
      </c>
      <c r="AT285" s="206"/>
      <c r="AU285" s="201" t="s">
        <v>24</v>
      </c>
      <c r="AV285" s="193" t="s">
        <v>16</v>
      </c>
      <c r="AW285" s="205">
        <v>1181</v>
      </c>
    </row>
    <row r="286" spans="1:49">
      <c r="A286" s="192" t="s">
        <v>91</v>
      </c>
      <c r="B286" s="194" t="s">
        <v>1555</v>
      </c>
      <c r="C286" s="160" t="s">
        <v>3206</v>
      </c>
      <c r="D286" s="193" t="s">
        <v>3209</v>
      </c>
      <c r="E286" s="195">
        <v>126</v>
      </c>
      <c r="F286" s="196">
        <v>126</v>
      </c>
      <c r="G286" s="197">
        <v>116.55</v>
      </c>
      <c r="H286" s="195">
        <v>126</v>
      </c>
      <c r="I286" s="196">
        <v>126</v>
      </c>
      <c r="J286" s="197">
        <v>116.55</v>
      </c>
      <c r="K286" s="195">
        <v>126</v>
      </c>
      <c r="L286" s="196">
        <v>126</v>
      </c>
      <c r="M286" s="197">
        <v>116.55</v>
      </c>
      <c r="N286" s="195">
        <v>126</v>
      </c>
      <c r="O286" s="196">
        <v>126</v>
      </c>
      <c r="P286" s="197">
        <v>116.55</v>
      </c>
      <c r="Q286" s="195">
        <v>126</v>
      </c>
      <c r="R286" s="196">
        <v>126</v>
      </c>
      <c r="S286" s="197">
        <v>116.55</v>
      </c>
      <c r="T286" s="195">
        <v>126</v>
      </c>
      <c r="U286" s="196">
        <v>126</v>
      </c>
      <c r="V286" s="197">
        <v>116.55</v>
      </c>
      <c r="W286" s="195">
        <v>126</v>
      </c>
      <c r="X286" s="196">
        <v>126</v>
      </c>
      <c r="Y286" s="197">
        <v>116.55</v>
      </c>
      <c r="Z286" s="195">
        <v>126</v>
      </c>
      <c r="AA286" s="196">
        <v>126</v>
      </c>
      <c r="AB286" s="197">
        <v>116.55</v>
      </c>
      <c r="AC286" s="195">
        <v>126</v>
      </c>
      <c r="AD286" s="196">
        <v>126</v>
      </c>
      <c r="AE286" s="197">
        <v>116.55</v>
      </c>
      <c r="AF286" s="195">
        <v>126</v>
      </c>
      <c r="AG286" s="196">
        <v>126</v>
      </c>
      <c r="AH286" s="197">
        <v>116.55</v>
      </c>
      <c r="AI286" s="200" t="s">
        <v>3207</v>
      </c>
      <c r="AJ286" s="193" t="s">
        <v>1625</v>
      </c>
      <c r="AK286" s="201" t="s">
        <v>1609</v>
      </c>
      <c r="AL286" s="205">
        <v>42</v>
      </c>
      <c r="AM286" s="200"/>
      <c r="AN286" s="204">
        <v>126</v>
      </c>
      <c r="AO286" s="203"/>
      <c r="AP286" s="207" t="s">
        <v>76</v>
      </c>
      <c r="AQ286" s="199" t="s">
        <v>1620</v>
      </c>
      <c r="AR286" s="202"/>
      <c r="AS286" s="205">
        <v>2039</v>
      </c>
      <c r="AT286" s="206"/>
      <c r="AU286" s="201" t="s">
        <v>24</v>
      </c>
      <c r="AV286" s="193" t="s">
        <v>16</v>
      </c>
      <c r="AW286" s="205">
        <v>1181</v>
      </c>
    </row>
    <row r="287" spans="1:49">
      <c r="A287" s="192" t="s">
        <v>91</v>
      </c>
      <c r="B287" s="194" t="s">
        <v>1555</v>
      </c>
      <c r="C287" s="160" t="s">
        <v>3210</v>
      </c>
      <c r="D287" s="193" t="s">
        <v>3212</v>
      </c>
      <c r="E287" s="195">
        <v>98.7</v>
      </c>
      <c r="F287" s="196">
        <v>98.7</v>
      </c>
      <c r="G287" s="197">
        <v>65.8</v>
      </c>
      <c r="H287" s="195">
        <v>98.7</v>
      </c>
      <c r="I287" s="196">
        <v>98.7</v>
      </c>
      <c r="J287" s="197">
        <v>65.8</v>
      </c>
      <c r="K287" s="195">
        <v>98.7</v>
      </c>
      <c r="L287" s="196">
        <v>98.7</v>
      </c>
      <c r="M287" s="197">
        <v>65.8</v>
      </c>
      <c r="N287" s="195">
        <v>98.7</v>
      </c>
      <c r="O287" s="196">
        <v>98.7</v>
      </c>
      <c r="P287" s="197">
        <v>65.8</v>
      </c>
      <c r="Q287" s="195">
        <v>98.7</v>
      </c>
      <c r="R287" s="196">
        <v>98.7</v>
      </c>
      <c r="S287" s="197">
        <v>65.8</v>
      </c>
      <c r="T287" s="195">
        <v>98.7</v>
      </c>
      <c r="U287" s="196">
        <v>98.7</v>
      </c>
      <c r="V287" s="197">
        <v>65.8</v>
      </c>
      <c r="W287" s="195">
        <v>98.7</v>
      </c>
      <c r="X287" s="196">
        <v>98.7</v>
      </c>
      <c r="Y287" s="197">
        <v>65.8</v>
      </c>
      <c r="Z287" s="195">
        <v>98.7</v>
      </c>
      <c r="AA287" s="196">
        <v>98.7</v>
      </c>
      <c r="AB287" s="197">
        <v>65.8</v>
      </c>
      <c r="AC287" s="195">
        <v>98.7</v>
      </c>
      <c r="AD287" s="196">
        <v>98.7</v>
      </c>
      <c r="AE287" s="197">
        <v>65.8</v>
      </c>
      <c r="AF287" s="195">
        <v>98.7</v>
      </c>
      <c r="AG287" s="196">
        <v>98.7</v>
      </c>
      <c r="AH287" s="197">
        <v>65.8</v>
      </c>
      <c r="AI287" s="200" t="s">
        <v>3211</v>
      </c>
      <c r="AJ287" s="193" t="s">
        <v>1625</v>
      </c>
      <c r="AK287" s="201" t="s">
        <v>1609</v>
      </c>
      <c r="AL287" s="205">
        <v>47</v>
      </c>
      <c r="AM287" s="200"/>
      <c r="AN287" s="204">
        <v>98.7</v>
      </c>
      <c r="AO287" s="203"/>
      <c r="AP287" s="207" t="s">
        <v>76</v>
      </c>
      <c r="AQ287" s="199" t="s">
        <v>1620</v>
      </c>
      <c r="AR287" s="202"/>
      <c r="AS287" s="205">
        <v>2033</v>
      </c>
      <c r="AT287" s="206"/>
      <c r="AU287" s="201" t="s">
        <v>24</v>
      </c>
      <c r="AV287" s="193" t="s">
        <v>16</v>
      </c>
      <c r="AW287" s="205">
        <v>1180</v>
      </c>
    </row>
    <row r="288" spans="1:49">
      <c r="A288" s="192" t="s">
        <v>45</v>
      </c>
      <c r="B288" s="194" t="s">
        <v>1599</v>
      </c>
      <c r="C288" s="160" t="s">
        <v>3213</v>
      </c>
      <c r="D288" s="193" t="s">
        <v>3744</v>
      </c>
      <c r="E288" s="195">
        <v>0</v>
      </c>
      <c r="F288" s="196">
        <v>0</v>
      </c>
      <c r="G288" s="197">
        <v>0</v>
      </c>
      <c r="H288" s="195">
        <v>0</v>
      </c>
      <c r="I288" s="196">
        <v>0</v>
      </c>
      <c r="J288" s="197">
        <v>0</v>
      </c>
      <c r="K288" s="195">
        <v>0</v>
      </c>
      <c r="L288" s="196">
        <v>0</v>
      </c>
      <c r="M288" s="197">
        <v>0</v>
      </c>
      <c r="N288" s="195">
        <v>0</v>
      </c>
      <c r="O288" s="196">
        <v>0</v>
      </c>
      <c r="P288" s="197">
        <v>0</v>
      </c>
      <c r="Q288" s="195">
        <v>0</v>
      </c>
      <c r="R288" s="196">
        <v>0</v>
      </c>
      <c r="S288" s="197">
        <v>0</v>
      </c>
      <c r="T288" s="195">
        <v>333</v>
      </c>
      <c r="U288" s="196">
        <v>999</v>
      </c>
      <c r="V288" s="197">
        <v>999</v>
      </c>
      <c r="W288" s="195">
        <v>1333.2</v>
      </c>
      <c r="X288" s="196">
        <v>1999.8</v>
      </c>
      <c r="Y288" s="197">
        <v>1999.8</v>
      </c>
      <c r="Z288" s="195">
        <v>1999.8</v>
      </c>
      <c r="AA288" s="196">
        <v>1999.8</v>
      </c>
      <c r="AB288" s="197">
        <v>1999.8</v>
      </c>
      <c r="AC288" s="195">
        <v>1999.8</v>
      </c>
      <c r="AD288" s="196">
        <v>1999.8</v>
      </c>
      <c r="AE288" s="197">
        <v>1999.8</v>
      </c>
      <c r="AF288" s="195">
        <v>1999.8</v>
      </c>
      <c r="AG288" s="196">
        <v>1999.8</v>
      </c>
      <c r="AH288" s="197">
        <v>1999.8</v>
      </c>
      <c r="AI288" s="200" t="s">
        <v>805</v>
      </c>
      <c r="AJ288" s="193" t="s">
        <v>1657</v>
      </c>
      <c r="AK288" s="201" t="s">
        <v>1658</v>
      </c>
      <c r="AL288" s="205">
        <v>6</v>
      </c>
      <c r="AM288" s="200"/>
      <c r="AN288" s="204">
        <v>2040</v>
      </c>
      <c r="AO288" s="203">
        <v>349980</v>
      </c>
      <c r="AP288" s="207" t="s">
        <v>2606</v>
      </c>
      <c r="AQ288" s="199" t="s">
        <v>1619</v>
      </c>
      <c r="AR288" s="202">
        <v>47453</v>
      </c>
      <c r="AS288" s="205">
        <v>2129</v>
      </c>
      <c r="AT288" s="206"/>
      <c r="AU288" s="201" t="s">
        <v>26</v>
      </c>
      <c r="AV288" s="193" t="s">
        <v>17</v>
      </c>
      <c r="AW288" s="205">
        <v>1752</v>
      </c>
    </row>
    <row r="289" spans="1:49">
      <c r="A289" s="192" t="s">
        <v>91</v>
      </c>
      <c r="B289" s="194" t="s">
        <v>1555</v>
      </c>
      <c r="C289" s="160" t="s">
        <v>3214</v>
      </c>
      <c r="D289" s="193" t="s">
        <v>3215</v>
      </c>
      <c r="E289" s="195">
        <v>63</v>
      </c>
      <c r="F289" s="196">
        <v>57</v>
      </c>
      <c r="G289" s="197">
        <v>54</v>
      </c>
      <c r="H289" s="195">
        <v>63</v>
      </c>
      <c r="I289" s="196">
        <v>57</v>
      </c>
      <c r="J289" s="197">
        <v>54</v>
      </c>
      <c r="K289" s="195">
        <v>63</v>
      </c>
      <c r="L289" s="196">
        <v>57</v>
      </c>
      <c r="M289" s="197">
        <v>54</v>
      </c>
      <c r="N289" s="195">
        <v>63</v>
      </c>
      <c r="O289" s="196">
        <v>57</v>
      </c>
      <c r="P289" s="197">
        <v>54</v>
      </c>
      <c r="Q289" s="195">
        <v>63</v>
      </c>
      <c r="R289" s="196">
        <v>57</v>
      </c>
      <c r="S289" s="197">
        <v>54</v>
      </c>
      <c r="T289" s="195">
        <v>63</v>
      </c>
      <c r="U289" s="196">
        <v>57</v>
      </c>
      <c r="V289" s="197">
        <v>54</v>
      </c>
      <c r="W289" s="195">
        <v>63</v>
      </c>
      <c r="X289" s="196">
        <v>57</v>
      </c>
      <c r="Y289" s="197">
        <v>54</v>
      </c>
      <c r="Z289" s="195">
        <v>63</v>
      </c>
      <c r="AA289" s="196">
        <v>57</v>
      </c>
      <c r="AB289" s="197">
        <v>54</v>
      </c>
      <c r="AC289" s="195">
        <v>0</v>
      </c>
      <c r="AD289" s="196">
        <v>0</v>
      </c>
      <c r="AE289" s="197">
        <v>0</v>
      </c>
      <c r="AF289" s="195">
        <v>0</v>
      </c>
      <c r="AG289" s="196">
        <v>0</v>
      </c>
      <c r="AH289" s="197">
        <v>0</v>
      </c>
      <c r="AI289" s="200" t="s">
        <v>2167</v>
      </c>
      <c r="AJ289" s="193" t="s">
        <v>1673</v>
      </c>
      <c r="AK289" s="201" t="s">
        <v>1635</v>
      </c>
      <c r="AL289" s="205">
        <v>3</v>
      </c>
      <c r="AM289" s="200"/>
      <c r="AN289" s="204">
        <v>63</v>
      </c>
      <c r="AO289" s="203"/>
      <c r="AP289" s="207" t="s">
        <v>76</v>
      </c>
      <c r="AQ289" s="199" t="s">
        <v>1619</v>
      </c>
      <c r="AR289" s="202"/>
      <c r="AS289" s="205">
        <v>2030</v>
      </c>
      <c r="AT289" s="206"/>
      <c r="AU289" s="201" t="s">
        <v>24</v>
      </c>
      <c r="AV289" s="193" t="s">
        <v>13</v>
      </c>
      <c r="AW289" s="205">
        <v>1182</v>
      </c>
    </row>
    <row r="290" spans="1:49">
      <c r="A290" s="192" t="s">
        <v>110</v>
      </c>
      <c r="B290" s="194" t="s">
        <v>1555</v>
      </c>
      <c r="C290" s="160" t="s">
        <v>890</v>
      </c>
      <c r="D290" s="193" t="s">
        <v>3218</v>
      </c>
      <c r="E290" s="195">
        <v>170</v>
      </c>
      <c r="F290" s="196">
        <v>150</v>
      </c>
      <c r="G290" s="197">
        <v>140</v>
      </c>
      <c r="H290" s="195">
        <v>170</v>
      </c>
      <c r="I290" s="196">
        <v>150</v>
      </c>
      <c r="J290" s="197">
        <v>140</v>
      </c>
      <c r="K290" s="195">
        <v>170</v>
      </c>
      <c r="L290" s="196">
        <v>150</v>
      </c>
      <c r="M290" s="197">
        <v>140</v>
      </c>
      <c r="N290" s="195">
        <v>170</v>
      </c>
      <c r="O290" s="196">
        <v>150</v>
      </c>
      <c r="P290" s="197">
        <v>140</v>
      </c>
      <c r="Q290" s="195">
        <v>170</v>
      </c>
      <c r="R290" s="196">
        <v>150</v>
      </c>
      <c r="S290" s="197">
        <v>140</v>
      </c>
      <c r="T290" s="195">
        <v>170</v>
      </c>
      <c r="U290" s="196">
        <v>150</v>
      </c>
      <c r="V290" s="197">
        <v>140</v>
      </c>
      <c r="W290" s="195">
        <v>170</v>
      </c>
      <c r="X290" s="196">
        <v>150</v>
      </c>
      <c r="Y290" s="197">
        <v>140</v>
      </c>
      <c r="Z290" s="195">
        <v>170</v>
      </c>
      <c r="AA290" s="196">
        <v>170</v>
      </c>
      <c r="AB290" s="197">
        <v>140</v>
      </c>
      <c r="AC290" s="195">
        <v>170</v>
      </c>
      <c r="AD290" s="196">
        <v>170</v>
      </c>
      <c r="AE290" s="197">
        <v>140</v>
      </c>
      <c r="AF290" s="195">
        <v>170</v>
      </c>
      <c r="AG290" s="196">
        <v>170</v>
      </c>
      <c r="AH290" s="197">
        <v>140</v>
      </c>
      <c r="AI290" s="200" t="s">
        <v>891</v>
      </c>
      <c r="AJ290" s="193" t="s">
        <v>1673</v>
      </c>
      <c r="AK290" s="201" t="s">
        <v>1592</v>
      </c>
      <c r="AL290" s="205">
        <v>4</v>
      </c>
      <c r="AM290" s="200">
        <v>0</v>
      </c>
      <c r="AN290" s="204">
        <v>170</v>
      </c>
      <c r="AO290" s="203"/>
      <c r="AP290" s="207" t="s">
        <v>76</v>
      </c>
      <c r="AQ290" s="199" t="s">
        <v>1619</v>
      </c>
      <c r="AR290" s="202"/>
      <c r="AS290" s="205">
        <v>2033</v>
      </c>
      <c r="AT290" s="206"/>
      <c r="AU290" s="201" t="s">
        <v>24</v>
      </c>
      <c r="AV290" s="193" t="s">
        <v>13</v>
      </c>
      <c r="AW290" s="205">
        <v>1183</v>
      </c>
    </row>
    <row r="291" spans="1:49">
      <c r="A291" s="192" t="s">
        <v>77</v>
      </c>
      <c r="B291" s="194" t="s">
        <v>1555</v>
      </c>
      <c r="C291" s="160" t="s">
        <v>3262</v>
      </c>
      <c r="D291" s="193" t="s">
        <v>3263</v>
      </c>
      <c r="E291" s="195">
        <v>365</v>
      </c>
      <c r="F291" s="196">
        <v>365</v>
      </c>
      <c r="G291" s="197">
        <v>365</v>
      </c>
      <c r="H291" s="195">
        <v>365</v>
      </c>
      <c r="I291" s="196">
        <v>365</v>
      </c>
      <c r="J291" s="197">
        <v>365</v>
      </c>
      <c r="K291" s="195">
        <v>365</v>
      </c>
      <c r="L291" s="196">
        <v>365</v>
      </c>
      <c r="M291" s="197">
        <v>365</v>
      </c>
      <c r="N291" s="195">
        <v>365</v>
      </c>
      <c r="O291" s="196">
        <v>365</v>
      </c>
      <c r="P291" s="197">
        <v>365</v>
      </c>
      <c r="Q291" s="195">
        <v>365</v>
      </c>
      <c r="R291" s="196">
        <v>365</v>
      </c>
      <c r="S291" s="197">
        <v>365</v>
      </c>
      <c r="T291" s="195">
        <v>365</v>
      </c>
      <c r="U291" s="196">
        <v>365</v>
      </c>
      <c r="V291" s="197">
        <v>365</v>
      </c>
      <c r="W291" s="195">
        <v>365</v>
      </c>
      <c r="X291" s="196">
        <v>365</v>
      </c>
      <c r="Y291" s="197">
        <v>365</v>
      </c>
      <c r="Z291" s="195">
        <v>365</v>
      </c>
      <c r="AA291" s="196">
        <v>365</v>
      </c>
      <c r="AB291" s="197">
        <v>365</v>
      </c>
      <c r="AC291" s="195">
        <v>365</v>
      </c>
      <c r="AD291" s="196">
        <v>365</v>
      </c>
      <c r="AE291" s="197">
        <v>365</v>
      </c>
      <c r="AF291" s="195">
        <v>365</v>
      </c>
      <c r="AG291" s="196">
        <v>365</v>
      </c>
      <c r="AH291" s="197">
        <v>365</v>
      </c>
      <c r="AI291" s="200" t="s">
        <v>208</v>
      </c>
      <c r="AJ291" s="193" t="s">
        <v>1739</v>
      </c>
      <c r="AK291" s="201" t="s">
        <v>1740</v>
      </c>
      <c r="AL291" s="205">
        <v>1</v>
      </c>
      <c r="AM291" s="200"/>
      <c r="AN291" s="204">
        <v>365</v>
      </c>
      <c r="AO291" s="203"/>
      <c r="AP291" s="207" t="s">
        <v>76</v>
      </c>
      <c r="AQ291" s="199" t="s">
        <v>1619</v>
      </c>
      <c r="AR291" s="202"/>
      <c r="AS291" s="205">
        <v>2043</v>
      </c>
      <c r="AT291" s="206"/>
      <c r="AU291" s="201" t="s">
        <v>24</v>
      </c>
      <c r="AV291" s="193" t="s">
        <v>11</v>
      </c>
      <c r="AW291" s="205">
        <v>1185</v>
      </c>
    </row>
    <row r="292" spans="1:49">
      <c r="A292" s="192" t="s">
        <v>77</v>
      </c>
      <c r="B292" s="194" t="s">
        <v>1555</v>
      </c>
      <c r="C292" s="160" t="s">
        <v>3262</v>
      </c>
      <c r="D292" s="193" t="s">
        <v>3264</v>
      </c>
      <c r="E292" s="195">
        <v>365</v>
      </c>
      <c r="F292" s="196">
        <v>365</v>
      </c>
      <c r="G292" s="197">
        <v>365</v>
      </c>
      <c r="H292" s="195">
        <v>365</v>
      </c>
      <c r="I292" s="196">
        <v>365</v>
      </c>
      <c r="J292" s="197">
        <v>365</v>
      </c>
      <c r="K292" s="195">
        <v>365</v>
      </c>
      <c r="L292" s="196">
        <v>365</v>
      </c>
      <c r="M292" s="197">
        <v>365</v>
      </c>
      <c r="N292" s="195">
        <v>365</v>
      </c>
      <c r="O292" s="196">
        <v>365</v>
      </c>
      <c r="P292" s="197">
        <v>365</v>
      </c>
      <c r="Q292" s="195">
        <v>365</v>
      </c>
      <c r="R292" s="196">
        <v>365</v>
      </c>
      <c r="S292" s="197">
        <v>365</v>
      </c>
      <c r="T292" s="195">
        <v>365</v>
      </c>
      <c r="U292" s="196">
        <v>365</v>
      </c>
      <c r="V292" s="197">
        <v>365</v>
      </c>
      <c r="W292" s="195">
        <v>365</v>
      </c>
      <c r="X292" s="196">
        <v>365</v>
      </c>
      <c r="Y292" s="197">
        <v>365</v>
      </c>
      <c r="Z292" s="195">
        <v>365</v>
      </c>
      <c r="AA292" s="196">
        <v>365</v>
      </c>
      <c r="AB292" s="197">
        <v>365</v>
      </c>
      <c r="AC292" s="195">
        <v>365</v>
      </c>
      <c r="AD292" s="196">
        <v>365</v>
      </c>
      <c r="AE292" s="197">
        <v>365</v>
      </c>
      <c r="AF292" s="195">
        <v>365</v>
      </c>
      <c r="AG292" s="196">
        <v>365</v>
      </c>
      <c r="AH292" s="197">
        <v>365</v>
      </c>
      <c r="AI292" s="200" t="s">
        <v>208</v>
      </c>
      <c r="AJ292" s="193" t="s">
        <v>1739</v>
      </c>
      <c r="AK292" s="201" t="s">
        <v>1740</v>
      </c>
      <c r="AL292" s="205">
        <v>1</v>
      </c>
      <c r="AM292" s="200"/>
      <c r="AN292" s="204">
        <v>365</v>
      </c>
      <c r="AO292" s="203"/>
      <c r="AP292" s="207" t="s">
        <v>76</v>
      </c>
      <c r="AQ292" s="199" t="s">
        <v>1619</v>
      </c>
      <c r="AR292" s="202"/>
      <c r="AS292" s="205">
        <v>2044</v>
      </c>
      <c r="AT292" s="206"/>
      <c r="AU292" s="201" t="s">
        <v>24</v>
      </c>
      <c r="AV292" s="193" t="s">
        <v>11</v>
      </c>
      <c r="AW292" s="205">
        <v>1185</v>
      </c>
    </row>
    <row r="293" spans="1:49">
      <c r="A293" s="192" t="s">
        <v>77</v>
      </c>
      <c r="B293" s="194" t="s">
        <v>1555</v>
      </c>
      <c r="C293" s="160" t="s">
        <v>3262</v>
      </c>
      <c r="D293" s="193" t="s">
        <v>3265</v>
      </c>
      <c r="E293" s="195">
        <v>365</v>
      </c>
      <c r="F293" s="196">
        <v>365</v>
      </c>
      <c r="G293" s="197">
        <v>365</v>
      </c>
      <c r="H293" s="195">
        <v>365</v>
      </c>
      <c r="I293" s="196">
        <v>365</v>
      </c>
      <c r="J293" s="197">
        <v>365</v>
      </c>
      <c r="K293" s="195">
        <v>365</v>
      </c>
      <c r="L293" s="196">
        <v>365</v>
      </c>
      <c r="M293" s="197">
        <v>365</v>
      </c>
      <c r="N293" s="195">
        <v>365</v>
      </c>
      <c r="O293" s="196">
        <v>365</v>
      </c>
      <c r="P293" s="197">
        <v>365</v>
      </c>
      <c r="Q293" s="195">
        <v>365</v>
      </c>
      <c r="R293" s="196">
        <v>365</v>
      </c>
      <c r="S293" s="197">
        <v>365</v>
      </c>
      <c r="T293" s="195">
        <v>365</v>
      </c>
      <c r="U293" s="196">
        <v>365</v>
      </c>
      <c r="V293" s="197">
        <v>365</v>
      </c>
      <c r="W293" s="195">
        <v>365</v>
      </c>
      <c r="X293" s="196">
        <v>365</v>
      </c>
      <c r="Y293" s="197">
        <v>365</v>
      </c>
      <c r="Z293" s="195">
        <v>365</v>
      </c>
      <c r="AA293" s="196">
        <v>365</v>
      </c>
      <c r="AB293" s="197">
        <v>365</v>
      </c>
      <c r="AC293" s="195">
        <v>365</v>
      </c>
      <c r="AD293" s="196">
        <v>365</v>
      </c>
      <c r="AE293" s="197">
        <v>365</v>
      </c>
      <c r="AF293" s="195">
        <v>365</v>
      </c>
      <c r="AG293" s="196">
        <v>365</v>
      </c>
      <c r="AH293" s="197">
        <v>365</v>
      </c>
      <c r="AI293" s="200" t="s">
        <v>208</v>
      </c>
      <c r="AJ293" s="193" t="s">
        <v>1739</v>
      </c>
      <c r="AK293" s="201" t="s">
        <v>1740</v>
      </c>
      <c r="AL293" s="205">
        <v>1</v>
      </c>
      <c r="AM293" s="200"/>
      <c r="AN293" s="204">
        <v>365</v>
      </c>
      <c r="AO293" s="203"/>
      <c r="AP293" s="207" t="s">
        <v>76</v>
      </c>
      <c r="AQ293" s="199" t="s">
        <v>1619</v>
      </c>
      <c r="AR293" s="202"/>
      <c r="AS293" s="205">
        <v>2045</v>
      </c>
      <c r="AT293" s="206"/>
      <c r="AU293" s="201" t="s">
        <v>24</v>
      </c>
      <c r="AV293" s="193" t="s">
        <v>11</v>
      </c>
      <c r="AW293" s="205">
        <v>1185</v>
      </c>
    </row>
    <row r="294" spans="1:49">
      <c r="A294" s="192" t="s">
        <v>77</v>
      </c>
      <c r="B294" s="194" t="s">
        <v>1555</v>
      </c>
      <c r="C294" s="160" t="s">
        <v>3262</v>
      </c>
      <c r="D294" s="193" t="s">
        <v>3266</v>
      </c>
      <c r="E294" s="195">
        <v>365</v>
      </c>
      <c r="F294" s="196">
        <v>365</v>
      </c>
      <c r="G294" s="197">
        <v>365</v>
      </c>
      <c r="H294" s="195">
        <v>365</v>
      </c>
      <c r="I294" s="196">
        <v>365</v>
      </c>
      <c r="J294" s="197">
        <v>365</v>
      </c>
      <c r="K294" s="195">
        <v>365</v>
      </c>
      <c r="L294" s="196">
        <v>365</v>
      </c>
      <c r="M294" s="197">
        <v>365</v>
      </c>
      <c r="N294" s="195">
        <v>365</v>
      </c>
      <c r="O294" s="196">
        <v>365</v>
      </c>
      <c r="P294" s="197">
        <v>365</v>
      </c>
      <c r="Q294" s="195">
        <v>365</v>
      </c>
      <c r="R294" s="196">
        <v>365</v>
      </c>
      <c r="S294" s="197">
        <v>365</v>
      </c>
      <c r="T294" s="195">
        <v>365</v>
      </c>
      <c r="U294" s="196">
        <v>365</v>
      </c>
      <c r="V294" s="197">
        <v>365</v>
      </c>
      <c r="W294" s="195">
        <v>365</v>
      </c>
      <c r="X294" s="196">
        <v>365</v>
      </c>
      <c r="Y294" s="197">
        <v>365</v>
      </c>
      <c r="Z294" s="195">
        <v>365</v>
      </c>
      <c r="AA294" s="196">
        <v>365</v>
      </c>
      <c r="AB294" s="197">
        <v>365</v>
      </c>
      <c r="AC294" s="195">
        <v>365</v>
      </c>
      <c r="AD294" s="196">
        <v>365</v>
      </c>
      <c r="AE294" s="197">
        <v>365</v>
      </c>
      <c r="AF294" s="195">
        <v>365</v>
      </c>
      <c r="AG294" s="196">
        <v>365</v>
      </c>
      <c r="AH294" s="197">
        <v>365</v>
      </c>
      <c r="AI294" s="200" t="s">
        <v>208</v>
      </c>
      <c r="AJ294" s="193" t="s">
        <v>1739</v>
      </c>
      <c r="AK294" s="201" t="s">
        <v>1740</v>
      </c>
      <c r="AL294" s="205">
        <v>1</v>
      </c>
      <c r="AM294" s="200"/>
      <c r="AN294" s="204">
        <v>365</v>
      </c>
      <c r="AO294" s="203"/>
      <c r="AP294" s="207" t="s">
        <v>76</v>
      </c>
      <c r="AQ294" s="199" t="s">
        <v>1619</v>
      </c>
      <c r="AR294" s="202"/>
      <c r="AS294" s="205">
        <v>2046</v>
      </c>
      <c r="AT294" s="206"/>
      <c r="AU294" s="201" t="s">
        <v>24</v>
      </c>
      <c r="AV294" s="193" t="s">
        <v>11</v>
      </c>
      <c r="AW294" s="205">
        <v>1185</v>
      </c>
    </row>
    <row r="295" spans="1:49">
      <c r="A295" s="192" t="s">
        <v>110</v>
      </c>
      <c r="B295" s="194" t="s">
        <v>1555</v>
      </c>
      <c r="C295" s="160" t="s">
        <v>387</v>
      </c>
      <c r="D295" s="193" t="s">
        <v>389</v>
      </c>
      <c r="E295" s="195">
        <v>511</v>
      </c>
      <c r="F295" s="196">
        <v>511</v>
      </c>
      <c r="G295" s="197">
        <v>511</v>
      </c>
      <c r="H295" s="195">
        <v>511</v>
      </c>
      <c r="I295" s="196">
        <v>511</v>
      </c>
      <c r="J295" s="197">
        <v>511</v>
      </c>
      <c r="K295" s="195">
        <v>511</v>
      </c>
      <c r="L295" s="196">
        <v>511</v>
      </c>
      <c r="M295" s="197">
        <v>511</v>
      </c>
      <c r="N295" s="195">
        <v>511</v>
      </c>
      <c r="O295" s="196">
        <v>511</v>
      </c>
      <c r="P295" s="197">
        <v>511</v>
      </c>
      <c r="Q295" s="195">
        <v>511</v>
      </c>
      <c r="R295" s="196">
        <v>511</v>
      </c>
      <c r="S295" s="197">
        <v>511</v>
      </c>
      <c r="T295" s="195">
        <v>511</v>
      </c>
      <c r="U295" s="196">
        <v>511</v>
      </c>
      <c r="V295" s="197">
        <v>511</v>
      </c>
      <c r="W295" s="195">
        <v>511</v>
      </c>
      <c r="X295" s="196">
        <v>511</v>
      </c>
      <c r="Y295" s="197">
        <v>511</v>
      </c>
      <c r="Z295" s="195">
        <v>511</v>
      </c>
      <c r="AA295" s="196">
        <v>511</v>
      </c>
      <c r="AB295" s="197">
        <v>511</v>
      </c>
      <c r="AC295" s="195">
        <v>511</v>
      </c>
      <c r="AD295" s="196">
        <v>511</v>
      </c>
      <c r="AE295" s="197">
        <v>511</v>
      </c>
      <c r="AF295" s="195">
        <v>511</v>
      </c>
      <c r="AG295" s="196">
        <v>511</v>
      </c>
      <c r="AH295" s="197">
        <v>511</v>
      </c>
      <c r="AI295" s="200" t="s">
        <v>388</v>
      </c>
      <c r="AJ295" s="193" t="s">
        <v>1625</v>
      </c>
      <c r="AK295" s="201" t="s">
        <v>1609</v>
      </c>
      <c r="AL295" s="205">
        <v>149</v>
      </c>
      <c r="AM295" s="200">
        <v>527.55999999999995</v>
      </c>
      <c r="AN295" s="204">
        <v>527.55999999999995</v>
      </c>
      <c r="AO295" s="203"/>
      <c r="AP295" s="207" t="s">
        <v>76</v>
      </c>
      <c r="AQ295" s="199" t="s">
        <v>1620</v>
      </c>
      <c r="AR295" s="202">
        <v>44682</v>
      </c>
      <c r="AS295" s="205">
        <v>2045</v>
      </c>
      <c r="AT295" s="206"/>
      <c r="AU295" s="201" t="s">
        <v>24</v>
      </c>
      <c r="AV295" s="193" t="s">
        <v>16</v>
      </c>
      <c r="AW295" s="205">
        <v>1187</v>
      </c>
    </row>
    <row r="296" spans="1:49">
      <c r="A296" s="192" t="s">
        <v>45</v>
      </c>
      <c r="B296" s="194" t="s">
        <v>1599</v>
      </c>
      <c r="C296" s="160" t="s">
        <v>64</v>
      </c>
      <c r="D296" s="193" t="s">
        <v>3744</v>
      </c>
      <c r="E296" s="195">
        <v>0</v>
      </c>
      <c r="F296" s="196">
        <v>0</v>
      </c>
      <c r="G296" s="197">
        <v>0</v>
      </c>
      <c r="H296" s="195">
        <v>100</v>
      </c>
      <c r="I296" s="196">
        <v>200</v>
      </c>
      <c r="J296" s="197">
        <v>200</v>
      </c>
      <c r="K296" s="195">
        <v>400</v>
      </c>
      <c r="L296" s="196">
        <v>400</v>
      </c>
      <c r="M296" s="197">
        <v>400</v>
      </c>
      <c r="N296" s="195">
        <v>400</v>
      </c>
      <c r="O296" s="196">
        <v>400</v>
      </c>
      <c r="P296" s="197">
        <v>400</v>
      </c>
      <c r="Q296" s="195">
        <v>400</v>
      </c>
      <c r="R296" s="196">
        <v>400</v>
      </c>
      <c r="S296" s="197">
        <v>400</v>
      </c>
      <c r="T296" s="195">
        <v>400</v>
      </c>
      <c r="U296" s="196">
        <v>400</v>
      </c>
      <c r="V296" s="197">
        <v>400</v>
      </c>
      <c r="W296" s="195">
        <v>400</v>
      </c>
      <c r="X296" s="196">
        <v>400</v>
      </c>
      <c r="Y296" s="197">
        <v>400</v>
      </c>
      <c r="Z296" s="195">
        <v>400</v>
      </c>
      <c r="AA296" s="196">
        <v>400</v>
      </c>
      <c r="AB296" s="197">
        <v>400</v>
      </c>
      <c r="AC296" s="195">
        <v>400</v>
      </c>
      <c r="AD296" s="196">
        <v>400</v>
      </c>
      <c r="AE296" s="197">
        <v>400</v>
      </c>
      <c r="AF296" s="195">
        <v>400</v>
      </c>
      <c r="AG296" s="196">
        <v>400</v>
      </c>
      <c r="AH296" s="197">
        <v>400</v>
      </c>
      <c r="AI296" s="200" t="s">
        <v>65</v>
      </c>
      <c r="AJ296" s="193" t="s">
        <v>1631</v>
      </c>
      <c r="AK296" s="201" t="s">
        <v>1614</v>
      </c>
      <c r="AL296" s="205">
        <v>2</v>
      </c>
      <c r="AM296" s="200">
        <v>400</v>
      </c>
      <c r="AN296" s="204">
        <v>400</v>
      </c>
      <c r="AO296" s="203"/>
      <c r="AP296" s="207" t="s">
        <v>26</v>
      </c>
      <c r="AQ296" s="199" t="s">
        <v>1620</v>
      </c>
      <c r="AR296" s="202">
        <v>45474</v>
      </c>
      <c r="AS296" s="205">
        <v>2073</v>
      </c>
      <c r="AT296" s="206"/>
      <c r="AU296" s="201" t="s">
        <v>26</v>
      </c>
      <c r="AV296" s="193" t="s">
        <v>1615</v>
      </c>
      <c r="AW296" s="205">
        <v>1894</v>
      </c>
    </row>
    <row r="297" spans="1:49">
      <c r="A297" s="192" t="s">
        <v>77</v>
      </c>
      <c r="B297" s="194" t="s">
        <v>1555</v>
      </c>
      <c r="C297" s="160" t="s">
        <v>3296</v>
      </c>
      <c r="D297" s="193" t="s">
        <v>3298</v>
      </c>
      <c r="E297" s="195">
        <v>121.16</v>
      </c>
      <c r="F297" s="196">
        <v>121.16</v>
      </c>
      <c r="G297" s="197">
        <v>120.12</v>
      </c>
      <c r="H297" s="195">
        <v>121.16</v>
      </c>
      <c r="I297" s="196">
        <v>121.16</v>
      </c>
      <c r="J297" s="197">
        <v>120.12</v>
      </c>
      <c r="K297" s="195">
        <v>121.16</v>
      </c>
      <c r="L297" s="196">
        <v>121.16</v>
      </c>
      <c r="M297" s="197">
        <v>120.12</v>
      </c>
      <c r="N297" s="195">
        <v>121.16</v>
      </c>
      <c r="O297" s="196">
        <v>121.16</v>
      </c>
      <c r="P297" s="197">
        <v>120.12</v>
      </c>
      <c r="Q297" s="195">
        <v>121.16</v>
      </c>
      <c r="R297" s="196">
        <v>121.16</v>
      </c>
      <c r="S297" s="197">
        <v>120.12</v>
      </c>
      <c r="T297" s="195">
        <v>121.16</v>
      </c>
      <c r="U297" s="196">
        <v>121.16</v>
      </c>
      <c r="V297" s="197">
        <v>120.12</v>
      </c>
      <c r="W297" s="195">
        <v>121.16</v>
      </c>
      <c r="X297" s="196">
        <v>121.16</v>
      </c>
      <c r="Y297" s="197">
        <v>120.12</v>
      </c>
      <c r="Z297" s="195">
        <v>121.16</v>
      </c>
      <c r="AA297" s="196">
        <v>121.16</v>
      </c>
      <c r="AB297" s="197">
        <v>120.12</v>
      </c>
      <c r="AC297" s="195">
        <v>121.16</v>
      </c>
      <c r="AD297" s="196">
        <v>121.16</v>
      </c>
      <c r="AE297" s="197">
        <v>120.12</v>
      </c>
      <c r="AF297" s="195">
        <v>121.16</v>
      </c>
      <c r="AG297" s="196">
        <v>121.16</v>
      </c>
      <c r="AH297" s="197">
        <v>120.12</v>
      </c>
      <c r="AI297" s="200" t="s">
        <v>3297</v>
      </c>
      <c r="AJ297" s="193" t="s">
        <v>1613</v>
      </c>
      <c r="AK297" s="201" t="s">
        <v>1614</v>
      </c>
      <c r="AL297" s="205">
        <v>52</v>
      </c>
      <c r="AM297" s="200"/>
      <c r="AN297" s="204">
        <v>143</v>
      </c>
      <c r="AO297" s="203"/>
      <c r="AP297" s="207" t="s">
        <v>76</v>
      </c>
      <c r="AQ297" s="199" t="s">
        <v>1620</v>
      </c>
      <c r="AR297" s="202"/>
      <c r="AS297" s="205">
        <v>2042</v>
      </c>
      <c r="AT297" s="206"/>
      <c r="AU297" s="201" t="s">
        <v>24</v>
      </c>
      <c r="AV297" s="193" t="s">
        <v>1615</v>
      </c>
      <c r="AW297" s="205">
        <v>1437</v>
      </c>
    </row>
    <row r="298" spans="1:49">
      <c r="A298" s="192" t="s">
        <v>45</v>
      </c>
      <c r="B298" s="194" t="s">
        <v>1555</v>
      </c>
      <c r="C298" s="160" t="s">
        <v>448</v>
      </c>
      <c r="D298" s="193" t="s">
        <v>450</v>
      </c>
      <c r="E298" s="195">
        <v>199.68</v>
      </c>
      <c r="F298" s="196">
        <v>199.68</v>
      </c>
      <c r="G298" s="197">
        <v>191.36</v>
      </c>
      <c r="H298" s="195">
        <v>199.68</v>
      </c>
      <c r="I298" s="196">
        <v>199.68</v>
      </c>
      <c r="J298" s="197">
        <v>191.36</v>
      </c>
      <c r="K298" s="195">
        <v>199.68</v>
      </c>
      <c r="L298" s="196">
        <v>199.68</v>
      </c>
      <c r="M298" s="197">
        <v>191.36</v>
      </c>
      <c r="N298" s="195">
        <v>199.68</v>
      </c>
      <c r="O298" s="196">
        <v>199.68</v>
      </c>
      <c r="P298" s="197">
        <v>191.36</v>
      </c>
      <c r="Q298" s="195">
        <v>199.68</v>
      </c>
      <c r="R298" s="196">
        <v>199.68</v>
      </c>
      <c r="S298" s="197">
        <v>191.36</v>
      </c>
      <c r="T298" s="195">
        <v>199.68</v>
      </c>
      <c r="U298" s="196">
        <v>199.68</v>
      </c>
      <c r="V298" s="197">
        <v>191.36</v>
      </c>
      <c r="W298" s="195">
        <v>199.68</v>
      </c>
      <c r="X298" s="196">
        <v>199.68</v>
      </c>
      <c r="Y298" s="197">
        <v>191.36</v>
      </c>
      <c r="Z298" s="195">
        <v>199.68</v>
      </c>
      <c r="AA298" s="196">
        <v>199.68</v>
      </c>
      <c r="AB298" s="197">
        <v>191.36</v>
      </c>
      <c r="AC298" s="195">
        <v>199.68</v>
      </c>
      <c r="AD298" s="196">
        <v>199.68</v>
      </c>
      <c r="AE298" s="197">
        <v>191.36</v>
      </c>
      <c r="AF298" s="195">
        <v>199.68</v>
      </c>
      <c r="AG298" s="196">
        <v>199.68</v>
      </c>
      <c r="AH298" s="197">
        <v>191.36</v>
      </c>
      <c r="AI298" s="200" t="s">
        <v>449</v>
      </c>
      <c r="AJ298" s="193" t="s">
        <v>1631</v>
      </c>
      <c r="AK298" s="201" t="s">
        <v>1614</v>
      </c>
      <c r="AL298" s="205">
        <v>104</v>
      </c>
      <c r="AM298" s="200"/>
      <c r="AN298" s="204">
        <v>228.8</v>
      </c>
      <c r="AO298" s="203"/>
      <c r="AP298" s="207" t="s">
        <v>76</v>
      </c>
      <c r="AQ298" s="199" t="s">
        <v>1620</v>
      </c>
      <c r="AR298" s="202">
        <v>44531</v>
      </c>
      <c r="AS298" s="205">
        <v>2049</v>
      </c>
      <c r="AT298" s="206"/>
      <c r="AU298" s="201" t="s">
        <v>24</v>
      </c>
      <c r="AV298" s="193" t="s">
        <v>1615</v>
      </c>
      <c r="AW298" s="205">
        <v>1447</v>
      </c>
    </row>
    <row r="299" spans="1:49">
      <c r="A299" s="192" t="s">
        <v>45</v>
      </c>
      <c r="B299" s="194" t="s">
        <v>1555</v>
      </c>
      <c r="C299" s="160" t="s">
        <v>572</v>
      </c>
      <c r="D299" s="193" t="s">
        <v>3309</v>
      </c>
      <c r="E299" s="195">
        <v>150</v>
      </c>
      <c r="F299" s="196">
        <v>150</v>
      </c>
      <c r="G299" s="197">
        <v>150</v>
      </c>
      <c r="H299" s="195">
        <v>150</v>
      </c>
      <c r="I299" s="196">
        <v>150</v>
      </c>
      <c r="J299" s="197">
        <v>150</v>
      </c>
      <c r="K299" s="195">
        <v>150</v>
      </c>
      <c r="L299" s="196">
        <v>150</v>
      </c>
      <c r="M299" s="197">
        <v>150</v>
      </c>
      <c r="N299" s="195">
        <v>150</v>
      </c>
      <c r="O299" s="196">
        <v>150</v>
      </c>
      <c r="P299" s="197">
        <v>150</v>
      </c>
      <c r="Q299" s="195">
        <v>150</v>
      </c>
      <c r="R299" s="196">
        <v>150</v>
      </c>
      <c r="S299" s="197">
        <v>150</v>
      </c>
      <c r="T299" s="195">
        <v>150</v>
      </c>
      <c r="U299" s="196">
        <v>150</v>
      </c>
      <c r="V299" s="197">
        <v>150</v>
      </c>
      <c r="W299" s="195">
        <v>150</v>
      </c>
      <c r="X299" s="196">
        <v>150</v>
      </c>
      <c r="Y299" s="197">
        <v>150</v>
      </c>
      <c r="Z299" s="195">
        <v>150</v>
      </c>
      <c r="AA299" s="196">
        <v>150</v>
      </c>
      <c r="AB299" s="197">
        <v>150</v>
      </c>
      <c r="AC299" s="195">
        <v>150</v>
      </c>
      <c r="AD299" s="196">
        <v>150</v>
      </c>
      <c r="AE299" s="197">
        <v>150</v>
      </c>
      <c r="AF299" s="195">
        <v>150</v>
      </c>
      <c r="AG299" s="196">
        <v>150</v>
      </c>
      <c r="AH299" s="197">
        <v>150</v>
      </c>
      <c r="AI299" s="200" t="s">
        <v>3308</v>
      </c>
      <c r="AJ299" s="193" t="s">
        <v>1631</v>
      </c>
      <c r="AK299" s="201" t="s">
        <v>1614</v>
      </c>
      <c r="AL299" s="205">
        <v>1</v>
      </c>
      <c r="AM299" s="200">
        <v>0</v>
      </c>
      <c r="AN299" s="204">
        <v>150</v>
      </c>
      <c r="AO299" s="203"/>
      <c r="AP299" s="207" t="s">
        <v>76</v>
      </c>
      <c r="AQ299" s="199" t="s">
        <v>1620</v>
      </c>
      <c r="AR299" s="202">
        <v>44531</v>
      </c>
      <c r="AS299" s="205">
        <v>2056</v>
      </c>
      <c r="AT299" s="206"/>
      <c r="AU299" s="201" t="s">
        <v>24</v>
      </c>
      <c r="AV299" s="193" t="s">
        <v>1615</v>
      </c>
      <c r="AW299" s="205">
        <v>1586</v>
      </c>
    </row>
    <row r="300" spans="1:49">
      <c r="A300" s="192" t="s">
        <v>77</v>
      </c>
      <c r="B300" s="194" t="s">
        <v>1555</v>
      </c>
      <c r="C300" s="160" t="s">
        <v>845</v>
      </c>
      <c r="D300" s="193" t="s">
        <v>847</v>
      </c>
      <c r="E300" s="195">
        <v>75.019000000000005</v>
      </c>
      <c r="F300" s="196">
        <v>75.019000000000005</v>
      </c>
      <c r="G300" s="197">
        <v>75.019000000000005</v>
      </c>
      <c r="H300" s="195">
        <v>75.019000000000005</v>
      </c>
      <c r="I300" s="196">
        <v>75.019000000000005</v>
      </c>
      <c r="J300" s="197">
        <v>75.019000000000005</v>
      </c>
      <c r="K300" s="195">
        <v>75.019000000000005</v>
      </c>
      <c r="L300" s="196">
        <v>75.019000000000005</v>
      </c>
      <c r="M300" s="197">
        <v>75.019000000000005</v>
      </c>
      <c r="N300" s="195">
        <v>75.019000000000005</v>
      </c>
      <c r="O300" s="196">
        <v>75.019000000000005</v>
      </c>
      <c r="P300" s="197">
        <v>75.019000000000005</v>
      </c>
      <c r="Q300" s="195">
        <v>75.019000000000005</v>
      </c>
      <c r="R300" s="196">
        <v>75.019000000000005</v>
      </c>
      <c r="S300" s="197">
        <v>75.019000000000005</v>
      </c>
      <c r="T300" s="195">
        <v>75.019000000000005</v>
      </c>
      <c r="U300" s="196">
        <v>75.019000000000005</v>
      </c>
      <c r="V300" s="197">
        <v>75.019000000000005</v>
      </c>
      <c r="W300" s="195">
        <v>75.019000000000005</v>
      </c>
      <c r="X300" s="196">
        <v>75.019000000000005</v>
      </c>
      <c r="Y300" s="197">
        <v>75.019000000000005</v>
      </c>
      <c r="Z300" s="195">
        <v>75.019000000000005</v>
      </c>
      <c r="AA300" s="196">
        <v>75.019000000000005</v>
      </c>
      <c r="AB300" s="197">
        <v>75.019000000000005</v>
      </c>
      <c r="AC300" s="195">
        <v>75.019000000000005</v>
      </c>
      <c r="AD300" s="196">
        <v>75.019000000000005</v>
      </c>
      <c r="AE300" s="197">
        <v>75.019000000000005</v>
      </c>
      <c r="AF300" s="195">
        <v>75.019000000000005</v>
      </c>
      <c r="AG300" s="196">
        <v>75.019000000000005</v>
      </c>
      <c r="AH300" s="197">
        <v>75.019000000000005</v>
      </c>
      <c r="AI300" s="200" t="s">
        <v>3312</v>
      </c>
      <c r="AJ300" s="193" t="s">
        <v>1631</v>
      </c>
      <c r="AK300" s="201" t="s">
        <v>1614</v>
      </c>
      <c r="AL300" s="205">
        <v>49</v>
      </c>
      <c r="AM300" s="200">
        <v>85.26</v>
      </c>
      <c r="AN300" s="204">
        <v>85.26</v>
      </c>
      <c r="AO300" s="203"/>
      <c r="AP300" s="207" t="s">
        <v>76</v>
      </c>
      <c r="AQ300" s="199" t="s">
        <v>1620</v>
      </c>
      <c r="AR300" s="202">
        <v>43800</v>
      </c>
      <c r="AS300" s="205">
        <v>2049</v>
      </c>
      <c r="AT300" s="206"/>
      <c r="AU300" s="201" t="s">
        <v>24</v>
      </c>
      <c r="AV300" s="193" t="s">
        <v>1615</v>
      </c>
      <c r="AW300" s="205">
        <v>1444</v>
      </c>
    </row>
    <row r="301" spans="1:49">
      <c r="A301" s="192" t="s">
        <v>77</v>
      </c>
      <c r="B301" s="194" t="s">
        <v>1555</v>
      </c>
      <c r="C301" s="160" t="s">
        <v>1070</v>
      </c>
      <c r="D301" s="193" t="s">
        <v>3318</v>
      </c>
      <c r="E301" s="195">
        <v>365</v>
      </c>
      <c r="F301" s="196">
        <v>355</v>
      </c>
      <c r="G301" s="197">
        <v>350</v>
      </c>
      <c r="H301" s="195">
        <v>365</v>
      </c>
      <c r="I301" s="196">
        <v>355</v>
      </c>
      <c r="J301" s="197">
        <v>350</v>
      </c>
      <c r="K301" s="195">
        <v>365</v>
      </c>
      <c r="L301" s="196">
        <v>355</v>
      </c>
      <c r="M301" s="197">
        <v>350</v>
      </c>
      <c r="N301" s="195">
        <v>365</v>
      </c>
      <c r="O301" s="196">
        <v>355</v>
      </c>
      <c r="P301" s="197">
        <v>350</v>
      </c>
      <c r="Q301" s="195">
        <v>365</v>
      </c>
      <c r="R301" s="196">
        <v>355</v>
      </c>
      <c r="S301" s="197">
        <v>350</v>
      </c>
      <c r="T301" s="195">
        <v>365</v>
      </c>
      <c r="U301" s="196">
        <v>355</v>
      </c>
      <c r="V301" s="197">
        <v>350</v>
      </c>
      <c r="W301" s="195">
        <v>365</v>
      </c>
      <c r="X301" s="196">
        <v>355</v>
      </c>
      <c r="Y301" s="197">
        <v>350</v>
      </c>
      <c r="Z301" s="195">
        <v>365</v>
      </c>
      <c r="AA301" s="196">
        <v>355</v>
      </c>
      <c r="AB301" s="197">
        <v>350</v>
      </c>
      <c r="AC301" s="195">
        <v>365</v>
      </c>
      <c r="AD301" s="196">
        <v>355</v>
      </c>
      <c r="AE301" s="197">
        <v>350</v>
      </c>
      <c r="AF301" s="195">
        <v>365</v>
      </c>
      <c r="AG301" s="196">
        <v>355</v>
      </c>
      <c r="AH301" s="197">
        <v>350</v>
      </c>
      <c r="AI301" s="200" t="s">
        <v>1715</v>
      </c>
      <c r="AJ301" s="193" t="s">
        <v>2072</v>
      </c>
      <c r="AK301" s="201" t="s">
        <v>1857</v>
      </c>
      <c r="AL301" s="205">
        <v>1</v>
      </c>
      <c r="AM301" s="200"/>
      <c r="AN301" s="204">
        <v>385</v>
      </c>
      <c r="AO301" s="203"/>
      <c r="AP301" s="207" t="s">
        <v>76</v>
      </c>
      <c r="AQ301" s="199" t="s">
        <v>1619</v>
      </c>
      <c r="AR301" s="202"/>
      <c r="AS301" s="205">
        <v>2036</v>
      </c>
      <c r="AT301" s="206"/>
      <c r="AU301" s="201" t="s">
        <v>24</v>
      </c>
      <c r="AV301" s="193" t="s">
        <v>12</v>
      </c>
      <c r="AW301" s="205">
        <v>1190</v>
      </c>
    </row>
    <row r="302" spans="1:49">
      <c r="A302" s="192" t="s">
        <v>91</v>
      </c>
      <c r="B302" s="194" t="s">
        <v>1555</v>
      </c>
      <c r="C302" s="160" t="s">
        <v>906</v>
      </c>
      <c r="D302" s="193" t="s">
        <v>3329</v>
      </c>
      <c r="E302" s="195">
        <v>95</v>
      </c>
      <c r="F302" s="196">
        <v>95</v>
      </c>
      <c r="G302" s="197">
        <v>95</v>
      </c>
      <c r="H302" s="195">
        <v>95</v>
      </c>
      <c r="I302" s="196">
        <v>95</v>
      </c>
      <c r="J302" s="197">
        <v>95</v>
      </c>
      <c r="K302" s="195">
        <v>95</v>
      </c>
      <c r="L302" s="196">
        <v>95</v>
      </c>
      <c r="M302" s="197">
        <v>95</v>
      </c>
      <c r="N302" s="195">
        <v>95</v>
      </c>
      <c r="O302" s="196">
        <v>95</v>
      </c>
      <c r="P302" s="197">
        <v>95</v>
      </c>
      <c r="Q302" s="195">
        <v>95</v>
      </c>
      <c r="R302" s="196">
        <v>95</v>
      </c>
      <c r="S302" s="197">
        <v>95</v>
      </c>
      <c r="T302" s="195">
        <v>95</v>
      </c>
      <c r="U302" s="196">
        <v>95</v>
      </c>
      <c r="V302" s="197">
        <v>95</v>
      </c>
      <c r="W302" s="195">
        <v>95</v>
      </c>
      <c r="X302" s="196">
        <v>95</v>
      </c>
      <c r="Y302" s="197">
        <v>95</v>
      </c>
      <c r="Z302" s="195">
        <v>95</v>
      </c>
      <c r="AA302" s="196">
        <v>95</v>
      </c>
      <c r="AB302" s="197">
        <v>95</v>
      </c>
      <c r="AC302" s="195">
        <v>95</v>
      </c>
      <c r="AD302" s="196">
        <v>95</v>
      </c>
      <c r="AE302" s="197">
        <v>95</v>
      </c>
      <c r="AF302" s="195">
        <v>95</v>
      </c>
      <c r="AG302" s="196">
        <v>95</v>
      </c>
      <c r="AH302" s="197">
        <v>95</v>
      </c>
      <c r="AI302" s="200" t="s">
        <v>155</v>
      </c>
      <c r="AJ302" s="193" t="s">
        <v>1613</v>
      </c>
      <c r="AK302" s="201" t="s">
        <v>1614</v>
      </c>
      <c r="AL302" s="205">
        <v>1</v>
      </c>
      <c r="AM302" s="200">
        <v>108</v>
      </c>
      <c r="AN302" s="204">
        <v>108</v>
      </c>
      <c r="AO302" s="203"/>
      <c r="AP302" s="207" t="s">
        <v>76</v>
      </c>
      <c r="AQ302" s="199" t="s">
        <v>1620</v>
      </c>
      <c r="AR302" s="202">
        <v>43556</v>
      </c>
      <c r="AS302" s="205">
        <v>2049</v>
      </c>
      <c r="AT302" s="206"/>
      <c r="AU302" s="201" t="s">
        <v>24</v>
      </c>
      <c r="AV302" s="193" t="s">
        <v>1615</v>
      </c>
      <c r="AW302" s="205">
        <v>1397</v>
      </c>
    </row>
    <row r="303" spans="1:49">
      <c r="A303" s="192" t="s">
        <v>91</v>
      </c>
      <c r="B303" s="194" t="s">
        <v>1599</v>
      </c>
      <c r="C303" s="160" t="s">
        <v>369</v>
      </c>
      <c r="D303" s="193" t="s">
        <v>3330</v>
      </c>
      <c r="E303" s="195">
        <v>0</v>
      </c>
      <c r="F303" s="196">
        <v>41.5</v>
      </c>
      <c r="G303" s="197">
        <v>41.5</v>
      </c>
      <c r="H303" s="195">
        <v>41.5</v>
      </c>
      <c r="I303" s="196">
        <v>41.5</v>
      </c>
      <c r="J303" s="197">
        <v>41.5</v>
      </c>
      <c r="K303" s="195">
        <v>41.5</v>
      </c>
      <c r="L303" s="196">
        <v>41.5</v>
      </c>
      <c r="M303" s="197">
        <v>41.5</v>
      </c>
      <c r="N303" s="195">
        <v>41.5</v>
      </c>
      <c r="O303" s="196">
        <v>41.5</v>
      </c>
      <c r="P303" s="197">
        <v>41.5</v>
      </c>
      <c r="Q303" s="195">
        <v>41.5</v>
      </c>
      <c r="R303" s="196">
        <v>41.5</v>
      </c>
      <c r="S303" s="197">
        <v>41.5</v>
      </c>
      <c r="T303" s="195">
        <v>41.5</v>
      </c>
      <c r="U303" s="196">
        <v>41.5</v>
      </c>
      <c r="V303" s="197">
        <v>41.5</v>
      </c>
      <c r="W303" s="195">
        <v>41.5</v>
      </c>
      <c r="X303" s="196">
        <v>41.5</v>
      </c>
      <c r="Y303" s="197">
        <v>41.5</v>
      </c>
      <c r="Z303" s="195">
        <v>41.5</v>
      </c>
      <c r="AA303" s="196">
        <v>41.5</v>
      </c>
      <c r="AB303" s="197">
        <v>41.5</v>
      </c>
      <c r="AC303" s="195">
        <v>41.5</v>
      </c>
      <c r="AD303" s="196">
        <v>41.5</v>
      </c>
      <c r="AE303" s="197">
        <v>41.5</v>
      </c>
      <c r="AF303" s="195">
        <v>41.5</v>
      </c>
      <c r="AG303" s="196">
        <v>41.5</v>
      </c>
      <c r="AH303" s="197">
        <v>41.5</v>
      </c>
      <c r="AI303" s="200" t="s">
        <v>155</v>
      </c>
      <c r="AJ303" s="193" t="s">
        <v>1602</v>
      </c>
      <c r="AK303" s="201" t="s">
        <v>1603</v>
      </c>
      <c r="AL303" s="205">
        <v>1</v>
      </c>
      <c r="AM303" s="200"/>
      <c r="AN303" s="204">
        <v>41.5</v>
      </c>
      <c r="AO303" s="203">
        <v>84</v>
      </c>
      <c r="AP303" s="207" t="s">
        <v>26</v>
      </c>
      <c r="AQ303" s="199" t="s">
        <v>1619</v>
      </c>
      <c r="AR303" s="202">
        <v>45292</v>
      </c>
      <c r="AS303" s="205">
        <v>2048</v>
      </c>
      <c r="AT303" s="206"/>
      <c r="AU303" s="201" t="s">
        <v>26</v>
      </c>
      <c r="AV303" s="193" t="s">
        <v>19</v>
      </c>
      <c r="AW303" s="205">
        <v>1735</v>
      </c>
    </row>
    <row r="304" spans="1:49">
      <c r="A304" s="192" t="s">
        <v>91</v>
      </c>
      <c r="B304" s="194" t="s">
        <v>1555</v>
      </c>
      <c r="C304" s="160" t="s">
        <v>464</v>
      </c>
      <c r="D304" s="193" t="s">
        <v>3332</v>
      </c>
      <c r="E304" s="195">
        <v>0</v>
      </c>
      <c r="F304" s="196">
        <v>87</v>
      </c>
      <c r="G304" s="197">
        <v>87</v>
      </c>
      <c r="H304" s="195">
        <v>87</v>
      </c>
      <c r="I304" s="196">
        <v>87</v>
      </c>
      <c r="J304" s="197">
        <v>87</v>
      </c>
      <c r="K304" s="195">
        <v>87</v>
      </c>
      <c r="L304" s="196">
        <v>87</v>
      </c>
      <c r="M304" s="197">
        <v>87</v>
      </c>
      <c r="N304" s="195">
        <v>87</v>
      </c>
      <c r="O304" s="196">
        <v>87</v>
      </c>
      <c r="P304" s="197">
        <v>87</v>
      </c>
      <c r="Q304" s="195">
        <v>87</v>
      </c>
      <c r="R304" s="196">
        <v>87</v>
      </c>
      <c r="S304" s="197">
        <v>87</v>
      </c>
      <c r="T304" s="195">
        <v>87</v>
      </c>
      <c r="U304" s="196">
        <v>87</v>
      </c>
      <c r="V304" s="197">
        <v>87</v>
      </c>
      <c r="W304" s="195">
        <v>87</v>
      </c>
      <c r="X304" s="196">
        <v>87</v>
      </c>
      <c r="Y304" s="197">
        <v>87</v>
      </c>
      <c r="Z304" s="195">
        <v>87</v>
      </c>
      <c r="AA304" s="196">
        <v>87</v>
      </c>
      <c r="AB304" s="197">
        <v>87</v>
      </c>
      <c r="AC304" s="195">
        <v>87</v>
      </c>
      <c r="AD304" s="196">
        <v>87</v>
      </c>
      <c r="AE304" s="197">
        <v>87</v>
      </c>
      <c r="AF304" s="195">
        <v>87</v>
      </c>
      <c r="AG304" s="196">
        <v>87</v>
      </c>
      <c r="AH304" s="197">
        <v>87</v>
      </c>
      <c r="AI304" s="200" t="s">
        <v>155</v>
      </c>
      <c r="AJ304" s="193" t="s">
        <v>1631</v>
      </c>
      <c r="AK304" s="201" t="s">
        <v>1614</v>
      </c>
      <c r="AL304" s="205">
        <v>1</v>
      </c>
      <c r="AM304" s="200"/>
      <c r="AN304" s="204">
        <v>105</v>
      </c>
      <c r="AO304" s="203"/>
      <c r="AP304" s="207" t="s">
        <v>401</v>
      </c>
      <c r="AQ304" s="199" t="s">
        <v>1620</v>
      </c>
      <c r="AR304" s="202">
        <v>45170</v>
      </c>
      <c r="AS304" s="205">
        <v>2053</v>
      </c>
      <c r="AT304" s="206"/>
      <c r="AU304" s="201" t="s">
        <v>24</v>
      </c>
      <c r="AV304" s="193" t="s">
        <v>1615</v>
      </c>
      <c r="AW304" s="205">
        <v>1575</v>
      </c>
    </row>
    <row r="305" spans="1:49">
      <c r="A305" s="192" t="s">
        <v>45</v>
      </c>
      <c r="B305" s="194" t="s">
        <v>1555</v>
      </c>
      <c r="C305" s="160" t="s">
        <v>808</v>
      </c>
      <c r="D305" s="193" t="s">
        <v>3334</v>
      </c>
      <c r="E305" s="195">
        <v>425</v>
      </c>
      <c r="F305" s="196">
        <v>395</v>
      </c>
      <c r="G305" s="197">
        <v>385</v>
      </c>
      <c r="H305" s="195">
        <v>425</v>
      </c>
      <c r="I305" s="196">
        <v>415</v>
      </c>
      <c r="J305" s="197">
        <v>405</v>
      </c>
      <c r="K305" s="195">
        <v>425</v>
      </c>
      <c r="L305" s="196">
        <v>415</v>
      </c>
      <c r="M305" s="197">
        <v>405</v>
      </c>
      <c r="N305" s="195">
        <v>425</v>
      </c>
      <c r="O305" s="196">
        <v>415</v>
      </c>
      <c r="P305" s="197">
        <v>405</v>
      </c>
      <c r="Q305" s="195">
        <v>425</v>
      </c>
      <c r="R305" s="196">
        <v>415</v>
      </c>
      <c r="S305" s="197">
        <v>405</v>
      </c>
      <c r="T305" s="195">
        <v>425</v>
      </c>
      <c r="U305" s="196">
        <v>415</v>
      </c>
      <c r="V305" s="197">
        <v>405</v>
      </c>
      <c r="W305" s="195">
        <v>425</v>
      </c>
      <c r="X305" s="196">
        <v>415</v>
      </c>
      <c r="Y305" s="197">
        <v>405</v>
      </c>
      <c r="Z305" s="195">
        <v>425</v>
      </c>
      <c r="AA305" s="196">
        <v>415</v>
      </c>
      <c r="AB305" s="197">
        <v>405</v>
      </c>
      <c r="AC305" s="195">
        <v>425</v>
      </c>
      <c r="AD305" s="196">
        <v>415</v>
      </c>
      <c r="AE305" s="197">
        <v>405</v>
      </c>
      <c r="AF305" s="195">
        <v>425</v>
      </c>
      <c r="AG305" s="196">
        <v>415</v>
      </c>
      <c r="AH305" s="197">
        <v>405</v>
      </c>
      <c r="AI305" s="200" t="s">
        <v>481</v>
      </c>
      <c r="AJ305" s="193" t="s">
        <v>2072</v>
      </c>
      <c r="AK305" s="201" t="s">
        <v>1592</v>
      </c>
      <c r="AL305" s="205">
        <v>1</v>
      </c>
      <c r="AM305" s="200"/>
      <c r="AN305" s="204">
        <v>440</v>
      </c>
      <c r="AO305" s="203"/>
      <c r="AP305" s="207" t="s">
        <v>76</v>
      </c>
      <c r="AQ305" s="199" t="s">
        <v>1619</v>
      </c>
      <c r="AR305" s="202"/>
      <c r="AS305" s="205">
        <v>2043</v>
      </c>
      <c r="AT305" s="206"/>
      <c r="AU305" s="201" t="s">
        <v>24</v>
      </c>
      <c r="AV305" s="193" t="s">
        <v>12</v>
      </c>
      <c r="AW305" s="205">
        <v>1192</v>
      </c>
    </row>
    <row r="306" spans="1:49">
      <c r="A306" s="192" t="s">
        <v>45</v>
      </c>
      <c r="B306" s="194" t="s">
        <v>1599</v>
      </c>
      <c r="C306" s="160" t="s">
        <v>3335</v>
      </c>
      <c r="D306" s="193" t="s">
        <v>3337</v>
      </c>
      <c r="E306" s="195">
        <v>0</v>
      </c>
      <c r="F306" s="196">
        <v>318</v>
      </c>
      <c r="G306" s="197">
        <v>318</v>
      </c>
      <c r="H306" s="195">
        <v>320</v>
      </c>
      <c r="I306" s="196">
        <v>318</v>
      </c>
      <c r="J306" s="197">
        <v>318</v>
      </c>
      <c r="K306" s="195">
        <v>320</v>
      </c>
      <c r="L306" s="196">
        <v>318</v>
      </c>
      <c r="M306" s="197">
        <v>318</v>
      </c>
      <c r="N306" s="195">
        <v>320</v>
      </c>
      <c r="O306" s="196">
        <v>318</v>
      </c>
      <c r="P306" s="197">
        <v>318</v>
      </c>
      <c r="Q306" s="195">
        <v>320</v>
      </c>
      <c r="R306" s="196">
        <v>318</v>
      </c>
      <c r="S306" s="197">
        <v>318</v>
      </c>
      <c r="T306" s="195">
        <v>320</v>
      </c>
      <c r="U306" s="196">
        <v>318</v>
      </c>
      <c r="V306" s="197">
        <v>318</v>
      </c>
      <c r="W306" s="195">
        <v>320</v>
      </c>
      <c r="X306" s="196">
        <v>318</v>
      </c>
      <c r="Y306" s="197">
        <v>318</v>
      </c>
      <c r="Z306" s="195">
        <v>320</v>
      </c>
      <c r="AA306" s="196">
        <v>318</v>
      </c>
      <c r="AB306" s="197">
        <v>318</v>
      </c>
      <c r="AC306" s="195">
        <v>320</v>
      </c>
      <c r="AD306" s="196">
        <v>318</v>
      </c>
      <c r="AE306" s="197">
        <v>318</v>
      </c>
      <c r="AF306" s="195">
        <v>320</v>
      </c>
      <c r="AG306" s="196">
        <v>318</v>
      </c>
      <c r="AH306" s="197">
        <v>318</v>
      </c>
      <c r="AI306" s="200" t="s">
        <v>3336</v>
      </c>
      <c r="AJ306" s="193" t="s">
        <v>1673</v>
      </c>
      <c r="AK306" s="201" t="s">
        <v>1592</v>
      </c>
      <c r="AL306" s="205">
        <v>1</v>
      </c>
      <c r="AM306" s="200">
        <v>320</v>
      </c>
      <c r="AN306" s="204">
        <v>320</v>
      </c>
      <c r="AO306" s="203"/>
      <c r="AP306" s="207" t="s">
        <v>317</v>
      </c>
      <c r="AQ306" s="199" t="s">
        <v>1619</v>
      </c>
      <c r="AR306" s="202">
        <v>45231</v>
      </c>
      <c r="AS306" s="205">
        <v>2053</v>
      </c>
      <c r="AT306" s="206"/>
      <c r="AU306" s="201" t="s">
        <v>26</v>
      </c>
      <c r="AV306" s="193" t="s">
        <v>13</v>
      </c>
      <c r="AW306" s="205">
        <v>1193</v>
      </c>
    </row>
    <row r="307" spans="1:49">
      <c r="A307" s="192" t="s">
        <v>105</v>
      </c>
      <c r="B307" s="194" t="s">
        <v>1555</v>
      </c>
      <c r="C307" s="160" t="s">
        <v>437</v>
      </c>
      <c r="D307" s="193" t="s">
        <v>439</v>
      </c>
      <c r="E307" s="195">
        <v>0</v>
      </c>
      <c r="F307" s="196">
        <v>0</v>
      </c>
      <c r="G307" s="197">
        <v>0</v>
      </c>
      <c r="H307" s="195">
        <v>0</v>
      </c>
      <c r="I307" s="196">
        <v>0</v>
      </c>
      <c r="J307" s="197">
        <v>0</v>
      </c>
      <c r="K307" s="195">
        <v>0</v>
      </c>
      <c r="L307" s="196">
        <v>0</v>
      </c>
      <c r="M307" s="197">
        <v>0</v>
      </c>
      <c r="N307" s="195">
        <v>0</v>
      </c>
      <c r="O307" s="196">
        <v>0</v>
      </c>
      <c r="P307" s="197">
        <v>0</v>
      </c>
      <c r="Q307" s="195">
        <v>0</v>
      </c>
      <c r="R307" s="196">
        <v>0</v>
      </c>
      <c r="S307" s="197">
        <v>0</v>
      </c>
      <c r="T307" s="195">
        <v>0</v>
      </c>
      <c r="U307" s="196">
        <v>0</v>
      </c>
      <c r="V307" s="197">
        <v>0</v>
      </c>
      <c r="W307" s="195">
        <v>0</v>
      </c>
      <c r="X307" s="196">
        <v>0</v>
      </c>
      <c r="Y307" s="197">
        <v>0</v>
      </c>
      <c r="Z307" s="195">
        <v>0</v>
      </c>
      <c r="AA307" s="196">
        <v>0</v>
      </c>
      <c r="AB307" s="197">
        <v>0</v>
      </c>
      <c r="AC307" s="195">
        <v>0</v>
      </c>
      <c r="AD307" s="196">
        <v>0</v>
      </c>
      <c r="AE307" s="197">
        <v>0</v>
      </c>
      <c r="AF307" s="195">
        <v>0</v>
      </c>
      <c r="AG307" s="196">
        <v>0</v>
      </c>
      <c r="AH307" s="197">
        <v>0</v>
      </c>
      <c r="AI307" s="200" t="s">
        <v>438</v>
      </c>
      <c r="AJ307" s="193" t="s">
        <v>2072</v>
      </c>
      <c r="AK307" s="201" t="s">
        <v>1592</v>
      </c>
      <c r="AL307" s="205">
        <v>2</v>
      </c>
      <c r="AM307" s="200"/>
      <c r="AN307" s="204">
        <v>208</v>
      </c>
      <c r="AO307" s="203"/>
      <c r="AP307" s="207" t="s">
        <v>76</v>
      </c>
      <c r="AQ307" s="199" t="s">
        <v>1619</v>
      </c>
      <c r="AR307" s="202"/>
      <c r="AS307" s="205">
        <v>2050</v>
      </c>
      <c r="AT307" s="206"/>
      <c r="AU307" s="201" t="s">
        <v>24</v>
      </c>
      <c r="AV307" s="193" t="s">
        <v>12</v>
      </c>
      <c r="AW307" s="205">
        <v>1194</v>
      </c>
    </row>
    <row r="308" spans="1:49">
      <c r="A308" s="192" t="s">
        <v>105</v>
      </c>
      <c r="B308" s="194" t="s">
        <v>1555</v>
      </c>
      <c r="C308" s="160" t="s">
        <v>1252</v>
      </c>
      <c r="D308" s="193" t="s">
        <v>3338</v>
      </c>
      <c r="E308" s="195">
        <v>58</v>
      </c>
      <c r="F308" s="196">
        <v>58</v>
      </c>
      <c r="G308" s="197">
        <v>58</v>
      </c>
      <c r="H308" s="195">
        <v>58</v>
      </c>
      <c r="I308" s="196">
        <v>58</v>
      </c>
      <c r="J308" s="197">
        <v>58</v>
      </c>
      <c r="K308" s="195">
        <v>58</v>
      </c>
      <c r="L308" s="196">
        <v>58</v>
      </c>
      <c r="M308" s="197">
        <v>58</v>
      </c>
      <c r="N308" s="195">
        <v>58</v>
      </c>
      <c r="O308" s="196">
        <v>58</v>
      </c>
      <c r="P308" s="197">
        <v>58</v>
      </c>
      <c r="Q308" s="195">
        <v>58</v>
      </c>
      <c r="R308" s="196">
        <v>58</v>
      </c>
      <c r="S308" s="197">
        <v>58</v>
      </c>
      <c r="T308" s="195">
        <v>58</v>
      </c>
      <c r="U308" s="196">
        <v>58</v>
      </c>
      <c r="V308" s="197">
        <v>58</v>
      </c>
      <c r="W308" s="195">
        <v>58</v>
      </c>
      <c r="X308" s="196">
        <v>58</v>
      </c>
      <c r="Y308" s="197">
        <v>58</v>
      </c>
      <c r="Z308" s="195">
        <v>58</v>
      </c>
      <c r="AA308" s="196">
        <v>58</v>
      </c>
      <c r="AB308" s="197">
        <v>58</v>
      </c>
      <c r="AC308" s="195">
        <v>58</v>
      </c>
      <c r="AD308" s="196">
        <v>58</v>
      </c>
      <c r="AE308" s="197">
        <v>58</v>
      </c>
      <c r="AF308" s="195">
        <v>58</v>
      </c>
      <c r="AG308" s="196">
        <v>58</v>
      </c>
      <c r="AH308" s="197">
        <v>58</v>
      </c>
      <c r="AI308" s="200" t="s">
        <v>438</v>
      </c>
      <c r="AJ308" s="193" t="s">
        <v>1673</v>
      </c>
      <c r="AK308" s="201" t="s">
        <v>1592</v>
      </c>
      <c r="AL308" s="205">
        <v>1</v>
      </c>
      <c r="AM308" s="200">
        <v>58</v>
      </c>
      <c r="AN308" s="204">
        <v>58</v>
      </c>
      <c r="AO308" s="203"/>
      <c r="AP308" s="207" t="s">
        <v>76</v>
      </c>
      <c r="AQ308" s="199" t="s">
        <v>1619</v>
      </c>
      <c r="AR308" s="202"/>
      <c r="AS308" s="205">
        <v>2050</v>
      </c>
      <c r="AT308" s="206"/>
      <c r="AU308" s="201" t="s">
        <v>24</v>
      </c>
      <c r="AV308" s="193" t="s">
        <v>13</v>
      </c>
      <c r="AW308" s="205">
        <v>1195</v>
      </c>
    </row>
    <row r="309" spans="1:49">
      <c r="A309" s="192" t="s">
        <v>45</v>
      </c>
      <c r="B309" s="194" t="s">
        <v>1555</v>
      </c>
      <c r="C309" s="160" t="s">
        <v>1243</v>
      </c>
      <c r="D309" s="193" t="s">
        <v>3349</v>
      </c>
      <c r="E309" s="195">
        <v>106.8</v>
      </c>
      <c r="F309" s="196">
        <v>106.8</v>
      </c>
      <c r="G309" s="197">
        <v>106.8</v>
      </c>
      <c r="H309" s="195">
        <v>106.8</v>
      </c>
      <c r="I309" s="196">
        <v>106.8</v>
      </c>
      <c r="J309" s="197">
        <v>106.8</v>
      </c>
      <c r="K309" s="195">
        <v>106.8</v>
      </c>
      <c r="L309" s="196">
        <v>106.8</v>
      </c>
      <c r="M309" s="197">
        <v>106.8</v>
      </c>
      <c r="N309" s="195">
        <v>106.8</v>
      </c>
      <c r="O309" s="196">
        <v>106.8</v>
      </c>
      <c r="P309" s="197">
        <v>106.8</v>
      </c>
      <c r="Q309" s="195">
        <v>106.8</v>
      </c>
      <c r="R309" s="196">
        <v>106.8</v>
      </c>
      <c r="S309" s="197">
        <v>106.8</v>
      </c>
      <c r="T309" s="195">
        <v>106.8</v>
      </c>
      <c r="U309" s="196">
        <v>106.8</v>
      </c>
      <c r="V309" s="197">
        <v>106.8</v>
      </c>
      <c r="W309" s="195">
        <v>106.8</v>
      </c>
      <c r="X309" s="196">
        <v>106.8</v>
      </c>
      <c r="Y309" s="197">
        <v>106.8</v>
      </c>
      <c r="Z309" s="195">
        <v>106.8</v>
      </c>
      <c r="AA309" s="196">
        <v>106.8</v>
      </c>
      <c r="AB309" s="197">
        <v>106.8</v>
      </c>
      <c r="AC309" s="195">
        <v>106.8</v>
      </c>
      <c r="AD309" s="196">
        <v>106.8</v>
      </c>
      <c r="AE309" s="197">
        <v>106.8</v>
      </c>
      <c r="AF309" s="195">
        <v>106.8</v>
      </c>
      <c r="AG309" s="196">
        <v>106.8</v>
      </c>
      <c r="AH309" s="197">
        <v>106.8</v>
      </c>
      <c r="AI309" s="200" t="s">
        <v>227</v>
      </c>
      <c r="AJ309" s="193" t="s">
        <v>1625</v>
      </c>
      <c r="AK309" s="201" t="s">
        <v>1609</v>
      </c>
      <c r="AL309" s="205">
        <v>51</v>
      </c>
      <c r="AM309" s="200"/>
      <c r="AN309" s="204">
        <v>106.8</v>
      </c>
      <c r="AO309" s="203"/>
      <c r="AP309" s="207" t="s">
        <v>76</v>
      </c>
      <c r="AQ309" s="199" t="s">
        <v>1620</v>
      </c>
      <c r="AR309" s="202"/>
      <c r="AS309" s="205">
        <v>2040</v>
      </c>
      <c r="AT309" s="206"/>
      <c r="AU309" s="201" t="s">
        <v>24</v>
      </c>
      <c r="AV309" s="193" t="s">
        <v>16</v>
      </c>
      <c r="AW309" s="205">
        <v>1196</v>
      </c>
    </row>
    <row r="310" spans="1:49">
      <c r="A310" s="192" t="s">
        <v>77</v>
      </c>
      <c r="B310" s="194" t="s">
        <v>1555</v>
      </c>
      <c r="C310" s="160" t="s">
        <v>3350</v>
      </c>
      <c r="D310" s="193" t="s">
        <v>3351</v>
      </c>
      <c r="E310" s="195">
        <v>350</v>
      </c>
      <c r="F310" s="196">
        <v>350</v>
      </c>
      <c r="G310" s="197">
        <v>350</v>
      </c>
      <c r="H310" s="195">
        <v>350</v>
      </c>
      <c r="I310" s="196">
        <v>350</v>
      </c>
      <c r="J310" s="197">
        <v>350</v>
      </c>
      <c r="K310" s="195">
        <v>350</v>
      </c>
      <c r="L310" s="196">
        <v>350</v>
      </c>
      <c r="M310" s="197">
        <v>350</v>
      </c>
      <c r="N310" s="195">
        <v>350</v>
      </c>
      <c r="O310" s="196">
        <v>350</v>
      </c>
      <c r="P310" s="197">
        <v>350</v>
      </c>
      <c r="Q310" s="195">
        <v>350</v>
      </c>
      <c r="R310" s="196">
        <v>350</v>
      </c>
      <c r="S310" s="197">
        <v>350</v>
      </c>
      <c r="T310" s="195">
        <v>350</v>
      </c>
      <c r="U310" s="196">
        <v>350</v>
      </c>
      <c r="V310" s="197">
        <v>350</v>
      </c>
      <c r="W310" s="195">
        <v>350</v>
      </c>
      <c r="X310" s="196">
        <v>350</v>
      </c>
      <c r="Y310" s="197">
        <v>350</v>
      </c>
      <c r="Z310" s="195">
        <v>350</v>
      </c>
      <c r="AA310" s="196">
        <v>350</v>
      </c>
      <c r="AB310" s="197">
        <v>350</v>
      </c>
      <c r="AC310" s="195">
        <v>350</v>
      </c>
      <c r="AD310" s="196">
        <v>350</v>
      </c>
      <c r="AE310" s="197">
        <v>350</v>
      </c>
      <c r="AF310" s="195">
        <v>350</v>
      </c>
      <c r="AG310" s="196">
        <v>350</v>
      </c>
      <c r="AH310" s="197">
        <v>350</v>
      </c>
      <c r="AI310" s="200" t="s">
        <v>208</v>
      </c>
      <c r="AJ310" s="193" t="s">
        <v>1739</v>
      </c>
      <c r="AK310" s="201" t="s">
        <v>1740</v>
      </c>
      <c r="AL310" s="205">
        <v>1</v>
      </c>
      <c r="AM310" s="200"/>
      <c r="AN310" s="204">
        <v>350</v>
      </c>
      <c r="AO310" s="203"/>
      <c r="AP310" s="207" t="s">
        <v>76</v>
      </c>
      <c r="AQ310" s="199" t="s">
        <v>1619</v>
      </c>
      <c r="AR310" s="202"/>
      <c r="AS310" s="205">
        <v>2036</v>
      </c>
      <c r="AT310" s="206"/>
      <c r="AU310" s="201" t="s">
        <v>24</v>
      </c>
      <c r="AV310" s="193" t="s">
        <v>11</v>
      </c>
      <c r="AW310" s="205">
        <v>1197</v>
      </c>
    </row>
    <row r="311" spans="1:49">
      <c r="A311" s="192" t="s">
        <v>77</v>
      </c>
      <c r="B311" s="194" t="s">
        <v>1555</v>
      </c>
      <c r="C311" s="160" t="s">
        <v>3350</v>
      </c>
      <c r="D311" s="193" t="s">
        <v>3352</v>
      </c>
      <c r="E311" s="195">
        <v>350</v>
      </c>
      <c r="F311" s="196">
        <v>350</v>
      </c>
      <c r="G311" s="197">
        <v>350</v>
      </c>
      <c r="H311" s="195">
        <v>350</v>
      </c>
      <c r="I311" s="196">
        <v>350</v>
      </c>
      <c r="J311" s="197">
        <v>350</v>
      </c>
      <c r="K311" s="195">
        <v>350</v>
      </c>
      <c r="L311" s="196">
        <v>350</v>
      </c>
      <c r="M311" s="197">
        <v>350</v>
      </c>
      <c r="N311" s="195">
        <v>350</v>
      </c>
      <c r="O311" s="196">
        <v>350</v>
      </c>
      <c r="P311" s="197">
        <v>350</v>
      </c>
      <c r="Q311" s="195">
        <v>350</v>
      </c>
      <c r="R311" s="196">
        <v>350</v>
      </c>
      <c r="S311" s="197">
        <v>350</v>
      </c>
      <c r="T311" s="195">
        <v>350</v>
      </c>
      <c r="U311" s="196">
        <v>350</v>
      </c>
      <c r="V311" s="197">
        <v>350</v>
      </c>
      <c r="W311" s="195">
        <v>350</v>
      </c>
      <c r="X311" s="196">
        <v>350</v>
      </c>
      <c r="Y311" s="197">
        <v>350</v>
      </c>
      <c r="Z311" s="195">
        <v>350</v>
      </c>
      <c r="AA311" s="196">
        <v>350</v>
      </c>
      <c r="AB311" s="197">
        <v>350</v>
      </c>
      <c r="AC311" s="195">
        <v>350</v>
      </c>
      <c r="AD311" s="196">
        <v>350</v>
      </c>
      <c r="AE311" s="197">
        <v>350</v>
      </c>
      <c r="AF311" s="195">
        <v>350</v>
      </c>
      <c r="AG311" s="196">
        <v>350</v>
      </c>
      <c r="AH311" s="197">
        <v>350</v>
      </c>
      <c r="AI311" s="200" t="s">
        <v>208</v>
      </c>
      <c r="AJ311" s="193" t="s">
        <v>1739</v>
      </c>
      <c r="AK311" s="201" t="s">
        <v>1740</v>
      </c>
      <c r="AL311" s="205">
        <v>1</v>
      </c>
      <c r="AM311" s="200"/>
      <c r="AN311" s="204">
        <v>350</v>
      </c>
      <c r="AO311" s="203"/>
      <c r="AP311" s="207" t="s">
        <v>76</v>
      </c>
      <c r="AQ311" s="199" t="s">
        <v>1619</v>
      </c>
      <c r="AR311" s="202"/>
      <c r="AS311" s="205">
        <v>2036</v>
      </c>
      <c r="AT311" s="206"/>
      <c r="AU311" s="201" t="s">
        <v>24</v>
      </c>
      <c r="AV311" s="193" t="s">
        <v>11</v>
      </c>
      <c r="AW311" s="205">
        <v>1197</v>
      </c>
    </row>
    <row r="312" spans="1:49">
      <c r="A312" s="192" t="s">
        <v>77</v>
      </c>
      <c r="B312" s="194" t="s">
        <v>1555</v>
      </c>
      <c r="C312" s="160" t="s">
        <v>3350</v>
      </c>
      <c r="D312" s="193" t="s">
        <v>3353</v>
      </c>
      <c r="E312" s="195">
        <v>350</v>
      </c>
      <c r="F312" s="196">
        <v>350</v>
      </c>
      <c r="G312" s="197">
        <v>350</v>
      </c>
      <c r="H312" s="195">
        <v>350</v>
      </c>
      <c r="I312" s="196">
        <v>350</v>
      </c>
      <c r="J312" s="197">
        <v>350</v>
      </c>
      <c r="K312" s="195">
        <v>350</v>
      </c>
      <c r="L312" s="196">
        <v>350</v>
      </c>
      <c r="M312" s="197">
        <v>350</v>
      </c>
      <c r="N312" s="195">
        <v>350</v>
      </c>
      <c r="O312" s="196">
        <v>350</v>
      </c>
      <c r="P312" s="197">
        <v>350</v>
      </c>
      <c r="Q312" s="195">
        <v>350</v>
      </c>
      <c r="R312" s="196">
        <v>350</v>
      </c>
      <c r="S312" s="197">
        <v>350</v>
      </c>
      <c r="T312" s="195">
        <v>350</v>
      </c>
      <c r="U312" s="196">
        <v>350</v>
      </c>
      <c r="V312" s="197">
        <v>350</v>
      </c>
      <c r="W312" s="195">
        <v>350</v>
      </c>
      <c r="X312" s="196">
        <v>350</v>
      </c>
      <c r="Y312" s="197">
        <v>350</v>
      </c>
      <c r="Z312" s="195">
        <v>350</v>
      </c>
      <c r="AA312" s="196">
        <v>350</v>
      </c>
      <c r="AB312" s="197">
        <v>350</v>
      </c>
      <c r="AC312" s="195">
        <v>350</v>
      </c>
      <c r="AD312" s="196">
        <v>350</v>
      </c>
      <c r="AE312" s="197">
        <v>350</v>
      </c>
      <c r="AF312" s="195">
        <v>350</v>
      </c>
      <c r="AG312" s="196">
        <v>350</v>
      </c>
      <c r="AH312" s="197">
        <v>350</v>
      </c>
      <c r="AI312" s="200" t="s">
        <v>208</v>
      </c>
      <c r="AJ312" s="193" t="s">
        <v>1739</v>
      </c>
      <c r="AK312" s="201" t="s">
        <v>1740</v>
      </c>
      <c r="AL312" s="205">
        <v>1</v>
      </c>
      <c r="AM312" s="200"/>
      <c r="AN312" s="204">
        <v>350</v>
      </c>
      <c r="AO312" s="203"/>
      <c r="AP312" s="207" t="s">
        <v>76</v>
      </c>
      <c r="AQ312" s="199" t="s">
        <v>1619</v>
      </c>
      <c r="AR312" s="202"/>
      <c r="AS312" s="205">
        <v>2037</v>
      </c>
      <c r="AT312" s="206"/>
      <c r="AU312" s="201" t="s">
        <v>24</v>
      </c>
      <c r="AV312" s="193" t="s">
        <v>11</v>
      </c>
      <c r="AW312" s="205">
        <v>1197</v>
      </c>
    </row>
    <row r="313" spans="1:49">
      <c r="A313" s="192" t="s">
        <v>77</v>
      </c>
      <c r="B313" s="194" t="s">
        <v>1555</v>
      </c>
      <c r="C313" s="160" t="s">
        <v>3350</v>
      </c>
      <c r="D313" s="193" t="s">
        <v>3354</v>
      </c>
      <c r="E313" s="195">
        <v>350</v>
      </c>
      <c r="F313" s="196">
        <v>350</v>
      </c>
      <c r="G313" s="197">
        <v>350</v>
      </c>
      <c r="H313" s="195">
        <v>350</v>
      </c>
      <c r="I313" s="196">
        <v>350</v>
      </c>
      <c r="J313" s="197">
        <v>350</v>
      </c>
      <c r="K313" s="195">
        <v>350</v>
      </c>
      <c r="L313" s="196">
        <v>350</v>
      </c>
      <c r="M313" s="197">
        <v>350</v>
      </c>
      <c r="N313" s="195">
        <v>350</v>
      </c>
      <c r="O313" s="196">
        <v>350</v>
      </c>
      <c r="P313" s="197">
        <v>350</v>
      </c>
      <c r="Q313" s="195">
        <v>350</v>
      </c>
      <c r="R313" s="196">
        <v>350</v>
      </c>
      <c r="S313" s="197">
        <v>350</v>
      </c>
      <c r="T313" s="195">
        <v>350</v>
      </c>
      <c r="U313" s="196">
        <v>350</v>
      </c>
      <c r="V313" s="197">
        <v>350</v>
      </c>
      <c r="W313" s="195">
        <v>350</v>
      </c>
      <c r="X313" s="196">
        <v>350</v>
      </c>
      <c r="Y313" s="197">
        <v>350</v>
      </c>
      <c r="Z313" s="195">
        <v>350</v>
      </c>
      <c r="AA313" s="196">
        <v>350</v>
      </c>
      <c r="AB313" s="197">
        <v>350</v>
      </c>
      <c r="AC313" s="195">
        <v>350</v>
      </c>
      <c r="AD313" s="196">
        <v>350</v>
      </c>
      <c r="AE313" s="197">
        <v>350</v>
      </c>
      <c r="AF313" s="195">
        <v>350</v>
      </c>
      <c r="AG313" s="196">
        <v>350</v>
      </c>
      <c r="AH313" s="197">
        <v>350</v>
      </c>
      <c r="AI313" s="200" t="s">
        <v>208</v>
      </c>
      <c r="AJ313" s="193" t="s">
        <v>1739</v>
      </c>
      <c r="AK313" s="201" t="s">
        <v>1740</v>
      </c>
      <c r="AL313" s="205">
        <v>1</v>
      </c>
      <c r="AM313" s="200"/>
      <c r="AN313" s="204">
        <v>350</v>
      </c>
      <c r="AO313" s="203"/>
      <c r="AP313" s="207" t="s">
        <v>76</v>
      </c>
      <c r="AQ313" s="199" t="s">
        <v>1619</v>
      </c>
      <c r="AR313" s="202"/>
      <c r="AS313" s="205">
        <v>2037</v>
      </c>
      <c r="AT313" s="206"/>
      <c r="AU313" s="201" t="s">
        <v>24</v>
      </c>
      <c r="AV313" s="193" t="s">
        <v>11</v>
      </c>
      <c r="AW313" s="205">
        <v>1197</v>
      </c>
    </row>
    <row r="314" spans="1:49">
      <c r="A314" s="192" t="s">
        <v>77</v>
      </c>
      <c r="B314" s="194" t="s">
        <v>1555</v>
      </c>
      <c r="C314" s="160" t="s">
        <v>3359</v>
      </c>
      <c r="D314" s="193" t="s">
        <v>3360</v>
      </c>
      <c r="E314" s="195">
        <v>443</v>
      </c>
      <c r="F314" s="196">
        <v>443</v>
      </c>
      <c r="G314" s="197">
        <v>443</v>
      </c>
      <c r="H314" s="195">
        <v>443</v>
      </c>
      <c r="I314" s="196">
        <v>443</v>
      </c>
      <c r="J314" s="197">
        <v>443</v>
      </c>
      <c r="K314" s="195">
        <v>443</v>
      </c>
      <c r="L314" s="196">
        <v>443</v>
      </c>
      <c r="M314" s="197">
        <v>443</v>
      </c>
      <c r="N314" s="195">
        <v>443</v>
      </c>
      <c r="O314" s="196">
        <v>443</v>
      </c>
      <c r="P314" s="197">
        <v>443</v>
      </c>
      <c r="Q314" s="195">
        <v>443</v>
      </c>
      <c r="R314" s="196">
        <v>443</v>
      </c>
      <c r="S314" s="197">
        <v>443</v>
      </c>
      <c r="T314" s="195">
        <v>443</v>
      </c>
      <c r="U314" s="196">
        <v>443</v>
      </c>
      <c r="V314" s="197">
        <v>443</v>
      </c>
      <c r="W314" s="195">
        <v>443</v>
      </c>
      <c r="X314" s="196">
        <v>443</v>
      </c>
      <c r="Y314" s="197">
        <v>443</v>
      </c>
      <c r="Z314" s="195">
        <v>443</v>
      </c>
      <c r="AA314" s="196">
        <v>443</v>
      </c>
      <c r="AB314" s="197">
        <v>443</v>
      </c>
      <c r="AC314" s="195">
        <v>443</v>
      </c>
      <c r="AD314" s="196">
        <v>443</v>
      </c>
      <c r="AE314" s="197">
        <v>443</v>
      </c>
      <c r="AF314" s="195">
        <v>443</v>
      </c>
      <c r="AG314" s="196">
        <v>443</v>
      </c>
      <c r="AH314" s="197">
        <v>443</v>
      </c>
      <c r="AI314" s="200" t="s">
        <v>208</v>
      </c>
      <c r="AJ314" s="193" t="s">
        <v>1946</v>
      </c>
      <c r="AK314" s="201" t="s">
        <v>1740</v>
      </c>
      <c r="AL314" s="205">
        <v>1</v>
      </c>
      <c r="AM314" s="200">
        <v>450</v>
      </c>
      <c r="AN314" s="204">
        <v>450</v>
      </c>
      <c r="AO314" s="203"/>
      <c r="AP314" s="207" t="s">
        <v>76</v>
      </c>
      <c r="AQ314" s="199" t="s">
        <v>1619</v>
      </c>
      <c r="AR314" s="202"/>
      <c r="AS314" s="205">
        <v>2037</v>
      </c>
      <c r="AT314" s="206"/>
      <c r="AU314" s="201" t="s">
        <v>24</v>
      </c>
      <c r="AV314" s="193" t="s">
        <v>11</v>
      </c>
      <c r="AW314" s="205">
        <v>1199</v>
      </c>
    </row>
    <row r="315" spans="1:49">
      <c r="A315" s="192" t="s">
        <v>105</v>
      </c>
      <c r="B315" s="194" t="s">
        <v>1555</v>
      </c>
      <c r="C315" s="160" t="s">
        <v>3365</v>
      </c>
      <c r="D315" s="193" t="s">
        <v>3366</v>
      </c>
      <c r="E315" s="195">
        <v>68</v>
      </c>
      <c r="F315" s="196">
        <v>60</v>
      </c>
      <c r="G315" s="197">
        <v>60</v>
      </c>
      <c r="H315" s="195">
        <v>60</v>
      </c>
      <c r="I315" s="196">
        <v>72</v>
      </c>
      <c r="J315" s="197">
        <v>72</v>
      </c>
      <c r="K315" s="195">
        <v>72</v>
      </c>
      <c r="L315" s="196">
        <v>70</v>
      </c>
      <c r="M315" s="197">
        <v>70</v>
      </c>
      <c r="N315" s="195">
        <v>70</v>
      </c>
      <c r="O315" s="196">
        <v>70</v>
      </c>
      <c r="P315" s="197">
        <v>70</v>
      </c>
      <c r="Q315" s="195">
        <v>84</v>
      </c>
      <c r="R315" s="196">
        <v>72</v>
      </c>
      <c r="S315" s="197">
        <v>72</v>
      </c>
      <c r="T315" s="195">
        <v>72</v>
      </c>
      <c r="U315" s="196">
        <v>72</v>
      </c>
      <c r="V315" s="197">
        <v>72</v>
      </c>
      <c r="W315" s="195">
        <v>72</v>
      </c>
      <c r="X315" s="196">
        <v>72</v>
      </c>
      <c r="Y315" s="197">
        <v>72</v>
      </c>
      <c r="Z315" s="195">
        <v>72</v>
      </c>
      <c r="AA315" s="196">
        <v>72</v>
      </c>
      <c r="AB315" s="197">
        <v>72</v>
      </c>
      <c r="AC315" s="195">
        <v>72</v>
      </c>
      <c r="AD315" s="196">
        <v>72</v>
      </c>
      <c r="AE315" s="197">
        <v>72</v>
      </c>
      <c r="AF315" s="195">
        <v>72</v>
      </c>
      <c r="AG315" s="196">
        <v>72</v>
      </c>
      <c r="AH315" s="197">
        <v>72</v>
      </c>
      <c r="AI315" s="200" t="s">
        <v>1735</v>
      </c>
      <c r="AJ315" s="193" t="s">
        <v>1700</v>
      </c>
      <c r="AK315" s="201" t="s">
        <v>1658</v>
      </c>
      <c r="AL315" s="205">
        <v>6</v>
      </c>
      <c r="AM315" s="200">
        <v>90</v>
      </c>
      <c r="AN315" s="204">
        <v>90</v>
      </c>
      <c r="AO315" s="203"/>
      <c r="AP315" s="207" t="s">
        <v>76</v>
      </c>
      <c r="AQ315" s="199" t="s">
        <v>1619</v>
      </c>
      <c r="AR315" s="202"/>
      <c r="AS315" s="205">
        <v>2100</v>
      </c>
      <c r="AT315" s="206"/>
      <c r="AU315" s="201" t="s">
        <v>24</v>
      </c>
      <c r="AV315" s="193" t="s">
        <v>17</v>
      </c>
      <c r="AW315" s="205">
        <v>1200</v>
      </c>
    </row>
    <row r="316" spans="1:49" ht="20">
      <c r="A316" s="192" t="s">
        <v>91</v>
      </c>
      <c r="B316" s="194" t="s">
        <v>1555</v>
      </c>
      <c r="C316" s="160" t="s">
        <v>311</v>
      </c>
      <c r="D316" s="193" t="s">
        <v>588</v>
      </c>
      <c r="E316" s="195">
        <v>0</v>
      </c>
      <c r="F316" s="196">
        <v>0</v>
      </c>
      <c r="G316" s="197">
        <v>0</v>
      </c>
      <c r="H316" s="195">
        <v>0</v>
      </c>
      <c r="I316" s="196">
        <v>200</v>
      </c>
      <c r="J316" s="197">
        <v>195</v>
      </c>
      <c r="K316" s="195">
        <v>200</v>
      </c>
      <c r="L316" s="196">
        <v>200</v>
      </c>
      <c r="M316" s="197">
        <v>195</v>
      </c>
      <c r="N316" s="195">
        <v>0</v>
      </c>
      <c r="O316" s="196">
        <v>0</v>
      </c>
      <c r="P316" s="197">
        <v>0</v>
      </c>
      <c r="Q316" s="195">
        <v>0</v>
      </c>
      <c r="R316" s="196">
        <v>0</v>
      </c>
      <c r="S316" s="197">
        <v>0</v>
      </c>
      <c r="T316" s="195">
        <v>0</v>
      </c>
      <c r="U316" s="196">
        <v>0</v>
      </c>
      <c r="V316" s="197">
        <v>0</v>
      </c>
      <c r="W316" s="195">
        <v>0</v>
      </c>
      <c r="X316" s="196">
        <v>0</v>
      </c>
      <c r="Y316" s="197">
        <v>0</v>
      </c>
      <c r="Z316" s="195">
        <v>0</v>
      </c>
      <c r="AA316" s="196">
        <v>0</v>
      </c>
      <c r="AB316" s="197">
        <v>0</v>
      </c>
      <c r="AC316" s="195">
        <v>0</v>
      </c>
      <c r="AD316" s="196">
        <v>0</v>
      </c>
      <c r="AE316" s="197">
        <v>0</v>
      </c>
      <c r="AF316" s="195">
        <v>0</v>
      </c>
      <c r="AG316" s="196">
        <v>0</v>
      </c>
      <c r="AH316" s="197">
        <v>0</v>
      </c>
      <c r="AI316" s="200" t="s">
        <v>312</v>
      </c>
      <c r="AJ316" s="193" t="s">
        <v>1739</v>
      </c>
      <c r="AK316" s="201" t="s">
        <v>1592</v>
      </c>
      <c r="AL316" s="205">
        <v>1</v>
      </c>
      <c r="AM316" s="200">
        <v>0</v>
      </c>
      <c r="AN316" s="204">
        <v>200</v>
      </c>
      <c r="AO316" s="203"/>
      <c r="AP316" s="207" t="s">
        <v>2219</v>
      </c>
      <c r="AQ316" s="199" t="s">
        <v>1619</v>
      </c>
      <c r="AR316" s="202"/>
      <c r="AS316" s="205">
        <v>2026</v>
      </c>
      <c r="AT316" s="206"/>
      <c r="AU316" s="201" t="s">
        <v>23</v>
      </c>
      <c r="AV316" s="193" t="s">
        <v>14</v>
      </c>
      <c r="AW316" s="205">
        <v>1210</v>
      </c>
    </row>
    <row r="317" spans="1:49" ht="20">
      <c r="A317" s="192" t="s">
        <v>91</v>
      </c>
      <c r="B317" s="194" t="s">
        <v>1555</v>
      </c>
      <c r="C317" s="160" t="s">
        <v>311</v>
      </c>
      <c r="D317" s="193" t="s">
        <v>3438</v>
      </c>
      <c r="E317" s="195">
        <v>200</v>
      </c>
      <c r="F317" s="196">
        <v>200</v>
      </c>
      <c r="G317" s="197">
        <v>195</v>
      </c>
      <c r="H317" s="195">
        <v>200</v>
      </c>
      <c r="I317" s="196">
        <v>200</v>
      </c>
      <c r="J317" s="197">
        <v>195</v>
      </c>
      <c r="K317" s="195">
        <v>200</v>
      </c>
      <c r="L317" s="196">
        <v>200</v>
      </c>
      <c r="M317" s="197">
        <v>195</v>
      </c>
      <c r="N317" s="195">
        <v>0</v>
      </c>
      <c r="O317" s="196">
        <v>0</v>
      </c>
      <c r="P317" s="197">
        <v>0</v>
      </c>
      <c r="Q317" s="195">
        <v>0</v>
      </c>
      <c r="R317" s="196">
        <v>0</v>
      </c>
      <c r="S317" s="197">
        <v>0</v>
      </c>
      <c r="T317" s="195">
        <v>0</v>
      </c>
      <c r="U317" s="196">
        <v>0</v>
      </c>
      <c r="V317" s="197">
        <v>0</v>
      </c>
      <c r="W317" s="195">
        <v>0</v>
      </c>
      <c r="X317" s="196">
        <v>0</v>
      </c>
      <c r="Y317" s="197">
        <v>0</v>
      </c>
      <c r="Z317" s="195">
        <v>0</v>
      </c>
      <c r="AA317" s="196">
        <v>0</v>
      </c>
      <c r="AB317" s="197">
        <v>0</v>
      </c>
      <c r="AC317" s="195">
        <v>0</v>
      </c>
      <c r="AD317" s="196">
        <v>0</v>
      </c>
      <c r="AE317" s="197">
        <v>0</v>
      </c>
      <c r="AF317" s="195">
        <v>0</v>
      </c>
      <c r="AG317" s="196">
        <v>0</v>
      </c>
      <c r="AH317" s="197">
        <v>0</v>
      </c>
      <c r="AI317" s="200" t="s">
        <v>312</v>
      </c>
      <c r="AJ317" s="193" t="s">
        <v>1739</v>
      </c>
      <c r="AK317" s="201" t="s">
        <v>1592</v>
      </c>
      <c r="AL317" s="205">
        <v>1</v>
      </c>
      <c r="AM317" s="200">
        <v>0</v>
      </c>
      <c r="AN317" s="204">
        <v>200</v>
      </c>
      <c r="AO317" s="203"/>
      <c r="AP317" s="207" t="s">
        <v>2219</v>
      </c>
      <c r="AQ317" s="199" t="s">
        <v>1619</v>
      </c>
      <c r="AR317" s="202"/>
      <c r="AS317" s="205">
        <v>2026</v>
      </c>
      <c r="AT317" s="206"/>
      <c r="AU317" s="201" t="s">
        <v>23</v>
      </c>
      <c r="AV317" s="193" t="s">
        <v>14</v>
      </c>
      <c r="AW317" s="205">
        <v>1210</v>
      </c>
    </row>
    <row r="318" spans="1:49" ht="20">
      <c r="A318" s="192" t="s">
        <v>91</v>
      </c>
      <c r="B318" s="194" t="s">
        <v>1555</v>
      </c>
      <c r="C318" s="160" t="s">
        <v>311</v>
      </c>
      <c r="D318" s="193" t="s">
        <v>3439</v>
      </c>
      <c r="E318" s="195">
        <v>200</v>
      </c>
      <c r="F318" s="196">
        <v>200</v>
      </c>
      <c r="G318" s="197">
        <v>195</v>
      </c>
      <c r="H318" s="195">
        <v>200</v>
      </c>
      <c r="I318" s="196">
        <v>200</v>
      </c>
      <c r="J318" s="197">
        <v>195</v>
      </c>
      <c r="K318" s="195">
        <v>200</v>
      </c>
      <c r="L318" s="196">
        <v>200</v>
      </c>
      <c r="M318" s="197">
        <v>195</v>
      </c>
      <c r="N318" s="195">
        <v>0</v>
      </c>
      <c r="O318" s="196">
        <v>0</v>
      </c>
      <c r="P318" s="197">
        <v>0</v>
      </c>
      <c r="Q318" s="195">
        <v>0</v>
      </c>
      <c r="R318" s="196">
        <v>0</v>
      </c>
      <c r="S318" s="197">
        <v>0</v>
      </c>
      <c r="T318" s="195">
        <v>0</v>
      </c>
      <c r="U318" s="196">
        <v>0</v>
      </c>
      <c r="V318" s="197">
        <v>0</v>
      </c>
      <c r="W318" s="195">
        <v>0</v>
      </c>
      <c r="X318" s="196">
        <v>0</v>
      </c>
      <c r="Y318" s="197">
        <v>0</v>
      </c>
      <c r="Z318" s="195">
        <v>0</v>
      </c>
      <c r="AA318" s="196">
        <v>0</v>
      </c>
      <c r="AB318" s="197">
        <v>0</v>
      </c>
      <c r="AC318" s="195">
        <v>0</v>
      </c>
      <c r="AD318" s="196">
        <v>0</v>
      </c>
      <c r="AE318" s="197">
        <v>0</v>
      </c>
      <c r="AF318" s="195">
        <v>0</v>
      </c>
      <c r="AG318" s="196">
        <v>0</v>
      </c>
      <c r="AH318" s="197">
        <v>0</v>
      </c>
      <c r="AI318" s="200" t="s">
        <v>312</v>
      </c>
      <c r="AJ318" s="193" t="s">
        <v>1739</v>
      </c>
      <c r="AK318" s="201" t="s">
        <v>1592</v>
      </c>
      <c r="AL318" s="205">
        <v>1</v>
      </c>
      <c r="AM318" s="200">
        <v>0</v>
      </c>
      <c r="AN318" s="204">
        <v>200</v>
      </c>
      <c r="AO318" s="203"/>
      <c r="AP318" s="207" t="s">
        <v>2219</v>
      </c>
      <c r="AQ318" s="199" t="s">
        <v>1619</v>
      </c>
      <c r="AR318" s="202"/>
      <c r="AS318" s="205">
        <v>2026</v>
      </c>
      <c r="AT318" s="206"/>
      <c r="AU318" s="201" t="s">
        <v>23</v>
      </c>
      <c r="AV318" s="193" t="s">
        <v>14</v>
      </c>
      <c r="AW318" s="205">
        <v>1210</v>
      </c>
    </row>
    <row r="319" spans="1:49" ht="20">
      <c r="A319" s="192" t="s">
        <v>91</v>
      </c>
      <c r="B319" s="194" t="s">
        <v>1555</v>
      </c>
      <c r="C319" s="160" t="s">
        <v>311</v>
      </c>
      <c r="D319" s="193" t="s">
        <v>3440</v>
      </c>
      <c r="E319" s="195">
        <v>200</v>
      </c>
      <c r="F319" s="196">
        <v>200</v>
      </c>
      <c r="G319" s="197">
        <v>195</v>
      </c>
      <c r="H319" s="195">
        <v>200</v>
      </c>
      <c r="I319" s="196">
        <v>200</v>
      </c>
      <c r="J319" s="197">
        <v>195</v>
      </c>
      <c r="K319" s="195">
        <v>200</v>
      </c>
      <c r="L319" s="196">
        <v>200</v>
      </c>
      <c r="M319" s="197">
        <v>195</v>
      </c>
      <c r="N319" s="195">
        <v>0</v>
      </c>
      <c r="O319" s="196">
        <v>0</v>
      </c>
      <c r="P319" s="197">
        <v>0</v>
      </c>
      <c r="Q319" s="195">
        <v>0</v>
      </c>
      <c r="R319" s="196">
        <v>0</v>
      </c>
      <c r="S319" s="197">
        <v>0</v>
      </c>
      <c r="T319" s="195">
        <v>0</v>
      </c>
      <c r="U319" s="196">
        <v>0</v>
      </c>
      <c r="V319" s="197">
        <v>0</v>
      </c>
      <c r="W319" s="195">
        <v>0</v>
      </c>
      <c r="X319" s="196">
        <v>0</v>
      </c>
      <c r="Y319" s="197">
        <v>0</v>
      </c>
      <c r="Z319" s="195">
        <v>0</v>
      </c>
      <c r="AA319" s="196">
        <v>0</v>
      </c>
      <c r="AB319" s="197">
        <v>0</v>
      </c>
      <c r="AC319" s="195">
        <v>0</v>
      </c>
      <c r="AD319" s="196">
        <v>0</v>
      </c>
      <c r="AE319" s="197">
        <v>0</v>
      </c>
      <c r="AF319" s="195">
        <v>0</v>
      </c>
      <c r="AG319" s="196">
        <v>0</v>
      </c>
      <c r="AH319" s="197">
        <v>0</v>
      </c>
      <c r="AI319" s="200" t="s">
        <v>312</v>
      </c>
      <c r="AJ319" s="193" t="s">
        <v>1739</v>
      </c>
      <c r="AK319" s="201" t="s">
        <v>1592</v>
      </c>
      <c r="AL319" s="205">
        <v>1</v>
      </c>
      <c r="AM319" s="200">
        <v>0</v>
      </c>
      <c r="AN319" s="204">
        <v>200</v>
      </c>
      <c r="AO319" s="203"/>
      <c r="AP319" s="207" t="s">
        <v>2219</v>
      </c>
      <c r="AQ319" s="199" t="s">
        <v>1619</v>
      </c>
      <c r="AR319" s="202"/>
      <c r="AS319" s="205">
        <v>2026</v>
      </c>
      <c r="AT319" s="206"/>
      <c r="AU319" s="201" t="s">
        <v>23</v>
      </c>
      <c r="AV319" s="193" t="s">
        <v>14</v>
      </c>
      <c r="AW319" s="205">
        <v>1210</v>
      </c>
    </row>
    <row r="320" spans="1:49">
      <c r="A320" s="192" t="s">
        <v>91</v>
      </c>
      <c r="B320" s="194" t="s">
        <v>1555</v>
      </c>
      <c r="C320" s="160" t="s">
        <v>101</v>
      </c>
      <c r="D320" s="193" t="s">
        <v>3441</v>
      </c>
      <c r="E320" s="195">
        <v>250.7</v>
      </c>
      <c r="F320" s="196">
        <v>250.7</v>
      </c>
      <c r="G320" s="197">
        <v>250.7</v>
      </c>
      <c r="H320" s="195">
        <v>250.7</v>
      </c>
      <c r="I320" s="196">
        <v>250.7</v>
      </c>
      <c r="J320" s="197">
        <v>250.7</v>
      </c>
      <c r="K320" s="195">
        <v>250.7</v>
      </c>
      <c r="L320" s="196">
        <v>250.7</v>
      </c>
      <c r="M320" s="197">
        <v>250.7</v>
      </c>
      <c r="N320" s="195">
        <v>250.7</v>
      </c>
      <c r="O320" s="196">
        <v>250.7</v>
      </c>
      <c r="P320" s="197">
        <v>250.7</v>
      </c>
      <c r="Q320" s="195">
        <v>250.7</v>
      </c>
      <c r="R320" s="196">
        <v>250.7</v>
      </c>
      <c r="S320" s="197">
        <v>250.7</v>
      </c>
      <c r="T320" s="195">
        <v>250.7</v>
      </c>
      <c r="U320" s="196">
        <v>250.7</v>
      </c>
      <c r="V320" s="197">
        <v>250.7</v>
      </c>
      <c r="W320" s="195">
        <v>250.7</v>
      </c>
      <c r="X320" s="196">
        <v>250.7</v>
      </c>
      <c r="Y320" s="197">
        <v>250.7</v>
      </c>
      <c r="Z320" s="195">
        <v>250.7</v>
      </c>
      <c r="AA320" s="196">
        <v>250.7</v>
      </c>
      <c r="AB320" s="197">
        <v>250.7</v>
      </c>
      <c r="AC320" s="195">
        <v>250.7</v>
      </c>
      <c r="AD320" s="196">
        <v>250.7</v>
      </c>
      <c r="AE320" s="197">
        <v>250.7</v>
      </c>
      <c r="AF320" s="195">
        <v>250.7</v>
      </c>
      <c r="AG320" s="196">
        <v>250.7</v>
      </c>
      <c r="AH320" s="197">
        <v>250.7</v>
      </c>
      <c r="AI320" s="200" t="s">
        <v>102</v>
      </c>
      <c r="AJ320" s="193" t="s">
        <v>1602</v>
      </c>
      <c r="AK320" s="201" t="s">
        <v>1603</v>
      </c>
      <c r="AL320" s="205">
        <v>109</v>
      </c>
      <c r="AM320" s="200"/>
      <c r="AN320" s="204">
        <v>250.7</v>
      </c>
      <c r="AO320" s="203">
        <v>250</v>
      </c>
      <c r="AP320" s="207" t="s">
        <v>401</v>
      </c>
      <c r="AQ320" s="199" t="s">
        <v>1619</v>
      </c>
      <c r="AR320" s="202">
        <v>45139</v>
      </c>
      <c r="AS320" s="205">
        <v>2043</v>
      </c>
      <c r="AT320" s="206"/>
      <c r="AU320" s="201" t="s">
        <v>24</v>
      </c>
      <c r="AV320" s="193" t="s">
        <v>19</v>
      </c>
      <c r="AW320" s="205">
        <v>1866</v>
      </c>
    </row>
    <row r="321" spans="1:49">
      <c r="A321" s="192" t="s">
        <v>77</v>
      </c>
      <c r="B321" s="194" t="s">
        <v>1555</v>
      </c>
      <c r="C321" s="160" t="s">
        <v>3445</v>
      </c>
      <c r="D321" s="193" t="s">
        <v>3447</v>
      </c>
      <c r="E321" s="195">
        <v>165</v>
      </c>
      <c r="F321" s="196">
        <v>155</v>
      </c>
      <c r="G321" s="197">
        <v>150</v>
      </c>
      <c r="H321" s="195">
        <v>165</v>
      </c>
      <c r="I321" s="196">
        <v>155</v>
      </c>
      <c r="J321" s="197">
        <v>150</v>
      </c>
      <c r="K321" s="195">
        <v>165</v>
      </c>
      <c r="L321" s="196">
        <v>155</v>
      </c>
      <c r="M321" s="197">
        <v>150</v>
      </c>
      <c r="N321" s="195">
        <v>165</v>
      </c>
      <c r="O321" s="196">
        <v>155</v>
      </c>
      <c r="P321" s="197">
        <v>150</v>
      </c>
      <c r="Q321" s="195">
        <v>165</v>
      </c>
      <c r="R321" s="196">
        <v>155</v>
      </c>
      <c r="S321" s="197">
        <v>150</v>
      </c>
      <c r="T321" s="195">
        <v>165</v>
      </c>
      <c r="U321" s="196">
        <v>155</v>
      </c>
      <c r="V321" s="197">
        <v>150</v>
      </c>
      <c r="W321" s="195">
        <v>165</v>
      </c>
      <c r="X321" s="196">
        <v>155</v>
      </c>
      <c r="Y321" s="197">
        <v>150</v>
      </c>
      <c r="Z321" s="195">
        <v>165</v>
      </c>
      <c r="AA321" s="196">
        <v>155</v>
      </c>
      <c r="AB321" s="197">
        <v>150</v>
      </c>
      <c r="AC321" s="195">
        <v>165</v>
      </c>
      <c r="AD321" s="196">
        <v>155</v>
      </c>
      <c r="AE321" s="197">
        <v>150</v>
      </c>
      <c r="AF321" s="195">
        <v>165</v>
      </c>
      <c r="AG321" s="196">
        <v>155</v>
      </c>
      <c r="AH321" s="197">
        <v>150</v>
      </c>
      <c r="AI321" s="200" t="s">
        <v>3446</v>
      </c>
      <c r="AJ321" s="193" t="s">
        <v>2072</v>
      </c>
      <c r="AK321" s="201" t="s">
        <v>1592</v>
      </c>
      <c r="AL321" s="205">
        <v>1</v>
      </c>
      <c r="AM321" s="200"/>
      <c r="AN321" s="204">
        <v>160</v>
      </c>
      <c r="AO321" s="203"/>
      <c r="AP321" s="207" t="s">
        <v>76</v>
      </c>
      <c r="AQ321" s="199" t="s">
        <v>1619</v>
      </c>
      <c r="AR321" s="202"/>
      <c r="AS321" s="205">
        <v>2046</v>
      </c>
      <c r="AT321" s="206"/>
      <c r="AU321" s="201" t="s">
        <v>24</v>
      </c>
      <c r="AV321" s="193" t="s">
        <v>12</v>
      </c>
      <c r="AW321" s="205">
        <v>1724</v>
      </c>
    </row>
    <row r="322" spans="1:49">
      <c r="A322" s="192" t="s">
        <v>77</v>
      </c>
      <c r="B322" s="194" t="s">
        <v>1555</v>
      </c>
      <c r="C322" s="160" t="s">
        <v>3445</v>
      </c>
      <c r="D322" s="193" t="s">
        <v>3448</v>
      </c>
      <c r="E322" s="195">
        <v>82</v>
      </c>
      <c r="F322" s="196">
        <v>78</v>
      </c>
      <c r="G322" s="197">
        <v>78</v>
      </c>
      <c r="H322" s="195">
        <v>82</v>
      </c>
      <c r="I322" s="196">
        <v>78</v>
      </c>
      <c r="J322" s="197">
        <v>78</v>
      </c>
      <c r="K322" s="195">
        <v>81</v>
      </c>
      <c r="L322" s="196">
        <v>77</v>
      </c>
      <c r="M322" s="197">
        <v>77</v>
      </c>
      <c r="N322" s="195">
        <v>81</v>
      </c>
      <c r="O322" s="196">
        <v>77</v>
      </c>
      <c r="P322" s="197">
        <v>77</v>
      </c>
      <c r="Q322" s="195">
        <v>81</v>
      </c>
      <c r="R322" s="196">
        <v>77</v>
      </c>
      <c r="S322" s="197">
        <v>77</v>
      </c>
      <c r="T322" s="195">
        <v>81</v>
      </c>
      <c r="U322" s="196">
        <v>77</v>
      </c>
      <c r="V322" s="197">
        <v>77</v>
      </c>
      <c r="W322" s="195">
        <v>81</v>
      </c>
      <c r="X322" s="196">
        <v>77</v>
      </c>
      <c r="Y322" s="197">
        <v>77</v>
      </c>
      <c r="Z322" s="195">
        <v>81</v>
      </c>
      <c r="AA322" s="196">
        <v>77</v>
      </c>
      <c r="AB322" s="197">
        <v>77</v>
      </c>
      <c r="AC322" s="195">
        <v>81</v>
      </c>
      <c r="AD322" s="196">
        <v>77</v>
      </c>
      <c r="AE322" s="197">
        <v>77</v>
      </c>
      <c r="AF322" s="195">
        <v>81</v>
      </c>
      <c r="AG322" s="196">
        <v>77</v>
      </c>
      <c r="AH322" s="197">
        <v>77</v>
      </c>
      <c r="AI322" s="200" t="s">
        <v>3446</v>
      </c>
      <c r="AJ322" s="193" t="s">
        <v>2072</v>
      </c>
      <c r="AK322" s="201" t="s">
        <v>1592</v>
      </c>
      <c r="AL322" s="205">
        <v>1</v>
      </c>
      <c r="AM322" s="200"/>
      <c r="AN322" s="204">
        <v>84</v>
      </c>
      <c r="AO322" s="203"/>
      <c r="AP322" s="207" t="s">
        <v>76</v>
      </c>
      <c r="AQ322" s="199" t="s">
        <v>1619</v>
      </c>
      <c r="AR322" s="202"/>
      <c r="AS322" s="205">
        <v>2046</v>
      </c>
      <c r="AT322" s="206"/>
      <c r="AU322" s="201" t="s">
        <v>24</v>
      </c>
      <c r="AV322" s="193" t="s">
        <v>12</v>
      </c>
      <c r="AW322" s="205">
        <v>1724</v>
      </c>
    </row>
    <row r="323" spans="1:49">
      <c r="A323" s="192" t="s">
        <v>105</v>
      </c>
      <c r="B323" s="194" t="s">
        <v>1555</v>
      </c>
      <c r="C323" s="160" t="s">
        <v>3449</v>
      </c>
      <c r="D323" s="193" t="s">
        <v>3450</v>
      </c>
      <c r="E323" s="195">
        <v>100</v>
      </c>
      <c r="F323" s="196">
        <v>100</v>
      </c>
      <c r="G323" s="197">
        <v>100</v>
      </c>
      <c r="H323" s="195">
        <v>100</v>
      </c>
      <c r="I323" s="196">
        <v>100</v>
      </c>
      <c r="J323" s="197">
        <v>100</v>
      </c>
      <c r="K323" s="195">
        <v>100</v>
      </c>
      <c r="L323" s="196">
        <v>100</v>
      </c>
      <c r="M323" s="197">
        <v>100</v>
      </c>
      <c r="N323" s="195">
        <v>100</v>
      </c>
      <c r="O323" s="196">
        <v>70</v>
      </c>
      <c r="P323" s="197">
        <v>70</v>
      </c>
      <c r="Q323" s="195">
        <v>100</v>
      </c>
      <c r="R323" s="196">
        <v>70</v>
      </c>
      <c r="S323" s="197">
        <v>70</v>
      </c>
      <c r="T323" s="195">
        <v>70</v>
      </c>
      <c r="U323" s="196">
        <v>100</v>
      </c>
      <c r="V323" s="197">
        <v>100</v>
      </c>
      <c r="W323" s="195">
        <v>100</v>
      </c>
      <c r="X323" s="196">
        <v>100</v>
      </c>
      <c r="Y323" s="197">
        <v>100</v>
      </c>
      <c r="Z323" s="195">
        <v>100</v>
      </c>
      <c r="AA323" s="196">
        <v>100</v>
      </c>
      <c r="AB323" s="197">
        <v>100</v>
      </c>
      <c r="AC323" s="195">
        <v>100</v>
      </c>
      <c r="AD323" s="196">
        <v>100</v>
      </c>
      <c r="AE323" s="197">
        <v>100</v>
      </c>
      <c r="AF323" s="195">
        <v>100</v>
      </c>
      <c r="AG323" s="196">
        <v>100</v>
      </c>
      <c r="AH323" s="197">
        <v>100</v>
      </c>
      <c r="AI323" s="200" t="s">
        <v>1735</v>
      </c>
      <c r="AJ323" s="193" t="s">
        <v>1700</v>
      </c>
      <c r="AK323" s="201" t="s">
        <v>1658</v>
      </c>
      <c r="AL323" s="205">
        <v>4</v>
      </c>
      <c r="AM323" s="200">
        <v>93</v>
      </c>
      <c r="AN323" s="204">
        <v>93</v>
      </c>
      <c r="AO323" s="203"/>
      <c r="AP323" s="207" t="s">
        <v>76</v>
      </c>
      <c r="AQ323" s="199" t="s">
        <v>1619</v>
      </c>
      <c r="AR323" s="202"/>
      <c r="AS323" s="205">
        <v>2100</v>
      </c>
      <c r="AT323" s="206"/>
      <c r="AU323" s="201" t="s">
        <v>24</v>
      </c>
      <c r="AV323" s="193" t="s">
        <v>17</v>
      </c>
      <c r="AW323" s="205">
        <v>1213</v>
      </c>
    </row>
    <row r="324" spans="1:49">
      <c r="A324" s="192" t="s">
        <v>105</v>
      </c>
      <c r="B324" s="194" t="s">
        <v>1555</v>
      </c>
      <c r="C324" s="160" t="s">
        <v>3453</v>
      </c>
      <c r="D324" s="193" t="s">
        <v>3454</v>
      </c>
      <c r="E324" s="195">
        <v>88</v>
      </c>
      <c r="F324" s="196">
        <v>88</v>
      </c>
      <c r="G324" s="197">
        <v>88</v>
      </c>
      <c r="H324" s="195">
        <v>88</v>
      </c>
      <c r="I324" s="196">
        <v>88</v>
      </c>
      <c r="J324" s="197">
        <v>88</v>
      </c>
      <c r="K324" s="195">
        <v>88</v>
      </c>
      <c r="L324" s="196">
        <v>88</v>
      </c>
      <c r="M324" s="197">
        <v>88</v>
      </c>
      <c r="N324" s="195">
        <v>88</v>
      </c>
      <c r="O324" s="196">
        <v>88</v>
      </c>
      <c r="P324" s="197">
        <v>88</v>
      </c>
      <c r="Q324" s="195">
        <v>88</v>
      </c>
      <c r="R324" s="196">
        <v>88</v>
      </c>
      <c r="S324" s="197">
        <v>88</v>
      </c>
      <c r="T324" s="195">
        <v>88</v>
      </c>
      <c r="U324" s="196">
        <v>88</v>
      </c>
      <c r="V324" s="197">
        <v>88</v>
      </c>
      <c r="W324" s="195">
        <v>88</v>
      </c>
      <c r="X324" s="196">
        <v>88</v>
      </c>
      <c r="Y324" s="197">
        <v>88</v>
      </c>
      <c r="Z324" s="195">
        <v>88</v>
      </c>
      <c r="AA324" s="196">
        <v>0</v>
      </c>
      <c r="AB324" s="197">
        <v>0</v>
      </c>
      <c r="AC324" s="195">
        <v>0</v>
      </c>
      <c r="AD324" s="196">
        <v>88</v>
      </c>
      <c r="AE324" s="197">
        <v>88</v>
      </c>
      <c r="AF324" s="195">
        <v>88</v>
      </c>
      <c r="AG324" s="196">
        <v>88</v>
      </c>
      <c r="AH324" s="197">
        <v>88</v>
      </c>
      <c r="AI324" s="200" t="s">
        <v>1735</v>
      </c>
      <c r="AJ324" s="193" t="s">
        <v>1700</v>
      </c>
      <c r="AK324" s="201" t="s">
        <v>1658</v>
      </c>
      <c r="AL324" s="205">
        <v>1</v>
      </c>
      <c r="AM324" s="200">
        <v>82.8</v>
      </c>
      <c r="AN324" s="204">
        <v>82.8</v>
      </c>
      <c r="AO324" s="203"/>
      <c r="AP324" s="207" t="s">
        <v>76</v>
      </c>
      <c r="AQ324" s="199" t="s">
        <v>1619</v>
      </c>
      <c r="AR324" s="202"/>
      <c r="AS324" s="205">
        <v>2100</v>
      </c>
      <c r="AT324" s="206"/>
      <c r="AU324" s="201" t="s">
        <v>24</v>
      </c>
      <c r="AV324" s="193" t="s">
        <v>17</v>
      </c>
      <c r="AW324" s="205">
        <v>1214</v>
      </c>
    </row>
    <row r="325" spans="1:49">
      <c r="A325" s="192" t="s">
        <v>45</v>
      </c>
      <c r="B325" s="194" t="s">
        <v>1555</v>
      </c>
      <c r="C325" s="160" t="s">
        <v>3461</v>
      </c>
      <c r="D325" s="193" t="s">
        <v>3462</v>
      </c>
      <c r="E325" s="195">
        <v>1800</v>
      </c>
      <c r="F325" s="196">
        <v>1800</v>
      </c>
      <c r="G325" s="197">
        <v>1800</v>
      </c>
      <c r="H325" s="195">
        <v>1800</v>
      </c>
      <c r="I325" s="196">
        <v>1800</v>
      </c>
      <c r="J325" s="197">
        <v>1800</v>
      </c>
      <c r="K325" s="195">
        <v>1800</v>
      </c>
      <c r="L325" s="196">
        <v>1800</v>
      </c>
      <c r="M325" s="197">
        <v>1800</v>
      </c>
      <c r="N325" s="195">
        <v>1800</v>
      </c>
      <c r="O325" s="196">
        <v>1800</v>
      </c>
      <c r="P325" s="197">
        <v>1800</v>
      </c>
      <c r="Q325" s="195">
        <v>1800</v>
      </c>
      <c r="R325" s="196">
        <v>1800</v>
      </c>
      <c r="S325" s="197">
        <v>1800</v>
      </c>
      <c r="T325" s="195">
        <v>1800</v>
      </c>
      <c r="U325" s="196">
        <v>1800</v>
      </c>
      <c r="V325" s="197">
        <v>1800</v>
      </c>
      <c r="W325" s="195">
        <v>1800</v>
      </c>
      <c r="X325" s="196">
        <v>1800</v>
      </c>
      <c r="Y325" s="197">
        <v>1800</v>
      </c>
      <c r="Z325" s="195">
        <v>1800</v>
      </c>
      <c r="AA325" s="196">
        <v>1800</v>
      </c>
      <c r="AB325" s="197">
        <v>1800</v>
      </c>
      <c r="AC325" s="195">
        <v>1800</v>
      </c>
      <c r="AD325" s="196">
        <v>1800</v>
      </c>
      <c r="AE325" s="197">
        <v>1800</v>
      </c>
      <c r="AF325" s="195">
        <v>1800</v>
      </c>
      <c r="AG325" s="196">
        <v>1800</v>
      </c>
      <c r="AH325" s="197">
        <v>1800</v>
      </c>
      <c r="AI325" s="200" t="s">
        <v>805</v>
      </c>
      <c r="AJ325" s="193" t="s">
        <v>1700</v>
      </c>
      <c r="AK325" s="201" t="s">
        <v>1658</v>
      </c>
      <c r="AL325" s="205">
        <v>6</v>
      </c>
      <c r="AM325" s="200"/>
      <c r="AN325" s="204">
        <v>1500</v>
      </c>
      <c r="AO325" s="203"/>
      <c r="AP325" s="207" t="s">
        <v>76</v>
      </c>
      <c r="AQ325" s="199" t="s">
        <v>1619</v>
      </c>
      <c r="AR325" s="202"/>
      <c r="AS325" s="205">
        <v>2070</v>
      </c>
      <c r="AT325" s="206"/>
      <c r="AU325" s="201" t="s">
        <v>24</v>
      </c>
      <c r="AV325" s="193" t="s">
        <v>17</v>
      </c>
      <c r="AW325" s="205">
        <v>1215</v>
      </c>
    </row>
    <row r="326" spans="1:49">
      <c r="A326" s="192" t="s">
        <v>105</v>
      </c>
      <c r="B326" s="194" t="s">
        <v>1555</v>
      </c>
      <c r="C326" s="160" t="s">
        <v>3465</v>
      </c>
      <c r="D326" s="193" t="s">
        <v>3466</v>
      </c>
      <c r="E326" s="195">
        <v>130</v>
      </c>
      <c r="F326" s="196">
        <v>130</v>
      </c>
      <c r="G326" s="197">
        <v>130</v>
      </c>
      <c r="H326" s="195">
        <v>130</v>
      </c>
      <c r="I326" s="196">
        <v>130</v>
      </c>
      <c r="J326" s="197">
        <v>130</v>
      </c>
      <c r="K326" s="195">
        <v>130</v>
      </c>
      <c r="L326" s="196">
        <v>104</v>
      </c>
      <c r="M326" s="197">
        <v>104</v>
      </c>
      <c r="N326" s="195">
        <v>130</v>
      </c>
      <c r="O326" s="196">
        <v>130</v>
      </c>
      <c r="P326" s="197">
        <v>130</v>
      </c>
      <c r="Q326" s="195">
        <v>130</v>
      </c>
      <c r="R326" s="196">
        <v>130</v>
      </c>
      <c r="S326" s="197">
        <v>130</v>
      </c>
      <c r="T326" s="195">
        <v>130</v>
      </c>
      <c r="U326" s="196">
        <v>130</v>
      </c>
      <c r="V326" s="197">
        <v>130</v>
      </c>
      <c r="W326" s="195">
        <v>130</v>
      </c>
      <c r="X326" s="196">
        <v>78</v>
      </c>
      <c r="Y326" s="197">
        <v>78</v>
      </c>
      <c r="Z326" s="195">
        <v>130</v>
      </c>
      <c r="AA326" s="196">
        <v>130</v>
      </c>
      <c r="AB326" s="197">
        <v>130</v>
      </c>
      <c r="AC326" s="195">
        <v>130</v>
      </c>
      <c r="AD326" s="196">
        <v>130</v>
      </c>
      <c r="AE326" s="197">
        <v>130</v>
      </c>
      <c r="AF326" s="195">
        <v>130</v>
      </c>
      <c r="AG326" s="196">
        <v>130</v>
      </c>
      <c r="AH326" s="197">
        <v>130</v>
      </c>
      <c r="AI326" s="200" t="s">
        <v>1735</v>
      </c>
      <c r="AJ326" s="193" t="s">
        <v>1700</v>
      </c>
      <c r="AK326" s="201" t="s">
        <v>1658</v>
      </c>
      <c r="AL326" s="205">
        <v>5</v>
      </c>
      <c r="AM326" s="200">
        <v>125</v>
      </c>
      <c r="AN326" s="204">
        <v>125</v>
      </c>
      <c r="AO326" s="203"/>
      <c r="AP326" s="207" t="s">
        <v>76</v>
      </c>
      <c r="AQ326" s="199" t="s">
        <v>1619</v>
      </c>
      <c r="AR326" s="202"/>
      <c r="AS326" s="205">
        <v>2100</v>
      </c>
      <c r="AT326" s="206"/>
      <c r="AU326" s="201" t="s">
        <v>24</v>
      </c>
      <c r="AV326" s="193" t="s">
        <v>17</v>
      </c>
      <c r="AW326" s="205">
        <v>1216</v>
      </c>
    </row>
    <row r="327" spans="1:49">
      <c r="A327" s="192" t="s">
        <v>45</v>
      </c>
      <c r="B327" s="194" t="s">
        <v>1555</v>
      </c>
      <c r="C327" s="160" t="s">
        <v>3489</v>
      </c>
      <c r="D327" s="193" t="s">
        <v>3490</v>
      </c>
      <c r="E327" s="195">
        <v>674</v>
      </c>
      <c r="F327" s="196">
        <v>674</v>
      </c>
      <c r="G327" s="197">
        <v>674</v>
      </c>
      <c r="H327" s="195">
        <v>674</v>
      </c>
      <c r="I327" s="196">
        <v>674</v>
      </c>
      <c r="J327" s="197">
        <v>674</v>
      </c>
      <c r="K327" s="195">
        <v>674</v>
      </c>
      <c r="L327" s="196">
        <v>674</v>
      </c>
      <c r="M327" s="197">
        <v>674</v>
      </c>
      <c r="N327" s="195">
        <v>508</v>
      </c>
      <c r="O327" s="196">
        <v>689</v>
      </c>
      <c r="P327" s="197">
        <v>689</v>
      </c>
      <c r="Q327" s="195">
        <v>523</v>
      </c>
      <c r="R327" s="196">
        <v>704</v>
      </c>
      <c r="S327" s="197">
        <v>704</v>
      </c>
      <c r="T327" s="195">
        <v>538</v>
      </c>
      <c r="U327" s="196">
        <v>719</v>
      </c>
      <c r="V327" s="197">
        <v>719</v>
      </c>
      <c r="W327" s="195">
        <v>543</v>
      </c>
      <c r="X327" s="196">
        <v>724</v>
      </c>
      <c r="Y327" s="197">
        <v>724</v>
      </c>
      <c r="Z327" s="195">
        <v>724</v>
      </c>
      <c r="AA327" s="196">
        <v>724</v>
      </c>
      <c r="AB327" s="197">
        <v>724</v>
      </c>
      <c r="AC327" s="195">
        <v>724</v>
      </c>
      <c r="AD327" s="196">
        <v>724</v>
      </c>
      <c r="AE327" s="197">
        <v>724</v>
      </c>
      <c r="AF327" s="195">
        <v>724</v>
      </c>
      <c r="AG327" s="196">
        <v>724</v>
      </c>
      <c r="AH327" s="197">
        <v>724</v>
      </c>
      <c r="AI327" s="200" t="s">
        <v>805</v>
      </c>
      <c r="AJ327" s="193" t="s">
        <v>1700</v>
      </c>
      <c r="AK327" s="201" t="s">
        <v>1658</v>
      </c>
      <c r="AL327" s="205">
        <v>8</v>
      </c>
      <c r="AM327" s="200"/>
      <c r="AN327" s="204">
        <v>616</v>
      </c>
      <c r="AO327" s="203"/>
      <c r="AP327" s="207" t="s">
        <v>76</v>
      </c>
      <c r="AQ327" s="199" t="s">
        <v>1619</v>
      </c>
      <c r="AR327" s="202"/>
      <c r="AS327" s="205">
        <v>2070</v>
      </c>
      <c r="AT327" s="206"/>
      <c r="AU327" s="201" t="s">
        <v>24</v>
      </c>
      <c r="AV327" s="193" t="s">
        <v>17</v>
      </c>
      <c r="AW327" s="205">
        <v>1217</v>
      </c>
    </row>
    <row r="328" spans="1:49">
      <c r="A328" s="192" t="s">
        <v>45</v>
      </c>
      <c r="B328" s="194" t="s">
        <v>1555</v>
      </c>
      <c r="C328" s="160" t="s">
        <v>3491</v>
      </c>
      <c r="D328" s="193" t="s">
        <v>3493</v>
      </c>
      <c r="E328" s="195">
        <v>173</v>
      </c>
      <c r="F328" s="196">
        <v>164</v>
      </c>
      <c r="G328" s="197">
        <v>160</v>
      </c>
      <c r="H328" s="195">
        <v>173</v>
      </c>
      <c r="I328" s="196">
        <v>164</v>
      </c>
      <c r="J328" s="197">
        <v>160</v>
      </c>
      <c r="K328" s="195">
        <v>173</v>
      </c>
      <c r="L328" s="196">
        <v>164</v>
      </c>
      <c r="M328" s="197">
        <v>160</v>
      </c>
      <c r="N328" s="195">
        <v>173</v>
      </c>
      <c r="O328" s="196">
        <v>164</v>
      </c>
      <c r="P328" s="197">
        <v>160</v>
      </c>
      <c r="Q328" s="195">
        <v>173</v>
      </c>
      <c r="R328" s="196">
        <v>164</v>
      </c>
      <c r="S328" s="197">
        <v>160</v>
      </c>
      <c r="T328" s="195">
        <v>173</v>
      </c>
      <c r="U328" s="196">
        <v>164</v>
      </c>
      <c r="V328" s="197">
        <v>160</v>
      </c>
      <c r="W328" s="195">
        <v>173</v>
      </c>
      <c r="X328" s="196">
        <v>164</v>
      </c>
      <c r="Y328" s="197">
        <v>160</v>
      </c>
      <c r="Z328" s="195">
        <v>173</v>
      </c>
      <c r="AA328" s="196">
        <v>164</v>
      </c>
      <c r="AB328" s="197">
        <v>160</v>
      </c>
      <c r="AC328" s="195">
        <v>173</v>
      </c>
      <c r="AD328" s="196">
        <v>164</v>
      </c>
      <c r="AE328" s="197">
        <v>160</v>
      </c>
      <c r="AF328" s="195">
        <v>173</v>
      </c>
      <c r="AG328" s="196">
        <v>164</v>
      </c>
      <c r="AH328" s="197">
        <v>160</v>
      </c>
      <c r="AI328" s="200" t="s">
        <v>3492</v>
      </c>
      <c r="AJ328" s="193" t="s">
        <v>1673</v>
      </c>
      <c r="AK328" s="201" t="s">
        <v>1592</v>
      </c>
      <c r="AL328" s="205">
        <v>1</v>
      </c>
      <c r="AM328" s="200">
        <v>173</v>
      </c>
      <c r="AN328" s="204">
        <v>173</v>
      </c>
      <c r="AO328" s="203"/>
      <c r="AP328" s="207" t="s">
        <v>76</v>
      </c>
      <c r="AQ328" s="199" t="s">
        <v>1619</v>
      </c>
      <c r="AR328" s="202"/>
      <c r="AS328" s="205">
        <v>2044</v>
      </c>
      <c r="AT328" s="206"/>
      <c r="AU328" s="201" t="s">
        <v>24</v>
      </c>
      <c r="AV328" s="193" t="s">
        <v>13</v>
      </c>
      <c r="AW328" s="205">
        <v>1218</v>
      </c>
    </row>
    <row r="329" spans="1:49">
      <c r="A329" s="192" t="s">
        <v>45</v>
      </c>
      <c r="B329" s="194" t="s">
        <v>1555</v>
      </c>
      <c r="C329" s="160" t="s">
        <v>3491</v>
      </c>
      <c r="D329" s="193" t="s">
        <v>3494</v>
      </c>
      <c r="E329" s="195">
        <v>173</v>
      </c>
      <c r="F329" s="196">
        <v>164</v>
      </c>
      <c r="G329" s="197">
        <v>160</v>
      </c>
      <c r="H329" s="195">
        <v>173</v>
      </c>
      <c r="I329" s="196">
        <v>164</v>
      </c>
      <c r="J329" s="197">
        <v>160</v>
      </c>
      <c r="K329" s="195">
        <v>173</v>
      </c>
      <c r="L329" s="196">
        <v>164</v>
      </c>
      <c r="M329" s="197">
        <v>160</v>
      </c>
      <c r="N329" s="195">
        <v>173</v>
      </c>
      <c r="O329" s="196">
        <v>164</v>
      </c>
      <c r="P329" s="197">
        <v>160</v>
      </c>
      <c r="Q329" s="195">
        <v>173</v>
      </c>
      <c r="R329" s="196">
        <v>164</v>
      </c>
      <c r="S329" s="197">
        <v>160</v>
      </c>
      <c r="T329" s="195">
        <v>173</v>
      </c>
      <c r="U329" s="196">
        <v>164</v>
      </c>
      <c r="V329" s="197">
        <v>160</v>
      </c>
      <c r="W329" s="195">
        <v>173</v>
      </c>
      <c r="X329" s="196">
        <v>164</v>
      </c>
      <c r="Y329" s="197">
        <v>160</v>
      </c>
      <c r="Z329" s="195">
        <v>173</v>
      </c>
      <c r="AA329" s="196">
        <v>164</v>
      </c>
      <c r="AB329" s="197">
        <v>160</v>
      </c>
      <c r="AC329" s="195">
        <v>173</v>
      </c>
      <c r="AD329" s="196">
        <v>164</v>
      </c>
      <c r="AE329" s="197">
        <v>160</v>
      </c>
      <c r="AF329" s="195">
        <v>173</v>
      </c>
      <c r="AG329" s="196">
        <v>164</v>
      </c>
      <c r="AH329" s="197">
        <v>160</v>
      </c>
      <c r="AI329" s="200" t="s">
        <v>3492</v>
      </c>
      <c r="AJ329" s="193" t="s">
        <v>1673</v>
      </c>
      <c r="AK329" s="201" t="s">
        <v>1592</v>
      </c>
      <c r="AL329" s="205">
        <v>1</v>
      </c>
      <c r="AM329" s="200"/>
      <c r="AN329" s="204">
        <v>173</v>
      </c>
      <c r="AO329" s="203"/>
      <c r="AP329" s="207" t="s">
        <v>76</v>
      </c>
      <c r="AQ329" s="199" t="s">
        <v>1619</v>
      </c>
      <c r="AR329" s="202"/>
      <c r="AS329" s="205">
        <v>2044</v>
      </c>
      <c r="AT329" s="206"/>
      <c r="AU329" s="201" t="s">
        <v>24</v>
      </c>
      <c r="AV329" s="193" t="s">
        <v>13</v>
      </c>
      <c r="AW329" s="205">
        <v>1218</v>
      </c>
    </row>
    <row r="330" spans="1:49">
      <c r="A330" s="192" t="s">
        <v>45</v>
      </c>
      <c r="B330" s="194" t="s">
        <v>1555</v>
      </c>
      <c r="C330" s="160" t="s">
        <v>3491</v>
      </c>
      <c r="D330" s="193" t="s">
        <v>3495</v>
      </c>
      <c r="E330" s="195">
        <v>173</v>
      </c>
      <c r="F330" s="196">
        <v>164</v>
      </c>
      <c r="G330" s="197">
        <v>160</v>
      </c>
      <c r="H330" s="195">
        <v>173</v>
      </c>
      <c r="I330" s="196">
        <v>164</v>
      </c>
      <c r="J330" s="197">
        <v>160</v>
      </c>
      <c r="K330" s="195">
        <v>173</v>
      </c>
      <c r="L330" s="196">
        <v>164</v>
      </c>
      <c r="M330" s="197">
        <v>160</v>
      </c>
      <c r="N330" s="195">
        <v>173</v>
      </c>
      <c r="O330" s="196">
        <v>164</v>
      </c>
      <c r="P330" s="197">
        <v>160</v>
      </c>
      <c r="Q330" s="195">
        <v>173</v>
      </c>
      <c r="R330" s="196">
        <v>164</v>
      </c>
      <c r="S330" s="197">
        <v>160</v>
      </c>
      <c r="T330" s="195">
        <v>173</v>
      </c>
      <c r="U330" s="196">
        <v>164</v>
      </c>
      <c r="V330" s="197">
        <v>160</v>
      </c>
      <c r="W330" s="195">
        <v>173</v>
      </c>
      <c r="X330" s="196">
        <v>164</v>
      </c>
      <c r="Y330" s="197">
        <v>160</v>
      </c>
      <c r="Z330" s="195">
        <v>173</v>
      </c>
      <c r="AA330" s="196">
        <v>164</v>
      </c>
      <c r="AB330" s="197">
        <v>160</v>
      </c>
      <c r="AC330" s="195">
        <v>173</v>
      </c>
      <c r="AD330" s="196">
        <v>164</v>
      </c>
      <c r="AE330" s="197">
        <v>160</v>
      </c>
      <c r="AF330" s="195">
        <v>173</v>
      </c>
      <c r="AG330" s="196">
        <v>164</v>
      </c>
      <c r="AH330" s="197">
        <v>160</v>
      </c>
      <c r="AI330" s="200" t="s">
        <v>3492</v>
      </c>
      <c r="AJ330" s="193" t="s">
        <v>1673</v>
      </c>
      <c r="AK330" s="201" t="s">
        <v>1592</v>
      </c>
      <c r="AL330" s="205">
        <v>1</v>
      </c>
      <c r="AM330" s="200"/>
      <c r="AN330" s="204">
        <v>173</v>
      </c>
      <c r="AO330" s="203"/>
      <c r="AP330" s="207" t="s">
        <v>76</v>
      </c>
      <c r="AQ330" s="199" t="s">
        <v>1619</v>
      </c>
      <c r="AR330" s="202"/>
      <c r="AS330" s="205">
        <v>2044</v>
      </c>
      <c r="AT330" s="206"/>
      <c r="AU330" s="201" t="s">
        <v>24</v>
      </c>
      <c r="AV330" s="193" t="s">
        <v>13</v>
      </c>
      <c r="AW330" s="205">
        <v>1218</v>
      </c>
    </row>
    <row r="331" spans="1:49">
      <c r="A331" s="192" t="s">
        <v>45</v>
      </c>
      <c r="B331" s="194" t="s">
        <v>1555</v>
      </c>
      <c r="C331" s="160" t="s">
        <v>3491</v>
      </c>
      <c r="D331" s="193" t="s">
        <v>3496</v>
      </c>
      <c r="E331" s="195">
        <v>173</v>
      </c>
      <c r="F331" s="196">
        <v>164</v>
      </c>
      <c r="G331" s="197">
        <v>160</v>
      </c>
      <c r="H331" s="195">
        <v>173</v>
      </c>
      <c r="I331" s="196">
        <v>164</v>
      </c>
      <c r="J331" s="197">
        <v>160</v>
      </c>
      <c r="K331" s="195">
        <v>173</v>
      </c>
      <c r="L331" s="196">
        <v>164</v>
      </c>
      <c r="M331" s="197">
        <v>160</v>
      </c>
      <c r="N331" s="195">
        <v>173</v>
      </c>
      <c r="O331" s="196">
        <v>164</v>
      </c>
      <c r="P331" s="197">
        <v>160</v>
      </c>
      <c r="Q331" s="195">
        <v>173</v>
      </c>
      <c r="R331" s="196">
        <v>164</v>
      </c>
      <c r="S331" s="197">
        <v>160</v>
      </c>
      <c r="T331" s="195">
        <v>173</v>
      </c>
      <c r="U331" s="196">
        <v>164</v>
      </c>
      <c r="V331" s="197">
        <v>160</v>
      </c>
      <c r="W331" s="195">
        <v>173</v>
      </c>
      <c r="X331" s="196">
        <v>164</v>
      </c>
      <c r="Y331" s="197">
        <v>160</v>
      </c>
      <c r="Z331" s="195">
        <v>173</v>
      </c>
      <c r="AA331" s="196">
        <v>164</v>
      </c>
      <c r="AB331" s="197">
        <v>160</v>
      </c>
      <c r="AC331" s="195">
        <v>173</v>
      </c>
      <c r="AD331" s="196">
        <v>164</v>
      </c>
      <c r="AE331" s="197">
        <v>160</v>
      </c>
      <c r="AF331" s="195">
        <v>173</v>
      </c>
      <c r="AG331" s="196">
        <v>164</v>
      </c>
      <c r="AH331" s="197">
        <v>160</v>
      </c>
      <c r="AI331" s="200" t="s">
        <v>3492</v>
      </c>
      <c r="AJ331" s="193" t="s">
        <v>1673</v>
      </c>
      <c r="AK331" s="201" t="s">
        <v>1592</v>
      </c>
      <c r="AL331" s="205">
        <v>1</v>
      </c>
      <c r="AM331" s="200"/>
      <c r="AN331" s="204">
        <v>173</v>
      </c>
      <c r="AO331" s="203"/>
      <c r="AP331" s="207" t="s">
        <v>76</v>
      </c>
      <c r="AQ331" s="199" t="s">
        <v>1619</v>
      </c>
      <c r="AR331" s="202"/>
      <c r="AS331" s="205">
        <v>2044</v>
      </c>
      <c r="AT331" s="206"/>
      <c r="AU331" s="201" t="s">
        <v>24</v>
      </c>
      <c r="AV331" s="193" t="s">
        <v>13</v>
      </c>
      <c r="AW331" s="205">
        <v>1218</v>
      </c>
    </row>
    <row r="332" spans="1:49">
      <c r="A332" s="192" t="s">
        <v>45</v>
      </c>
      <c r="B332" s="194" t="s">
        <v>1555</v>
      </c>
      <c r="C332" s="160" t="s">
        <v>67</v>
      </c>
      <c r="D332" s="193" t="s">
        <v>3497</v>
      </c>
      <c r="E332" s="195">
        <v>660</v>
      </c>
      <c r="F332" s="196">
        <v>660</v>
      </c>
      <c r="G332" s="197">
        <v>660</v>
      </c>
      <c r="H332" s="195">
        <v>660</v>
      </c>
      <c r="I332" s="196">
        <v>660</v>
      </c>
      <c r="J332" s="197">
        <v>660</v>
      </c>
      <c r="K332" s="195">
        <v>660</v>
      </c>
      <c r="L332" s="196">
        <v>660</v>
      </c>
      <c r="M332" s="197">
        <v>660</v>
      </c>
      <c r="N332" s="195">
        <v>660</v>
      </c>
      <c r="O332" s="196">
        <v>660</v>
      </c>
      <c r="P332" s="197">
        <v>660</v>
      </c>
      <c r="Q332" s="195">
        <v>660</v>
      </c>
      <c r="R332" s="196">
        <v>660</v>
      </c>
      <c r="S332" s="197">
        <v>660</v>
      </c>
      <c r="T332" s="195">
        <v>660</v>
      </c>
      <c r="U332" s="196">
        <v>660</v>
      </c>
      <c r="V332" s="197">
        <v>660</v>
      </c>
      <c r="W332" s="195">
        <v>660</v>
      </c>
      <c r="X332" s="196">
        <v>660</v>
      </c>
      <c r="Y332" s="197">
        <v>660</v>
      </c>
      <c r="Z332" s="195">
        <v>660</v>
      </c>
      <c r="AA332" s="196">
        <v>660</v>
      </c>
      <c r="AB332" s="197">
        <v>660</v>
      </c>
      <c r="AC332" s="195">
        <v>660</v>
      </c>
      <c r="AD332" s="196">
        <v>660</v>
      </c>
      <c r="AE332" s="197">
        <v>660</v>
      </c>
      <c r="AF332" s="195">
        <v>660</v>
      </c>
      <c r="AG332" s="196">
        <v>660</v>
      </c>
      <c r="AH332" s="197">
        <v>660</v>
      </c>
      <c r="AI332" s="200" t="s">
        <v>68</v>
      </c>
      <c r="AJ332" s="193" t="s">
        <v>1739</v>
      </c>
      <c r="AK332" s="201" t="s">
        <v>1740</v>
      </c>
      <c r="AL332" s="205">
        <v>1</v>
      </c>
      <c r="AM332" s="200">
        <v>250</v>
      </c>
      <c r="AN332" s="204">
        <v>660</v>
      </c>
      <c r="AO332" s="203"/>
      <c r="AP332" s="207" t="s">
        <v>76</v>
      </c>
      <c r="AQ332" s="199" t="s">
        <v>1619</v>
      </c>
      <c r="AR332" s="202"/>
      <c r="AS332" s="205">
        <v>2033</v>
      </c>
      <c r="AT332" s="206"/>
      <c r="AU332" s="201" t="s">
        <v>24</v>
      </c>
      <c r="AV332" s="193" t="s">
        <v>11</v>
      </c>
      <c r="AW332" s="205">
        <v>1219</v>
      </c>
    </row>
    <row r="333" spans="1:49">
      <c r="A333" s="192" t="s">
        <v>45</v>
      </c>
      <c r="B333" s="194" t="s">
        <v>1555</v>
      </c>
      <c r="C333" s="160" t="s">
        <v>67</v>
      </c>
      <c r="D333" s="193" t="s">
        <v>3498</v>
      </c>
      <c r="E333" s="195">
        <v>660</v>
      </c>
      <c r="F333" s="196">
        <v>660</v>
      </c>
      <c r="G333" s="197">
        <v>660</v>
      </c>
      <c r="H333" s="195">
        <v>660</v>
      </c>
      <c r="I333" s="196">
        <v>660</v>
      </c>
      <c r="J333" s="197">
        <v>660</v>
      </c>
      <c r="K333" s="195">
        <v>660</v>
      </c>
      <c r="L333" s="196">
        <v>660</v>
      </c>
      <c r="M333" s="197">
        <v>660</v>
      </c>
      <c r="N333" s="195">
        <v>660</v>
      </c>
      <c r="O333" s="196">
        <v>660</v>
      </c>
      <c r="P333" s="197">
        <v>660</v>
      </c>
      <c r="Q333" s="195">
        <v>660</v>
      </c>
      <c r="R333" s="196">
        <v>660</v>
      </c>
      <c r="S333" s="197">
        <v>660</v>
      </c>
      <c r="T333" s="195">
        <v>660</v>
      </c>
      <c r="U333" s="196">
        <v>660</v>
      </c>
      <c r="V333" s="197">
        <v>660</v>
      </c>
      <c r="W333" s="195">
        <v>660</v>
      </c>
      <c r="X333" s="196">
        <v>660</v>
      </c>
      <c r="Y333" s="197">
        <v>660</v>
      </c>
      <c r="Z333" s="195">
        <v>660</v>
      </c>
      <c r="AA333" s="196">
        <v>660</v>
      </c>
      <c r="AB333" s="197">
        <v>660</v>
      </c>
      <c r="AC333" s="195">
        <v>660</v>
      </c>
      <c r="AD333" s="196">
        <v>660</v>
      </c>
      <c r="AE333" s="197">
        <v>660</v>
      </c>
      <c r="AF333" s="195">
        <v>660</v>
      </c>
      <c r="AG333" s="196">
        <v>660</v>
      </c>
      <c r="AH333" s="197">
        <v>660</v>
      </c>
      <c r="AI333" s="200" t="s">
        <v>68</v>
      </c>
      <c r="AJ333" s="193" t="s">
        <v>1739</v>
      </c>
      <c r="AK333" s="201" t="s">
        <v>1740</v>
      </c>
      <c r="AL333" s="205">
        <v>1</v>
      </c>
      <c r="AM333" s="200">
        <v>250</v>
      </c>
      <c r="AN333" s="204">
        <v>660</v>
      </c>
      <c r="AO333" s="203"/>
      <c r="AP333" s="207" t="s">
        <v>76</v>
      </c>
      <c r="AQ333" s="199" t="s">
        <v>1619</v>
      </c>
      <c r="AR333" s="202"/>
      <c r="AS333" s="205">
        <v>2033</v>
      </c>
      <c r="AT333" s="206"/>
      <c r="AU333" s="201" t="s">
        <v>24</v>
      </c>
      <c r="AV333" s="193" t="s">
        <v>11</v>
      </c>
      <c r="AW333" s="205">
        <v>1219</v>
      </c>
    </row>
    <row r="334" spans="1:49">
      <c r="A334" s="192" t="s">
        <v>110</v>
      </c>
      <c r="B334" s="194" t="s">
        <v>1555</v>
      </c>
      <c r="C334" s="160" t="s">
        <v>3500</v>
      </c>
      <c r="D334" s="193" t="s">
        <v>3501</v>
      </c>
      <c r="E334" s="195">
        <v>56</v>
      </c>
      <c r="F334" s="196">
        <v>50</v>
      </c>
      <c r="G334" s="197">
        <v>47.5</v>
      </c>
      <c r="H334" s="195">
        <v>56</v>
      </c>
      <c r="I334" s="196">
        <v>50</v>
      </c>
      <c r="J334" s="197">
        <v>47.5</v>
      </c>
      <c r="K334" s="195">
        <v>56</v>
      </c>
      <c r="L334" s="196">
        <v>50</v>
      </c>
      <c r="M334" s="197">
        <v>47.5</v>
      </c>
      <c r="N334" s="195">
        <v>56</v>
      </c>
      <c r="O334" s="196">
        <v>50</v>
      </c>
      <c r="P334" s="197">
        <v>47.5</v>
      </c>
      <c r="Q334" s="195">
        <v>56</v>
      </c>
      <c r="R334" s="196">
        <v>50</v>
      </c>
      <c r="S334" s="197">
        <v>47.5</v>
      </c>
      <c r="T334" s="195">
        <v>56</v>
      </c>
      <c r="U334" s="196">
        <v>50</v>
      </c>
      <c r="V334" s="197">
        <v>47.5</v>
      </c>
      <c r="W334" s="195">
        <v>56</v>
      </c>
      <c r="X334" s="196">
        <v>50</v>
      </c>
      <c r="Y334" s="197">
        <v>47.5</v>
      </c>
      <c r="Z334" s="195">
        <v>56</v>
      </c>
      <c r="AA334" s="196">
        <v>50</v>
      </c>
      <c r="AB334" s="197">
        <v>47.5</v>
      </c>
      <c r="AC334" s="195">
        <v>56</v>
      </c>
      <c r="AD334" s="196">
        <v>50</v>
      </c>
      <c r="AE334" s="197">
        <v>47.5</v>
      </c>
      <c r="AF334" s="195">
        <v>56</v>
      </c>
      <c r="AG334" s="196">
        <v>50</v>
      </c>
      <c r="AH334" s="197">
        <v>47.5</v>
      </c>
      <c r="AI334" s="200" t="s">
        <v>805</v>
      </c>
      <c r="AJ334" s="193" t="s">
        <v>1673</v>
      </c>
      <c r="AK334" s="201" t="s">
        <v>1592</v>
      </c>
      <c r="AL334" s="205">
        <v>1</v>
      </c>
      <c r="AM334" s="200">
        <v>50</v>
      </c>
      <c r="AN334" s="204">
        <v>50</v>
      </c>
      <c r="AO334" s="203"/>
      <c r="AP334" s="207" t="s">
        <v>76</v>
      </c>
      <c r="AQ334" s="199" t="s">
        <v>1619</v>
      </c>
      <c r="AR334" s="202"/>
      <c r="AS334" s="205">
        <v>2070</v>
      </c>
      <c r="AT334" s="206"/>
      <c r="AU334" s="201" t="s">
        <v>24</v>
      </c>
      <c r="AV334" s="193" t="s">
        <v>13</v>
      </c>
      <c r="AW334" s="205">
        <v>1220</v>
      </c>
    </row>
    <row r="335" spans="1:49">
      <c r="A335" s="192" t="s">
        <v>110</v>
      </c>
      <c r="B335" s="194" t="s">
        <v>1555</v>
      </c>
      <c r="C335" s="160" t="s">
        <v>3500</v>
      </c>
      <c r="D335" s="193" t="s">
        <v>3502</v>
      </c>
      <c r="E335" s="195">
        <v>56</v>
      </c>
      <c r="F335" s="196">
        <v>50</v>
      </c>
      <c r="G335" s="197">
        <v>47.5</v>
      </c>
      <c r="H335" s="195">
        <v>56</v>
      </c>
      <c r="I335" s="196">
        <v>50</v>
      </c>
      <c r="J335" s="197">
        <v>47.5</v>
      </c>
      <c r="K335" s="195">
        <v>56</v>
      </c>
      <c r="L335" s="196">
        <v>50</v>
      </c>
      <c r="M335" s="197">
        <v>47.5</v>
      </c>
      <c r="N335" s="195">
        <v>56</v>
      </c>
      <c r="O335" s="196">
        <v>50</v>
      </c>
      <c r="P335" s="197">
        <v>47.5</v>
      </c>
      <c r="Q335" s="195">
        <v>56</v>
      </c>
      <c r="R335" s="196">
        <v>50</v>
      </c>
      <c r="S335" s="197">
        <v>47.5</v>
      </c>
      <c r="T335" s="195">
        <v>56</v>
      </c>
      <c r="U335" s="196">
        <v>50</v>
      </c>
      <c r="V335" s="197">
        <v>47.5</v>
      </c>
      <c r="W335" s="195">
        <v>56</v>
      </c>
      <c r="X335" s="196">
        <v>50</v>
      </c>
      <c r="Y335" s="197">
        <v>47.5</v>
      </c>
      <c r="Z335" s="195">
        <v>56</v>
      </c>
      <c r="AA335" s="196">
        <v>50</v>
      </c>
      <c r="AB335" s="197">
        <v>47.5</v>
      </c>
      <c r="AC335" s="195">
        <v>56</v>
      </c>
      <c r="AD335" s="196">
        <v>50</v>
      </c>
      <c r="AE335" s="197">
        <v>47.5</v>
      </c>
      <c r="AF335" s="195">
        <v>56</v>
      </c>
      <c r="AG335" s="196">
        <v>50</v>
      </c>
      <c r="AH335" s="197">
        <v>47.5</v>
      </c>
      <c r="AI335" s="200" t="s">
        <v>805</v>
      </c>
      <c r="AJ335" s="193" t="s">
        <v>1673</v>
      </c>
      <c r="AK335" s="201" t="s">
        <v>1592</v>
      </c>
      <c r="AL335" s="205">
        <v>1</v>
      </c>
      <c r="AM335" s="200"/>
      <c r="AN335" s="204">
        <v>50</v>
      </c>
      <c r="AO335" s="203"/>
      <c r="AP335" s="207" t="s">
        <v>76</v>
      </c>
      <c r="AQ335" s="199" t="s">
        <v>1619</v>
      </c>
      <c r="AR335" s="202"/>
      <c r="AS335" s="205">
        <v>2070</v>
      </c>
      <c r="AT335" s="206"/>
      <c r="AU335" s="201" t="s">
        <v>24</v>
      </c>
      <c r="AV335" s="193" t="s">
        <v>13</v>
      </c>
      <c r="AW335" s="205">
        <v>1220</v>
      </c>
    </row>
    <row r="336" spans="1:49">
      <c r="A336" s="192" t="s">
        <v>110</v>
      </c>
      <c r="B336" s="194" t="s">
        <v>1555</v>
      </c>
      <c r="C336" s="160" t="s">
        <v>3500</v>
      </c>
      <c r="D336" s="193" t="s">
        <v>3503</v>
      </c>
      <c r="E336" s="195">
        <v>56</v>
      </c>
      <c r="F336" s="196">
        <v>50</v>
      </c>
      <c r="G336" s="197">
        <v>47.5</v>
      </c>
      <c r="H336" s="195">
        <v>56</v>
      </c>
      <c r="I336" s="196">
        <v>50</v>
      </c>
      <c r="J336" s="197">
        <v>47.5</v>
      </c>
      <c r="K336" s="195">
        <v>56</v>
      </c>
      <c r="L336" s="196">
        <v>50</v>
      </c>
      <c r="M336" s="197">
        <v>47.5</v>
      </c>
      <c r="N336" s="195">
        <v>56</v>
      </c>
      <c r="O336" s="196">
        <v>50</v>
      </c>
      <c r="P336" s="197">
        <v>47.5</v>
      </c>
      <c r="Q336" s="195">
        <v>56</v>
      </c>
      <c r="R336" s="196">
        <v>50</v>
      </c>
      <c r="S336" s="197">
        <v>47.5</v>
      </c>
      <c r="T336" s="195">
        <v>56</v>
      </c>
      <c r="U336" s="196">
        <v>50</v>
      </c>
      <c r="V336" s="197">
        <v>47.5</v>
      </c>
      <c r="W336" s="195">
        <v>56</v>
      </c>
      <c r="X336" s="196">
        <v>50</v>
      </c>
      <c r="Y336" s="197">
        <v>47.5</v>
      </c>
      <c r="Z336" s="195">
        <v>56</v>
      </c>
      <c r="AA336" s="196">
        <v>50</v>
      </c>
      <c r="AB336" s="197">
        <v>47.5</v>
      </c>
      <c r="AC336" s="195">
        <v>56</v>
      </c>
      <c r="AD336" s="196">
        <v>50</v>
      </c>
      <c r="AE336" s="197">
        <v>47.5</v>
      </c>
      <c r="AF336" s="195">
        <v>56</v>
      </c>
      <c r="AG336" s="196">
        <v>50</v>
      </c>
      <c r="AH336" s="197">
        <v>47.5</v>
      </c>
      <c r="AI336" s="200" t="s">
        <v>805</v>
      </c>
      <c r="AJ336" s="193" t="s">
        <v>1673</v>
      </c>
      <c r="AK336" s="201" t="s">
        <v>1592</v>
      </c>
      <c r="AL336" s="205">
        <v>1</v>
      </c>
      <c r="AM336" s="200"/>
      <c r="AN336" s="204">
        <v>50</v>
      </c>
      <c r="AO336" s="203"/>
      <c r="AP336" s="207" t="s">
        <v>76</v>
      </c>
      <c r="AQ336" s="199" t="s">
        <v>1619</v>
      </c>
      <c r="AR336" s="202"/>
      <c r="AS336" s="205">
        <v>2070</v>
      </c>
      <c r="AT336" s="206"/>
      <c r="AU336" s="201" t="s">
        <v>24</v>
      </c>
      <c r="AV336" s="193" t="s">
        <v>13</v>
      </c>
      <c r="AW336" s="205">
        <v>1220</v>
      </c>
    </row>
    <row r="337" spans="1:49">
      <c r="A337" s="192" t="s">
        <v>110</v>
      </c>
      <c r="B337" s="194" t="s">
        <v>1555</v>
      </c>
      <c r="C337" s="160" t="s">
        <v>3500</v>
      </c>
      <c r="D337" s="193" t="s">
        <v>3504</v>
      </c>
      <c r="E337" s="195">
        <v>56</v>
      </c>
      <c r="F337" s="196">
        <v>50</v>
      </c>
      <c r="G337" s="197">
        <v>47.5</v>
      </c>
      <c r="H337" s="195">
        <v>56</v>
      </c>
      <c r="I337" s="196">
        <v>50</v>
      </c>
      <c r="J337" s="197">
        <v>47.5</v>
      </c>
      <c r="K337" s="195">
        <v>56</v>
      </c>
      <c r="L337" s="196">
        <v>50</v>
      </c>
      <c r="M337" s="197">
        <v>47.5</v>
      </c>
      <c r="N337" s="195">
        <v>56</v>
      </c>
      <c r="O337" s="196">
        <v>50</v>
      </c>
      <c r="P337" s="197">
        <v>47.5</v>
      </c>
      <c r="Q337" s="195">
        <v>56</v>
      </c>
      <c r="R337" s="196">
        <v>50</v>
      </c>
      <c r="S337" s="197">
        <v>47.5</v>
      </c>
      <c r="T337" s="195">
        <v>56</v>
      </c>
      <c r="U337" s="196">
        <v>50</v>
      </c>
      <c r="V337" s="197">
        <v>47.5</v>
      </c>
      <c r="W337" s="195">
        <v>56</v>
      </c>
      <c r="X337" s="196">
        <v>50</v>
      </c>
      <c r="Y337" s="197">
        <v>47.5</v>
      </c>
      <c r="Z337" s="195">
        <v>56</v>
      </c>
      <c r="AA337" s="196">
        <v>50</v>
      </c>
      <c r="AB337" s="197">
        <v>47.5</v>
      </c>
      <c r="AC337" s="195">
        <v>56</v>
      </c>
      <c r="AD337" s="196">
        <v>50</v>
      </c>
      <c r="AE337" s="197">
        <v>47.5</v>
      </c>
      <c r="AF337" s="195">
        <v>56</v>
      </c>
      <c r="AG337" s="196">
        <v>50</v>
      </c>
      <c r="AH337" s="197">
        <v>47.5</v>
      </c>
      <c r="AI337" s="200" t="s">
        <v>805</v>
      </c>
      <c r="AJ337" s="193" t="s">
        <v>1673</v>
      </c>
      <c r="AK337" s="201" t="s">
        <v>1592</v>
      </c>
      <c r="AL337" s="205">
        <v>1</v>
      </c>
      <c r="AM337" s="200"/>
      <c r="AN337" s="204">
        <v>50</v>
      </c>
      <c r="AO337" s="203"/>
      <c r="AP337" s="207" t="s">
        <v>76</v>
      </c>
      <c r="AQ337" s="199" t="s">
        <v>1619</v>
      </c>
      <c r="AR337" s="202"/>
      <c r="AS337" s="205">
        <v>2070</v>
      </c>
      <c r="AT337" s="206"/>
      <c r="AU337" s="201" t="s">
        <v>24</v>
      </c>
      <c r="AV337" s="193" t="s">
        <v>13</v>
      </c>
      <c r="AW337" s="205">
        <v>1220</v>
      </c>
    </row>
    <row r="338" spans="1:49">
      <c r="A338" s="192" t="s">
        <v>110</v>
      </c>
      <c r="B338" s="194" t="s">
        <v>1555</v>
      </c>
      <c r="C338" s="160" t="s">
        <v>3500</v>
      </c>
      <c r="D338" s="193" t="s">
        <v>3505</v>
      </c>
      <c r="E338" s="195">
        <v>56</v>
      </c>
      <c r="F338" s="196">
        <v>50</v>
      </c>
      <c r="G338" s="197">
        <v>47.5</v>
      </c>
      <c r="H338" s="195">
        <v>56</v>
      </c>
      <c r="I338" s="196">
        <v>50</v>
      </c>
      <c r="J338" s="197">
        <v>47.5</v>
      </c>
      <c r="K338" s="195">
        <v>56</v>
      </c>
      <c r="L338" s="196">
        <v>50</v>
      </c>
      <c r="M338" s="197">
        <v>47.5</v>
      </c>
      <c r="N338" s="195">
        <v>56</v>
      </c>
      <c r="O338" s="196">
        <v>50</v>
      </c>
      <c r="P338" s="197">
        <v>47.5</v>
      </c>
      <c r="Q338" s="195">
        <v>56</v>
      </c>
      <c r="R338" s="196">
        <v>50</v>
      </c>
      <c r="S338" s="197">
        <v>47.5</v>
      </c>
      <c r="T338" s="195">
        <v>56</v>
      </c>
      <c r="U338" s="196">
        <v>50</v>
      </c>
      <c r="V338" s="197">
        <v>47.5</v>
      </c>
      <c r="W338" s="195">
        <v>56</v>
      </c>
      <c r="X338" s="196">
        <v>50</v>
      </c>
      <c r="Y338" s="197">
        <v>47.5</v>
      </c>
      <c r="Z338" s="195">
        <v>56</v>
      </c>
      <c r="AA338" s="196">
        <v>50</v>
      </c>
      <c r="AB338" s="197">
        <v>47.5</v>
      </c>
      <c r="AC338" s="195">
        <v>56</v>
      </c>
      <c r="AD338" s="196">
        <v>50</v>
      </c>
      <c r="AE338" s="197">
        <v>47.5</v>
      </c>
      <c r="AF338" s="195">
        <v>56</v>
      </c>
      <c r="AG338" s="196">
        <v>50</v>
      </c>
      <c r="AH338" s="197">
        <v>47.5</v>
      </c>
      <c r="AI338" s="200" t="s">
        <v>805</v>
      </c>
      <c r="AJ338" s="193" t="s">
        <v>1673</v>
      </c>
      <c r="AK338" s="201" t="s">
        <v>1592</v>
      </c>
      <c r="AL338" s="205">
        <v>1</v>
      </c>
      <c r="AM338" s="200"/>
      <c r="AN338" s="204">
        <v>50</v>
      </c>
      <c r="AO338" s="203"/>
      <c r="AP338" s="207" t="s">
        <v>76</v>
      </c>
      <c r="AQ338" s="199" t="s">
        <v>1619</v>
      </c>
      <c r="AR338" s="202"/>
      <c r="AS338" s="205">
        <v>2070</v>
      </c>
      <c r="AT338" s="206"/>
      <c r="AU338" s="201" t="s">
        <v>24</v>
      </c>
      <c r="AV338" s="193" t="s">
        <v>13</v>
      </c>
      <c r="AW338" s="205">
        <v>1220</v>
      </c>
    </row>
    <row r="339" spans="1:49">
      <c r="A339" s="192" t="s">
        <v>110</v>
      </c>
      <c r="B339" s="194" t="s">
        <v>1555</v>
      </c>
      <c r="C339" s="160" t="s">
        <v>3500</v>
      </c>
      <c r="D339" s="193" t="s">
        <v>3506</v>
      </c>
      <c r="E339" s="195">
        <v>56</v>
      </c>
      <c r="F339" s="196">
        <v>50</v>
      </c>
      <c r="G339" s="197">
        <v>47.5</v>
      </c>
      <c r="H339" s="195">
        <v>56</v>
      </c>
      <c r="I339" s="196">
        <v>50</v>
      </c>
      <c r="J339" s="197">
        <v>47.5</v>
      </c>
      <c r="K339" s="195">
        <v>56</v>
      </c>
      <c r="L339" s="196">
        <v>50</v>
      </c>
      <c r="M339" s="197">
        <v>47.5</v>
      </c>
      <c r="N339" s="195">
        <v>56</v>
      </c>
      <c r="O339" s="196">
        <v>50</v>
      </c>
      <c r="P339" s="197">
        <v>47.5</v>
      </c>
      <c r="Q339" s="195">
        <v>56</v>
      </c>
      <c r="R339" s="196">
        <v>50</v>
      </c>
      <c r="S339" s="197">
        <v>47.5</v>
      </c>
      <c r="T339" s="195">
        <v>56</v>
      </c>
      <c r="U339" s="196">
        <v>50</v>
      </c>
      <c r="V339" s="197">
        <v>47.5</v>
      </c>
      <c r="W339" s="195">
        <v>56</v>
      </c>
      <c r="X339" s="196">
        <v>50</v>
      </c>
      <c r="Y339" s="197">
        <v>47.5</v>
      </c>
      <c r="Z339" s="195">
        <v>56</v>
      </c>
      <c r="AA339" s="196">
        <v>50</v>
      </c>
      <c r="AB339" s="197">
        <v>47.5</v>
      </c>
      <c r="AC339" s="195">
        <v>56</v>
      </c>
      <c r="AD339" s="196">
        <v>50</v>
      </c>
      <c r="AE339" s="197">
        <v>47.5</v>
      </c>
      <c r="AF339" s="195">
        <v>56</v>
      </c>
      <c r="AG339" s="196">
        <v>50</v>
      </c>
      <c r="AH339" s="197">
        <v>47.5</v>
      </c>
      <c r="AI339" s="200" t="s">
        <v>805</v>
      </c>
      <c r="AJ339" s="193" t="s">
        <v>1673</v>
      </c>
      <c r="AK339" s="201" t="s">
        <v>1592</v>
      </c>
      <c r="AL339" s="205">
        <v>1</v>
      </c>
      <c r="AM339" s="200"/>
      <c r="AN339" s="204">
        <v>50</v>
      </c>
      <c r="AO339" s="203"/>
      <c r="AP339" s="207" t="s">
        <v>76</v>
      </c>
      <c r="AQ339" s="199" t="s">
        <v>1619</v>
      </c>
      <c r="AR339" s="202"/>
      <c r="AS339" s="205">
        <v>2070</v>
      </c>
      <c r="AT339" s="206"/>
      <c r="AU339" s="201" t="s">
        <v>24</v>
      </c>
      <c r="AV339" s="193" t="s">
        <v>13</v>
      </c>
      <c r="AW339" s="205">
        <v>1220</v>
      </c>
    </row>
    <row r="340" spans="1:49">
      <c r="A340" s="192" t="s">
        <v>110</v>
      </c>
      <c r="B340" s="194" t="s">
        <v>1555</v>
      </c>
      <c r="C340" s="160" t="s">
        <v>485</v>
      </c>
      <c r="D340" s="193" t="s">
        <v>487</v>
      </c>
      <c r="E340" s="195">
        <v>300</v>
      </c>
      <c r="F340" s="196">
        <v>50</v>
      </c>
      <c r="G340" s="197">
        <v>50</v>
      </c>
      <c r="H340" s="195">
        <v>300</v>
      </c>
      <c r="I340" s="196">
        <v>50</v>
      </c>
      <c r="J340" s="197">
        <v>50</v>
      </c>
      <c r="K340" s="195">
        <v>300</v>
      </c>
      <c r="L340" s="196">
        <v>50</v>
      </c>
      <c r="M340" s="197">
        <v>50</v>
      </c>
      <c r="N340" s="195">
        <v>300</v>
      </c>
      <c r="O340" s="196">
        <v>50</v>
      </c>
      <c r="P340" s="197">
        <v>50</v>
      </c>
      <c r="Q340" s="195">
        <v>300</v>
      </c>
      <c r="R340" s="196">
        <v>50</v>
      </c>
      <c r="S340" s="197">
        <v>50</v>
      </c>
      <c r="T340" s="195">
        <v>300</v>
      </c>
      <c r="U340" s="196">
        <v>50</v>
      </c>
      <c r="V340" s="197">
        <v>50</v>
      </c>
      <c r="W340" s="195">
        <v>300</v>
      </c>
      <c r="X340" s="196">
        <v>50</v>
      </c>
      <c r="Y340" s="197">
        <v>50</v>
      </c>
      <c r="Z340" s="195">
        <v>300</v>
      </c>
      <c r="AA340" s="196">
        <v>50</v>
      </c>
      <c r="AB340" s="197">
        <v>50</v>
      </c>
      <c r="AC340" s="195">
        <v>300</v>
      </c>
      <c r="AD340" s="196">
        <v>50</v>
      </c>
      <c r="AE340" s="197">
        <v>50</v>
      </c>
      <c r="AF340" s="195">
        <v>300</v>
      </c>
      <c r="AG340" s="196">
        <v>50</v>
      </c>
      <c r="AH340" s="197">
        <v>50</v>
      </c>
      <c r="AI340" s="200" t="s">
        <v>486</v>
      </c>
      <c r="AJ340" s="193" t="s">
        <v>1602</v>
      </c>
      <c r="AK340" s="201" t="s">
        <v>1603</v>
      </c>
      <c r="AL340" s="205">
        <v>1</v>
      </c>
      <c r="AM340" s="200"/>
      <c r="AN340" s="204">
        <v>300</v>
      </c>
      <c r="AO340" s="203">
        <v>450</v>
      </c>
      <c r="AP340" s="207" t="s">
        <v>76</v>
      </c>
      <c r="AQ340" s="199" t="s">
        <v>1619</v>
      </c>
      <c r="AR340" s="202">
        <v>44531</v>
      </c>
      <c r="AS340" s="205">
        <v>2041</v>
      </c>
      <c r="AT340" s="206"/>
      <c r="AU340" s="201" t="s">
        <v>24</v>
      </c>
      <c r="AV340" s="193" t="s">
        <v>19</v>
      </c>
      <c r="AW340" s="205">
        <v>1864</v>
      </c>
    </row>
    <row r="341" spans="1:49">
      <c r="A341" s="192" t="s">
        <v>45</v>
      </c>
      <c r="B341" s="194" t="s">
        <v>1555</v>
      </c>
      <c r="C341" s="160" t="s">
        <v>340</v>
      </c>
      <c r="D341" s="193" t="s">
        <v>342</v>
      </c>
      <c r="E341" s="195">
        <v>30.007999999999999</v>
      </c>
      <c r="F341" s="196">
        <v>30.007999999999999</v>
      </c>
      <c r="G341" s="197">
        <v>30.007999999999999</v>
      </c>
      <c r="H341" s="195">
        <v>30.007999999999999</v>
      </c>
      <c r="I341" s="196">
        <v>30.007999999999999</v>
      </c>
      <c r="J341" s="197">
        <v>30.007999999999999</v>
      </c>
      <c r="K341" s="195">
        <v>30.007999999999999</v>
      </c>
      <c r="L341" s="196">
        <v>30.007999999999999</v>
      </c>
      <c r="M341" s="197">
        <v>30.007999999999999</v>
      </c>
      <c r="N341" s="195">
        <v>30.007999999999999</v>
      </c>
      <c r="O341" s="196">
        <v>30.007999999999999</v>
      </c>
      <c r="P341" s="197">
        <v>30.007999999999999</v>
      </c>
      <c r="Q341" s="195">
        <v>30.007999999999999</v>
      </c>
      <c r="R341" s="196">
        <v>30.007999999999999</v>
      </c>
      <c r="S341" s="197">
        <v>30.007999999999999</v>
      </c>
      <c r="T341" s="195">
        <v>30.007999999999999</v>
      </c>
      <c r="U341" s="196">
        <v>30.007999999999999</v>
      </c>
      <c r="V341" s="197">
        <v>30.007999999999999</v>
      </c>
      <c r="W341" s="195">
        <v>30.007999999999999</v>
      </c>
      <c r="X341" s="196">
        <v>30.007999999999999</v>
      </c>
      <c r="Y341" s="197">
        <v>30.007999999999999</v>
      </c>
      <c r="Z341" s="195">
        <v>30.007999999999999</v>
      </c>
      <c r="AA341" s="196">
        <v>30.007999999999999</v>
      </c>
      <c r="AB341" s="197">
        <v>30.007999999999999</v>
      </c>
      <c r="AC341" s="195">
        <v>30.007999999999999</v>
      </c>
      <c r="AD341" s="196">
        <v>30.007999999999999</v>
      </c>
      <c r="AE341" s="197">
        <v>30.007999999999999</v>
      </c>
      <c r="AF341" s="195">
        <v>30.007999999999999</v>
      </c>
      <c r="AG341" s="196">
        <v>30.007999999999999</v>
      </c>
      <c r="AH341" s="197">
        <v>30.007999999999999</v>
      </c>
      <c r="AI341" s="200" t="s">
        <v>341</v>
      </c>
      <c r="AJ341" s="193" t="s">
        <v>1631</v>
      </c>
      <c r="AK341" s="201" t="s">
        <v>1614</v>
      </c>
      <c r="AL341" s="205">
        <v>22</v>
      </c>
      <c r="AM341" s="200"/>
      <c r="AN341" s="204">
        <v>36.014000000000003</v>
      </c>
      <c r="AO341" s="203"/>
      <c r="AP341" s="207" t="s">
        <v>76</v>
      </c>
      <c r="AQ341" s="199" t="s">
        <v>1620</v>
      </c>
      <c r="AR341" s="202"/>
      <c r="AS341" s="205">
        <v>2050</v>
      </c>
      <c r="AT341" s="206"/>
      <c r="AU341" s="201" t="s">
        <v>24</v>
      </c>
      <c r="AV341" s="193" t="s">
        <v>1615</v>
      </c>
      <c r="AW341" s="205">
        <v>1514</v>
      </c>
    </row>
    <row r="342" spans="1:49">
      <c r="A342" s="192" t="s">
        <v>45</v>
      </c>
      <c r="B342" s="194" t="s">
        <v>1555</v>
      </c>
      <c r="C342" s="160" t="s">
        <v>340</v>
      </c>
      <c r="D342" s="193" t="s">
        <v>342</v>
      </c>
      <c r="E342" s="195">
        <v>16.367999999999999</v>
      </c>
      <c r="F342" s="196">
        <v>16.367999999999999</v>
      </c>
      <c r="G342" s="197">
        <v>16.367999999999999</v>
      </c>
      <c r="H342" s="195">
        <v>16.367999999999999</v>
      </c>
      <c r="I342" s="196">
        <v>16.367999999999999</v>
      </c>
      <c r="J342" s="197">
        <v>16.367999999999999</v>
      </c>
      <c r="K342" s="195">
        <v>16.367999999999999</v>
      </c>
      <c r="L342" s="196">
        <v>16.367999999999999</v>
      </c>
      <c r="M342" s="197">
        <v>16.367999999999999</v>
      </c>
      <c r="N342" s="195">
        <v>16.367999999999999</v>
      </c>
      <c r="O342" s="196">
        <v>16.367999999999999</v>
      </c>
      <c r="P342" s="197">
        <v>16.367999999999999</v>
      </c>
      <c r="Q342" s="195">
        <v>16.367999999999999</v>
      </c>
      <c r="R342" s="196">
        <v>16.367999999999999</v>
      </c>
      <c r="S342" s="197">
        <v>16.367999999999999</v>
      </c>
      <c r="T342" s="195">
        <v>16.367999999999999</v>
      </c>
      <c r="U342" s="196">
        <v>16.367999999999999</v>
      </c>
      <c r="V342" s="197">
        <v>16.367999999999999</v>
      </c>
      <c r="W342" s="195">
        <v>16.367999999999999</v>
      </c>
      <c r="X342" s="196">
        <v>16.367999999999999</v>
      </c>
      <c r="Y342" s="197">
        <v>16.367999999999999</v>
      </c>
      <c r="Z342" s="195">
        <v>16.367999999999999</v>
      </c>
      <c r="AA342" s="196">
        <v>16.367999999999999</v>
      </c>
      <c r="AB342" s="197">
        <v>16.367999999999999</v>
      </c>
      <c r="AC342" s="195">
        <v>16.367999999999999</v>
      </c>
      <c r="AD342" s="196">
        <v>16.367999999999999</v>
      </c>
      <c r="AE342" s="197">
        <v>16.367999999999999</v>
      </c>
      <c r="AF342" s="195">
        <v>16.367999999999999</v>
      </c>
      <c r="AG342" s="196">
        <v>16.367999999999999</v>
      </c>
      <c r="AH342" s="197">
        <v>16.367999999999999</v>
      </c>
      <c r="AI342" s="200" t="s">
        <v>341</v>
      </c>
      <c r="AJ342" s="193" t="s">
        <v>1631</v>
      </c>
      <c r="AK342" s="201" t="s">
        <v>1614</v>
      </c>
      <c r="AL342" s="205">
        <v>12</v>
      </c>
      <c r="AM342" s="200">
        <v>19.643999999999998</v>
      </c>
      <c r="AN342" s="204">
        <v>19.643999999999998</v>
      </c>
      <c r="AO342" s="203"/>
      <c r="AP342" s="207" t="s">
        <v>401</v>
      </c>
      <c r="AQ342" s="199" t="s">
        <v>1620</v>
      </c>
      <c r="AR342" s="202">
        <v>45108</v>
      </c>
      <c r="AS342" s="205">
        <v>2050</v>
      </c>
      <c r="AT342" s="206"/>
      <c r="AU342" s="201" t="s">
        <v>24</v>
      </c>
      <c r="AV342" s="193" t="s">
        <v>1615</v>
      </c>
      <c r="AW342" s="205">
        <v>1514</v>
      </c>
    </row>
    <row r="343" spans="1:49">
      <c r="A343" s="192" t="s">
        <v>45</v>
      </c>
      <c r="B343" s="194" t="s">
        <v>1599</v>
      </c>
      <c r="C343" s="160" t="s">
        <v>177</v>
      </c>
      <c r="D343" s="193" t="s">
        <v>3522</v>
      </c>
      <c r="E343" s="195">
        <v>0</v>
      </c>
      <c r="F343" s="196">
        <v>0</v>
      </c>
      <c r="G343" s="197">
        <v>0</v>
      </c>
      <c r="H343" s="195">
        <v>76.8</v>
      </c>
      <c r="I343" s="196">
        <v>149.76</v>
      </c>
      <c r="J343" s="197">
        <v>149.76</v>
      </c>
      <c r="K343" s="195">
        <v>149.76</v>
      </c>
      <c r="L343" s="196">
        <v>149.76</v>
      </c>
      <c r="M343" s="197">
        <v>149.76</v>
      </c>
      <c r="N343" s="195">
        <v>149.76</v>
      </c>
      <c r="O343" s="196">
        <v>149.76</v>
      </c>
      <c r="P343" s="197">
        <v>149.76</v>
      </c>
      <c r="Q343" s="195">
        <v>149.76</v>
      </c>
      <c r="R343" s="196">
        <v>149.76</v>
      </c>
      <c r="S343" s="197">
        <v>149.76</v>
      </c>
      <c r="T343" s="195">
        <v>149.76</v>
      </c>
      <c r="U343" s="196">
        <v>149.76</v>
      </c>
      <c r="V343" s="197">
        <v>149.76</v>
      </c>
      <c r="W343" s="195">
        <v>149.76</v>
      </c>
      <c r="X343" s="196">
        <v>149.76</v>
      </c>
      <c r="Y343" s="197">
        <v>149.76</v>
      </c>
      <c r="Z343" s="195">
        <v>149.76</v>
      </c>
      <c r="AA343" s="196">
        <v>149.76</v>
      </c>
      <c r="AB343" s="197">
        <v>149.76</v>
      </c>
      <c r="AC343" s="195">
        <v>149.76</v>
      </c>
      <c r="AD343" s="196">
        <v>149.76</v>
      </c>
      <c r="AE343" s="197">
        <v>149.76</v>
      </c>
      <c r="AF343" s="195">
        <v>149.76</v>
      </c>
      <c r="AG343" s="196">
        <v>149.76</v>
      </c>
      <c r="AH343" s="197">
        <v>149.76</v>
      </c>
      <c r="AI343" s="200" t="s">
        <v>178</v>
      </c>
      <c r="AJ343" s="193" t="s">
        <v>1631</v>
      </c>
      <c r="AK343" s="201" t="s">
        <v>1614</v>
      </c>
      <c r="AL343" s="205">
        <v>48</v>
      </c>
      <c r="AM343" s="200"/>
      <c r="AN343" s="204">
        <v>151.96799999999999</v>
      </c>
      <c r="AO343" s="203"/>
      <c r="AP343" s="207" t="s">
        <v>26</v>
      </c>
      <c r="AQ343" s="199" t="s">
        <v>1620</v>
      </c>
      <c r="AR343" s="202">
        <v>45413</v>
      </c>
      <c r="AS343" s="205">
        <v>2054</v>
      </c>
      <c r="AT343" s="206"/>
      <c r="AU343" s="201" t="s">
        <v>26</v>
      </c>
      <c r="AV343" s="193" t="s">
        <v>1615</v>
      </c>
      <c r="AW343" s="205">
        <v>1712</v>
      </c>
    </row>
    <row r="344" spans="1:49">
      <c r="A344" s="192" t="s">
        <v>45</v>
      </c>
      <c r="B344" s="194" t="s">
        <v>1599</v>
      </c>
      <c r="C344" s="160" t="s">
        <v>177</v>
      </c>
      <c r="D344" s="193" t="s">
        <v>3524</v>
      </c>
      <c r="E344" s="195">
        <v>0</v>
      </c>
      <c r="F344" s="196">
        <v>0</v>
      </c>
      <c r="G344" s="197">
        <v>0</v>
      </c>
      <c r="H344" s="195">
        <v>76.8</v>
      </c>
      <c r="I344" s="196">
        <v>149.76</v>
      </c>
      <c r="J344" s="197">
        <v>149.76</v>
      </c>
      <c r="K344" s="195">
        <v>149.76</v>
      </c>
      <c r="L344" s="196">
        <v>149.76</v>
      </c>
      <c r="M344" s="197">
        <v>149.76</v>
      </c>
      <c r="N344" s="195">
        <v>149.76</v>
      </c>
      <c r="O344" s="196">
        <v>149.76</v>
      </c>
      <c r="P344" s="197">
        <v>149.76</v>
      </c>
      <c r="Q344" s="195">
        <v>149.76</v>
      </c>
      <c r="R344" s="196">
        <v>149.76</v>
      </c>
      <c r="S344" s="197">
        <v>149.76</v>
      </c>
      <c r="T344" s="195">
        <v>149.76</v>
      </c>
      <c r="U344" s="196">
        <v>149.76</v>
      </c>
      <c r="V344" s="197">
        <v>149.76</v>
      </c>
      <c r="W344" s="195">
        <v>149.76</v>
      </c>
      <c r="X344" s="196">
        <v>149.76</v>
      </c>
      <c r="Y344" s="197">
        <v>149.76</v>
      </c>
      <c r="Z344" s="195">
        <v>149.76</v>
      </c>
      <c r="AA344" s="196">
        <v>149.76</v>
      </c>
      <c r="AB344" s="197">
        <v>149.76</v>
      </c>
      <c r="AC344" s="195">
        <v>149.76</v>
      </c>
      <c r="AD344" s="196">
        <v>149.76</v>
      </c>
      <c r="AE344" s="197">
        <v>149.76</v>
      </c>
      <c r="AF344" s="195">
        <v>149.76</v>
      </c>
      <c r="AG344" s="196">
        <v>149.76</v>
      </c>
      <c r="AH344" s="197">
        <v>149.76</v>
      </c>
      <c r="AI344" s="200" t="s">
        <v>178</v>
      </c>
      <c r="AJ344" s="193" t="s">
        <v>1631</v>
      </c>
      <c r="AK344" s="201" t="s">
        <v>1614</v>
      </c>
      <c r="AL344" s="205">
        <v>48</v>
      </c>
      <c r="AM344" s="200"/>
      <c r="AN344" s="204">
        <v>151.96799999999999</v>
      </c>
      <c r="AO344" s="203"/>
      <c r="AP344" s="207" t="s">
        <v>26</v>
      </c>
      <c r="AQ344" s="199" t="s">
        <v>1620</v>
      </c>
      <c r="AR344" s="202">
        <v>45413</v>
      </c>
      <c r="AS344" s="205">
        <v>2054</v>
      </c>
      <c r="AT344" s="206"/>
      <c r="AU344" s="201" t="s">
        <v>26</v>
      </c>
      <c r="AV344" s="193" t="s">
        <v>1615</v>
      </c>
      <c r="AW344" s="205">
        <v>1712</v>
      </c>
    </row>
    <row r="345" spans="1:49">
      <c r="A345" s="192" t="s">
        <v>45</v>
      </c>
      <c r="B345" s="194" t="s">
        <v>1555</v>
      </c>
      <c r="C345" s="160" t="s">
        <v>261</v>
      </c>
      <c r="D345" s="193" t="s">
        <v>263</v>
      </c>
      <c r="E345" s="195">
        <v>50</v>
      </c>
      <c r="F345" s="196">
        <v>50</v>
      </c>
      <c r="G345" s="197">
        <v>50</v>
      </c>
      <c r="H345" s="195">
        <v>50</v>
      </c>
      <c r="I345" s="196">
        <v>50</v>
      </c>
      <c r="J345" s="197">
        <v>50</v>
      </c>
      <c r="K345" s="195">
        <v>50</v>
      </c>
      <c r="L345" s="196">
        <v>50</v>
      </c>
      <c r="M345" s="197">
        <v>50</v>
      </c>
      <c r="N345" s="195">
        <v>50</v>
      </c>
      <c r="O345" s="196">
        <v>50</v>
      </c>
      <c r="P345" s="197">
        <v>50</v>
      </c>
      <c r="Q345" s="195">
        <v>50</v>
      </c>
      <c r="R345" s="196">
        <v>50</v>
      </c>
      <c r="S345" s="197">
        <v>50</v>
      </c>
      <c r="T345" s="195">
        <v>50</v>
      </c>
      <c r="U345" s="196">
        <v>50</v>
      </c>
      <c r="V345" s="197">
        <v>50</v>
      </c>
      <c r="W345" s="195">
        <v>50</v>
      </c>
      <c r="X345" s="196">
        <v>50</v>
      </c>
      <c r="Y345" s="197">
        <v>50</v>
      </c>
      <c r="Z345" s="195">
        <v>50</v>
      </c>
      <c r="AA345" s="196">
        <v>50</v>
      </c>
      <c r="AB345" s="197">
        <v>50</v>
      </c>
      <c r="AC345" s="195">
        <v>50</v>
      </c>
      <c r="AD345" s="196">
        <v>50</v>
      </c>
      <c r="AE345" s="197">
        <v>50</v>
      </c>
      <c r="AF345" s="195">
        <v>50</v>
      </c>
      <c r="AG345" s="196">
        <v>50</v>
      </c>
      <c r="AH345" s="197">
        <v>50</v>
      </c>
      <c r="AI345" s="200" t="s">
        <v>262</v>
      </c>
      <c r="AJ345" s="193" t="s">
        <v>1602</v>
      </c>
      <c r="AK345" s="201" t="s">
        <v>1603</v>
      </c>
      <c r="AL345" s="205">
        <v>1</v>
      </c>
      <c r="AM345" s="200">
        <v>50</v>
      </c>
      <c r="AN345" s="204">
        <v>50</v>
      </c>
      <c r="AO345" s="203">
        <v>75</v>
      </c>
      <c r="AP345" s="207" t="s">
        <v>76</v>
      </c>
      <c r="AQ345" s="199" t="s">
        <v>1619</v>
      </c>
      <c r="AR345" s="202">
        <v>44531</v>
      </c>
      <c r="AS345" s="205">
        <v>2036</v>
      </c>
      <c r="AT345" s="206"/>
      <c r="AU345" s="201" t="s">
        <v>24</v>
      </c>
      <c r="AV345" s="193" t="s">
        <v>19</v>
      </c>
      <c r="AW345" s="205">
        <v>1874</v>
      </c>
    </row>
    <row r="346" spans="1:49">
      <c r="A346" s="192" t="s">
        <v>77</v>
      </c>
      <c r="B346" s="194" t="s">
        <v>1599</v>
      </c>
      <c r="C346" s="160" t="s">
        <v>85</v>
      </c>
      <c r="D346" s="193">
        <v>0</v>
      </c>
      <c r="E346" s="195">
        <v>0</v>
      </c>
      <c r="F346" s="196">
        <v>0</v>
      </c>
      <c r="G346" s="197">
        <v>0</v>
      </c>
      <c r="H346" s="195">
        <v>252</v>
      </c>
      <c r="I346" s="196">
        <v>252</v>
      </c>
      <c r="J346" s="197">
        <v>252</v>
      </c>
      <c r="K346" s="195">
        <v>252</v>
      </c>
      <c r="L346" s="196">
        <v>252</v>
      </c>
      <c r="M346" s="197">
        <v>252</v>
      </c>
      <c r="N346" s="195">
        <v>252</v>
      </c>
      <c r="O346" s="196">
        <v>252</v>
      </c>
      <c r="P346" s="197">
        <v>252</v>
      </c>
      <c r="Q346" s="195">
        <v>252</v>
      </c>
      <c r="R346" s="196">
        <v>252</v>
      </c>
      <c r="S346" s="197">
        <v>252</v>
      </c>
      <c r="T346" s="195">
        <v>252</v>
      </c>
      <c r="U346" s="196">
        <v>252</v>
      </c>
      <c r="V346" s="197">
        <v>252</v>
      </c>
      <c r="W346" s="195">
        <v>252</v>
      </c>
      <c r="X346" s="196">
        <v>252</v>
      </c>
      <c r="Y346" s="197">
        <v>252</v>
      </c>
      <c r="Z346" s="195">
        <v>252</v>
      </c>
      <c r="AA346" s="196">
        <v>252</v>
      </c>
      <c r="AB346" s="197">
        <v>252</v>
      </c>
      <c r="AC346" s="195">
        <v>252</v>
      </c>
      <c r="AD346" s="196">
        <v>252</v>
      </c>
      <c r="AE346" s="197">
        <v>252</v>
      </c>
      <c r="AF346" s="195">
        <v>252</v>
      </c>
      <c r="AG346" s="196">
        <v>252</v>
      </c>
      <c r="AH346" s="197">
        <v>252</v>
      </c>
      <c r="AI346" s="200" t="s">
        <v>86</v>
      </c>
      <c r="AJ346" s="193" t="s">
        <v>1625</v>
      </c>
      <c r="AK346" s="201" t="s">
        <v>16</v>
      </c>
      <c r="AL346" s="205">
        <v>1</v>
      </c>
      <c r="AM346" s="200"/>
      <c r="AN346" s="204">
        <v>252</v>
      </c>
      <c r="AO346" s="203"/>
      <c r="AP346" s="207" t="s">
        <v>26</v>
      </c>
      <c r="AQ346" s="199" t="s">
        <v>1620</v>
      </c>
      <c r="AR346" s="202">
        <v>45689</v>
      </c>
      <c r="AS346" s="205"/>
      <c r="AT346" s="206"/>
      <c r="AU346" s="201" t="s">
        <v>26</v>
      </c>
      <c r="AV346" s="193" t="s">
        <v>16</v>
      </c>
      <c r="AW346" s="205">
        <v>2287</v>
      </c>
    </row>
    <row r="347" spans="1:49">
      <c r="A347" s="192" t="s">
        <v>77</v>
      </c>
      <c r="B347" s="194" t="s">
        <v>1555</v>
      </c>
      <c r="C347" s="160" t="s">
        <v>278</v>
      </c>
      <c r="D347" s="193" t="s">
        <v>3533</v>
      </c>
      <c r="E347" s="195">
        <v>100</v>
      </c>
      <c r="F347" s="196">
        <v>100</v>
      </c>
      <c r="G347" s="197">
        <v>100</v>
      </c>
      <c r="H347" s="195">
        <v>100</v>
      </c>
      <c r="I347" s="196">
        <v>100</v>
      </c>
      <c r="J347" s="197">
        <v>100</v>
      </c>
      <c r="K347" s="195">
        <v>100</v>
      </c>
      <c r="L347" s="196">
        <v>100</v>
      </c>
      <c r="M347" s="197">
        <v>100</v>
      </c>
      <c r="N347" s="195">
        <v>100</v>
      </c>
      <c r="O347" s="196">
        <v>100</v>
      </c>
      <c r="P347" s="197">
        <v>100</v>
      </c>
      <c r="Q347" s="195">
        <v>100</v>
      </c>
      <c r="R347" s="196">
        <v>100</v>
      </c>
      <c r="S347" s="197">
        <v>100</v>
      </c>
      <c r="T347" s="195">
        <v>100</v>
      </c>
      <c r="U347" s="196">
        <v>100</v>
      </c>
      <c r="V347" s="197">
        <v>100</v>
      </c>
      <c r="W347" s="195">
        <v>100</v>
      </c>
      <c r="X347" s="196">
        <v>100</v>
      </c>
      <c r="Y347" s="197">
        <v>100</v>
      </c>
      <c r="Z347" s="195">
        <v>100</v>
      </c>
      <c r="AA347" s="196">
        <v>100</v>
      </c>
      <c r="AB347" s="197">
        <v>100</v>
      </c>
      <c r="AC347" s="195">
        <v>100</v>
      </c>
      <c r="AD347" s="196">
        <v>100</v>
      </c>
      <c r="AE347" s="197">
        <v>100</v>
      </c>
      <c r="AF347" s="195">
        <v>100</v>
      </c>
      <c r="AG347" s="196">
        <v>100</v>
      </c>
      <c r="AH347" s="197">
        <v>100</v>
      </c>
      <c r="AI347" s="200" t="s">
        <v>279</v>
      </c>
      <c r="AJ347" s="193" t="s">
        <v>1602</v>
      </c>
      <c r="AK347" s="201" t="s">
        <v>1603</v>
      </c>
      <c r="AL347" s="205">
        <v>1</v>
      </c>
      <c r="AM347" s="200"/>
      <c r="AN347" s="204">
        <v>100</v>
      </c>
      <c r="AO347" s="203">
        <v>150</v>
      </c>
      <c r="AP347" s="207" t="s">
        <v>76</v>
      </c>
      <c r="AQ347" s="199" t="s">
        <v>1619</v>
      </c>
      <c r="AR347" s="202">
        <v>44743</v>
      </c>
      <c r="AS347" s="205">
        <v>2051</v>
      </c>
      <c r="AT347" s="206"/>
      <c r="AU347" s="201" t="s">
        <v>24</v>
      </c>
      <c r="AV347" s="193" t="s">
        <v>19</v>
      </c>
      <c r="AW347" s="205">
        <v>1762</v>
      </c>
    </row>
    <row r="348" spans="1:49">
      <c r="A348" s="192" t="s">
        <v>77</v>
      </c>
      <c r="B348" s="194" t="s">
        <v>1599</v>
      </c>
      <c r="C348" s="160" t="s">
        <v>428</v>
      </c>
      <c r="D348" s="193" t="s">
        <v>429</v>
      </c>
      <c r="E348" s="195">
        <v>0</v>
      </c>
      <c r="F348" s="196">
        <v>125</v>
      </c>
      <c r="G348" s="197">
        <v>125</v>
      </c>
      <c r="H348" s="195">
        <v>125</v>
      </c>
      <c r="I348" s="196">
        <v>125</v>
      </c>
      <c r="J348" s="197">
        <v>125</v>
      </c>
      <c r="K348" s="195">
        <v>125</v>
      </c>
      <c r="L348" s="196">
        <v>125</v>
      </c>
      <c r="M348" s="197">
        <v>125</v>
      </c>
      <c r="N348" s="195">
        <v>125</v>
      </c>
      <c r="O348" s="196">
        <v>125</v>
      </c>
      <c r="P348" s="197">
        <v>125</v>
      </c>
      <c r="Q348" s="195">
        <v>125</v>
      </c>
      <c r="R348" s="196">
        <v>125</v>
      </c>
      <c r="S348" s="197">
        <v>125</v>
      </c>
      <c r="T348" s="195">
        <v>125</v>
      </c>
      <c r="U348" s="196">
        <v>125</v>
      </c>
      <c r="V348" s="197">
        <v>125</v>
      </c>
      <c r="W348" s="195">
        <v>125</v>
      </c>
      <c r="X348" s="196">
        <v>125</v>
      </c>
      <c r="Y348" s="197">
        <v>125</v>
      </c>
      <c r="Z348" s="195">
        <v>125</v>
      </c>
      <c r="AA348" s="196">
        <v>125</v>
      </c>
      <c r="AB348" s="197">
        <v>125</v>
      </c>
      <c r="AC348" s="195">
        <v>125</v>
      </c>
      <c r="AD348" s="196">
        <v>125</v>
      </c>
      <c r="AE348" s="197">
        <v>125</v>
      </c>
      <c r="AF348" s="195">
        <v>125</v>
      </c>
      <c r="AG348" s="196">
        <v>125</v>
      </c>
      <c r="AH348" s="197">
        <v>125</v>
      </c>
      <c r="AI348" s="200" t="s">
        <v>279</v>
      </c>
      <c r="AJ348" s="193" t="s">
        <v>1631</v>
      </c>
      <c r="AK348" s="201" t="s">
        <v>1614</v>
      </c>
      <c r="AL348" s="205">
        <v>1</v>
      </c>
      <c r="AM348" s="200">
        <v>160</v>
      </c>
      <c r="AN348" s="204">
        <v>160</v>
      </c>
      <c r="AO348" s="203"/>
      <c r="AP348" s="207" t="s">
        <v>26</v>
      </c>
      <c r="AQ348" s="199" t="s">
        <v>1620</v>
      </c>
      <c r="AR348" s="202">
        <v>45139</v>
      </c>
      <c r="AS348" s="205">
        <v>2053</v>
      </c>
      <c r="AT348" s="206"/>
      <c r="AU348" s="201" t="s">
        <v>26</v>
      </c>
      <c r="AV348" s="193" t="s">
        <v>1615</v>
      </c>
      <c r="AW348" s="205">
        <v>1455</v>
      </c>
    </row>
    <row r="349" spans="1:49">
      <c r="A349" s="192" t="s">
        <v>45</v>
      </c>
      <c r="B349" s="194" t="s">
        <v>1599</v>
      </c>
      <c r="C349" s="160" t="s">
        <v>70</v>
      </c>
      <c r="D349" s="193" t="s">
        <v>72</v>
      </c>
      <c r="E349" s="195">
        <v>0</v>
      </c>
      <c r="F349" s="196">
        <v>0</v>
      </c>
      <c r="G349" s="197">
        <v>0</v>
      </c>
      <c r="H349" s="195">
        <v>0</v>
      </c>
      <c r="I349" s="196">
        <v>150.048</v>
      </c>
      <c r="J349" s="197">
        <v>107.712</v>
      </c>
      <c r="K349" s="195">
        <v>150.048</v>
      </c>
      <c r="L349" s="196">
        <v>150.048</v>
      </c>
      <c r="M349" s="197">
        <v>107.712</v>
      </c>
      <c r="N349" s="195">
        <v>150.048</v>
      </c>
      <c r="O349" s="196">
        <v>150.048</v>
      </c>
      <c r="P349" s="197">
        <v>107.712</v>
      </c>
      <c r="Q349" s="195">
        <v>150.048</v>
      </c>
      <c r="R349" s="196">
        <v>150.048</v>
      </c>
      <c r="S349" s="197">
        <v>107.712</v>
      </c>
      <c r="T349" s="195">
        <v>150.048</v>
      </c>
      <c r="U349" s="196">
        <v>150.048</v>
      </c>
      <c r="V349" s="197">
        <v>107.712</v>
      </c>
      <c r="W349" s="195">
        <v>150.048</v>
      </c>
      <c r="X349" s="196">
        <v>150.048</v>
      </c>
      <c r="Y349" s="197">
        <v>107.712</v>
      </c>
      <c r="Z349" s="195">
        <v>850.17600000000004</v>
      </c>
      <c r="AA349" s="196">
        <v>850.17600000000004</v>
      </c>
      <c r="AB349" s="197">
        <v>777.6</v>
      </c>
      <c r="AC349" s="195">
        <v>850.17600000000004</v>
      </c>
      <c r="AD349" s="196">
        <v>850.17600000000004</v>
      </c>
      <c r="AE349" s="197">
        <v>777.6</v>
      </c>
      <c r="AF349" s="195">
        <v>850.17600000000004</v>
      </c>
      <c r="AG349" s="196">
        <v>850.17600000000004</v>
      </c>
      <c r="AH349" s="197">
        <v>777.6</v>
      </c>
      <c r="AI349" s="200" t="s">
        <v>71</v>
      </c>
      <c r="AJ349" s="193" t="s">
        <v>1602</v>
      </c>
      <c r="AK349" s="201" t="s">
        <v>1603</v>
      </c>
      <c r="AL349" s="205">
        <v>288</v>
      </c>
      <c r="AM349" s="200">
        <v>0</v>
      </c>
      <c r="AN349" s="204">
        <v>850.17600000000004</v>
      </c>
      <c r="AO349" s="203">
        <v>1679</v>
      </c>
      <c r="AP349" s="207" t="s">
        <v>317</v>
      </c>
      <c r="AQ349" s="199" t="s">
        <v>1619</v>
      </c>
      <c r="AR349" s="202">
        <v>45717</v>
      </c>
      <c r="AS349" s="205">
        <v>2065</v>
      </c>
      <c r="AT349" s="206"/>
      <c r="AU349" s="201" t="s">
        <v>26</v>
      </c>
      <c r="AV349" s="193" t="s">
        <v>19</v>
      </c>
      <c r="AW349" s="205">
        <v>2220</v>
      </c>
    </row>
    <row r="350" spans="1:49">
      <c r="A350" s="192" t="s">
        <v>77</v>
      </c>
      <c r="B350" s="194" t="s">
        <v>1555</v>
      </c>
      <c r="C350" s="160" t="s">
        <v>88</v>
      </c>
      <c r="D350" s="193" t="s">
        <v>3543</v>
      </c>
      <c r="E350" s="195">
        <v>32.103999999999999</v>
      </c>
      <c r="F350" s="196">
        <v>32.103999999999999</v>
      </c>
      <c r="G350" s="197">
        <v>32.103999999999999</v>
      </c>
      <c r="H350" s="195">
        <v>32.103999999999999</v>
      </c>
      <c r="I350" s="196">
        <v>32.103999999999999</v>
      </c>
      <c r="J350" s="197">
        <v>32.103999999999999</v>
      </c>
      <c r="K350" s="195">
        <v>32.103999999999999</v>
      </c>
      <c r="L350" s="196">
        <v>32.103999999999999</v>
      </c>
      <c r="M350" s="197">
        <v>32.103999999999999</v>
      </c>
      <c r="N350" s="195">
        <v>32.103999999999999</v>
      </c>
      <c r="O350" s="196">
        <v>32.103999999999999</v>
      </c>
      <c r="P350" s="197">
        <v>32.103999999999999</v>
      </c>
      <c r="Q350" s="195">
        <v>32.103999999999999</v>
      </c>
      <c r="R350" s="196">
        <v>32.103999999999999</v>
      </c>
      <c r="S350" s="197">
        <v>32.103999999999999</v>
      </c>
      <c r="T350" s="195">
        <v>32.103999999999999</v>
      </c>
      <c r="U350" s="196">
        <v>32.103999999999999</v>
      </c>
      <c r="V350" s="197">
        <v>32.103999999999999</v>
      </c>
      <c r="W350" s="195">
        <v>32.103999999999999</v>
      </c>
      <c r="X350" s="196">
        <v>32.103999999999999</v>
      </c>
      <c r="Y350" s="197">
        <v>32.103999999999999</v>
      </c>
      <c r="Z350" s="195">
        <v>32.103999999999999</v>
      </c>
      <c r="AA350" s="196">
        <v>32.103999999999999</v>
      </c>
      <c r="AB350" s="197">
        <v>32.103999999999999</v>
      </c>
      <c r="AC350" s="195">
        <v>32.103999999999999</v>
      </c>
      <c r="AD350" s="196">
        <v>32.103999999999999</v>
      </c>
      <c r="AE350" s="197">
        <v>32.103999999999999</v>
      </c>
      <c r="AF350" s="195">
        <v>32.103999999999999</v>
      </c>
      <c r="AG350" s="196">
        <v>32.103999999999999</v>
      </c>
      <c r="AH350" s="197">
        <v>32.103999999999999</v>
      </c>
      <c r="AI350" s="200" t="s">
        <v>89</v>
      </c>
      <c r="AJ350" s="193" t="s">
        <v>1631</v>
      </c>
      <c r="AK350" s="201" t="s">
        <v>1614</v>
      </c>
      <c r="AL350" s="205">
        <v>8</v>
      </c>
      <c r="AM350" s="200">
        <v>32.103999999999999</v>
      </c>
      <c r="AN350" s="204">
        <v>32.103999999999999</v>
      </c>
      <c r="AO350" s="203"/>
      <c r="AP350" s="207" t="s">
        <v>76</v>
      </c>
      <c r="AQ350" s="199" t="s">
        <v>1620</v>
      </c>
      <c r="AR350" s="202">
        <v>45017</v>
      </c>
      <c r="AS350" s="205">
        <v>2046</v>
      </c>
      <c r="AT350" s="206"/>
      <c r="AU350" s="201" t="s">
        <v>24</v>
      </c>
      <c r="AV350" s="193" t="s">
        <v>1615</v>
      </c>
      <c r="AW350" s="205">
        <v>1530</v>
      </c>
    </row>
    <row r="351" spans="1:49">
      <c r="A351" s="192" t="s">
        <v>77</v>
      </c>
      <c r="B351" s="194" t="s">
        <v>1555</v>
      </c>
      <c r="C351" s="160" t="s">
        <v>88</v>
      </c>
      <c r="D351" s="193" t="s">
        <v>3544</v>
      </c>
      <c r="E351" s="195">
        <v>32.103999999999999</v>
      </c>
      <c r="F351" s="196">
        <v>32.103999999999999</v>
      </c>
      <c r="G351" s="197">
        <v>32.103999999999999</v>
      </c>
      <c r="H351" s="195">
        <v>32.103999999999999</v>
      </c>
      <c r="I351" s="196">
        <v>32.103999999999999</v>
      </c>
      <c r="J351" s="197">
        <v>32.103999999999999</v>
      </c>
      <c r="K351" s="195">
        <v>32.103999999999999</v>
      </c>
      <c r="L351" s="196">
        <v>32.103999999999999</v>
      </c>
      <c r="M351" s="197">
        <v>32.103999999999999</v>
      </c>
      <c r="N351" s="195">
        <v>32.103999999999999</v>
      </c>
      <c r="O351" s="196">
        <v>32.103999999999999</v>
      </c>
      <c r="P351" s="197">
        <v>32.103999999999999</v>
      </c>
      <c r="Q351" s="195">
        <v>32.103999999999999</v>
      </c>
      <c r="R351" s="196">
        <v>32.103999999999999</v>
      </c>
      <c r="S351" s="197">
        <v>32.103999999999999</v>
      </c>
      <c r="T351" s="195">
        <v>32.103999999999999</v>
      </c>
      <c r="U351" s="196">
        <v>32.103999999999999</v>
      </c>
      <c r="V351" s="197">
        <v>32.103999999999999</v>
      </c>
      <c r="W351" s="195">
        <v>32.103999999999999</v>
      </c>
      <c r="X351" s="196">
        <v>32.103999999999999</v>
      </c>
      <c r="Y351" s="197">
        <v>32.103999999999999</v>
      </c>
      <c r="Z351" s="195">
        <v>32.103999999999999</v>
      </c>
      <c r="AA351" s="196">
        <v>32.103999999999999</v>
      </c>
      <c r="AB351" s="197">
        <v>32.103999999999999</v>
      </c>
      <c r="AC351" s="195">
        <v>32.103999999999999</v>
      </c>
      <c r="AD351" s="196">
        <v>32.103999999999999</v>
      </c>
      <c r="AE351" s="197">
        <v>32.103999999999999</v>
      </c>
      <c r="AF351" s="195">
        <v>32.103999999999999</v>
      </c>
      <c r="AG351" s="196">
        <v>32.103999999999999</v>
      </c>
      <c r="AH351" s="197">
        <v>32.103999999999999</v>
      </c>
      <c r="AI351" s="200" t="s">
        <v>89</v>
      </c>
      <c r="AJ351" s="193" t="s">
        <v>1631</v>
      </c>
      <c r="AK351" s="201" t="s">
        <v>1614</v>
      </c>
      <c r="AL351" s="205">
        <v>8</v>
      </c>
      <c r="AM351" s="200">
        <v>32.103999999999999</v>
      </c>
      <c r="AN351" s="204">
        <v>32.103999999999999</v>
      </c>
      <c r="AO351" s="203"/>
      <c r="AP351" s="207" t="s">
        <v>76</v>
      </c>
      <c r="AQ351" s="199" t="s">
        <v>1620</v>
      </c>
      <c r="AR351" s="202">
        <v>45017</v>
      </c>
      <c r="AS351" s="205">
        <v>2045</v>
      </c>
      <c r="AT351" s="206"/>
      <c r="AU351" s="201" t="s">
        <v>24</v>
      </c>
      <c r="AV351" s="193" t="s">
        <v>1615</v>
      </c>
      <c r="AW351" s="205">
        <v>1530</v>
      </c>
    </row>
    <row r="352" spans="1:49">
      <c r="A352" s="192" t="s">
        <v>91</v>
      </c>
      <c r="B352" s="194" t="s">
        <v>1555</v>
      </c>
      <c r="C352" s="160" t="s">
        <v>3545</v>
      </c>
      <c r="D352" s="193" t="s">
        <v>3547</v>
      </c>
      <c r="E352" s="195">
        <v>130.80000000000001</v>
      </c>
      <c r="F352" s="196">
        <v>129.9</v>
      </c>
      <c r="G352" s="197">
        <v>9</v>
      </c>
      <c r="H352" s="195">
        <v>130.80000000000001</v>
      </c>
      <c r="I352" s="196">
        <v>129.9</v>
      </c>
      <c r="J352" s="197">
        <v>9</v>
      </c>
      <c r="K352" s="195">
        <v>130.80000000000001</v>
      </c>
      <c r="L352" s="196">
        <v>129.9</v>
      </c>
      <c r="M352" s="197">
        <v>9</v>
      </c>
      <c r="N352" s="195">
        <v>130.80000000000001</v>
      </c>
      <c r="O352" s="196">
        <v>129.9</v>
      </c>
      <c r="P352" s="197">
        <v>9</v>
      </c>
      <c r="Q352" s="195">
        <v>130.80000000000001</v>
      </c>
      <c r="R352" s="196">
        <v>129.9</v>
      </c>
      <c r="S352" s="197">
        <v>9</v>
      </c>
      <c r="T352" s="195">
        <v>130.80000000000001</v>
      </c>
      <c r="U352" s="196">
        <v>129.9</v>
      </c>
      <c r="V352" s="197">
        <v>9</v>
      </c>
      <c r="W352" s="195">
        <v>130.80000000000001</v>
      </c>
      <c r="X352" s="196">
        <v>129.9</v>
      </c>
      <c r="Y352" s="197">
        <v>9</v>
      </c>
      <c r="Z352" s="195">
        <v>130.80000000000001</v>
      </c>
      <c r="AA352" s="196">
        <v>129.9</v>
      </c>
      <c r="AB352" s="197">
        <v>9</v>
      </c>
      <c r="AC352" s="195">
        <v>130.80000000000001</v>
      </c>
      <c r="AD352" s="196">
        <v>129.9</v>
      </c>
      <c r="AE352" s="197">
        <v>9</v>
      </c>
      <c r="AF352" s="195">
        <v>130.80000000000001</v>
      </c>
      <c r="AG352" s="196">
        <v>129.9</v>
      </c>
      <c r="AH352" s="197">
        <v>9</v>
      </c>
      <c r="AI352" s="200" t="s">
        <v>3546</v>
      </c>
      <c r="AJ352" s="193" t="s">
        <v>1625</v>
      </c>
      <c r="AK352" s="201" t="s">
        <v>1609</v>
      </c>
      <c r="AL352" s="205">
        <v>43</v>
      </c>
      <c r="AM352" s="200"/>
      <c r="AN352" s="204">
        <v>130.80000000000001</v>
      </c>
      <c r="AO352" s="203"/>
      <c r="AP352" s="207" t="s">
        <v>76</v>
      </c>
      <c r="AQ352" s="199" t="s">
        <v>1620</v>
      </c>
      <c r="AR352" s="202"/>
      <c r="AS352" s="205">
        <v>2051</v>
      </c>
      <c r="AT352" s="206"/>
      <c r="AU352" s="201" t="s">
        <v>24</v>
      </c>
      <c r="AV352" s="193" t="s">
        <v>16</v>
      </c>
      <c r="AW352" s="205">
        <v>1223</v>
      </c>
    </row>
    <row r="353" spans="1:49">
      <c r="A353" s="192" t="s">
        <v>45</v>
      </c>
      <c r="B353" s="194" t="s">
        <v>1599</v>
      </c>
      <c r="C353" s="160" t="s">
        <v>3564</v>
      </c>
      <c r="D353" s="193" t="s">
        <v>3566</v>
      </c>
      <c r="E353" s="195">
        <v>0</v>
      </c>
      <c r="F353" s="196">
        <v>0</v>
      </c>
      <c r="G353" s="197">
        <v>0</v>
      </c>
      <c r="H353" s="195">
        <v>0</v>
      </c>
      <c r="I353" s="196">
        <v>329.99200000000002</v>
      </c>
      <c r="J353" s="197">
        <v>329.99200000000002</v>
      </c>
      <c r="K353" s="195">
        <v>329.99200000000002</v>
      </c>
      <c r="L353" s="196">
        <v>329.99200000000002</v>
      </c>
      <c r="M353" s="197">
        <v>329.99200000000002</v>
      </c>
      <c r="N353" s="195">
        <v>329.99200000000002</v>
      </c>
      <c r="O353" s="196">
        <v>329.99200000000002</v>
      </c>
      <c r="P353" s="197">
        <v>329.99200000000002</v>
      </c>
      <c r="Q353" s="195">
        <v>329.99200000000002</v>
      </c>
      <c r="R353" s="196">
        <v>329.99200000000002</v>
      </c>
      <c r="S353" s="197">
        <v>329.99200000000002</v>
      </c>
      <c r="T353" s="195">
        <v>329.99200000000002</v>
      </c>
      <c r="U353" s="196">
        <v>329.99200000000002</v>
      </c>
      <c r="V353" s="197">
        <v>329.99200000000002</v>
      </c>
      <c r="W353" s="195">
        <v>329.99200000000002</v>
      </c>
      <c r="X353" s="196">
        <v>329.99200000000002</v>
      </c>
      <c r="Y353" s="197">
        <v>329.99200000000002</v>
      </c>
      <c r="Z353" s="195">
        <v>329.99200000000002</v>
      </c>
      <c r="AA353" s="196">
        <v>329.99200000000002</v>
      </c>
      <c r="AB353" s="197">
        <v>329.99200000000002</v>
      </c>
      <c r="AC353" s="195">
        <v>329.99200000000002</v>
      </c>
      <c r="AD353" s="196">
        <v>329.99200000000002</v>
      </c>
      <c r="AE353" s="197">
        <v>329.99200000000002</v>
      </c>
      <c r="AF353" s="195">
        <v>329.99200000000002</v>
      </c>
      <c r="AG353" s="196">
        <v>329.99200000000002</v>
      </c>
      <c r="AH353" s="197">
        <v>329.99200000000002</v>
      </c>
      <c r="AI353" s="200" t="s">
        <v>3565</v>
      </c>
      <c r="AJ353" s="193" t="s">
        <v>1631</v>
      </c>
      <c r="AK353" s="201" t="s">
        <v>1614</v>
      </c>
      <c r="AL353" s="205">
        <v>104</v>
      </c>
      <c r="AM353" s="200"/>
      <c r="AN353" s="204">
        <v>436.8</v>
      </c>
      <c r="AO353" s="203"/>
      <c r="AP353" s="207" t="s">
        <v>26</v>
      </c>
      <c r="AQ353" s="199" t="s">
        <v>1620</v>
      </c>
      <c r="AR353" s="202">
        <v>45566</v>
      </c>
      <c r="AS353" s="205"/>
      <c r="AT353" s="206"/>
      <c r="AU353" s="201" t="s">
        <v>26</v>
      </c>
      <c r="AV353" s="193" t="s">
        <v>1615</v>
      </c>
      <c r="AW353" s="205">
        <v>1960</v>
      </c>
    </row>
    <row r="354" spans="1:49">
      <c r="A354" s="192" t="s">
        <v>45</v>
      </c>
      <c r="B354" s="194" t="s">
        <v>1555</v>
      </c>
      <c r="C354" s="160" t="s">
        <v>264</v>
      </c>
      <c r="D354" s="193" t="s">
        <v>266</v>
      </c>
      <c r="E354" s="195">
        <v>169.88399999999999</v>
      </c>
      <c r="F354" s="196">
        <v>169.88399999999999</v>
      </c>
      <c r="G354" s="197">
        <v>169.88399999999999</v>
      </c>
      <c r="H354" s="195">
        <v>169.88399999999999</v>
      </c>
      <c r="I354" s="196">
        <v>169.88399999999999</v>
      </c>
      <c r="J354" s="197">
        <v>169.88399999999999</v>
      </c>
      <c r="K354" s="195">
        <v>169.88399999999999</v>
      </c>
      <c r="L354" s="196">
        <v>169.88399999999999</v>
      </c>
      <c r="M354" s="197">
        <v>169.88399999999999</v>
      </c>
      <c r="N354" s="195">
        <v>169.88399999999999</v>
      </c>
      <c r="O354" s="196">
        <v>169.88399999999999</v>
      </c>
      <c r="P354" s="197">
        <v>169.88399999999999</v>
      </c>
      <c r="Q354" s="195">
        <v>169.88399999999999</v>
      </c>
      <c r="R354" s="196">
        <v>169.88399999999999</v>
      </c>
      <c r="S354" s="197">
        <v>169.88399999999999</v>
      </c>
      <c r="T354" s="195">
        <v>169.88399999999999</v>
      </c>
      <c r="U354" s="196">
        <v>169.88399999999999</v>
      </c>
      <c r="V354" s="197">
        <v>169.88399999999999</v>
      </c>
      <c r="W354" s="195">
        <v>169.88399999999999</v>
      </c>
      <c r="X354" s="196">
        <v>169.88399999999999</v>
      </c>
      <c r="Y354" s="197">
        <v>169.88399999999999</v>
      </c>
      <c r="Z354" s="195">
        <v>169.88399999999999</v>
      </c>
      <c r="AA354" s="196">
        <v>169.88399999999999</v>
      </c>
      <c r="AB354" s="197">
        <v>169.88399999999999</v>
      </c>
      <c r="AC354" s="195">
        <v>169.88399999999999</v>
      </c>
      <c r="AD354" s="196">
        <v>169.88399999999999</v>
      </c>
      <c r="AE354" s="197">
        <v>169.88399999999999</v>
      </c>
      <c r="AF354" s="195">
        <v>169.88399999999999</v>
      </c>
      <c r="AG354" s="196">
        <v>169.88399999999999</v>
      </c>
      <c r="AH354" s="197">
        <v>169.88399999999999</v>
      </c>
      <c r="AI354" s="200" t="s">
        <v>265</v>
      </c>
      <c r="AJ354" s="193" t="s">
        <v>1631</v>
      </c>
      <c r="AK354" s="201" t="s">
        <v>1614</v>
      </c>
      <c r="AL354" s="205">
        <v>132</v>
      </c>
      <c r="AM354" s="200">
        <v>171.6</v>
      </c>
      <c r="AN354" s="204">
        <v>216.084</v>
      </c>
      <c r="AO354" s="203"/>
      <c r="AP354" s="207" t="s">
        <v>76</v>
      </c>
      <c r="AQ354" s="199" t="s">
        <v>1620</v>
      </c>
      <c r="AR354" s="202">
        <v>45047</v>
      </c>
      <c r="AS354" s="205">
        <v>2051</v>
      </c>
      <c r="AT354" s="206"/>
      <c r="AU354" s="201" t="s">
        <v>24</v>
      </c>
      <c r="AV354" s="193" t="s">
        <v>1615</v>
      </c>
      <c r="AW354" s="205">
        <v>1515</v>
      </c>
    </row>
    <row r="355" spans="1:49">
      <c r="A355" s="192" t="s">
        <v>110</v>
      </c>
      <c r="B355" s="194" t="s">
        <v>1555</v>
      </c>
      <c r="C355" s="160" t="s">
        <v>896</v>
      </c>
      <c r="D355" s="193" t="s">
        <v>898</v>
      </c>
      <c r="E355" s="195">
        <v>87.983999999999995</v>
      </c>
      <c r="F355" s="196">
        <v>85.527000000000001</v>
      </c>
      <c r="G355" s="197">
        <v>82.367999999999995</v>
      </c>
      <c r="H355" s="195">
        <v>87.983999999999995</v>
      </c>
      <c r="I355" s="196">
        <v>85.527000000000001</v>
      </c>
      <c r="J355" s="197">
        <v>82.367999999999995</v>
      </c>
      <c r="K355" s="195">
        <v>87.983999999999995</v>
      </c>
      <c r="L355" s="196">
        <v>85.527000000000001</v>
      </c>
      <c r="M355" s="197">
        <v>82.367999999999995</v>
      </c>
      <c r="N355" s="195">
        <v>87.983999999999995</v>
      </c>
      <c r="O355" s="196">
        <v>85.527000000000001</v>
      </c>
      <c r="P355" s="197">
        <v>82.367999999999995</v>
      </c>
      <c r="Q355" s="195">
        <v>87.983999999999995</v>
      </c>
      <c r="R355" s="196">
        <v>85.527000000000001</v>
      </c>
      <c r="S355" s="197">
        <v>82.367999999999995</v>
      </c>
      <c r="T355" s="195">
        <v>87.983999999999995</v>
      </c>
      <c r="U355" s="196">
        <v>85.527000000000001</v>
      </c>
      <c r="V355" s="197">
        <v>82.367999999999995</v>
      </c>
      <c r="W355" s="195">
        <v>87.983999999999995</v>
      </c>
      <c r="X355" s="196">
        <v>85.527000000000001</v>
      </c>
      <c r="Y355" s="197">
        <v>82.367999999999995</v>
      </c>
      <c r="Z355" s="195">
        <v>87.983999999999995</v>
      </c>
      <c r="AA355" s="196">
        <v>85.527000000000001</v>
      </c>
      <c r="AB355" s="197">
        <v>82.367999999999995</v>
      </c>
      <c r="AC355" s="195">
        <v>87.983999999999995</v>
      </c>
      <c r="AD355" s="196">
        <v>85.527000000000001</v>
      </c>
      <c r="AE355" s="197">
        <v>82.367999999999995</v>
      </c>
      <c r="AF355" s="195"/>
      <c r="AG355" s="196"/>
      <c r="AH355" s="197"/>
      <c r="AI355" s="200" t="s">
        <v>897</v>
      </c>
      <c r="AJ355" s="193" t="s">
        <v>1631</v>
      </c>
      <c r="AK355" s="201" t="s">
        <v>1614</v>
      </c>
      <c r="AL355" s="205">
        <v>39</v>
      </c>
      <c r="AM355" s="200">
        <v>79.95</v>
      </c>
      <c r="AN355" s="204">
        <v>97.5</v>
      </c>
      <c r="AO355" s="203"/>
      <c r="AP355" s="207" t="s">
        <v>76</v>
      </c>
      <c r="AQ355" s="199" t="s">
        <v>1620</v>
      </c>
      <c r="AR355" s="202">
        <v>43525</v>
      </c>
      <c r="AS355" s="205">
        <v>2049</v>
      </c>
      <c r="AT355" s="206"/>
      <c r="AU355" s="201" t="s">
        <v>24</v>
      </c>
      <c r="AV355" s="193" t="s">
        <v>1615</v>
      </c>
      <c r="AW355" s="205">
        <v>1563</v>
      </c>
    </row>
    <row r="356" spans="1:49">
      <c r="A356" s="192" t="s">
        <v>110</v>
      </c>
      <c r="B356" s="194" t="s">
        <v>1555</v>
      </c>
      <c r="C356" s="160" t="s">
        <v>899</v>
      </c>
      <c r="D356" s="193" t="s">
        <v>3568</v>
      </c>
      <c r="E356" s="195">
        <v>34</v>
      </c>
      <c r="F356" s="196">
        <v>34</v>
      </c>
      <c r="G356" s="197">
        <v>34</v>
      </c>
      <c r="H356" s="195">
        <v>34</v>
      </c>
      <c r="I356" s="196">
        <v>34</v>
      </c>
      <c r="J356" s="197">
        <v>34</v>
      </c>
      <c r="K356" s="195">
        <v>34</v>
      </c>
      <c r="L356" s="196">
        <v>34</v>
      </c>
      <c r="M356" s="197">
        <v>34</v>
      </c>
      <c r="N356" s="195">
        <v>34</v>
      </c>
      <c r="O356" s="196">
        <v>34</v>
      </c>
      <c r="P356" s="197">
        <v>34</v>
      </c>
      <c r="Q356" s="195">
        <v>34</v>
      </c>
      <c r="R356" s="196">
        <v>34</v>
      </c>
      <c r="S356" s="197">
        <v>34</v>
      </c>
      <c r="T356" s="195">
        <v>34</v>
      </c>
      <c r="U356" s="196">
        <v>34</v>
      </c>
      <c r="V356" s="197">
        <v>34</v>
      </c>
      <c r="W356" s="195">
        <v>34</v>
      </c>
      <c r="X356" s="196">
        <v>34</v>
      </c>
      <c r="Y356" s="197">
        <v>34</v>
      </c>
      <c r="Z356" s="195">
        <v>34</v>
      </c>
      <c r="AA356" s="196">
        <v>34</v>
      </c>
      <c r="AB356" s="197">
        <v>34</v>
      </c>
      <c r="AC356" s="195">
        <v>34</v>
      </c>
      <c r="AD356" s="196">
        <v>34</v>
      </c>
      <c r="AE356" s="197">
        <v>34</v>
      </c>
      <c r="AF356" s="195">
        <v>34</v>
      </c>
      <c r="AG356" s="196">
        <v>34</v>
      </c>
      <c r="AH356" s="197">
        <v>34</v>
      </c>
      <c r="AI356" s="200" t="s">
        <v>396</v>
      </c>
      <c r="AJ356" s="193" t="s">
        <v>1700</v>
      </c>
      <c r="AK356" s="201" t="s">
        <v>1658</v>
      </c>
      <c r="AL356" s="205">
        <v>2</v>
      </c>
      <c r="AM356" s="200"/>
      <c r="AN356" s="204">
        <v>34</v>
      </c>
      <c r="AO356" s="203"/>
      <c r="AP356" s="207" t="s">
        <v>76</v>
      </c>
      <c r="AQ356" s="199" t="s">
        <v>1619</v>
      </c>
      <c r="AR356" s="202"/>
      <c r="AS356" s="205">
        <v>2057</v>
      </c>
      <c r="AT356" s="206"/>
      <c r="AU356" s="201" t="s">
        <v>24</v>
      </c>
      <c r="AV356" s="193" t="s">
        <v>17</v>
      </c>
      <c r="AW356" s="205">
        <v>1227</v>
      </c>
    </row>
    <row r="357" spans="1:49">
      <c r="A357" s="192" t="s">
        <v>110</v>
      </c>
      <c r="B357" s="194" t="s">
        <v>1555</v>
      </c>
      <c r="C357" s="160" t="s">
        <v>899</v>
      </c>
      <c r="D357" s="193" t="s">
        <v>3569</v>
      </c>
      <c r="E357" s="195">
        <v>34</v>
      </c>
      <c r="F357" s="196">
        <v>34</v>
      </c>
      <c r="G357" s="197">
        <v>34</v>
      </c>
      <c r="H357" s="195">
        <v>34</v>
      </c>
      <c r="I357" s="196">
        <v>34</v>
      </c>
      <c r="J357" s="197">
        <v>34</v>
      </c>
      <c r="K357" s="195">
        <v>34</v>
      </c>
      <c r="L357" s="196">
        <v>34</v>
      </c>
      <c r="M357" s="197">
        <v>34</v>
      </c>
      <c r="N357" s="195">
        <v>34</v>
      </c>
      <c r="O357" s="196">
        <v>34</v>
      </c>
      <c r="P357" s="197">
        <v>34</v>
      </c>
      <c r="Q357" s="195">
        <v>34</v>
      </c>
      <c r="R357" s="196">
        <v>34</v>
      </c>
      <c r="S357" s="197">
        <v>34</v>
      </c>
      <c r="T357" s="195">
        <v>34</v>
      </c>
      <c r="U357" s="196">
        <v>34</v>
      </c>
      <c r="V357" s="197">
        <v>34</v>
      </c>
      <c r="W357" s="195">
        <v>34</v>
      </c>
      <c r="X357" s="196">
        <v>34</v>
      </c>
      <c r="Y357" s="197">
        <v>34</v>
      </c>
      <c r="Z357" s="195">
        <v>34</v>
      </c>
      <c r="AA357" s="196">
        <v>34</v>
      </c>
      <c r="AB357" s="197">
        <v>34</v>
      </c>
      <c r="AC357" s="195">
        <v>34</v>
      </c>
      <c r="AD357" s="196">
        <v>34</v>
      </c>
      <c r="AE357" s="197">
        <v>34</v>
      </c>
      <c r="AF357" s="195">
        <v>34</v>
      </c>
      <c r="AG357" s="196">
        <v>34</v>
      </c>
      <c r="AH357" s="197">
        <v>34</v>
      </c>
      <c r="AI357" s="200" t="s">
        <v>396</v>
      </c>
      <c r="AJ357" s="193" t="s">
        <v>1700</v>
      </c>
      <c r="AK357" s="201" t="s">
        <v>1658</v>
      </c>
      <c r="AL357" s="205">
        <v>2</v>
      </c>
      <c r="AM357" s="200"/>
      <c r="AN357" s="204">
        <v>34</v>
      </c>
      <c r="AO357" s="203"/>
      <c r="AP357" s="207" t="s">
        <v>76</v>
      </c>
      <c r="AQ357" s="199" t="s">
        <v>1619</v>
      </c>
      <c r="AR357" s="202"/>
      <c r="AS357" s="205">
        <v>2057</v>
      </c>
      <c r="AT357" s="206"/>
      <c r="AU357" s="201" t="s">
        <v>24</v>
      </c>
      <c r="AV357" s="193" t="s">
        <v>17</v>
      </c>
      <c r="AW357" s="205">
        <v>1227</v>
      </c>
    </row>
    <row r="358" spans="1:49">
      <c r="A358" s="192" t="s">
        <v>45</v>
      </c>
      <c r="B358" s="194" t="s">
        <v>1555</v>
      </c>
      <c r="C358" s="160" t="s">
        <v>74</v>
      </c>
      <c r="D358" s="193" t="s">
        <v>3573</v>
      </c>
      <c r="E358" s="195">
        <v>90.016000000000005</v>
      </c>
      <c r="F358" s="196">
        <v>90.016000000000005</v>
      </c>
      <c r="G358" s="197">
        <v>90.016000000000005</v>
      </c>
      <c r="H358" s="195">
        <v>90.016000000000005</v>
      </c>
      <c r="I358" s="196">
        <v>90.016000000000005</v>
      </c>
      <c r="J358" s="197">
        <v>90.016000000000005</v>
      </c>
      <c r="K358" s="195">
        <v>90.016000000000005</v>
      </c>
      <c r="L358" s="196">
        <v>90.016000000000005</v>
      </c>
      <c r="M358" s="197">
        <v>90.016000000000005</v>
      </c>
      <c r="N358" s="195">
        <v>90.016000000000005</v>
      </c>
      <c r="O358" s="196">
        <v>90.016000000000005</v>
      </c>
      <c r="P358" s="197">
        <v>90.016000000000005</v>
      </c>
      <c r="Q358" s="195">
        <v>90.016000000000005</v>
      </c>
      <c r="R358" s="196">
        <v>90.016000000000005</v>
      </c>
      <c r="S358" s="197">
        <v>90.016000000000005</v>
      </c>
      <c r="T358" s="195">
        <v>90.016000000000005</v>
      </c>
      <c r="U358" s="196">
        <v>90.016000000000005</v>
      </c>
      <c r="V358" s="197">
        <v>90.016000000000005</v>
      </c>
      <c r="W358" s="195">
        <v>90.016000000000005</v>
      </c>
      <c r="X358" s="196">
        <v>90.016000000000005</v>
      </c>
      <c r="Y358" s="197">
        <v>90.016000000000005</v>
      </c>
      <c r="Z358" s="195">
        <v>90.016000000000005</v>
      </c>
      <c r="AA358" s="196">
        <v>90.016000000000005</v>
      </c>
      <c r="AB358" s="197">
        <v>90.016000000000005</v>
      </c>
      <c r="AC358" s="195">
        <v>90.016000000000005</v>
      </c>
      <c r="AD358" s="196">
        <v>90.016000000000005</v>
      </c>
      <c r="AE358" s="197">
        <v>90.016000000000005</v>
      </c>
      <c r="AF358" s="195">
        <v>90.016000000000005</v>
      </c>
      <c r="AG358" s="196">
        <v>90.016000000000005</v>
      </c>
      <c r="AH358" s="197">
        <v>90.016000000000005</v>
      </c>
      <c r="AI358" s="200" t="s">
        <v>75</v>
      </c>
      <c r="AJ358" s="193" t="s">
        <v>1631</v>
      </c>
      <c r="AK358" s="201" t="s">
        <v>1614</v>
      </c>
      <c r="AL358" s="205">
        <v>29</v>
      </c>
      <c r="AM358" s="200">
        <v>0</v>
      </c>
      <c r="AN358" s="204">
        <v>105.27</v>
      </c>
      <c r="AO358" s="203"/>
      <c r="AP358" s="207" t="s">
        <v>76</v>
      </c>
      <c r="AQ358" s="199" t="s">
        <v>1620</v>
      </c>
      <c r="AR358" s="202">
        <v>44896</v>
      </c>
      <c r="AS358" s="205">
        <v>2058</v>
      </c>
      <c r="AT358" s="206"/>
      <c r="AU358" s="201" t="s">
        <v>24</v>
      </c>
      <c r="AV358" s="193" t="s">
        <v>1615</v>
      </c>
      <c r="AW358" s="205">
        <v>1904</v>
      </c>
    </row>
    <row r="359" spans="1:49">
      <c r="A359" s="192" t="s">
        <v>77</v>
      </c>
      <c r="B359" s="194" t="s">
        <v>1555</v>
      </c>
      <c r="C359" s="160" t="s">
        <v>204</v>
      </c>
      <c r="D359" s="193" t="s">
        <v>206</v>
      </c>
      <c r="E359" s="195">
        <v>349.86500000000001</v>
      </c>
      <c r="F359" s="196">
        <v>399.96499999999997</v>
      </c>
      <c r="G359" s="197">
        <v>394.95499999999998</v>
      </c>
      <c r="H359" s="195">
        <v>399.96499999999997</v>
      </c>
      <c r="I359" s="196">
        <v>399.96499999999997</v>
      </c>
      <c r="J359" s="197">
        <v>394.95499999999998</v>
      </c>
      <c r="K359" s="195">
        <v>399.96499999999997</v>
      </c>
      <c r="L359" s="196">
        <v>399.96499999999997</v>
      </c>
      <c r="M359" s="197">
        <v>394.95499999999998</v>
      </c>
      <c r="N359" s="195">
        <v>399.96499999999997</v>
      </c>
      <c r="O359" s="196">
        <v>399.96499999999997</v>
      </c>
      <c r="P359" s="197">
        <v>394.95499999999998</v>
      </c>
      <c r="Q359" s="195">
        <v>399.96499999999997</v>
      </c>
      <c r="R359" s="196">
        <v>399.96499999999997</v>
      </c>
      <c r="S359" s="197">
        <v>394.95499999999998</v>
      </c>
      <c r="T359" s="195">
        <v>399.96499999999997</v>
      </c>
      <c r="U359" s="196">
        <v>399.96499999999997</v>
      </c>
      <c r="V359" s="197">
        <v>394.95499999999998</v>
      </c>
      <c r="W359" s="195">
        <v>399.96499999999997</v>
      </c>
      <c r="X359" s="196">
        <v>399.96499999999997</v>
      </c>
      <c r="Y359" s="197">
        <v>394.95499999999998</v>
      </c>
      <c r="Z359" s="195">
        <v>399.96499999999997</v>
      </c>
      <c r="AA359" s="196">
        <v>399.96499999999997</v>
      </c>
      <c r="AB359" s="197">
        <v>394.95499999999998</v>
      </c>
      <c r="AC359" s="195">
        <v>399.96499999999997</v>
      </c>
      <c r="AD359" s="196">
        <v>399.96499999999997</v>
      </c>
      <c r="AE359" s="197">
        <v>394.95499999999998</v>
      </c>
      <c r="AF359" s="195">
        <v>399.96499999999997</v>
      </c>
      <c r="AG359" s="196">
        <v>399.96499999999997</v>
      </c>
      <c r="AH359" s="197">
        <v>394.95499999999998</v>
      </c>
      <c r="AI359" s="200" t="s">
        <v>205</v>
      </c>
      <c r="AJ359" s="193" t="s">
        <v>1631</v>
      </c>
      <c r="AK359" s="201" t="s">
        <v>1614</v>
      </c>
      <c r="AL359" s="205">
        <v>167</v>
      </c>
      <c r="AM359" s="200">
        <v>3.34</v>
      </c>
      <c r="AN359" s="204">
        <v>399.96499999999997</v>
      </c>
      <c r="AO359" s="203"/>
      <c r="AP359" s="207" t="s">
        <v>401</v>
      </c>
      <c r="AQ359" s="199" t="s">
        <v>1620</v>
      </c>
      <c r="AR359" s="202">
        <v>44927</v>
      </c>
      <c r="AS359" s="205">
        <v>2046</v>
      </c>
      <c r="AT359" s="206"/>
      <c r="AU359" s="201" t="s">
        <v>24</v>
      </c>
      <c r="AV359" s="193" t="s">
        <v>1615</v>
      </c>
      <c r="AW359" s="205">
        <v>2011</v>
      </c>
    </row>
    <row r="360" spans="1:49">
      <c r="A360" s="192" t="s">
        <v>45</v>
      </c>
      <c r="B360" s="194" t="s">
        <v>1555</v>
      </c>
      <c r="C360" s="160" t="s">
        <v>1037</v>
      </c>
      <c r="D360" s="193" t="s">
        <v>3588</v>
      </c>
      <c r="E360" s="195">
        <v>20</v>
      </c>
      <c r="F360" s="196">
        <v>20</v>
      </c>
      <c r="G360" s="197">
        <v>20</v>
      </c>
      <c r="H360" s="195">
        <v>20</v>
      </c>
      <c r="I360" s="196">
        <v>20</v>
      </c>
      <c r="J360" s="197">
        <v>20</v>
      </c>
      <c r="K360" s="195">
        <v>20</v>
      </c>
      <c r="L360" s="196">
        <v>20</v>
      </c>
      <c r="M360" s="197">
        <v>20</v>
      </c>
      <c r="N360" s="195">
        <v>20</v>
      </c>
      <c r="O360" s="196">
        <v>20</v>
      </c>
      <c r="P360" s="197">
        <v>20</v>
      </c>
      <c r="Q360" s="195">
        <v>20</v>
      </c>
      <c r="R360" s="196">
        <v>20</v>
      </c>
      <c r="S360" s="197">
        <v>20</v>
      </c>
      <c r="T360" s="195">
        <v>20</v>
      </c>
      <c r="U360" s="196">
        <v>20</v>
      </c>
      <c r="V360" s="197">
        <v>20</v>
      </c>
      <c r="W360" s="195">
        <v>20</v>
      </c>
      <c r="X360" s="196">
        <v>20</v>
      </c>
      <c r="Y360" s="197">
        <v>20</v>
      </c>
      <c r="Z360" s="195">
        <v>20</v>
      </c>
      <c r="AA360" s="196">
        <v>20</v>
      </c>
      <c r="AB360" s="197">
        <v>20</v>
      </c>
      <c r="AC360" s="195">
        <v>20</v>
      </c>
      <c r="AD360" s="196">
        <v>20</v>
      </c>
      <c r="AE360" s="197">
        <v>20</v>
      </c>
      <c r="AF360" s="195">
        <v>20</v>
      </c>
      <c r="AG360" s="196">
        <v>20</v>
      </c>
      <c r="AH360" s="197">
        <v>20</v>
      </c>
      <c r="AI360" s="200" t="s">
        <v>3587</v>
      </c>
      <c r="AJ360" s="193" t="s">
        <v>1613</v>
      </c>
      <c r="AK360" s="201" t="s">
        <v>1614</v>
      </c>
      <c r="AL360" s="205">
        <v>8</v>
      </c>
      <c r="AM360" s="200">
        <v>20</v>
      </c>
      <c r="AN360" s="204">
        <v>20</v>
      </c>
      <c r="AO360" s="203"/>
      <c r="AP360" s="207" t="s">
        <v>76</v>
      </c>
      <c r="AQ360" s="199" t="s">
        <v>1620</v>
      </c>
      <c r="AR360" s="202"/>
      <c r="AS360" s="205">
        <v>2043</v>
      </c>
      <c r="AT360" s="206"/>
      <c r="AU360" s="201" t="s">
        <v>24</v>
      </c>
      <c r="AV360" s="193" t="s">
        <v>1615</v>
      </c>
      <c r="AW360" s="205">
        <v>1662</v>
      </c>
    </row>
    <row r="361" spans="1:49">
      <c r="A361" s="192" t="s">
        <v>45</v>
      </c>
      <c r="B361" s="194" t="s">
        <v>1555</v>
      </c>
      <c r="C361" s="160" t="s">
        <v>3589</v>
      </c>
      <c r="D361" s="193" t="s">
        <v>3591</v>
      </c>
      <c r="E361" s="195">
        <v>172.48</v>
      </c>
      <c r="F361" s="196">
        <v>172.48</v>
      </c>
      <c r="G361" s="197">
        <v>0</v>
      </c>
      <c r="H361" s="195">
        <v>172.48</v>
      </c>
      <c r="I361" s="196">
        <v>172.48</v>
      </c>
      <c r="J361" s="197">
        <v>0</v>
      </c>
      <c r="K361" s="195">
        <v>172.48</v>
      </c>
      <c r="L361" s="196">
        <v>172.48</v>
      </c>
      <c r="M361" s="197">
        <v>0</v>
      </c>
      <c r="N361" s="195">
        <v>172.48</v>
      </c>
      <c r="O361" s="196">
        <v>172.48</v>
      </c>
      <c r="P361" s="197">
        <v>0</v>
      </c>
      <c r="Q361" s="195">
        <v>172.48</v>
      </c>
      <c r="R361" s="196">
        <v>172.48</v>
      </c>
      <c r="S361" s="197">
        <v>0</v>
      </c>
      <c r="T361" s="195">
        <v>172.48</v>
      </c>
      <c r="U361" s="196">
        <v>172.48</v>
      </c>
      <c r="V361" s="197">
        <v>0</v>
      </c>
      <c r="W361" s="195">
        <v>172.48</v>
      </c>
      <c r="X361" s="196">
        <v>172.48</v>
      </c>
      <c r="Y361" s="197">
        <v>0</v>
      </c>
      <c r="Z361" s="195">
        <v>172.48</v>
      </c>
      <c r="AA361" s="196">
        <v>172.48</v>
      </c>
      <c r="AB361" s="197">
        <v>0</v>
      </c>
      <c r="AC361" s="195">
        <v>172.48</v>
      </c>
      <c r="AD361" s="196">
        <v>172.48</v>
      </c>
      <c r="AE361" s="197">
        <v>0</v>
      </c>
      <c r="AF361" s="195">
        <v>172.48</v>
      </c>
      <c r="AG361" s="196">
        <v>172.48</v>
      </c>
      <c r="AH361" s="197">
        <v>0</v>
      </c>
      <c r="AI361" s="200" t="s">
        <v>3590</v>
      </c>
      <c r="AJ361" s="193" t="s">
        <v>1625</v>
      </c>
      <c r="AK361" s="201" t="s">
        <v>1609</v>
      </c>
      <c r="AL361" s="205">
        <v>70</v>
      </c>
      <c r="AM361" s="200">
        <v>172.48</v>
      </c>
      <c r="AN361" s="204">
        <v>172.48</v>
      </c>
      <c r="AO361" s="203"/>
      <c r="AP361" s="207" t="s">
        <v>76</v>
      </c>
      <c r="AQ361" s="199" t="s">
        <v>1620</v>
      </c>
      <c r="AR361" s="202"/>
      <c r="AS361" s="205">
        <v>2038</v>
      </c>
      <c r="AT361" s="206"/>
      <c r="AU361" s="201" t="s">
        <v>24</v>
      </c>
      <c r="AV361" s="193" t="s">
        <v>16</v>
      </c>
      <c r="AW361" s="205">
        <v>1277</v>
      </c>
    </row>
    <row r="362" spans="1:49">
      <c r="A362" s="192" t="s">
        <v>77</v>
      </c>
      <c r="B362" s="194" t="s">
        <v>1555</v>
      </c>
      <c r="C362" s="160" t="s">
        <v>1113</v>
      </c>
      <c r="D362" s="193" t="s">
        <v>3595</v>
      </c>
      <c r="E362" s="195">
        <v>56.005000000000003</v>
      </c>
      <c r="F362" s="196">
        <v>54.901000000000003</v>
      </c>
      <c r="G362" s="197">
        <v>54.119</v>
      </c>
      <c r="H362" s="195">
        <v>56.005000000000003</v>
      </c>
      <c r="I362" s="196">
        <v>54.901000000000003</v>
      </c>
      <c r="J362" s="197">
        <v>54.119</v>
      </c>
      <c r="K362" s="195">
        <v>56.005000000000003</v>
      </c>
      <c r="L362" s="196">
        <v>54.901000000000003</v>
      </c>
      <c r="M362" s="197">
        <v>54.119</v>
      </c>
      <c r="N362" s="195">
        <v>56.005000000000003</v>
      </c>
      <c r="O362" s="196">
        <v>54.901000000000003</v>
      </c>
      <c r="P362" s="197">
        <v>54.119</v>
      </c>
      <c r="Q362" s="195">
        <v>56.005000000000003</v>
      </c>
      <c r="R362" s="196">
        <v>54.901000000000003</v>
      </c>
      <c r="S362" s="197">
        <v>54.119</v>
      </c>
      <c r="T362" s="195">
        <v>56.005000000000003</v>
      </c>
      <c r="U362" s="196">
        <v>54.901000000000003</v>
      </c>
      <c r="V362" s="197">
        <v>54.119</v>
      </c>
      <c r="W362" s="195">
        <v>56.005000000000003</v>
      </c>
      <c r="X362" s="196">
        <v>54.901000000000003</v>
      </c>
      <c r="Y362" s="197">
        <v>54.119</v>
      </c>
      <c r="Z362" s="195">
        <v>56.005000000000003</v>
      </c>
      <c r="AA362" s="196">
        <v>54.901000000000003</v>
      </c>
      <c r="AB362" s="197">
        <v>54.119</v>
      </c>
      <c r="AC362" s="195">
        <v>56.005000000000003</v>
      </c>
      <c r="AD362" s="196">
        <v>54.901000000000003</v>
      </c>
      <c r="AE362" s="197">
        <v>54.119</v>
      </c>
      <c r="AF362" s="195">
        <v>56.005000000000003</v>
      </c>
      <c r="AG362" s="196">
        <v>54.901000000000003</v>
      </c>
      <c r="AH362" s="197">
        <v>54.119</v>
      </c>
      <c r="AI362" s="200" t="s">
        <v>3594</v>
      </c>
      <c r="AJ362" s="193" t="s">
        <v>1631</v>
      </c>
      <c r="AK362" s="201" t="s">
        <v>1614</v>
      </c>
      <c r="AL362" s="205">
        <v>23</v>
      </c>
      <c r="AM362" s="200"/>
      <c r="AN362" s="204">
        <v>57.5</v>
      </c>
      <c r="AO362" s="203"/>
      <c r="AP362" s="207" t="s">
        <v>76</v>
      </c>
      <c r="AQ362" s="199" t="s">
        <v>1620</v>
      </c>
      <c r="AR362" s="202"/>
      <c r="AS362" s="205">
        <v>2048</v>
      </c>
      <c r="AT362" s="206"/>
      <c r="AU362" s="201" t="s">
        <v>24</v>
      </c>
      <c r="AV362" s="193" t="s">
        <v>1615</v>
      </c>
      <c r="AW362" s="205">
        <v>1407</v>
      </c>
    </row>
    <row r="363" spans="1:49">
      <c r="A363" s="192" t="s">
        <v>91</v>
      </c>
      <c r="B363" s="194" t="s">
        <v>1555</v>
      </c>
      <c r="C363" s="160" t="s">
        <v>767</v>
      </c>
      <c r="D363" s="193" t="s">
        <v>769</v>
      </c>
      <c r="E363" s="195">
        <v>119.36</v>
      </c>
      <c r="F363" s="196">
        <v>119.36</v>
      </c>
      <c r="G363" s="197">
        <v>0</v>
      </c>
      <c r="H363" s="195">
        <v>119.36</v>
      </c>
      <c r="I363" s="196">
        <v>119.36</v>
      </c>
      <c r="J363" s="197">
        <v>0</v>
      </c>
      <c r="K363" s="195">
        <v>119.36</v>
      </c>
      <c r="L363" s="196">
        <v>119.36</v>
      </c>
      <c r="M363" s="197">
        <v>0</v>
      </c>
      <c r="N363" s="195">
        <v>119.36</v>
      </c>
      <c r="O363" s="196">
        <v>119.36</v>
      </c>
      <c r="P363" s="197">
        <v>0</v>
      </c>
      <c r="Q363" s="195">
        <v>119.36</v>
      </c>
      <c r="R363" s="196">
        <v>119.36</v>
      </c>
      <c r="S363" s="197">
        <v>0</v>
      </c>
      <c r="T363" s="195">
        <v>119.36</v>
      </c>
      <c r="U363" s="196">
        <v>119.36</v>
      </c>
      <c r="V363" s="197">
        <v>0</v>
      </c>
      <c r="W363" s="195">
        <v>119.36</v>
      </c>
      <c r="X363" s="196">
        <v>119.36</v>
      </c>
      <c r="Y363" s="197">
        <v>0</v>
      </c>
      <c r="Z363" s="195">
        <v>119.36</v>
      </c>
      <c r="AA363" s="196">
        <v>119.36</v>
      </c>
      <c r="AB363" s="197">
        <v>0</v>
      </c>
      <c r="AC363" s="195">
        <v>119.36</v>
      </c>
      <c r="AD363" s="196">
        <v>119.36</v>
      </c>
      <c r="AE363" s="197">
        <v>0</v>
      </c>
      <c r="AF363" s="195">
        <v>119.36</v>
      </c>
      <c r="AG363" s="196">
        <v>119.36</v>
      </c>
      <c r="AH363" s="197">
        <v>0</v>
      </c>
      <c r="AI363" s="200" t="s">
        <v>768</v>
      </c>
      <c r="AJ363" s="193" t="s">
        <v>1625</v>
      </c>
      <c r="AK363" s="201" t="s">
        <v>1609</v>
      </c>
      <c r="AL363" s="205">
        <v>32</v>
      </c>
      <c r="AM363" s="200"/>
      <c r="AN363" s="204">
        <v>119.36</v>
      </c>
      <c r="AO363" s="203"/>
      <c r="AP363" s="207" t="s">
        <v>76</v>
      </c>
      <c r="AQ363" s="199" t="s">
        <v>1620</v>
      </c>
      <c r="AR363" s="202">
        <v>43739</v>
      </c>
      <c r="AS363" s="205">
        <v>2043</v>
      </c>
      <c r="AT363" s="206"/>
      <c r="AU363" s="201" t="s">
        <v>24</v>
      </c>
      <c r="AV363" s="193" t="s">
        <v>16</v>
      </c>
      <c r="AW363" s="205">
        <v>1231</v>
      </c>
    </row>
    <row r="364" spans="1:49">
      <c r="A364" s="192" t="s">
        <v>110</v>
      </c>
      <c r="B364" s="194" t="s">
        <v>1555</v>
      </c>
      <c r="C364" s="160" t="s">
        <v>451</v>
      </c>
      <c r="D364" s="193" t="s">
        <v>453</v>
      </c>
      <c r="E364" s="195">
        <v>85</v>
      </c>
      <c r="F364" s="196">
        <v>85</v>
      </c>
      <c r="G364" s="197">
        <v>84.99</v>
      </c>
      <c r="H364" s="195">
        <v>85</v>
      </c>
      <c r="I364" s="196">
        <v>85</v>
      </c>
      <c r="J364" s="197">
        <v>84.99</v>
      </c>
      <c r="K364" s="195">
        <v>85</v>
      </c>
      <c r="L364" s="196">
        <v>85</v>
      </c>
      <c r="M364" s="197">
        <v>84.99</v>
      </c>
      <c r="N364" s="195">
        <v>85</v>
      </c>
      <c r="O364" s="196">
        <v>85</v>
      </c>
      <c r="P364" s="197">
        <v>84.99</v>
      </c>
      <c r="Q364" s="195">
        <v>85</v>
      </c>
      <c r="R364" s="196">
        <v>85</v>
      </c>
      <c r="S364" s="197">
        <v>84.99</v>
      </c>
      <c r="T364" s="195">
        <v>85</v>
      </c>
      <c r="U364" s="196">
        <v>85</v>
      </c>
      <c r="V364" s="197">
        <v>84.99</v>
      </c>
      <c r="W364" s="195">
        <v>85</v>
      </c>
      <c r="X364" s="196">
        <v>85</v>
      </c>
      <c r="Y364" s="197">
        <v>84.99</v>
      </c>
      <c r="Z364" s="195">
        <v>85</v>
      </c>
      <c r="AA364" s="196">
        <v>85</v>
      </c>
      <c r="AB364" s="197">
        <v>84.99</v>
      </c>
      <c r="AC364" s="195">
        <v>85</v>
      </c>
      <c r="AD364" s="196">
        <v>85</v>
      </c>
      <c r="AE364" s="197">
        <v>84.99</v>
      </c>
      <c r="AF364" s="195">
        <v>85</v>
      </c>
      <c r="AG364" s="196">
        <v>85</v>
      </c>
      <c r="AH364" s="197">
        <v>84.99</v>
      </c>
      <c r="AI364" s="200" t="s">
        <v>452</v>
      </c>
      <c r="AJ364" s="193" t="s">
        <v>1631</v>
      </c>
      <c r="AK364" s="201" t="s">
        <v>1614</v>
      </c>
      <c r="AL364" s="205">
        <v>1</v>
      </c>
      <c r="AM364" s="200"/>
      <c r="AN364" s="204">
        <v>85</v>
      </c>
      <c r="AO364" s="203"/>
      <c r="AP364" s="207" t="s">
        <v>76</v>
      </c>
      <c r="AQ364" s="199" t="s">
        <v>1620</v>
      </c>
      <c r="AR364" s="202"/>
      <c r="AS364" s="205">
        <v>2051</v>
      </c>
      <c r="AT364" s="206"/>
      <c r="AU364" s="201" t="s">
        <v>24</v>
      </c>
      <c r="AV364" s="193" t="s">
        <v>1615</v>
      </c>
      <c r="AW364" s="205">
        <v>1674</v>
      </c>
    </row>
    <row r="365" spans="1:49">
      <c r="A365" s="192" t="s">
        <v>77</v>
      </c>
      <c r="B365" s="194" t="s">
        <v>1555</v>
      </c>
      <c r="C365" s="160" t="s">
        <v>3628</v>
      </c>
      <c r="D365" s="193" t="s">
        <v>3629</v>
      </c>
      <c r="E365" s="195">
        <v>285</v>
      </c>
      <c r="F365" s="196">
        <v>285</v>
      </c>
      <c r="G365" s="197">
        <v>285</v>
      </c>
      <c r="H365" s="195">
        <v>285</v>
      </c>
      <c r="I365" s="196">
        <v>285</v>
      </c>
      <c r="J365" s="197">
        <v>285</v>
      </c>
      <c r="K365" s="195">
        <v>285</v>
      </c>
      <c r="L365" s="196">
        <v>285</v>
      </c>
      <c r="M365" s="197">
        <v>285</v>
      </c>
      <c r="N365" s="195">
        <v>285</v>
      </c>
      <c r="O365" s="196">
        <v>285</v>
      </c>
      <c r="P365" s="197">
        <v>285</v>
      </c>
      <c r="Q365" s="195">
        <v>285</v>
      </c>
      <c r="R365" s="196">
        <v>285</v>
      </c>
      <c r="S365" s="197">
        <v>285</v>
      </c>
      <c r="T365" s="195">
        <v>285</v>
      </c>
      <c r="U365" s="196">
        <v>285</v>
      </c>
      <c r="V365" s="197">
        <v>285</v>
      </c>
      <c r="W365" s="195">
        <v>285</v>
      </c>
      <c r="X365" s="196">
        <v>285</v>
      </c>
      <c r="Y365" s="197">
        <v>285</v>
      </c>
      <c r="Z365" s="195">
        <v>285</v>
      </c>
      <c r="AA365" s="196">
        <v>285</v>
      </c>
      <c r="AB365" s="197">
        <v>285</v>
      </c>
      <c r="AC365" s="195">
        <v>285</v>
      </c>
      <c r="AD365" s="196">
        <v>285</v>
      </c>
      <c r="AE365" s="197">
        <v>285</v>
      </c>
      <c r="AF365" s="195">
        <v>285</v>
      </c>
      <c r="AG365" s="196">
        <v>285</v>
      </c>
      <c r="AH365" s="197">
        <v>285</v>
      </c>
      <c r="AI365" s="200" t="s">
        <v>1715</v>
      </c>
      <c r="AJ365" s="193" t="s">
        <v>1657</v>
      </c>
      <c r="AK365" s="201" t="s">
        <v>1658</v>
      </c>
      <c r="AL365" s="205">
        <v>1</v>
      </c>
      <c r="AM365" s="200"/>
      <c r="AN365" s="204">
        <v>285</v>
      </c>
      <c r="AO365" s="203">
        <v>2500</v>
      </c>
      <c r="AP365" s="207" t="s">
        <v>76</v>
      </c>
      <c r="AQ365" s="199" t="s">
        <v>1619</v>
      </c>
      <c r="AR365" s="202"/>
      <c r="AS365" s="205">
        <v>2084</v>
      </c>
      <c r="AT365" s="206"/>
      <c r="AU365" s="201" t="s">
        <v>24</v>
      </c>
      <c r="AV365" s="193" t="s">
        <v>17</v>
      </c>
      <c r="AW365" s="205">
        <v>1235</v>
      </c>
    </row>
    <row r="366" spans="1:49">
      <c r="A366" s="192" t="s">
        <v>77</v>
      </c>
      <c r="B366" s="194" t="s">
        <v>1555</v>
      </c>
      <c r="C366" s="160" t="s">
        <v>3628</v>
      </c>
      <c r="D366" s="193" t="s">
        <v>3630</v>
      </c>
      <c r="E366" s="195">
        <v>285</v>
      </c>
      <c r="F366" s="196">
        <v>285</v>
      </c>
      <c r="G366" s="197">
        <v>285</v>
      </c>
      <c r="H366" s="195">
        <v>285</v>
      </c>
      <c r="I366" s="196">
        <v>285</v>
      </c>
      <c r="J366" s="197">
        <v>285</v>
      </c>
      <c r="K366" s="195">
        <v>285</v>
      </c>
      <c r="L366" s="196">
        <v>285</v>
      </c>
      <c r="M366" s="197">
        <v>285</v>
      </c>
      <c r="N366" s="195">
        <v>285</v>
      </c>
      <c r="O366" s="196">
        <v>285</v>
      </c>
      <c r="P366" s="197">
        <v>285</v>
      </c>
      <c r="Q366" s="195">
        <v>285</v>
      </c>
      <c r="R366" s="196">
        <v>285</v>
      </c>
      <c r="S366" s="197">
        <v>285</v>
      </c>
      <c r="T366" s="195">
        <v>285</v>
      </c>
      <c r="U366" s="196">
        <v>285</v>
      </c>
      <c r="V366" s="197">
        <v>285</v>
      </c>
      <c r="W366" s="195">
        <v>285</v>
      </c>
      <c r="X366" s="196">
        <v>285</v>
      </c>
      <c r="Y366" s="197">
        <v>285</v>
      </c>
      <c r="Z366" s="195">
        <v>285</v>
      </c>
      <c r="AA366" s="196">
        <v>285</v>
      </c>
      <c r="AB366" s="197">
        <v>285</v>
      </c>
      <c r="AC366" s="195">
        <v>285</v>
      </c>
      <c r="AD366" s="196">
        <v>285</v>
      </c>
      <c r="AE366" s="197">
        <v>285</v>
      </c>
      <c r="AF366" s="195">
        <v>285</v>
      </c>
      <c r="AG366" s="196">
        <v>285</v>
      </c>
      <c r="AH366" s="197">
        <v>285</v>
      </c>
      <c r="AI366" s="200" t="s">
        <v>1715</v>
      </c>
      <c r="AJ366" s="193" t="s">
        <v>1657</v>
      </c>
      <c r="AK366" s="201" t="s">
        <v>1658</v>
      </c>
      <c r="AL366" s="205">
        <v>1</v>
      </c>
      <c r="AM366" s="200"/>
      <c r="AN366" s="204">
        <v>285</v>
      </c>
      <c r="AO366" s="203">
        <v>2500</v>
      </c>
      <c r="AP366" s="207" t="s">
        <v>76</v>
      </c>
      <c r="AQ366" s="199" t="s">
        <v>1619</v>
      </c>
      <c r="AR366" s="202"/>
      <c r="AS366" s="205">
        <v>2084</v>
      </c>
      <c r="AT366" s="206"/>
      <c r="AU366" s="201" t="s">
        <v>24</v>
      </c>
      <c r="AV366" s="193" t="s">
        <v>17</v>
      </c>
      <c r="AW366" s="205">
        <v>1235</v>
      </c>
    </row>
    <row r="367" spans="1:49">
      <c r="A367" s="192" t="s">
        <v>45</v>
      </c>
      <c r="B367" s="194" t="s">
        <v>1599</v>
      </c>
      <c r="C367" s="160" t="s">
        <v>182</v>
      </c>
      <c r="D367" s="193" t="s">
        <v>3633</v>
      </c>
      <c r="E367" s="195">
        <v>0</v>
      </c>
      <c r="F367" s="196">
        <v>140</v>
      </c>
      <c r="G367" s="197">
        <v>140</v>
      </c>
      <c r="H367" s="195">
        <v>280</v>
      </c>
      <c r="I367" s="196">
        <v>280</v>
      </c>
      <c r="J367" s="197">
        <v>280</v>
      </c>
      <c r="K367" s="195">
        <v>280</v>
      </c>
      <c r="L367" s="196">
        <v>280</v>
      </c>
      <c r="M367" s="197">
        <v>280</v>
      </c>
      <c r="N367" s="195">
        <v>280</v>
      </c>
      <c r="O367" s="196">
        <v>280</v>
      </c>
      <c r="P367" s="197">
        <v>280</v>
      </c>
      <c r="Q367" s="195">
        <v>280</v>
      </c>
      <c r="R367" s="196">
        <v>280</v>
      </c>
      <c r="S367" s="197">
        <v>280</v>
      </c>
      <c r="T367" s="195">
        <v>280</v>
      </c>
      <c r="U367" s="196">
        <v>280</v>
      </c>
      <c r="V367" s="197">
        <v>280</v>
      </c>
      <c r="W367" s="195">
        <v>280</v>
      </c>
      <c r="X367" s="196">
        <v>280</v>
      </c>
      <c r="Y367" s="197">
        <v>280</v>
      </c>
      <c r="Z367" s="195">
        <v>280</v>
      </c>
      <c r="AA367" s="196">
        <v>280</v>
      </c>
      <c r="AB367" s="197">
        <v>280</v>
      </c>
      <c r="AC367" s="195">
        <v>280</v>
      </c>
      <c r="AD367" s="196">
        <v>280</v>
      </c>
      <c r="AE367" s="197">
        <v>280</v>
      </c>
      <c r="AF367" s="195">
        <v>280</v>
      </c>
      <c r="AG367" s="196">
        <v>280</v>
      </c>
      <c r="AH367" s="197">
        <v>280</v>
      </c>
      <c r="AI367" s="200" t="s">
        <v>183</v>
      </c>
      <c r="AJ367" s="193" t="s">
        <v>1631</v>
      </c>
      <c r="AK367" s="201" t="s">
        <v>1614</v>
      </c>
      <c r="AL367" s="205">
        <v>1</v>
      </c>
      <c r="AM367" s="200">
        <v>0</v>
      </c>
      <c r="AN367" s="204">
        <v>280</v>
      </c>
      <c r="AO367" s="203"/>
      <c r="AP367" s="207" t="s">
        <v>26</v>
      </c>
      <c r="AQ367" s="199" t="s">
        <v>1620</v>
      </c>
      <c r="AR367" s="202">
        <v>45444</v>
      </c>
      <c r="AS367" s="205">
        <v>2054</v>
      </c>
      <c r="AT367" s="206"/>
      <c r="AU367" s="201" t="s">
        <v>26</v>
      </c>
      <c r="AV367" s="193" t="s">
        <v>1615</v>
      </c>
      <c r="AW367" s="205">
        <v>1716</v>
      </c>
    </row>
    <row r="368" spans="1:49">
      <c r="A368" s="192" t="s">
        <v>45</v>
      </c>
      <c r="B368" s="194" t="s">
        <v>1555</v>
      </c>
      <c r="C368" s="160" t="s">
        <v>3646</v>
      </c>
      <c r="D368" s="193" t="s">
        <v>3648</v>
      </c>
      <c r="E368" s="195">
        <v>48.3</v>
      </c>
      <c r="F368" s="196">
        <v>48.3</v>
      </c>
      <c r="G368" s="197">
        <v>48.3</v>
      </c>
      <c r="H368" s="195">
        <v>48.3</v>
      </c>
      <c r="I368" s="196">
        <v>48.3</v>
      </c>
      <c r="J368" s="197">
        <v>48.3</v>
      </c>
      <c r="K368" s="195">
        <v>48.3</v>
      </c>
      <c r="L368" s="196">
        <v>48.3</v>
      </c>
      <c r="M368" s="197">
        <v>48.3</v>
      </c>
      <c r="N368" s="195">
        <v>48.3</v>
      </c>
      <c r="O368" s="196">
        <v>48.3</v>
      </c>
      <c r="P368" s="197">
        <v>48.3</v>
      </c>
      <c r="Q368" s="195">
        <v>48.3</v>
      </c>
      <c r="R368" s="196">
        <v>48.3</v>
      </c>
      <c r="S368" s="197">
        <v>48.3</v>
      </c>
      <c r="T368" s="195">
        <v>48.3</v>
      </c>
      <c r="U368" s="196">
        <v>48.3</v>
      </c>
      <c r="V368" s="197">
        <v>48.3</v>
      </c>
      <c r="W368" s="195">
        <v>48.3</v>
      </c>
      <c r="X368" s="196">
        <v>48.3</v>
      </c>
      <c r="Y368" s="197">
        <v>48.3</v>
      </c>
      <c r="Z368" s="195">
        <v>48.3</v>
      </c>
      <c r="AA368" s="196">
        <v>48.3</v>
      </c>
      <c r="AB368" s="197">
        <v>48.3</v>
      </c>
      <c r="AC368" s="195">
        <v>48.3</v>
      </c>
      <c r="AD368" s="196">
        <v>48.3</v>
      </c>
      <c r="AE368" s="197">
        <v>48.3</v>
      </c>
      <c r="AF368" s="195">
        <v>48.3</v>
      </c>
      <c r="AG368" s="196">
        <v>48.3</v>
      </c>
      <c r="AH368" s="197">
        <v>48.3</v>
      </c>
      <c r="AI368" s="200" t="s">
        <v>3647</v>
      </c>
      <c r="AJ368" s="193" t="s">
        <v>1625</v>
      </c>
      <c r="AK368" s="201" t="s">
        <v>1609</v>
      </c>
      <c r="AL368" s="205">
        <v>23</v>
      </c>
      <c r="AM368" s="200">
        <v>48.3</v>
      </c>
      <c r="AN368" s="204">
        <v>48.3</v>
      </c>
      <c r="AO368" s="203"/>
      <c r="AP368" s="207" t="s">
        <v>76</v>
      </c>
      <c r="AQ368" s="199" t="s">
        <v>1620</v>
      </c>
      <c r="AR368" s="202"/>
      <c r="AS368" s="205">
        <v>2041</v>
      </c>
      <c r="AT368" s="206"/>
      <c r="AU368" s="201" t="s">
        <v>24</v>
      </c>
      <c r="AV368" s="193" t="s">
        <v>16</v>
      </c>
      <c r="AW368" s="205">
        <v>1240</v>
      </c>
    </row>
    <row r="369" spans="1:52">
      <c r="A369" s="192" t="s">
        <v>77</v>
      </c>
      <c r="B369" s="194" t="s">
        <v>1599</v>
      </c>
      <c r="C369" s="160" t="s">
        <v>585</v>
      </c>
      <c r="D369" s="193" t="s">
        <v>3653</v>
      </c>
      <c r="E369" s="195">
        <v>175.953</v>
      </c>
      <c r="F369" s="196">
        <v>175.953</v>
      </c>
      <c r="G369" s="197">
        <v>157.53</v>
      </c>
      <c r="H369" s="195">
        <v>175.953</v>
      </c>
      <c r="I369" s="196">
        <v>175.953</v>
      </c>
      <c r="J369" s="197">
        <v>157.53</v>
      </c>
      <c r="K369" s="195">
        <v>175.953</v>
      </c>
      <c r="L369" s="196">
        <v>175.953</v>
      </c>
      <c r="M369" s="197">
        <v>157.53</v>
      </c>
      <c r="N369" s="195">
        <v>175.953</v>
      </c>
      <c r="O369" s="196">
        <v>175.953</v>
      </c>
      <c r="P369" s="197">
        <v>157.53</v>
      </c>
      <c r="Q369" s="195">
        <v>175.953</v>
      </c>
      <c r="R369" s="196">
        <v>175.953</v>
      </c>
      <c r="S369" s="197">
        <v>157.53</v>
      </c>
      <c r="T369" s="195">
        <v>175.953</v>
      </c>
      <c r="U369" s="196">
        <v>175.953</v>
      </c>
      <c r="V369" s="197">
        <v>157.53</v>
      </c>
      <c r="W369" s="195">
        <v>175.953</v>
      </c>
      <c r="X369" s="196">
        <v>175.953</v>
      </c>
      <c r="Y369" s="197">
        <v>157.53</v>
      </c>
      <c r="Z369" s="195">
        <v>175.953</v>
      </c>
      <c r="AA369" s="196">
        <v>175.953</v>
      </c>
      <c r="AB369" s="197">
        <v>157.53</v>
      </c>
      <c r="AC369" s="195">
        <v>175.953</v>
      </c>
      <c r="AD369" s="196">
        <v>175.953</v>
      </c>
      <c r="AE369" s="197">
        <v>157.53</v>
      </c>
      <c r="AF369" s="195"/>
      <c r="AG369" s="196"/>
      <c r="AH369" s="197"/>
      <c r="AI369" s="200" t="s">
        <v>586</v>
      </c>
      <c r="AJ369" s="193" t="s">
        <v>1631</v>
      </c>
      <c r="AK369" s="201" t="s">
        <v>1614</v>
      </c>
      <c r="AL369" s="205">
        <v>89</v>
      </c>
      <c r="AM369" s="200">
        <v>0</v>
      </c>
      <c r="AN369" s="204">
        <v>222.5</v>
      </c>
      <c r="AO369" s="203"/>
      <c r="AP369" s="207" t="s">
        <v>26</v>
      </c>
      <c r="AQ369" s="199" t="s">
        <v>1620</v>
      </c>
      <c r="AR369" s="202">
        <v>44805</v>
      </c>
      <c r="AS369" s="205"/>
      <c r="AT369" s="206"/>
      <c r="AU369" s="201" t="s">
        <v>26</v>
      </c>
      <c r="AV369" s="193" t="s">
        <v>1615</v>
      </c>
      <c r="AW369" s="205">
        <v>1672</v>
      </c>
    </row>
    <row r="370" spans="1:52">
      <c r="A370" s="192" t="s">
        <v>110</v>
      </c>
      <c r="B370" s="194" t="s">
        <v>1599</v>
      </c>
      <c r="C370" s="160" t="s">
        <v>133</v>
      </c>
      <c r="D370" s="193" t="s">
        <v>3658</v>
      </c>
      <c r="E370" s="195">
        <v>0</v>
      </c>
      <c r="F370" s="196">
        <v>0</v>
      </c>
      <c r="G370" s="197">
        <v>0</v>
      </c>
      <c r="H370" s="195">
        <v>0</v>
      </c>
      <c r="I370" s="196">
        <v>75.004000000000005</v>
      </c>
      <c r="J370" s="197">
        <v>75.004000000000005</v>
      </c>
      <c r="K370" s="195">
        <v>75.004000000000005</v>
      </c>
      <c r="L370" s="196">
        <v>75.004000000000005</v>
      </c>
      <c r="M370" s="197">
        <v>75.004000000000005</v>
      </c>
      <c r="N370" s="195">
        <v>75.004000000000005</v>
      </c>
      <c r="O370" s="196">
        <v>75.004000000000005</v>
      </c>
      <c r="P370" s="197">
        <v>75.004000000000005</v>
      </c>
      <c r="Q370" s="195">
        <v>75.004000000000005</v>
      </c>
      <c r="R370" s="196">
        <v>75.004000000000005</v>
      </c>
      <c r="S370" s="197">
        <v>75.004000000000005</v>
      </c>
      <c r="T370" s="195">
        <v>75.004000000000005</v>
      </c>
      <c r="U370" s="196">
        <v>75.004000000000005</v>
      </c>
      <c r="V370" s="197">
        <v>75.004000000000005</v>
      </c>
      <c r="W370" s="195">
        <v>75.004000000000005</v>
      </c>
      <c r="X370" s="196">
        <v>75.004000000000005</v>
      </c>
      <c r="Y370" s="197">
        <v>75.004000000000005</v>
      </c>
      <c r="Z370" s="195">
        <v>75.004000000000005</v>
      </c>
      <c r="AA370" s="196">
        <v>75.004000000000005</v>
      </c>
      <c r="AB370" s="197">
        <v>75.004000000000005</v>
      </c>
      <c r="AC370" s="195">
        <v>75.004000000000005</v>
      </c>
      <c r="AD370" s="196">
        <v>75.004000000000005</v>
      </c>
      <c r="AE370" s="197">
        <v>75.004000000000005</v>
      </c>
      <c r="AF370" s="195">
        <v>75.004000000000005</v>
      </c>
      <c r="AG370" s="196">
        <v>75.004000000000005</v>
      </c>
      <c r="AH370" s="197">
        <v>75.004000000000005</v>
      </c>
      <c r="AI370" s="200" t="s">
        <v>3657</v>
      </c>
      <c r="AJ370" s="193" t="s">
        <v>1631</v>
      </c>
      <c r="AK370" s="201" t="s">
        <v>1614</v>
      </c>
      <c r="AL370" s="205">
        <v>34</v>
      </c>
      <c r="AM370" s="200">
        <v>0</v>
      </c>
      <c r="AN370" s="204">
        <v>93.5</v>
      </c>
      <c r="AO370" s="203"/>
      <c r="AP370" s="207" t="s">
        <v>26</v>
      </c>
      <c r="AQ370" s="199" t="s">
        <v>1620</v>
      </c>
      <c r="AR370" s="202">
        <v>45505</v>
      </c>
      <c r="AS370" s="205"/>
      <c r="AT370" s="206"/>
      <c r="AU370" s="201" t="s">
        <v>26</v>
      </c>
      <c r="AV370" s="193" t="s">
        <v>1615</v>
      </c>
      <c r="AW370" s="205">
        <v>1929</v>
      </c>
    </row>
    <row r="371" spans="1:52">
      <c r="A371" s="192" t="s">
        <v>45</v>
      </c>
      <c r="B371" s="194" t="s">
        <v>1599</v>
      </c>
      <c r="C371" s="160" t="s">
        <v>503</v>
      </c>
      <c r="D371" s="193" t="s">
        <v>3660</v>
      </c>
      <c r="E371" s="195">
        <v>53.01</v>
      </c>
      <c r="F371" s="196">
        <v>53.01</v>
      </c>
      <c r="G371" s="197">
        <v>53.01</v>
      </c>
      <c r="H371" s="195">
        <v>53.01</v>
      </c>
      <c r="I371" s="196">
        <v>53.01</v>
      </c>
      <c r="J371" s="197">
        <v>53.01</v>
      </c>
      <c r="K371" s="195">
        <v>53.01</v>
      </c>
      <c r="L371" s="196">
        <v>53.01</v>
      </c>
      <c r="M371" s="197">
        <v>53.01</v>
      </c>
      <c r="N371" s="195">
        <v>53.01</v>
      </c>
      <c r="O371" s="196">
        <v>53.01</v>
      </c>
      <c r="P371" s="197">
        <v>53.01</v>
      </c>
      <c r="Q371" s="195">
        <v>53.01</v>
      </c>
      <c r="R371" s="196">
        <v>53.01</v>
      </c>
      <c r="S371" s="197">
        <v>53.01</v>
      </c>
      <c r="T371" s="195">
        <v>53.01</v>
      </c>
      <c r="U371" s="196">
        <v>53.01</v>
      </c>
      <c r="V371" s="197">
        <v>53.01</v>
      </c>
      <c r="W371" s="195">
        <v>53.01</v>
      </c>
      <c r="X371" s="196">
        <v>53.01</v>
      </c>
      <c r="Y371" s="197">
        <v>53.01</v>
      </c>
      <c r="Z371" s="195">
        <v>53.01</v>
      </c>
      <c r="AA371" s="196">
        <v>53.01</v>
      </c>
      <c r="AB371" s="197">
        <v>53.01</v>
      </c>
      <c r="AC371" s="195">
        <v>53.01</v>
      </c>
      <c r="AD371" s="196">
        <v>53.01</v>
      </c>
      <c r="AE371" s="197">
        <v>53.01</v>
      </c>
      <c r="AF371" s="195">
        <v>53.01</v>
      </c>
      <c r="AG371" s="196">
        <v>53.01</v>
      </c>
      <c r="AH371" s="197">
        <v>53.01</v>
      </c>
      <c r="AI371" s="200" t="s">
        <v>3659</v>
      </c>
      <c r="AJ371" s="193" t="s">
        <v>1631</v>
      </c>
      <c r="AK371" s="201" t="s">
        <v>1614</v>
      </c>
      <c r="AL371" s="205">
        <v>38</v>
      </c>
      <c r="AM371" s="200"/>
      <c r="AN371" s="204">
        <v>62.32</v>
      </c>
      <c r="AO371" s="203"/>
      <c r="AP371" s="207" t="s">
        <v>26</v>
      </c>
      <c r="AQ371" s="199" t="s">
        <v>1620</v>
      </c>
      <c r="AR371" s="202">
        <v>45108</v>
      </c>
      <c r="AS371" s="205">
        <v>2053</v>
      </c>
      <c r="AT371" s="206"/>
      <c r="AU371" s="201" t="s">
        <v>26</v>
      </c>
      <c r="AV371" s="193" t="s">
        <v>1615</v>
      </c>
      <c r="AW371" s="205">
        <v>1865</v>
      </c>
    </row>
    <row r="372" spans="1:52">
      <c r="A372" s="192" t="s">
        <v>110</v>
      </c>
      <c r="B372" s="194" t="s">
        <v>1555</v>
      </c>
      <c r="C372" s="160" t="s">
        <v>3677</v>
      </c>
      <c r="D372" s="193" t="s">
        <v>3679</v>
      </c>
      <c r="E372" s="195">
        <v>365</v>
      </c>
      <c r="F372" s="196">
        <v>360</v>
      </c>
      <c r="G372" s="197">
        <v>335</v>
      </c>
      <c r="H372" s="195">
        <v>380</v>
      </c>
      <c r="I372" s="196">
        <v>360</v>
      </c>
      <c r="J372" s="197">
        <v>350</v>
      </c>
      <c r="K372" s="195">
        <v>380</v>
      </c>
      <c r="L372" s="196">
        <v>360</v>
      </c>
      <c r="M372" s="197">
        <v>350</v>
      </c>
      <c r="N372" s="195">
        <v>380</v>
      </c>
      <c r="O372" s="196">
        <v>360</v>
      </c>
      <c r="P372" s="197">
        <v>350</v>
      </c>
      <c r="Q372" s="195">
        <v>380</v>
      </c>
      <c r="R372" s="196">
        <v>360</v>
      </c>
      <c r="S372" s="197">
        <v>350</v>
      </c>
      <c r="T372" s="195">
        <v>380</v>
      </c>
      <c r="U372" s="196">
        <v>0</v>
      </c>
      <c r="V372" s="197">
        <v>0</v>
      </c>
      <c r="W372" s="195">
        <v>0</v>
      </c>
      <c r="X372" s="196">
        <v>0</v>
      </c>
      <c r="Y372" s="197">
        <v>0</v>
      </c>
      <c r="Z372" s="195">
        <v>0</v>
      </c>
      <c r="AA372" s="196">
        <v>0</v>
      </c>
      <c r="AB372" s="197">
        <v>0</v>
      </c>
      <c r="AC372" s="195">
        <v>0</v>
      </c>
      <c r="AD372" s="196">
        <v>0</v>
      </c>
      <c r="AE372" s="197">
        <v>0</v>
      </c>
      <c r="AF372" s="195">
        <v>0</v>
      </c>
      <c r="AG372" s="196">
        <v>0</v>
      </c>
      <c r="AH372" s="197">
        <v>0</v>
      </c>
      <c r="AI372" s="200" t="s">
        <v>3678</v>
      </c>
      <c r="AJ372" s="193" t="s">
        <v>1739</v>
      </c>
      <c r="AK372" s="201" t="s">
        <v>2692</v>
      </c>
      <c r="AL372" s="205">
        <v>1</v>
      </c>
      <c r="AM372" s="200"/>
      <c r="AN372" s="204">
        <v>350</v>
      </c>
      <c r="AO372" s="203"/>
      <c r="AP372" s="207" t="s">
        <v>76</v>
      </c>
      <c r="AQ372" s="199" t="s">
        <v>1619</v>
      </c>
      <c r="AR372" s="202"/>
      <c r="AS372" s="205">
        <v>2028</v>
      </c>
      <c r="AT372" s="206"/>
      <c r="AU372" s="201" t="s">
        <v>24</v>
      </c>
      <c r="AV372" s="193" t="s">
        <v>11</v>
      </c>
      <c r="AW372" s="205">
        <v>1247</v>
      </c>
    </row>
    <row r="373" spans="1:52">
      <c r="A373" s="192" t="s">
        <v>110</v>
      </c>
      <c r="B373" s="194" t="s">
        <v>1555</v>
      </c>
      <c r="C373" s="160" t="s">
        <v>3677</v>
      </c>
      <c r="D373" s="193" t="s">
        <v>3680</v>
      </c>
      <c r="E373" s="195">
        <v>360</v>
      </c>
      <c r="F373" s="196">
        <v>350</v>
      </c>
      <c r="G373" s="197">
        <v>330</v>
      </c>
      <c r="H373" s="195">
        <v>360</v>
      </c>
      <c r="I373" s="196">
        <v>350</v>
      </c>
      <c r="J373" s="197">
        <v>330</v>
      </c>
      <c r="K373" s="195">
        <v>360</v>
      </c>
      <c r="L373" s="196">
        <v>350</v>
      </c>
      <c r="M373" s="197">
        <v>330</v>
      </c>
      <c r="N373" s="195">
        <v>360</v>
      </c>
      <c r="O373" s="196">
        <v>350</v>
      </c>
      <c r="P373" s="197">
        <v>330</v>
      </c>
      <c r="Q373" s="195">
        <v>360</v>
      </c>
      <c r="R373" s="196">
        <v>350</v>
      </c>
      <c r="S373" s="197">
        <v>330</v>
      </c>
      <c r="T373" s="195">
        <v>360</v>
      </c>
      <c r="U373" s="196">
        <v>0</v>
      </c>
      <c r="V373" s="197">
        <v>0</v>
      </c>
      <c r="W373" s="195">
        <v>0</v>
      </c>
      <c r="X373" s="196">
        <v>0</v>
      </c>
      <c r="Y373" s="197">
        <v>0</v>
      </c>
      <c r="Z373" s="195">
        <v>0</v>
      </c>
      <c r="AA373" s="196">
        <v>0</v>
      </c>
      <c r="AB373" s="197">
        <v>0</v>
      </c>
      <c r="AC373" s="195">
        <v>0</v>
      </c>
      <c r="AD373" s="196">
        <v>0</v>
      </c>
      <c r="AE373" s="197">
        <v>0</v>
      </c>
      <c r="AF373" s="195">
        <v>0</v>
      </c>
      <c r="AG373" s="196">
        <v>0</v>
      </c>
      <c r="AH373" s="197">
        <v>0</v>
      </c>
      <c r="AI373" s="200" t="s">
        <v>3678</v>
      </c>
      <c r="AJ373" s="193" t="s">
        <v>1739</v>
      </c>
      <c r="AK373" s="201" t="s">
        <v>2692</v>
      </c>
      <c r="AL373" s="205">
        <v>1</v>
      </c>
      <c r="AM373" s="200"/>
      <c r="AN373" s="204">
        <v>350</v>
      </c>
      <c r="AO373" s="203"/>
      <c r="AP373" s="207" t="s">
        <v>76</v>
      </c>
      <c r="AQ373" s="199" t="s">
        <v>1619</v>
      </c>
      <c r="AR373" s="202"/>
      <c r="AS373" s="205">
        <v>2028</v>
      </c>
      <c r="AT373" s="206"/>
      <c r="AU373" s="201" t="s">
        <v>24</v>
      </c>
      <c r="AV373" s="193" t="s">
        <v>11</v>
      </c>
      <c r="AW373" s="205">
        <v>1247</v>
      </c>
    </row>
    <row r="374" spans="1:52">
      <c r="A374" s="192" t="s">
        <v>110</v>
      </c>
      <c r="B374" s="194" t="s">
        <v>1555</v>
      </c>
      <c r="C374" s="160" t="s">
        <v>3677</v>
      </c>
      <c r="D374" s="193" t="s">
        <v>3681</v>
      </c>
      <c r="E374" s="195">
        <v>395</v>
      </c>
      <c r="F374" s="196">
        <v>370</v>
      </c>
      <c r="G374" s="197">
        <v>360</v>
      </c>
      <c r="H374" s="195">
        <v>395</v>
      </c>
      <c r="I374" s="196">
        <v>370</v>
      </c>
      <c r="J374" s="197">
        <v>360</v>
      </c>
      <c r="K374" s="195">
        <v>395</v>
      </c>
      <c r="L374" s="196">
        <v>370</v>
      </c>
      <c r="M374" s="197">
        <v>360</v>
      </c>
      <c r="N374" s="195">
        <v>395</v>
      </c>
      <c r="O374" s="196">
        <v>370</v>
      </c>
      <c r="P374" s="197">
        <v>360</v>
      </c>
      <c r="Q374" s="195">
        <v>395</v>
      </c>
      <c r="R374" s="196">
        <v>370</v>
      </c>
      <c r="S374" s="197">
        <v>360</v>
      </c>
      <c r="T374" s="195">
        <v>395</v>
      </c>
      <c r="U374" s="196">
        <v>0</v>
      </c>
      <c r="V374" s="197">
        <v>0</v>
      </c>
      <c r="W374" s="195">
        <v>0</v>
      </c>
      <c r="X374" s="196">
        <v>0</v>
      </c>
      <c r="Y374" s="197">
        <v>0</v>
      </c>
      <c r="Z374" s="195">
        <v>0</v>
      </c>
      <c r="AA374" s="196">
        <v>0</v>
      </c>
      <c r="AB374" s="197">
        <v>0</v>
      </c>
      <c r="AC374" s="195">
        <v>0</v>
      </c>
      <c r="AD374" s="196">
        <v>0</v>
      </c>
      <c r="AE374" s="197">
        <v>0</v>
      </c>
      <c r="AF374" s="195">
        <v>0</v>
      </c>
      <c r="AG374" s="196">
        <v>0</v>
      </c>
      <c r="AH374" s="197">
        <v>0</v>
      </c>
      <c r="AI374" s="200" t="s">
        <v>3678</v>
      </c>
      <c r="AJ374" s="193" t="s">
        <v>1739</v>
      </c>
      <c r="AK374" s="201" t="s">
        <v>2692</v>
      </c>
      <c r="AL374" s="205">
        <v>1</v>
      </c>
      <c r="AM374" s="200"/>
      <c r="AN374" s="204">
        <v>375</v>
      </c>
      <c r="AO374" s="203"/>
      <c r="AP374" s="207" t="s">
        <v>76</v>
      </c>
      <c r="AQ374" s="199" t="s">
        <v>1619</v>
      </c>
      <c r="AR374" s="202"/>
      <c r="AS374" s="205">
        <v>2028</v>
      </c>
      <c r="AT374" s="206"/>
      <c r="AU374" s="201" t="s">
        <v>24</v>
      </c>
      <c r="AV374" s="193" t="s">
        <v>11</v>
      </c>
      <c r="AW374" s="205">
        <v>1247</v>
      </c>
    </row>
    <row r="375" spans="1:52">
      <c r="A375" s="192" t="s">
        <v>110</v>
      </c>
      <c r="B375" s="194" t="s">
        <v>1555</v>
      </c>
      <c r="C375" s="160" t="s">
        <v>3677</v>
      </c>
      <c r="D375" s="193" t="s">
        <v>3682</v>
      </c>
      <c r="E375" s="195">
        <v>395</v>
      </c>
      <c r="F375" s="196">
        <v>370</v>
      </c>
      <c r="G375" s="197">
        <v>360</v>
      </c>
      <c r="H375" s="195">
        <v>395</v>
      </c>
      <c r="I375" s="196">
        <v>370</v>
      </c>
      <c r="J375" s="197">
        <v>360</v>
      </c>
      <c r="K375" s="195">
        <v>395</v>
      </c>
      <c r="L375" s="196">
        <v>370</v>
      </c>
      <c r="M375" s="197">
        <v>360</v>
      </c>
      <c r="N375" s="195">
        <v>395</v>
      </c>
      <c r="O375" s="196">
        <v>370</v>
      </c>
      <c r="P375" s="197">
        <v>360</v>
      </c>
      <c r="Q375" s="195">
        <v>395</v>
      </c>
      <c r="R375" s="196">
        <v>370</v>
      </c>
      <c r="S375" s="197">
        <v>360</v>
      </c>
      <c r="T375" s="195">
        <v>395</v>
      </c>
      <c r="U375" s="196">
        <v>0</v>
      </c>
      <c r="V375" s="197">
        <v>0</v>
      </c>
      <c r="W375" s="195">
        <v>0</v>
      </c>
      <c r="X375" s="196">
        <v>0</v>
      </c>
      <c r="Y375" s="197">
        <v>0</v>
      </c>
      <c r="Z375" s="195">
        <v>0</v>
      </c>
      <c r="AA375" s="196">
        <v>0</v>
      </c>
      <c r="AB375" s="197">
        <v>0</v>
      </c>
      <c r="AC375" s="195">
        <v>0</v>
      </c>
      <c r="AD375" s="196">
        <v>0</v>
      </c>
      <c r="AE375" s="197">
        <v>0</v>
      </c>
      <c r="AF375" s="195">
        <v>0</v>
      </c>
      <c r="AG375" s="196">
        <v>0</v>
      </c>
      <c r="AH375" s="197">
        <v>0</v>
      </c>
      <c r="AI375" s="200" t="s">
        <v>3678</v>
      </c>
      <c r="AJ375" s="193" t="s">
        <v>1739</v>
      </c>
      <c r="AK375" s="201" t="s">
        <v>2692</v>
      </c>
      <c r="AL375" s="205">
        <v>1</v>
      </c>
      <c r="AM375" s="200"/>
      <c r="AN375" s="204">
        <v>375</v>
      </c>
      <c r="AO375" s="203"/>
      <c r="AP375" s="207" t="s">
        <v>76</v>
      </c>
      <c r="AQ375" s="199" t="s">
        <v>1619</v>
      </c>
      <c r="AR375" s="202"/>
      <c r="AS375" s="205">
        <v>2028</v>
      </c>
      <c r="AT375" s="206"/>
      <c r="AU375" s="201" t="s">
        <v>24</v>
      </c>
      <c r="AV375" s="193" t="s">
        <v>11</v>
      </c>
      <c r="AW375" s="205">
        <v>1247</v>
      </c>
    </row>
    <row r="376" spans="1:52">
      <c r="A376" s="192" t="s">
        <v>77</v>
      </c>
      <c r="B376" s="194" t="s">
        <v>1555</v>
      </c>
      <c r="C376" s="160" t="s">
        <v>551</v>
      </c>
      <c r="D376" s="193" t="s">
        <v>553</v>
      </c>
      <c r="E376" s="195">
        <v>102.96</v>
      </c>
      <c r="F376" s="196">
        <v>102.96</v>
      </c>
      <c r="G376" s="197">
        <v>102.96</v>
      </c>
      <c r="H376" s="195">
        <v>102.96</v>
      </c>
      <c r="I376" s="196">
        <v>102.96</v>
      </c>
      <c r="J376" s="197">
        <v>102.96</v>
      </c>
      <c r="K376" s="195">
        <v>102.96</v>
      </c>
      <c r="L376" s="196">
        <v>102.96</v>
      </c>
      <c r="M376" s="197">
        <v>102.96</v>
      </c>
      <c r="N376" s="195">
        <v>102.96</v>
      </c>
      <c r="O376" s="196">
        <v>102.96</v>
      </c>
      <c r="P376" s="197">
        <v>102.96</v>
      </c>
      <c r="Q376" s="195">
        <v>102.96</v>
      </c>
      <c r="R376" s="196">
        <v>102.96</v>
      </c>
      <c r="S376" s="197">
        <v>102.96</v>
      </c>
      <c r="T376" s="195">
        <v>102.96</v>
      </c>
      <c r="U376" s="196">
        <v>102.96</v>
      </c>
      <c r="V376" s="197">
        <v>102.96</v>
      </c>
      <c r="W376" s="195">
        <v>102.96</v>
      </c>
      <c r="X376" s="196">
        <v>102.96</v>
      </c>
      <c r="Y376" s="197">
        <v>102.96</v>
      </c>
      <c r="Z376" s="195">
        <v>102.96</v>
      </c>
      <c r="AA376" s="196">
        <v>102.96</v>
      </c>
      <c r="AB376" s="197">
        <v>102.96</v>
      </c>
      <c r="AC376" s="195">
        <v>102.96</v>
      </c>
      <c r="AD376" s="196">
        <v>102.96</v>
      </c>
      <c r="AE376" s="197">
        <v>102.96</v>
      </c>
      <c r="AF376" s="195"/>
      <c r="AG376" s="196"/>
      <c r="AH376" s="197"/>
      <c r="AI376" s="200" t="s">
        <v>552</v>
      </c>
      <c r="AJ376" s="193" t="s">
        <v>1631</v>
      </c>
      <c r="AK376" s="201" t="s">
        <v>1614</v>
      </c>
      <c r="AL376" s="205">
        <v>44</v>
      </c>
      <c r="AM376" s="200">
        <v>0</v>
      </c>
      <c r="AN376" s="204">
        <v>102.96</v>
      </c>
      <c r="AO376" s="203"/>
      <c r="AP376" s="207" t="s">
        <v>76</v>
      </c>
      <c r="AQ376" s="199" t="s">
        <v>1620</v>
      </c>
      <c r="AR376" s="202">
        <v>44440</v>
      </c>
      <c r="AS376" s="205">
        <v>2044</v>
      </c>
      <c r="AT376" s="206"/>
      <c r="AU376" s="201" t="s">
        <v>24</v>
      </c>
      <c r="AV376" s="193" t="s">
        <v>1615</v>
      </c>
      <c r="AW376" s="205">
        <v>1599</v>
      </c>
    </row>
    <row r="377" spans="1:52">
      <c r="A377" s="192" t="s">
        <v>110</v>
      </c>
      <c r="B377" s="194" t="s">
        <v>1555</v>
      </c>
      <c r="C377" s="160" t="s">
        <v>511</v>
      </c>
      <c r="D377" s="193" t="s">
        <v>513</v>
      </c>
      <c r="E377" s="195">
        <v>81</v>
      </c>
      <c r="F377" s="196">
        <v>81</v>
      </c>
      <c r="G377" s="197">
        <v>79.2</v>
      </c>
      <c r="H377" s="195">
        <v>81</v>
      </c>
      <c r="I377" s="196">
        <v>81</v>
      </c>
      <c r="J377" s="197">
        <v>79.2</v>
      </c>
      <c r="K377" s="195">
        <v>81</v>
      </c>
      <c r="L377" s="196">
        <v>81</v>
      </c>
      <c r="M377" s="197">
        <v>79.2</v>
      </c>
      <c r="N377" s="195">
        <v>81</v>
      </c>
      <c r="O377" s="196">
        <v>81</v>
      </c>
      <c r="P377" s="197">
        <v>79.2</v>
      </c>
      <c r="Q377" s="195">
        <v>81</v>
      </c>
      <c r="R377" s="196">
        <v>81</v>
      </c>
      <c r="S377" s="197">
        <v>79.2</v>
      </c>
      <c r="T377" s="195">
        <v>81</v>
      </c>
      <c r="U377" s="196">
        <v>81</v>
      </c>
      <c r="V377" s="197">
        <v>79.2</v>
      </c>
      <c r="W377" s="195">
        <v>81</v>
      </c>
      <c r="X377" s="196">
        <v>81</v>
      </c>
      <c r="Y377" s="197">
        <v>79.2</v>
      </c>
      <c r="Z377" s="195">
        <v>81</v>
      </c>
      <c r="AA377" s="196">
        <v>81</v>
      </c>
      <c r="AB377" s="197">
        <v>79.2</v>
      </c>
      <c r="AC377" s="195">
        <v>81</v>
      </c>
      <c r="AD377" s="196">
        <v>81</v>
      </c>
      <c r="AE377" s="197">
        <v>79.2</v>
      </c>
      <c r="AF377" s="195">
        <v>81</v>
      </c>
      <c r="AG377" s="196">
        <v>81</v>
      </c>
      <c r="AH377" s="197">
        <v>79.2</v>
      </c>
      <c r="AI377" s="200" t="s">
        <v>512</v>
      </c>
      <c r="AJ377" s="193" t="s">
        <v>1631</v>
      </c>
      <c r="AK377" s="201" t="s">
        <v>1614</v>
      </c>
      <c r="AL377" s="205">
        <v>36</v>
      </c>
      <c r="AM377" s="200"/>
      <c r="AN377" s="204">
        <v>94</v>
      </c>
      <c r="AO377" s="203"/>
      <c r="AP377" s="207" t="s">
        <v>76</v>
      </c>
      <c r="AQ377" s="199" t="s">
        <v>1620</v>
      </c>
      <c r="AR377" s="202"/>
      <c r="AS377" s="205">
        <v>2050</v>
      </c>
      <c r="AT377" s="206"/>
      <c r="AU377" s="201" t="s">
        <v>24</v>
      </c>
      <c r="AV377" s="193" t="s">
        <v>1615</v>
      </c>
      <c r="AW377" s="205">
        <v>1423</v>
      </c>
    </row>
    <row r="378" spans="1:52">
      <c r="A378" s="192" t="s">
        <v>110</v>
      </c>
      <c r="B378" s="194" t="s">
        <v>1555</v>
      </c>
      <c r="C378" s="160" t="s">
        <v>390</v>
      </c>
      <c r="D378" s="193" t="s">
        <v>392</v>
      </c>
      <c r="E378" s="195">
        <v>144.4</v>
      </c>
      <c r="F378" s="196">
        <v>127.3</v>
      </c>
      <c r="G378" s="197">
        <v>102.6</v>
      </c>
      <c r="H378" s="195">
        <v>144.4</v>
      </c>
      <c r="I378" s="196">
        <v>127.3</v>
      </c>
      <c r="J378" s="197">
        <v>102.6</v>
      </c>
      <c r="K378" s="195">
        <v>144.4</v>
      </c>
      <c r="L378" s="196">
        <v>127.3</v>
      </c>
      <c r="M378" s="197">
        <v>102.6</v>
      </c>
      <c r="N378" s="195">
        <v>144.4</v>
      </c>
      <c r="O378" s="196">
        <v>127.3</v>
      </c>
      <c r="P378" s="197">
        <v>102.6</v>
      </c>
      <c r="Q378" s="195">
        <v>144.4</v>
      </c>
      <c r="R378" s="196">
        <v>127.3</v>
      </c>
      <c r="S378" s="197">
        <v>102.6</v>
      </c>
      <c r="T378" s="195">
        <v>144.4</v>
      </c>
      <c r="U378" s="196">
        <v>127.3</v>
      </c>
      <c r="V378" s="197">
        <v>102.6</v>
      </c>
      <c r="W378" s="195">
        <v>144.4</v>
      </c>
      <c r="X378" s="196">
        <v>127.3</v>
      </c>
      <c r="Y378" s="197">
        <v>102.6</v>
      </c>
      <c r="Z378" s="195">
        <v>144.4</v>
      </c>
      <c r="AA378" s="196">
        <v>127.3</v>
      </c>
      <c r="AB378" s="197">
        <v>102.6</v>
      </c>
      <c r="AC378" s="195">
        <v>144.4</v>
      </c>
      <c r="AD378" s="196">
        <v>127.3</v>
      </c>
      <c r="AE378" s="197">
        <v>102.6</v>
      </c>
      <c r="AF378" s="195">
        <v>144.4</v>
      </c>
      <c r="AG378" s="196">
        <v>127.3</v>
      </c>
      <c r="AH378" s="197">
        <v>102.6</v>
      </c>
      <c r="AI378" s="200" t="s">
        <v>391</v>
      </c>
      <c r="AJ378" s="193" t="s">
        <v>1625</v>
      </c>
      <c r="AK378" s="201" t="s">
        <v>1609</v>
      </c>
      <c r="AL378" s="205">
        <v>38</v>
      </c>
      <c r="AM378" s="200">
        <v>144.4</v>
      </c>
      <c r="AN378" s="204">
        <v>144.4</v>
      </c>
      <c r="AO378" s="203"/>
      <c r="AP378" s="207" t="s">
        <v>76</v>
      </c>
      <c r="AQ378" s="199" t="s">
        <v>1620</v>
      </c>
      <c r="AR378" s="202">
        <v>44197</v>
      </c>
      <c r="AS378" s="205">
        <v>2049</v>
      </c>
      <c r="AT378" s="206"/>
      <c r="AU378" s="201" t="s">
        <v>24</v>
      </c>
      <c r="AV378" s="193" t="s">
        <v>16</v>
      </c>
      <c r="AW378" s="205">
        <v>1114</v>
      </c>
    </row>
    <row r="379" spans="1:52">
      <c r="A379" s="4" t="s">
        <v>3745</v>
      </c>
      <c r="AX379"/>
      <c r="AY379"/>
      <c r="AZ379"/>
    </row>
    <row r="380" spans="1:52">
      <c r="AX380"/>
      <c r="AY380"/>
      <c r="AZ380"/>
    </row>
  </sheetData>
  <sheetProtection algorithmName="SHA-512" hashValue="yLuRZglou6DMmTKO+zzH82ywCtCMXPFZ/VZVhPrx5uMYz2jubb71n9/AqdmouFi67bfYwGQvHBJs3vKEWGFfgQ==" saltValue="QBR2glgmBltj5xXSd+/Fzw==" spinCount="100000" sheet="1" formatColumns="0" formatRows="0" sort="0" autoFilter="0" pivotTables="0"/>
  <phoneticPr fontId="50" type="noConversion"/>
  <conditionalFormatting sqref="D3:G3 AQ3:AW3 AN3:AO3 AI3:AL3">
    <cfRule type="expression" dxfId="328" priority="796">
      <formula>AND($C3=OFFSET($C3,-1,0,1,1),$D3&lt;&gt;OFFSET($D3,-1,0,1,1))</formula>
    </cfRule>
  </conditionalFormatting>
  <conditionalFormatting sqref="A3:B3 D3:G3 AN3:AW3 AI3:AL3">
    <cfRule type="expression" dxfId="327" priority="795">
      <formula>$C3&lt;&gt;OFFSET($C3,-1,0,1,1)</formula>
    </cfRule>
  </conditionalFormatting>
  <conditionalFormatting sqref="AL3 AW3 E3:G3 AN3:AO3">
    <cfRule type="expression" dxfId="326" priority="793">
      <formula>MOD(E3,1)=0</formula>
    </cfRule>
  </conditionalFormatting>
  <conditionalFormatting sqref="E3:G3">
    <cfRule type="expression" dxfId="325" priority="782">
      <formula>AND($C3=OFFSET($C3,-1,0,1,1),$D3=OFFSET($D3,-1,0,1,1),E3=OFFSET(E3,-1,0,1,1))</formula>
    </cfRule>
  </conditionalFormatting>
  <conditionalFormatting sqref="B3:G3 AN3:AW3 AI3:AL3">
    <cfRule type="expression" dxfId="324" priority="789">
      <formula>$B3="Project"</formula>
    </cfRule>
  </conditionalFormatting>
  <conditionalFormatting sqref="AI3:AL3 A3:B3 AQ3:AW3 AN3:AO3">
    <cfRule type="expression" dxfId="323" priority="790">
      <formula>AND($C3=OFFSET($C3,-1,0,1,1),A3=OFFSET(A3,-1,0,1,1))</formula>
    </cfRule>
  </conditionalFormatting>
  <conditionalFormatting sqref="AR3">
    <cfRule type="expression" dxfId="322" priority="783">
      <formula>OR(AND(ISNUMBER(DATEVALUE($V3)),MONTH(DATEVALUE($V3))=12,DATEVALUE("31/12/"&amp;TEXT(YEAR(DATEVALUE($V3)),"####"))&lt;TODAY()),AND(ISNUMBER(DATEVALUE($V3)),MONTH(DATEVALUE($V3))&lt;12,DATEVALUE("01/"&amp;TEXT(MONTH(DATEVALUE($V3))+1,"##")&amp;"/"&amp;TEXT(YEAR(DATEVALUE($V3)),"####"))-1&lt;TODAY()))</formula>
    </cfRule>
  </conditionalFormatting>
  <conditionalFormatting sqref="AU3">
    <cfRule type="cellIs" dxfId="321" priority="777" operator="equal">
      <formula>"Withdrawn"</formula>
    </cfRule>
    <cfRule type="cellIs" dxfId="320" priority="778" operator="equal">
      <formula>"Proposed"</formula>
    </cfRule>
    <cfRule type="cellIs" dxfId="319" priority="779" operator="equal">
      <formula>"Committed"</formula>
    </cfRule>
    <cfRule type="cellIs" dxfId="318" priority="780" operator="equal">
      <formula>"Upgrade"</formula>
    </cfRule>
    <cfRule type="cellIs" dxfId="317" priority="781" operator="equal">
      <formula>"Existing less Announced Withdrawal"</formula>
    </cfRule>
    <cfRule type="cellIs" dxfId="316" priority="797" operator="equal">
      <formula>"Announced Withdrawal"</formula>
    </cfRule>
  </conditionalFormatting>
  <conditionalFormatting sqref="AP3">
    <cfRule type="expression" dxfId="315" priority="5162">
      <formula>AND($C3=OFFSET($C3,-1,0,1,1),$G3=OFFSET($G3,-1,0,1,1),AP3&lt;&gt;OFFSET(AP3,-1,0,1,1))</formula>
    </cfRule>
  </conditionalFormatting>
  <conditionalFormatting sqref="AP3">
    <cfRule type="expression" dxfId="314" priority="5163">
      <formula>AND($C3=OFFSET($C3,-1,0,1,1),$G3&lt;&gt;OFFSET($G3,-1,0,1,1))</formula>
    </cfRule>
    <cfRule type="expression" dxfId="313" priority="5164">
      <formula>AND($C3=OFFSET($C3,-1,0,1,1),$G3=OFFSET($G3,-1,0,1,1),AP3=OFFSET(AP3,-1,0,1,1))</formula>
    </cfRule>
  </conditionalFormatting>
  <conditionalFormatting sqref="C3">
    <cfRule type="expression" dxfId="312" priority="11673">
      <formula>$C3&lt;&gt;OFFSET($C3,-1,0,1,1)</formula>
    </cfRule>
    <cfRule type="expression" dxfId="311" priority="11674">
      <formula>$C3=OFFSET($C3,-1,0,1,1)</formula>
    </cfRule>
    <cfRule type="expression" dxfId="310" priority="11675">
      <formula>$B3="Project"</formula>
    </cfRule>
  </conditionalFormatting>
  <conditionalFormatting sqref="C3">
    <cfRule type="expression" dxfId="309" priority="293">
      <formula>$B3="Project"</formula>
    </cfRule>
  </conditionalFormatting>
  <conditionalFormatting sqref="C3">
    <cfRule type="expression" dxfId="308" priority="290">
      <formula>$C3&lt;&gt;OFFSET($C3,-1,0,1,1)</formula>
    </cfRule>
    <cfRule type="expression" dxfId="307" priority="291">
      <formula>$C3=OFFSET($C3,-1,0,1,1)</formula>
    </cfRule>
    <cfRule type="expression" dxfId="306" priority="292">
      <formula>$B3="Project"</formula>
    </cfRule>
  </conditionalFormatting>
  <conditionalFormatting sqref="D4:G367 AN4:AO367 AI4:AL367 AQ4:AW367 AQ372:AW375 AI372:AL375 AN372:AO375 D372:G375">
    <cfRule type="expression" dxfId="305" priority="172">
      <formula>AND($C4=OFFSET($C4,-1,0,1,1),$D4&lt;&gt;OFFSET($D4,-1,0,1,1))</formula>
    </cfRule>
  </conditionalFormatting>
  <conditionalFormatting sqref="D4:G367 AI4:AL367 A4:B367 AN4:AW367 AN372:AW375 A372:B375 AI372:AL375 D372:G375">
    <cfRule type="expression" dxfId="304" priority="171">
      <formula>$C4&lt;&gt;OFFSET($C4,-1,0,1,1)</formula>
    </cfRule>
  </conditionalFormatting>
  <conditionalFormatting sqref="AL4:AL367 AW4:AW367 E4:G367 AN4:AO367 AN372:AO375 E372:G375 AW372:AW375 AL372:AL375">
    <cfRule type="expression" dxfId="303" priority="169">
      <formula>MOD(E4,1)=0</formula>
    </cfRule>
  </conditionalFormatting>
  <conditionalFormatting sqref="E4:G367 E372:G375">
    <cfRule type="expression" dxfId="302" priority="165">
      <formula>AND($C4=OFFSET($C4,-1,0,1,1),$D4=OFFSET($D4,-1,0,1,1),E4=OFFSET(E4,-1,0,1,1))</formula>
    </cfRule>
  </conditionalFormatting>
  <conditionalFormatting sqref="AI4:AL367 B4:G367 AN4:AW367 AN372:AW375 B372:G375 AI372:AL375">
    <cfRule type="expression" dxfId="301" priority="167">
      <formula>$B4="Project"</formula>
    </cfRule>
  </conditionalFormatting>
  <conditionalFormatting sqref="AI4:AL367 AN4:AO367 A4:B367 AQ4:AW367 AQ372:AW375 A372:B375 AN372:AO375 AI372:AL375">
    <cfRule type="expression" dxfId="300" priority="168">
      <formula>AND($C4=OFFSET($C4,-1,0,1,1),A4=OFFSET(A4,-1,0,1,1))</formula>
    </cfRule>
  </conditionalFormatting>
  <conditionalFormatting sqref="AR4:AR367 AR372:AR375">
    <cfRule type="expression" dxfId="299" priority="166">
      <formula>OR(AND(ISNUMBER(DATEVALUE($V4)),MONTH(DATEVALUE($V4))=12,DATEVALUE("31/12/"&amp;TEXT(YEAR(DATEVALUE($V4)),"####"))&lt;TODAY()),AND(ISNUMBER(DATEVALUE($V4)),MONTH(DATEVALUE($V4))&lt;12,DATEVALUE("01/"&amp;TEXT(MONTH(DATEVALUE($V4))+1,"##")&amp;"/"&amp;TEXT(YEAR(DATEVALUE($V4)),"####"))-1&lt;TODAY()))</formula>
    </cfRule>
  </conditionalFormatting>
  <conditionalFormatting sqref="AU4:AU367 AU372:AU375">
    <cfRule type="cellIs" dxfId="298" priority="160" operator="equal">
      <formula>"Withdrawn"</formula>
    </cfRule>
    <cfRule type="cellIs" dxfId="297" priority="161" operator="equal">
      <formula>"Proposed"</formula>
    </cfRule>
    <cfRule type="cellIs" dxfId="296" priority="162" operator="equal">
      <formula>"Committed"</formula>
    </cfRule>
    <cfRule type="cellIs" dxfId="295" priority="163" operator="equal">
      <formula>"Upgrade"</formula>
    </cfRule>
    <cfRule type="cellIs" dxfId="294" priority="164" operator="equal">
      <formula>"Existing less Announced Withdrawal"</formula>
    </cfRule>
    <cfRule type="cellIs" dxfId="293" priority="173" operator="equal">
      <formula>"Announced Withdrawal"</formula>
    </cfRule>
  </conditionalFormatting>
  <conditionalFormatting sqref="AP4:AP367 AP372:AP375">
    <cfRule type="expression" dxfId="292" priority="174">
      <formula>AND($C4=OFFSET($C4,-1,0,1,1),$G4=OFFSET($G4,-1,0,1,1),AP4&lt;&gt;OFFSET(AP4,-1,0,1,1))</formula>
    </cfRule>
  </conditionalFormatting>
  <conditionalFormatting sqref="AP4:AP367 AP372:AP375">
    <cfRule type="expression" dxfId="291" priority="175">
      <formula>AND($C4=OFFSET($C4,-1,0,1,1),$G4&lt;&gt;OFFSET($G4,-1,0,1,1))</formula>
    </cfRule>
    <cfRule type="expression" dxfId="290" priority="176">
      <formula>AND($C4=OFFSET($C4,-1,0,1,1),$G4=OFFSET($G4,-1,0,1,1),AP4=OFFSET(AP4,-1,0,1,1))</formula>
    </cfRule>
  </conditionalFormatting>
  <conditionalFormatting sqref="C4:C367 C372:C375">
    <cfRule type="expression" dxfId="289" priority="177">
      <formula>$C4&lt;&gt;OFFSET($C4,-1,0,1,1)</formula>
    </cfRule>
    <cfRule type="expression" dxfId="288" priority="178">
      <formula>$C4=OFFSET($C4,-1,0,1,1)</formula>
    </cfRule>
    <cfRule type="expression" dxfId="287" priority="179">
      <formula>$B4="Project"</formula>
    </cfRule>
  </conditionalFormatting>
  <conditionalFormatting sqref="C4:C367 C372:C375">
    <cfRule type="expression" dxfId="286" priority="158">
      <formula>$B4="Project"</formula>
    </cfRule>
  </conditionalFormatting>
  <conditionalFormatting sqref="C4:C367 C372:C375">
    <cfRule type="expression" dxfId="285" priority="155">
      <formula>$C4&lt;&gt;OFFSET($C4,-1,0,1,1)</formula>
    </cfRule>
    <cfRule type="expression" dxfId="284" priority="156">
      <formula>$C4=OFFSET($C4,-1,0,1,1)</formula>
    </cfRule>
    <cfRule type="expression" dxfId="283" priority="157">
      <formula>$B4="Project"</formula>
    </cfRule>
  </conditionalFormatting>
  <conditionalFormatting sqref="AM3">
    <cfRule type="expression" dxfId="282" priority="154">
      <formula>AND($C3=OFFSET($C3,-1,0,1,1),$D3&lt;&gt;OFFSET($D3,-1,0,1,1))</formula>
    </cfRule>
  </conditionalFormatting>
  <conditionalFormatting sqref="AM3">
    <cfRule type="expression" dxfId="281" priority="153">
      <formula>$C3&lt;&gt;OFFSET($C3,-1,0,1,1)</formula>
    </cfRule>
  </conditionalFormatting>
  <conditionalFormatting sqref="AM3">
    <cfRule type="expression" dxfId="280" priority="150">
      <formula>$B3="Project"</formula>
    </cfRule>
  </conditionalFormatting>
  <conditionalFormatting sqref="AM3">
    <cfRule type="expression" dxfId="279" priority="151">
      <formula>AND($C3=OFFSET($C3,-1,0,1,1),AM3=OFFSET(AM3,-1,0,1,1))</formula>
    </cfRule>
  </conditionalFormatting>
  <conditionalFormatting sqref="AM4:AM367 AM372:AM375">
    <cfRule type="expression" dxfId="278" priority="149">
      <formula>AND($C4=OFFSET($C4,-1,0,1,1),$D4&lt;&gt;OFFSET($D4,-1,0,1,1))</formula>
    </cfRule>
  </conditionalFormatting>
  <conditionalFormatting sqref="AM4:AM367 AM372:AM375">
    <cfRule type="expression" dxfId="277" priority="148">
      <formula>$C4&lt;&gt;OFFSET($C4,-1,0,1,1)</formula>
    </cfRule>
  </conditionalFormatting>
  <conditionalFormatting sqref="AM4:AM367 AM372:AM375">
    <cfRule type="expression" dxfId="276" priority="145">
      <formula>$B4="Project"</formula>
    </cfRule>
  </conditionalFormatting>
  <conditionalFormatting sqref="AM4:AM367 AM372:AM375">
    <cfRule type="expression" dxfId="275" priority="146">
      <formula>AND($C4=OFFSET($C4,-1,0,1,1),AM4=OFFSET(AM4,-1,0,1,1))</formula>
    </cfRule>
  </conditionalFormatting>
  <conditionalFormatting sqref="H3:J3">
    <cfRule type="expression" dxfId="274" priority="144">
      <formula>AND($C3=OFFSET($C3,-1,0,1,1),$D3&lt;&gt;OFFSET($D3,-1,0,1,1))</formula>
    </cfRule>
  </conditionalFormatting>
  <conditionalFormatting sqref="H3:J3">
    <cfRule type="expression" dxfId="273" priority="143">
      <formula>$C3&lt;&gt;OFFSET($C3,-1,0,1,1)</formula>
    </cfRule>
  </conditionalFormatting>
  <conditionalFormatting sqref="H3:J3">
    <cfRule type="expression" dxfId="272" priority="141">
      <formula>MOD(H3,1)=0</formula>
    </cfRule>
  </conditionalFormatting>
  <conditionalFormatting sqref="H3:J3">
    <cfRule type="expression" dxfId="271" priority="139">
      <formula>AND($C3=OFFSET($C3,-1,0,1,1),$D3=OFFSET($D3,-1,0,1,1),H3=OFFSET(H3,-1,0,1,1))</formula>
    </cfRule>
  </conditionalFormatting>
  <conditionalFormatting sqref="H3:J3">
    <cfRule type="expression" dxfId="270" priority="140">
      <formula>$B3="Project"</formula>
    </cfRule>
  </conditionalFormatting>
  <conditionalFormatting sqref="H4:J367 H372:J375">
    <cfRule type="expression" dxfId="269" priority="138">
      <formula>AND($C4=OFFSET($C4,-1,0,1,1),$D4&lt;&gt;OFFSET($D4,-1,0,1,1))</formula>
    </cfRule>
  </conditionalFormatting>
  <conditionalFormatting sqref="H4:J367 H372:J375">
    <cfRule type="expression" dxfId="268" priority="137">
      <formula>$C4&lt;&gt;OFFSET($C4,-1,0,1,1)</formula>
    </cfRule>
  </conditionalFormatting>
  <conditionalFormatting sqref="H4:J367 H372:J375">
    <cfRule type="expression" dxfId="267" priority="135">
      <formula>MOD(H4,1)=0</formula>
    </cfRule>
  </conditionalFormatting>
  <conditionalFormatting sqref="H4:J367 H372:J375">
    <cfRule type="expression" dxfId="266" priority="133">
      <formula>AND($C4=OFFSET($C4,-1,0,1,1),$D4=OFFSET($D4,-1,0,1,1),H4=OFFSET(H4,-1,0,1,1))</formula>
    </cfRule>
  </conditionalFormatting>
  <conditionalFormatting sqref="H4:J367 H372:J375">
    <cfRule type="expression" dxfId="265" priority="134">
      <formula>$B4="Project"</formula>
    </cfRule>
  </conditionalFormatting>
  <conditionalFormatting sqref="K3:S3">
    <cfRule type="expression" dxfId="264" priority="132">
      <formula>AND($C3=OFFSET($C3,-1,0,1,1),$D3&lt;&gt;OFFSET($D3,-1,0,1,1))</formula>
    </cfRule>
  </conditionalFormatting>
  <conditionalFormatting sqref="K3:S3">
    <cfRule type="expression" dxfId="263" priority="131">
      <formula>$C3&lt;&gt;OFFSET($C3,-1,0,1,1)</formula>
    </cfRule>
  </conditionalFormatting>
  <conditionalFormatting sqref="K3:S3">
    <cfRule type="expression" dxfId="262" priority="129">
      <formula>MOD(K3,1)=0</formula>
    </cfRule>
  </conditionalFormatting>
  <conditionalFormatting sqref="K3:S3">
    <cfRule type="expression" dxfId="261" priority="127">
      <formula>AND($C3=OFFSET($C3,-1,0,1,1),$D3=OFFSET($D3,-1,0,1,1),K3=OFFSET(K3,-1,0,1,1))</formula>
    </cfRule>
  </conditionalFormatting>
  <conditionalFormatting sqref="K3:S3">
    <cfRule type="expression" dxfId="260" priority="128">
      <formula>$B3="Project"</formula>
    </cfRule>
  </conditionalFormatting>
  <conditionalFormatting sqref="K4:S367 K372:S375">
    <cfRule type="expression" dxfId="259" priority="126">
      <formula>AND($C4=OFFSET($C4,-1,0,1,1),$D4&lt;&gt;OFFSET($D4,-1,0,1,1))</formula>
    </cfRule>
  </conditionalFormatting>
  <conditionalFormatting sqref="K4:S367 K372:S375">
    <cfRule type="expression" dxfId="258" priority="125">
      <formula>$C4&lt;&gt;OFFSET($C4,-1,0,1,1)</formula>
    </cfRule>
  </conditionalFormatting>
  <conditionalFormatting sqref="K4:S367 K372:S375">
    <cfRule type="expression" dxfId="257" priority="123">
      <formula>MOD(K4,1)=0</formula>
    </cfRule>
  </conditionalFormatting>
  <conditionalFormatting sqref="K4:S367 K372:S375">
    <cfRule type="expression" dxfId="256" priority="121">
      <formula>AND($C4=OFFSET($C4,-1,0,1,1),$D4=OFFSET($D4,-1,0,1,1),K4=OFFSET(K4,-1,0,1,1))</formula>
    </cfRule>
  </conditionalFormatting>
  <conditionalFormatting sqref="K4:S367 K372:S375">
    <cfRule type="expression" dxfId="255" priority="122">
      <formula>$B4="Project"</formula>
    </cfRule>
  </conditionalFormatting>
  <conditionalFormatting sqref="T3:AB3">
    <cfRule type="expression" dxfId="254" priority="120">
      <formula>AND($C3=OFFSET($C3,-1,0,1,1),$D3&lt;&gt;OFFSET($D3,-1,0,1,1))</formula>
    </cfRule>
  </conditionalFormatting>
  <conditionalFormatting sqref="T3:AB3">
    <cfRule type="expression" dxfId="253" priority="119">
      <formula>$C3&lt;&gt;OFFSET($C3,-1,0,1,1)</formula>
    </cfRule>
  </conditionalFormatting>
  <conditionalFormatting sqref="T3:AB3">
    <cfRule type="expression" dxfId="252" priority="117">
      <formula>MOD(T3,1)=0</formula>
    </cfRule>
  </conditionalFormatting>
  <conditionalFormatting sqref="T3:AB3">
    <cfRule type="expression" dxfId="251" priority="115">
      <formula>AND($C3=OFFSET($C3,-1,0,1,1),$D3=OFFSET($D3,-1,0,1,1),T3=OFFSET(T3,-1,0,1,1))</formula>
    </cfRule>
  </conditionalFormatting>
  <conditionalFormatting sqref="T3:AB3">
    <cfRule type="expression" dxfId="250" priority="116">
      <formula>$B3="Project"</formula>
    </cfRule>
  </conditionalFormatting>
  <conditionalFormatting sqref="T4:AB367 T372:AB375">
    <cfRule type="expression" dxfId="249" priority="114">
      <formula>AND($C4=OFFSET($C4,-1,0,1,1),$D4&lt;&gt;OFFSET($D4,-1,0,1,1))</formula>
    </cfRule>
  </conditionalFormatting>
  <conditionalFormatting sqref="T4:AB367 T372:AB375">
    <cfRule type="expression" dxfId="248" priority="113">
      <formula>$C4&lt;&gt;OFFSET($C4,-1,0,1,1)</formula>
    </cfRule>
  </conditionalFormatting>
  <conditionalFormatting sqref="T4:AB367 T372:AB375">
    <cfRule type="expression" dxfId="247" priority="111">
      <formula>MOD(T4,1)=0</formula>
    </cfRule>
  </conditionalFormatting>
  <conditionalFormatting sqref="T4:AB367 T372:AB375">
    <cfRule type="expression" dxfId="246" priority="109">
      <formula>AND($C4=OFFSET($C4,-1,0,1,1),$D4=OFFSET($D4,-1,0,1,1),T4=OFFSET(T4,-1,0,1,1))</formula>
    </cfRule>
  </conditionalFormatting>
  <conditionalFormatting sqref="T4:AB367 T372:AB375">
    <cfRule type="expression" dxfId="245" priority="110">
      <formula>$B4="Project"</formula>
    </cfRule>
  </conditionalFormatting>
  <conditionalFormatting sqref="AC3:AH3">
    <cfRule type="expression" dxfId="244" priority="108">
      <formula>AND($C3=OFFSET($C3,-1,0,1,1),$D3&lt;&gt;OFFSET($D3,-1,0,1,1))</formula>
    </cfRule>
  </conditionalFormatting>
  <conditionalFormatting sqref="AC3:AH3">
    <cfRule type="expression" dxfId="243" priority="107">
      <formula>$C3&lt;&gt;OFFSET($C3,-1,0,1,1)</formula>
    </cfRule>
  </conditionalFormatting>
  <conditionalFormatting sqref="AC3:AH3">
    <cfRule type="expression" dxfId="242" priority="105">
      <formula>MOD(AC3,1)=0</formula>
    </cfRule>
  </conditionalFormatting>
  <conditionalFormatting sqref="AC3:AH3">
    <cfRule type="expression" dxfId="241" priority="103">
      <formula>AND($C3=OFFSET($C3,-1,0,1,1),$D3=OFFSET($D3,-1,0,1,1),AC3=OFFSET(AC3,-1,0,1,1))</formula>
    </cfRule>
  </conditionalFormatting>
  <conditionalFormatting sqref="AC3:AH3">
    <cfRule type="expression" dxfId="240" priority="104">
      <formula>$B3="Project"</formula>
    </cfRule>
  </conditionalFormatting>
  <conditionalFormatting sqref="AC4:AH367 AC372:AH375">
    <cfRule type="expression" dxfId="239" priority="102">
      <formula>AND($C4=OFFSET($C4,-1,0,1,1),$D4&lt;&gt;OFFSET($D4,-1,0,1,1))</formula>
    </cfRule>
  </conditionalFormatting>
  <conditionalFormatting sqref="AC4:AH367 AC372:AH375">
    <cfRule type="expression" dxfId="238" priority="101">
      <formula>$C4&lt;&gt;OFFSET($C4,-1,0,1,1)</formula>
    </cfRule>
  </conditionalFormatting>
  <conditionalFormatting sqref="AC4:AH367 AC372:AH375">
    <cfRule type="expression" dxfId="237" priority="99">
      <formula>MOD(AC4,1)=0</formula>
    </cfRule>
  </conditionalFormatting>
  <conditionalFormatting sqref="AC4:AH367 AC372:AH375">
    <cfRule type="expression" dxfId="236" priority="97">
      <formula>AND($C4=OFFSET($C4,-1,0,1,1),$D4=OFFSET($D4,-1,0,1,1),AC4=OFFSET(AC4,-1,0,1,1))</formula>
    </cfRule>
  </conditionalFormatting>
  <conditionalFormatting sqref="AC4:AH367 AC372:AH375">
    <cfRule type="expression" dxfId="235" priority="98">
      <formula>$B4="Project"</formula>
    </cfRule>
  </conditionalFormatting>
  <conditionalFormatting sqref="A3:AO367 AQ3:AW367 AQ372:AW375 A372:AO375">
    <cfRule type="expression" dxfId="234" priority="11676">
      <formula>AND(ISNUMBER(SEARCH("Summer Typical",#REF!,1)),$A3="TAS1")</formula>
    </cfRule>
  </conditionalFormatting>
  <conditionalFormatting sqref="D376:G378 AN376:AO378 AI376:AL378 AQ376:AW378">
    <cfRule type="expression" dxfId="233" priority="88">
      <formula>AND($C376=OFFSET($C376,-1,0,1,1),$D376&lt;&gt;OFFSET($D376,-1,0,1,1))</formula>
    </cfRule>
  </conditionalFormatting>
  <conditionalFormatting sqref="D376:G378 AI376:AL378 A376:B378 AN376:AW378">
    <cfRule type="expression" dxfId="232" priority="87">
      <formula>$C376&lt;&gt;OFFSET($C376,-1,0,1,1)</formula>
    </cfRule>
  </conditionalFormatting>
  <conditionalFormatting sqref="AL376:AL378 AW376:AW378 E376:G378 AN376:AO378">
    <cfRule type="expression" dxfId="231" priority="86">
      <formula>MOD(E376,1)=0</formula>
    </cfRule>
  </conditionalFormatting>
  <conditionalFormatting sqref="E376:G378">
    <cfRule type="expression" dxfId="230" priority="82">
      <formula>AND($C376=OFFSET($C376,-1,0,1,1),$D376=OFFSET($D376,-1,0,1,1),E376=OFFSET(E376,-1,0,1,1))</formula>
    </cfRule>
  </conditionalFormatting>
  <conditionalFormatting sqref="AI376:AL378 B376:G378 AN376:AW378">
    <cfRule type="expression" dxfId="229" priority="84">
      <formula>$B376="Project"</formula>
    </cfRule>
  </conditionalFormatting>
  <conditionalFormatting sqref="AI376:AL378 AN376:AO378 A376:B378 AQ376:AW378">
    <cfRule type="expression" dxfId="228" priority="85">
      <formula>AND($C376=OFFSET($C376,-1,0,1,1),A376=OFFSET(A376,-1,0,1,1))</formula>
    </cfRule>
  </conditionalFormatting>
  <conditionalFormatting sqref="AR376:AR378">
    <cfRule type="expression" dxfId="227" priority="83">
      <formula>OR(AND(ISNUMBER(DATEVALUE($V376)),MONTH(DATEVALUE($V376))=12,DATEVALUE("31/12/"&amp;TEXT(YEAR(DATEVALUE($V376)),"####"))&lt;TODAY()),AND(ISNUMBER(DATEVALUE($V376)),MONTH(DATEVALUE($V376))&lt;12,DATEVALUE("01/"&amp;TEXT(MONTH(DATEVALUE($V376))+1,"##")&amp;"/"&amp;TEXT(YEAR(DATEVALUE($V376)),"####"))-1&lt;TODAY()))</formula>
    </cfRule>
  </conditionalFormatting>
  <conditionalFormatting sqref="AU376:AU378">
    <cfRule type="cellIs" dxfId="226" priority="77" operator="equal">
      <formula>"Withdrawn"</formula>
    </cfRule>
    <cfRule type="cellIs" dxfId="225" priority="78" operator="equal">
      <formula>"Proposed"</formula>
    </cfRule>
    <cfRule type="cellIs" dxfId="224" priority="79" operator="equal">
      <formula>"Committed"</formula>
    </cfRule>
    <cfRule type="cellIs" dxfId="223" priority="80" operator="equal">
      <formula>"Upgrade"</formula>
    </cfRule>
    <cfRule type="cellIs" dxfId="222" priority="81" operator="equal">
      <formula>"Existing less Announced Withdrawal"</formula>
    </cfRule>
    <cfRule type="cellIs" dxfId="221" priority="89" operator="equal">
      <formula>"Announced Withdrawal"</formula>
    </cfRule>
  </conditionalFormatting>
  <conditionalFormatting sqref="AP376:AP378">
    <cfRule type="expression" dxfId="220" priority="90">
      <formula>AND($C376=OFFSET($C376,-1,0,1,1),$G376=OFFSET($G376,-1,0,1,1),AP376&lt;&gt;OFFSET(AP376,-1,0,1,1))</formula>
    </cfRule>
  </conditionalFormatting>
  <conditionalFormatting sqref="AP376:AP378">
    <cfRule type="expression" dxfId="219" priority="91">
      <formula>AND($C376=OFFSET($C376,-1,0,1,1),$G376&lt;&gt;OFFSET($G376,-1,0,1,1))</formula>
    </cfRule>
    <cfRule type="expression" dxfId="218" priority="92">
      <formula>AND($C376=OFFSET($C376,-1,0,1,1),$G376=OFFSET($G376,-1,0,1,1),AP376=OFFSET(AP376,-1,0,1,1))</formula>
    </cfRule>
  </conditionalFormatting>
  <conditionalFormatting sqref="C376:C378">
    <cfRule type="expression" dxfId="217" priority="93">
      <formula>$C376&lt;&gt;OFFSET($C376,-1,0,1,1)</formula>
    </cfRule>
    <cfRule type="expression" dxfId="216" priority="94">
      <formula>$C376=OFFSET($C376,-1,0,1,1)</formula>
    </cfRule>
    <cfRule type="expression" dxfId="215" priority="95">
      <formula>$B376="Project"</formula>
    </cfRule>
  </conditionalFormatting>
  <conditionalFormatting sqref="C376:C378">
    <cfRule type="expression" dxfId="214" priority="76">
      <formula>$B376="Project"</formula>
    </cfRule>
  </conditionalFormatting>
  <conditionalFormatting sqref="C376:C378">
    <cfRule type="expression" dxfId="213" priority="73">
      <formula>$C376&lt;&gt;OFFSET($C376,-1,0,1,1)</formula>
    </cfRule>
    <cfRule type="expression" dxfId="212" priority="74">
      <formula>$C376=OFFSET($C376,-1,0,1,1)</formula>
    </cfRule>
    <cfRule type="expression" dxfId="211" priority="75">
      <formula>$B376="Project"</formula>
    </cfRule>
  </conditionalFormatting>
  <conditionalFormatting sqref="AM376:AM378">
    <cfRule type="expression" dxfId="210" priority="72">
      <formula>AND($C376=OFFSET($C376,-1,0,1,1),$D376&lt;&gt;OFFSET($D376,-1,0,1,1))</formula>
    </cfRule>
  </conditionalFormatting>
  <conditionalFormatting sqref="AM376:AM378">
    <cfRule type="expression" dxfId="209" priority="71">
      <formula>$C376&lt;&gt;OFFSET($C376,-1,0,1,1)</formula>
    </cfRule>
  </conditionalFormatting>
  <conditionalFormatting sqref="AM376:AM378">
    <cfRule type="expression" dxfId="208" priority="69">
      <formula>$B376="Project"</formula>
    </cfRule>
  </conditionalFormatting>
  <conditionalFormatting sqref="AM376:AM378">
    <cfRule type="expression" dxfId="207" priority="70">
      <formula>AND($C376=OFFSET($C376,-1,0,1,1),AM376=OFFSET(AM376,-1,0,1,1))</formula>
    </cfRule>
  </conditionalFormatting>
  <conditionalFormatting sqref="H376:J378">
    <cfRule type="expression" dxfId="206" priority="68">
      <formula>AND($C376=OFFSET($C376,-1,0,1,1),$D376&lt;&gt;OFFSET($D376,-1,0,1,1))</formula>
    </cfRule>
  </conditionalFormatting>
  <conditionalFormatting sqref="H376:J378">
    <cfRule type="expression" dxfId="205" priority="67">
      <formula>$C376&lt;&gt;OFFSET($C376,-1,0,1,1)</formula>
    </cfRule>
  </conditionalFormatting>
  <conditionalFormatting sqref="H376:J378">
    <cfRule type="expression" dxfId="204" priority="66">
      <formula>MOD(H376,1)=0</formula>
    </cfRule>
  </conditionalFormatting>
  <conditionalFormatting sqref="H376:J378">
    <cfRule type="expression" dxfId="203" priority="64">
      <formula>AND($C376=OFFSET($C376,-1,0,1,1),$D376=OFFSET($D376,-1,0,1,1),H376=OFFSET(H376,-1,0,1,1))</formula>
    </cfRule>
  </conditionalFormatting>
  <conditionalFormatting sqref="H376:J378">
    <cfRule type="expression" dxfId="202" priority="65">
      <formula>$B376="Project"</formula>
    </cfRule>
  </conditionalFormatting>
  <conditionalFormatting sqref="K376:S378">
    <cfRule type="expression" dxfId="201" priority="63">
      <formula>AND($C376=OFFSET($C376,-1,0,1,1),$D376&lt;&gt;OFFSET($D376,-1,0,1,1))</formula>
    </cfRule>
  </conditionalFormatting>
  <conditionalFormatting sqref="K376:S378">
    <cfRule type="expression" dxfId="200" priority="62">
      <formula>$C376&lt;&gt;OFFSET($C376,-1,0,1,1)</formula>
    </cfRule>
  </conditionalFormatting>
  <conditionalFormatting sqref="K376:S378">
    <cfRule type="expression" dxfId="199" priority="61">
      <formula>MOD(K376,1)=0</formula>
    </cfRule>
  </conditionalFormatting>
  <conditionalFormatting sqref="K376:S378">
    <cfRule type="expression" dxfId="198" priority="59">
      <formula>AND($C376=OFFSET($C376,-1,0,1,1),$D376=OFFSET($D376,-1,0,1,1),K376=OFFSET(K376,-1,0,1,1))</formula>
    </cfRule>
  </conditionalFormatting>
  <conditionalFormatting sqref="K376:S378">
    <cfRule type="expression" dxfId="197" priority="60">
      <formula>$B376="Project"</formula>
    </cfRule>
  </conditionalFormatting>
  <conditionalFormatting sqref="T376:AB378">
    <cfRule type="expression" dxfId="196" priority="58">
      <formula>AND($C376=OFFSET($C376,-1,0,1,1),$D376&lt;&gt;OFFSET($D376,-1,0,1,1))</formula>
    </cfRule>
  </conditionalFormatting>
  <conditionalFormatting sqref="T376:AB378">
    <cfRule type="expression" dxfId="195" priority="57">
      <formula>$C376&lt;&gt;OFFSET($C376,-1,0,1,1)</formula>
    </cfRule>
  </conditionalFormatting>
  <conditionalFormatting sqref="T376:AB378">
    <cfRule type="expression" dxfId="194" priority="56">
      <formula>MOD(T376,1)=0</formula>
    </cfRule>
  </conditionalFormatting>
  <conditionalFormatting sqref="T376:AB378">
    <cfRule type="expression" dxfId="193" priority="54">
      <formula>AND($C376=OFFSET($C376,-1,0,1,1),$D376=OFFSET($D376,-1,0,1,1),T376=OFFSET(T376,-1,0,1,1))</formula>
    </cfRule>
  </conditionalFormatting>
  <conditionalFormatting sqref="T376:AB378">
    <cfRule type="expression" dxfId="192" priority="55">
      <formula>$B376="Project"</formula>
    </cfRule>
  </conditionalFormatting>
  <conditionalFormatting sqref="AC376:AH378">
    <cfRule type="expression" dxfId="191" priority="53">
      <formula>AND($C376=OFFSET($C376,-1,0,1,1),$D376&lt;&gt;OFFSET($D376,-1,0,1,1))</formula>
    </cfRule>
  </conditionalFormatting>
  <conditionalFormatting sqref="AC376:AH378">
    <cfRule type="expression" dxfId="190" priority="52">
      <formula>$C376&lt;&gt;OFFSET($C376,-1,0,1,1)</formula>
    </cfRule>
  </conditionalFormatting>
  <conditionalFormatting sqref="AC376:AH378">
    <cfRule type="expression" dxfId="189" priority="51">
      <formula>MOD(AC376,1)=0</formula>
    </cfRule>
  </conditionalFormatting>
  <conditionalFormatting sqref="AC376:AH378">
    <cfRule type="expression" dxfId="188" priority="49">
      <formula>AND($C376=OFFSET($C376,-1,0,1,1),$D376=OFFSET($D376,-1,0,1,1),AC376=OFFSET(AC376,-1,0,1,1))</formula>
    </cfRule>
  </conditionalFormatting>
  <conditionalFormatting sqref="AC376:AH378">
    <cfRule type="expression" dxfId="187" priority="50">
      <formula>$B376="Project"</formula>
    </cfRule>
  </conditionalFormatting>
  <conditionalFormatting sqref="A376:AO378 AQ376:AW378">
    <cfRule type="expression" dxfId="186" priority="96">
      <formula>AND(ISNUMBER(SEARCH("Summer Typical",#REF!,1)),$A376="TAS1")</formula>
    </cfRule>
  </conditionalFormatting>
  <conditionalFormatting sqref="D368:G371 AN368:AO371 AI368:AL371 AQ368:AW371">
    <cfRule type="expression" dxfId="185" priority="40">
      <formula>AND($C368=OFFSET($C368,-1,0,1,1),$D368&lt;&gt;OFFSET($D368,-1,0,1,1))</formula>
    </cfRule>
  </conditionalFormatting>
  <conditionalFormatting sqref="D368:G371 AI368:AL371 A368:B371 AN368:AW371">
    <cfRule type="expression" dxfId="184" priority="39">
      <formula>$C368&lt;&gt;OFFSET($C368,-1,0,1,1)</formula>
    </cfRule>
  </conditionalFormatting>
  <conditionalFormatting sqref="AL368:AL371 AW368:AW371 E368:G371 AN368:AO371">
    <cfRule type="expression" dxfId="183" priority="38">
      <formula>MOD(E368,1)=0</formula>
    </cfRule>
  </conditionalFormatting>
  <conditionalFormatting sqref="E368:G371">
    <cfRule type="expression" dxfId="182" priority="34">
      <formula>AND($C368=OFFSET($C368,-1,0,1,1),$D368=OFFSET($D368,-1,0,1,1),E368=OFFSET(E368,-1,0,1,1))</formula>
    </cfRule>
  </conditionalFormatting>
  <conditionalFormatting sqref="AI368:AL371 B368:G371 AN368:AW371">
    <cfRule type="expression" dxfId="181" priority="36">
      <formula>$B368="Project"</formula>
    </cfRule>
  </conditionalFormatting>
  <conditionalFormatting sqref="AI368:AL371 AN368:AO371 A368:B371 AQ368:AW371">
    <cfRule type="expression" dxfId="180" priority="37">
      <formula>AND($C368=OFFSET($C368,-1,0,1,1),A368=OFFSET(A368,-1,0,1,1))</formula>
    </cfRule>
  </conditionalFormatting>
  <conditionalFormatting sqref="AR368:AR371">
    <cfRule type="expression" dxfId="179" priority="35">
      <formula>OR(AND(ISNUMBER(DATEVALUE($V368)),MONTH(DATEVALUE($V368))=12,DATEVALUE("31/12/"&amp;TEXT(YEAR(DATEVALUE($V368)),"####"))&lt;TODAY()),AND(ISNUMBER(DATEVALUE($V368)),MONTH(DATEVALUE($V368))&lt;12,DATEVALUE("01/"&amp;TEXT(MONTH(DATEVALUE($V368))+1,"##")&amp;"/"&amp;TEXT(YEAR(DATEVALUE($V368)),"####"))-1&lt;TODAY()))</formula>
    </cfRule>
  </conditionalFormatting>
  <conditionalFormatting sqref="AU368:AU371">
    <cfRule type="cellIs" dxfId="178" priority="29" operator="equal">
      <formula>"Withdrawn"</formula>
    </cfRule>
    <cfRule type="cellIs" dxfId="177" priority="30" operator="equal">
      <formula>"Proposed"</formula>
    </cfRule>
    <cfRule type="cellIs" dxfId="176" priority="31" operator="equal">
      <formula>"Committed"</formula>
    </cfRule>
    <cfRule type="cellIs" dxfId="175" priority="32" operator="equal">
      <formula>"Upgrade"</formula>
    </cfRule>
    <cfRule type="cellIs" dxfId="174" priority="33" operator="equal">
      <formula>"Existing less Announced Withdrawal"</formula>
    </cfRule>
    <cfRule type="cellIs" dxfId="173" priority="41" operator="equal">
      <formula>"Announced Withdrawal"</formula>
    </cfRule>
  </conditionalFormatting>
  <conditionalFormatting sqref="AP368:AP371">
    <cfRule type="expression" dxfId="172" priority="42">
      <formula>AND($C368=OFFSET($C368,-1,0,1,1),$G368=OFFSET($G368,-1,0,1,1),AP368&lt;&gt;OFFSET(AP368,-1,0,1,1))</formula>
    </cfRule>
  </conditionalFormatting>
  <conditionalFormatting sqref="AP368:AP371">
    <cfRule type="expression" dxfId="171" priority="43">
      <formula>AND($C368=OFFSET($C368,-1,0,1,1),$G368&lt;&gt;OFFSET($G368,-1,0,1,1))</formula>
    </cfRule>
    <cfRule type="expression" dxfId="170" priority="44">
      <formula>AND($C368=OFFSET($C368,-1,0,1,1),$G368=OFFSET($G368,-1,0,1,1),AP368=OFFSET(AP368,-1,0,1,1))</formula>
    </cfRule>
  </conditionalFormatting>
  <conditionalFormatting sqref="C368:C371">
    <cfRule type="expression" dxfId="169" priority="45">
      <formula>$C368&lt;&gt;OFFSET($C368,-1,0,1,1)</formula>
    </cfRule>
    <cfRule type="expression" dxfId="168" priority="46">
      <formula>$C368=OFFSET($C368,-1,0,1,1)</formula>
    </cfRule>
    <cfRule type="expression" dxfId="167" priority="47">
      <formula>$B368="Project"</formula>
    </cfRule>
  </conditionalFormatting>
  <conditionalFormatting sqref="C368:C371">
    <cfRule type="expression" dxfId="166" priority="28">
      <formula>$B368="Project"</formula>
    </cfRule>
  </conditionalFormatting>
  <conditionalFormatting sqref="C368:C371">
    <cfRule type="expression" dxfId="165" priority="25">
      <formula>$C368&lt;&gt;OFFSET($C368,-1,0,1,1)</formula>
    </cfRule>
    <cfRule type="expression" dxfId="164" priority="26">
      <formula>$C368=OFFSET($C368,-1,0,1,1)</formula>
    </cfRule>
    <cfRule type="expression" dxfId="163" priority="27">
      <formula>$B368="Project"</formula>
    </cfRule>
  </conditionalFormatting>
  <conditionalFormatting sqref="AM368:AM371">
    <cfRule type="expression" dxfId="162" priority="24">
      <formula>AND($C368=OFFSET($C368,-1,0,1,1),$D368&lt;&gt;OFFSET($D368,-1,0,1,1))</formula>
    </cfRule>
  </conditionalFormatting>
  <conditionalFormatting sqref="AM368:AM371">
    <cfRule type="expression" dxfId="161" priority="23">
      <formula>$C368&lt;&gt;OFFSET($C368,-1,0,1,1)</formula>
    </cfRule>
  </conditionalFormatting>
  <conditionalFormatting sqref="AM368:AM371">
    <cfRule type="expression" dxfId="160" priority="21">
      <formula>$B368="Project"</formula>
    </cfRule>
  </conditionalFormatting>
  <conditionalFormatting sqref="AM368:AM371">
    <cfRule type="expression" dxfId="159" priority="22">
      <formula>AND($C368=OFFSET($C368,-1,0,1,1),AM368=OFFSET(AM368,-1,0,1,1))</formula>
    </cfRule>
  </conditionalFormatting>
  <conditionalFormatting sqref="H368:J371">
    <cfRule type="expression" dxfId="158" priority="20">
      <formula>AND($C368=OFFSET($C368,-1,0,1,1),$D368&lt;&gt;OFFSET($D368,-1,0,1,1))</formula>
    </cfRule>
  </conditionalFormatting>
  <conditionalFormatting sqref="H368:J371">
    <cfRule type="expression" dxfId="157" priority="19">
      <formula>$C368&lt;&gt;OFFSET($C368,-1,0,1,1)</formula>
    </cfRule>
  </conditionalFormatting>
  <conditionalFormatting sqref="H368:J371">
    <cfRule type="expression" dxfId="156" priority="18">
      <formula>MOD(H368,1)=0</formula>
    </cfRule>
  </conditionalFormatting>
  <conditionalFormatting sqref="H368:J371">
    <cfRule type="expression" dxfId="155" priority="16">
      <formula>AND($C368=OFFSET($C368,-1,0,1,1),$D368=OFFSET($D368,-1,0,1,1),H368=OFFSET(H368,-1,0,1,1))</formula>
    </cfRule>
  </conditionalFormatting>
  <conditionalFormatting sqref="H368:J371">
    <cfRule type="expression" dxfId="154" priority="17">
      <formula>$B368="Project"</formula>
    </cfRule>
  </conditionalFormatting>
  <conditionalFormatting sqref="K368:S371">
    <cfRule type="expression" dxfId="153" priority="15">
      <formula>AND($C368=OFFSET($C368,-1,0,1,1),$D368&lt;&gt;OFFSET($D368,-1,0,1,1))</formula>
    </cfRule>
  </conditionalFormatting>
  <conditionalFormatting sqref="K368:S371">
    <cfRule type="expression" dxfId="152" priority="14">
      <formula>$C368&lt;&gt;OFFSET($C368,-1,0,1,1)</formula>
    </cfRule>
  </conditionalFormatting>
  <conditionalFormatting sqref="K368:S371">
    <cfRule type="expression" dxfId="151" priority="13">
      <formula>MOD(K368,1)=0</formula>
    </cfRule>
  </conditionalFormatting>
  <conditionalFormatting sqref="K368:S371">
    <cfRule type="expression" dxfId="150" priority="11">
      <formula>AND($C368=OFFSET($C368,-1,0,1,1),$D368=OFFSET($D368,-1,0,1,1),K368=OFFSET(K368,-1,0,1,1))</formula>
    </cfRule>
  </conditionalFormatting>
  <conditionalFormatting sqref="K368:S371">
    <cfRule type="expression" dxfId="149" priority="12">
      <formula>$B368="Project"</formula>
    </cfRule>
  </conditionalFormatting>
  <conditionalFormatting sqref="T368:AB371">
    <cfRule type="expression" dxfId="148" priority="10">
      <formula>AND($C368=OFFSET($C368,-1,0,1,1),$D368&lt;&gt;OFFSET($D368,-1,0,1,1))</formula>
    </cfRule>
  </conditionalFormatting>
  <conditionalFormatting sqref="T368:AB371">
    <cfRule type="expression" dxfId="147" priority="9">
      <formula>$C368&lt;&gt;OFFSET($C368,-1,0,1,1)</formula>
    </cfRule>
  </conditionalFormatting>
  <conditionalFormatting sqref="T368:AB371">
    <cfRule type="expression" dxfId="146" priority="8">
      <formula>MOD(T368,1)=0</formula>
    </cfRule>
  </conditionalFormatting>
  <conditionalFormatting sqref="T368:AB371">
    <cfRule type="expression" dxfId="145" priority="6">
      <formula>AND($C368=OFFSET($C368,-1,0,1,1),$D368=OFFSET($D368,-1,0,1,1),T368=OFFSET(T368,-1,0,1,1))</formula>
    </cfRule>
  </conditionalFormatting>
  <conditionalFormatting sqref="T368:AB371">
    <cfRule type="expression" dxfId="144" priority="7">
      <formula>$B368="Project"</formula>
    </cfRule>
  </conditionalFormatting>
  <conditionalFormatting sqref="AC368:AH371">
    <cfRule type="expression" dxfId="143" priority="5">
      <formula>AND($C368=OFFSET($C368,-1,0,1,1),$D368&lt;&gt;OFFSET($D368,-1,0,1,1))</formula>
    </cfRule>
  </conditionalFormatting>
  <conditionalFormatting sqref="AC368:AH371">
    <cfRule type="expression" dxfId="142" priority="4">
      <formula>$C368&lt;&gt;OFFSET($C368,-1,0,1,1)</formula>
    </cfRule>
  </conditionalFormatting>
  <conditionalFormatting sqref="AC368:AH371">
    <cfRule type="expression" dxfId="141" priority="3">
      <formula>MOD(AC368,1)=0</formula>
    </cfRule>
  </conditionalFormatting>
  <conditionalFormatting sqref="AC368:AH371">
    <cfRule type="expression" dxfId="140" priority="1">
      <formula>AND($C368=OFFSET($C368,-1,0,1,1),$D368=OFFSET($D368,-1,0,1,1),AC368=OFFSET(AC368,-1,0,1,1))</formula>
    </cfRule>
  </conditionalFormatting>
  <conditionalFormatting sqref="AC368:AH371">
    <cfRule type="expression" dxfId="139" priority="2">
      <formula>$B368="Project"</formula>
    </cfRule>
  </conditionalFormatting>
  <conditionalFormatting sqref="A368:AO371 AQ368:AW371">
    <cfRule type="expression" dxfId="138" priority="48">
      <formula>AND(ISNUMBER(SEARCH("Summer Typical",#REF!,1)),$A368="TAS1")</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K114"/>
  <sheetViews>
    <sheetView workbookViewId="0"/>
  </sheetViews>
  <sheetFormatPr defaultColWidth="9.453125" defaultRowHeight="14.5"/>
  <cols>
    <col min="1" max="1" width="40.453125" style="2" bestFit="1" customWidth="1"/>
    <col min="2" max="2" width="48.54296875" style="2" bestFit="1" customWidth="1"/>
    <col min="3" max="3" width="11.6328125" style="2" customWidth="1"/>
    <col min="4" max="16384" width="9.453125" style="2"/>
  </cols>
  <sheetData>
    <row r="1" spans="1:11" ht="31.5">
      <c r="A1" s="9" t="s">
        <v>3746</v>
      </c>
      <c r="B1" s="9" t="s">
        <v>3747</v>
      </c>
      <c r="C1" s="105" t="s">
        <v>3748</v>
      </c>
    </row>
    <row r="2" spans="1:11" customFormat="1">
      <c r="A2" s="241" t="s">
        <v>78</v>
      </c>
      <c r="B2" s="242" t="s">
        <v>3999</v>
      </c>
      <c r="C2" s="243">
        <v>45120</v>
      </c>
      <c r="E2" s="2"/>
      <c r="F2" s="2"/>
      <c r="G2" s="2"/>
      <c r="H2" s="2"/>
      <c r="I2" s="2"/>
      <c r="J2" s="2"/>
      <c r="K2" s="2"/>
    </row>
    <row r="3" spans="1:11" customFormat="1">
      <c r="A3" s="241" t="s">
        <v>82</v>
      </c>
      <c r="B3" s="242" t="s">
        <v>3998</v>
      </c>
      <c r="C3" s="243">
        <v>45120</v>
      </c>
      <c r="E3" s="2"/>
      <c r="F3" s="2"/>
      <c r="G3" s="2"/>
      <c r="H3" s="2"/>
      <c r="I3" s="2"/>
      <c r="J3" s="2"/>
      <c r="K3" s="2"/>
    </row>
    <row r="4" spans="1:11" customFormat="1">
      <c r="A4" s="241" t="s">
        <v>720</v>
      </c>
      <c r="B4" s="242" t="s">
        <v>2897</v>
      </c>
      <c r="C4" s="243">
        <v>45051</v>
      </c>
      <c r="E4" s="2"/>
      <c r="F4" s="2"/>
      <c r="G4" s="2"/>
      <c r="H4" s="2"/>
      <c r="I4" s="2"/>
      <c r="J4" s="2"/>
      <c r="K4" s="2"/>
    </row>
    <row r="5" spans="1:11" customFormat="1">
      <c r="A5" s="141" t="s">
        <v>3749</v>
      </c>
      <c r="B5" s="108" t="s">
        <v>3750</v>
      </c>
      <c r="C5" s="114">
        <v>45051</v>
      </c>
      <c r="E5" s="2"/>
      <c r="F5" s="2"/>
      <c r="G5" s="2"/>
      <c r="H5" s="2"/>
      <c r="I5" s="2"/>
      <c r="J5" s="2"/>
      <c r="K5" s="2"/>
    </row>
    <row r="6" spans="1:11" customFormat="1">
      <c r="A6" s="241" t="s">
        <v>3751</v>
      </c>
      <c r="B6" s="242" t="s">
        <v>3752</v>
      </c>
      <c r="C6" s="243">
        <v>45051</v>
      </c>
      <c r="E6" s="2"/>
      <c r="F6" s="2"/>
      <c r="G6" s="2"/>
      <c r="H6" s="2"/>
      <c r="I6" s="2"/>
      <c r="J6" s="2"/>
      <c r="K6" s="2"/>
    </row>
    <row r="7" spans="1:11" customFormat="1">
      <c r="A7" s="241" t="s">
        <v>3753</v>
      </c>
      <c r="B7" s="242" t="s">
        <v>1757</v>
      </c>
      <c r="C7" s="243">
        <v>45051</v>
      </c>
      <c r="E7" s="2"/>
      <c r="F7" s="2"/>
      <c r="G7" s="2"/>
      <c r="H7" s="2"/>
      <c r="I7" s="2"/>
      <c r="J7" s="2"/>
      <c r="K7" s="2"/>
    </row>
    <row r="8" spans="1:11" customFormat="1">
      <c r="A8" s="141" t="s">
        <v>3754</v>
      </c>
      <c r="B8" s="108" t="s">
        <v>3755</v>
      </c>
      <c r="C8" s="114">
        <v>45051</v>
      </c>
      <c r="E8" s="2"/>
      <c r="F8" s="2"/>
      <c r="G8" s="2"/>
      <c r="H8" s="2"/>
      <c r="I8" s="2"/>
      <c r="J8" s="2"/>
      <c r="K8" s="2"/>
    </row>
    <row r="9" spans="1:11" customFormat="1">
      <c r="A9" s="141" t="s">
        <v>3756</v>
      </c>
      <c r="B9" s="108" t="s">
        <v>2757</v>
      </c>
      <c r="C9" s="114">
        <v>45051</v>
      </c>
      <c r="E9" s="2"/>
      <c r="F9" s="2"/>
      <c r="G9" s="2"/>
      <c r="H9" s="2"/>
      <c r="I9" s="2"/>
      <c r="J9" s="2"/>
      <c r="K9" s="2"/>
    </row>
    <row r="10" spans="1:11" customFormat="1">
      <c r="A10" s="141" t="s">
        <v>1062</v>
      </c>
      <c r="B10" s="108" t="s">
        <v>2952</v>
      </c>
      <c r="C10" s="114">
        <v>45051</v>
      </c>
      <c r="E10" s="2"/>
      <c r="F10" s="2"/>
      <c r="G10" s="2"/>
      <c r="H10" s="2"/>
      <c r="I10" s="2"/>
      <c r="J10" s="2"/>
      <c r="K10" s="2"/>
    </row>
    <row r="11" spans="1:11" customFormat="1">
      <c r="A11" s="141" t="s">
        <v>3757</v>
      </c>
      <c r="B11" s="108" t="s">
        <v>3307</v>
      </c>
      <c r="C11" s="114">
        <v>45051</v>
      </c>
      <c r="E11" s="2"/>
      <c r="F11" s="2"/>
      <c r="G11" s="2"/>
      <c r="H11" s="2"/>
      <c r="I11" s="2"/>
      <c r="J11" s="2"/>
      <c r="K11" s="2"/>
    </row>
    <row r="12" spans="1:11" customFormat="1">
      <c r="A12" s="141" t="s">
        <v>3758</v>
      </c>
      <c r="B12" s="108" t="s">
        <v>2295</v>
      </c>
      <c r="C12" s="114">
        <v>45051</v>
      </c>
      <c r="E12" s="2"/>
      <c r="F12" s="2"/>
      <c r="G12" s="2"/>
      <c r="H12" s="2"/>
      <c r="I12" s="2"/>
      <c r="J12" s="2"/>
      <c r="K12" s="2"/>
    </row>
    <row r="13" spans="1:11" customFormat="1">
      <c r="A13" s="141" t="s">
        <v>669</v>
      </c>
      <c r="B13" s="108" t="s">
        <v>210</v>
      </c>
      <c r="C13" s="114">
        <v>45051</v>
      </c>
      <c r="E13" s="2"/>
      <c r="F13" s="2"/>
      <c r="G13" s="2"/>
      <c r="H13" s="2"/>
      <c r="I13" s="2"/>
      <c r="J13" s="2"/>
      <c r="K13" s="2"/>
    </row>
    <row r="14" spans="1:11" customFormat="1">
      <c r="A14" s="141" t="s">
        <v>3759</v>
      </c>
      <c r="B14" s="108" t="s">
        <v>1749</v>
      </c>
      <c r="C14" s="114">
        <v>45051</v>
      </c>
      <c r="E14" s="2"/>
      <c r="F14" s="2"/>
      <c r="G14" s="2"/>
      <c r="H14" s="2"/>
      <c r="I14" s="2"/>
      <c r="J14" s="2"/>
      <c r="K14" s="2"/>
    </row>
    <row r="15" spans="1:11" customFormat="1">
      <c r="A15" s="141" t="s">
        <v>3760</v>
      </c>
      <c r="B15" s="108" t="s">
        <v>3761</v>
      </c>
      <c r="C15" s="114">
        <v>45051</v>
      </c>
      <c r="E15" s="2"/>
      <c r="F15" s="2"/>
      <c r="G15" s="2"/>
      <c r="H15" s="2"/>
      <c r="I15" s="2"/>
      <c r="J15" s="2"/>
      <c r="K15" s="2"/>
    </row>
    <row r="16" spans="1:11">
      <c r="A16" s="106" t="s">
        <v>3762</v>
      </c>
      <c r="B16" s="116" t="s">
        <v>3640</v>
      </c>
      <c r="C16" s="114">
        <v>44949</v>
      </c>
    </row>
    <row r="17" spans="1:3">
      <c r="A17" s="106" t="s">
        <v>3763</v>
      </c>
      <c r="B17" s="116" t="s">
        <v>2117</v>
      </c>
      <c r="C17" s="114">
        <v>44949</v>
      </c>
    </row>
    <row r="18" spans="1:3">
      <c r="A18" s="106" t="s">
        <v>3764</v>
      </c>
      <c r="B18" s="116" t="s">
        <v>3126</v>
      </c>
      <c r="C18" s="114">
        <v>44949</v>
      </c>
    </row>
    <row r="19" spans="1:3">
      <c r="A19" s="106" t="s">
        <v>3765</v>
      </c>
      <c r="B19" s="116" t="s">
        <v>147</v>
      </c>
      <c r="C19" s="114">
        <v>44764</v>
      </c>
    </row>
    <row r="20" spans="1:3">
      <c r="A20" s="106" t="s">
        <v>3766</v>
      </c>
      <c r="B20" s="116" t="s">
        <v>2627</v>
      </c>
      <c r="C20" s="114">
        <v>44727</v>
      </c>
    </row>
    <row r="21" spans="1:3">
      <c r="A21" s="106" t="s">
        <v>669</v>
      </c>
      <c r="B21" s="116" t="s">
        <v>3767</v>
      </c>
      <c r="C21" s="114">
        <v>44712</v>
      </c>
    </row>
    <row r="22" spans="1:3">
      <c r="A22" s="106" t="s">
        <v>3768</v>
      </c>
      <c r="B22" s="116" t="s">
        <v>80</v>
      </c>
      <c r="C22" s="114">
        <v>44484</v>
      </c>
    </row>
    <row r="23" spans="1:3">
      <c r="A23" s="106" t="s">
        <v>3769</v>
      </c>
      <c r="B23" s="116" t="s">
        <v>243</v>
      </c>
      <c r="C23" s="114">
        <v>44484</v>
      </c>
    </row>
    <row r="24" spans="1:3">
      <c r="A24" s="106" t="s">
        <v>592</v>
      </c>
      <c r="B24" s="116" t="s">
        <v>2340</v>
      </c>
      <c r="C24" s="114">
        <v>44484</v>
      </c>
    </row>
    <row r="25" spans="1:3">
      <c r="A25" s="106" t="s">
        <v>3770</v>
      </c>
      <c r="B25" s="116" t="s">
        <v>465</v>
      </c>
      <c r="C25" s="114">
        <v>44484</v>
      </c>
    </row>
    <row r="26" spans="1:3">
      <c r="A26" s="106" t="s">
        <v>3771</v>
      </c>
      <c r="B26" s="116" t="s">
        <v>375</v>
      </c>
      <c r="C26" s="114">
        <v>44484</v>
      </c>
    </row>
    <row r="27" spans="1:3">
      <c r="A27" s="106" t="s">
        <v>634</v>
      </c>
      <c r="B27" s="116" t="s">
        <v>157</v>
      </c>
      <c r="C27" s="114">
        <v>44384</v>
      </c>
    </row>
    <row r="28" spans="1:3">
      <c r="A28" s="106" t="s">
        <v>1903</v>
      </c>
      <c r="B28" s="116" t="s">
        <v>3772</v>
      </c>
      <c r="C28" s="114">
        <v>44384</v>
      </c>
    </row>
    <row r="29" spans="1:3">
      <c r="A29" s="106" t="s">
        <v>3773</v>
      </c>
      <c r="B29" s="116" t="s">
        <v>565</v>
      </c>
      <c r="C29" s="114">
        <v>44384</v>
      </c>
    </row>
    <row r="30" spans="1:3">
      <c r="A30" s="106" t="s">
        <v>573</v>
      </c>
      <c r="B30" s="116" t="s">
        <v>572</v>
      </c>
      <c r="C30" s="114">
        <v>44384</v>
      </c>
    </row>
    <row r="31" spans="1:3">
      <c r="A31" s="106" t="s">
        <v>848</v>
      </c>
      <c r="B31" s="116" t="s">
        <v>2269</v>
      </c>
      <c r="C31" s="114">
        <v>44384</v>
      </c>
    </row>
    <row r="32" spans="1:3">
      <c r="A32" s="106" t="s">
        <v>3774</v>
      </c>
      <c r="B32" s="116" t="s">
        <v>3775</v>
      </c>
      <c r="C32" s="114">
        <v>44320</v>
      </c>
    </row>
    <row r="33" spans="1:3">
      <c r="A33" s="106" t="s">
        <v>3776</v>
      </c>
      <c r="B33" s="116" t="s">
        <v>2239</v>
      </c>
      <c r="C33" s="114">
        <v>44320</v>
      </c>
    </row>
    <row r="34" spans="1:3">
      <c r="A34" s="106" t="s">
        <v>3777</v>
      </c>
      <c r="B34" s="116" t="s">
        <v>156</v>
      </c>
      <c r="C34" s="114">
        <v>44320</v>
      </c>
    </row>
    <row r="35" spans="1:3">
      <c r="A35" s="106" t="s">
        <v>3778</v>
      </c>
      <c r="B35" s="116" t="s">
        <v>3162</v>
      </c>
      <c r="C35" s="114">
        <v>44320</v>
      </c>
    </row>
    <row r="36" spans="1:3">
      <c r="A36" s="106" t="s">
        <v>3779</v>
      </c>
      <c r="B36" s="116" t="s">
        <v>171</v>
      </c>
      <c r="C36" s="114">
        <v>44320</v>
      </c>
    </row>
    <row r="37" spans="1:3">
      <c r="A37" s="106" t="s">
        <v>3780</v>
      </c>
      <c r="B37" s="116" t="s">
        <v>3781</v>
      </c>
      <c r="C37" s="114">
        <v>44320</v>
      </c>
    </row>
    <row r="38" spans="1:3">
      <c r="A38" s="106" t="s">
        <v>3782</v>
      </c>
      <c r="B38" s="116" t="s">
        <v>3783</v>
      </c>
      <c r="C38" s="114">
        <v>44320</v>
      </c>
    </row>
    <row r="39" spans="1:3">
      <c r="A39" s="106" t="s">
        <v>3784</v>
      </c>
      <c r="B39" s="116" t="s">
        <v>499</v>
      </c>
      <c r="C39" s="114">
        <v>44320</v>
      </c>
    </row>
    <row r="40" spans="1:3">
      <c r="A40" s="106" t="s">
        <v>2239</v>
      </c>
      <c r="B40" s="116" t="s">
        <v>3776</v>
      </c>
      <c r="C40" s="114">
        <v>44225</v>
      </c>
    </row>
    <row r="41" spans="1:3">
      <c r="A41" s="106" t="s">
        <v>2239</v>
      </c>
      <c r="B41" s="116" t="s">
        <v>2237</v>
      </c>
      <c r="C41" s="114">
        <v>44225</v>
      </c>
    </row>
    <row r="42" spans="1:3">
      <c r="A42" s="106" t="s">
        <v>3785</v>
      </c>
      <c r="B42" s="107" t="s">
        <v>3623</v>
      </c>
      <c r="C42" s="114">
        <v>44225</v>
      </c>
    </row>
    <row r="43" spans="1:3">
      <c r="A43" s="106" t="s">
        <v>3786</v>
      </c>
      <c r="B43" s="107" t="s">
        <v>685</v>
      </c>
      <c r="C43" s="114">
        <v>44041</v>
      </c>
    </row>
    <row r="44" spans="1:3">
      <c r="A44" s="106" t="s">
        <v>3787</v>
      </c>
      <c r="B44" s="107" t="s">
        <v>3788</v>
      </c>
      <c r="C44" s="114">
        <v>44034</v>
      </c>
    </row>
    <row r="45" spans="1:3">
      <c r="A45" s="106" t="s">
        <v>3789</v>
      </c>
      <c r="B45" s="116" t="s">
        <v>720</v>
      </c>
      <c r="C45" s="114">
        <v>44034</v>
      </c>
    </row>
    <row r="46" spans="1:3">
      <c r="A46" s="106" t="s">
        <v>3789</v>
      </c>
      <c r="B46" s="107" t="s">
        <v>720</v>
      </c>
      <c r="C46" s="114">
        <v>44034</v>
      </c>
    </row>
    <row r="47" spans="1:3">
      <c r="A47" s="106" t="s">
        <v>3790</v>
      </c>
      <c r="B47" s="111" t="s">
        <v>2789</v>
      </c>
      <c r="C47" s="114">
        <v>44034</v>
      </c>
    </row>
    <row r="48" spans="1:3">
      <c r="A48" s="106" t="s">
        <v>3779</v>
      </c>
      <c r="B48" s="107" t="s">
        <v>3791</v>
      </c>
      <c r="C48" s="114">
        <v>44034</v>
      </c>
    </row>
    <row r="49" spans="1:3">
      <c r="A49" s="106" t="s">
        <v>3792</v>
      </c>
      <c r="B49" s="107" t="s">
        <v>2208</v>
      </c>
      <c r="C49" s="114">
        <v>43951</v>
      </c>
    </row>
    <row r="50" spans="1:3">
      <c r="A50" s="106" t="s">
        <v>3793</v>
      </c>
      <c r="B50" s="107" t="s">
        <v>592</v>
      </c>
      <c r="C50" s="143">
        <v>43951</v>
      </c>
    </row>
    <row r="51" spans="1:3">
      <c r="A51" s="106" t="s">
        <v>3794</v>
      </c>
      <c r="B51" s="107" t="s">
        <v>2872</v>
      </c>
      <c r="C51" s="144">
        <v>43951</v>
      </c>
    </row>
    <row r="52" spans="1:3">
      <c r="A52" s="106" t="s">
        <v>1010</v>
      </c>
      <c r="B52" s="107" t="s">
        <v>631</v>
      </c>
      <c r="C52" s="114">
        <v>43781</v>
      </c>
    </row>
    <row r="53" spans="1:3">
      <c r="A53" s="106" t="s">
        <v>985</v>
      </c>
      <c r="B53" s="107" t="s">
        <v>390</v>
      </c>
      <c r="C53" s="114">
        <v>43781</v>
      </c>
    </row>
    <row r="54" spans="1:3">
      <c r="A54" s="106" t="s">
        <v>2952</v>
      </c>
      <c r="B54" s="107" t="s">
        <v>1062</v>
      </c>
      <c r="C54" s="114">
        <v>43781</v>
      </c>
    </row>
    <row r="55" spans="1:3">
      <c r="A55" s="106" t="s">
        <v>452</v>
      </c>
      <c r="B55" s="107" t="s">
        <v>451</v>
      </c>
      <c r="C55" s="114">
        <v>43781</v>
      </c>
    </row>
    <row r="56" spans="1:3">
      <c r="A56" s="106" t="s">
        <v>3795</v>
      </c>
      <c r="B56" s="107" t="s">
        <v>1692</v>
      </c>
      <c r="C56" s="114">
        <v>43664</v>
      </c>
    </row>
    <row r="57" spans="1:3">
      <c r="A57" s="106" t="s">
        <v>944</v>
      </c>
      <c r="B57" s="107" t="s">
        <v>876</v>
      </c>
      <c r="C57" s="114">
        <v>43664</v>
      </c>
    </row>
    <row r="58" spans="1:3">
      <c r="A58" s="106" t="s">
        <v>228</v>
      </c>
      <c r="B58" s="107" t="s">
        <v>228</v>
      </c>
      <c r="C58" s="114">
        <v>43664</v>
      </c>
    </row>
    <row r="59" spans="1:3">
      <c r="A59" s="106" t="s">
        <v>3796</v>
      </c>
      <c r="B59" s="107" t="s">
        <v>231</v>
      </c>
      <c r="C59" s="114">
        <v>43664</v>
      </c>
    </row>
    <row r="60" spans="1:3">
      <c r="A60" s="106" t="s">
        <v>3797</v>
      </c>
      <c r="B60" s="107" t="s">
        <v>1737</v>
      </c>
      <c r="C60" s="114">
        <v>43664</v>
      </c>
    </row>
    <row r="61" spans="1:3">
      <c r="A61" s="106" t="s">
        <v>3798</v>
      </c>
      <c r="B61" s="107" t="s">
        <v>232</v>
      </c>
      <c r="C61" s="114">
        <v>43664</v>
      </c>
    </row>
    <row r="62" spans="1:3">
      <c r="A62" s="106" t="s">
        <v>3799</v>
      </c>
      <c r="B62" s="107" t="s">
        <v>1738</v>
      </c>
      <c r="C62" s="114">
        <v>43664</v>
      </c>
    </row>
    <row r="63" spans="1:3">
      <c r="A63" s="106" t="s">
        <v>3800</v>
      </c>
      <c r="B63" s="107" t="s">
        <v>111</v>
      </c>
      <c r="C63" s="114">
        <v>43664</v>
      </c>
    </row>
    <row r="64" spans="1:3">
      <c r="A64" s="106" t="s">
        <v>3801</v>
      </c>
      <c r="B64" s="107" t="s">
        <v>111</v>
      </c>
      <c r="C64" s="114">
        <v>43664</v>
      </c>
    </row>
    <row r="65" spans="1:3">
      <c r="A65" s="106" t="s">
        <v>3802</v>
      </c>
      <c r="B65" s="107" t="s">
        <v>3803</v>
      </c>
      <c r="C65" s="114">
        <v>43664</v>
      </c>
    </row>
    <row r="66" spans="1:3">
      <c r="A66" s="106" t="s">
        <v>3804</v>
      </c>
      <c r="B66" s="107" t="s">
        <v>3805</v>
      </c>
      <c r="C66" s="114">
        <v>43664</v>
      </c>
    </row>
    <row r="67" spans="1:3">
      <c r="A67" s="106" t="s">
        <v>925</v>
      </c>
      <c r="B67" s="107" t="s">
        <v>540</v>
      </c>
      <c r="C67" s="114">
        <v>43664</v>
      </c>
    </row>
    <row r="68" spans="1:3">
      <c r="A68" s="106" t="s">
        <v>3806</v>
      </c>
      <c r="B68" s="107" t="s">
        <v>1883</v>
      </c>
      <c r="C68" s="114">
        <v>43664</v>
      </c>
    </row>
    <row r="69" spans="1:3">
      <c r="A69" s="106" t="s">
        <v>3806</v>
      </c>
      <c r="B69" s="107" t="s">
        <v>2074</v>
      </c>
      <c r="C69" s="114">
        <v>43664</v>
      </c>
    </row>
    <row r="70" spans="1:3">
      <c r="A70" s="106" t="s">
        <v>3807</v>
      </c>
      <c r="B70" s="107" t="s">
        <v>2019</v>
      </c>
      <c r="C70" s="114">
        <v>43664</v>
      </c>
    </row>
    <row r="71" spans="1:3">
      <c r="A71" s="106" t="s">
        <v>3808</v>
      </c>
      <c r="B71" s="107" t="s">
        <v>2049</v>
      </c>
      <c r="C71" s="114">
        <v>43664</v>
      </c>
    </row>
    <row r="72" spans="1:3">
      <c r="A72" s="106" t="s">
        <v>3809</v>
      </c>
      <c r="B72" s="107" t="s">
        <v>2062</v>
      </c>
      <c r="C72" s="114">
        <v>43664</v>
      </c>
    </row>
    <row r="73" spans="1:3">
      <c r="A73" s="106" t="s">
        <v>3809</v>
      </c>
      <c r="B73" s="107" t="s">
        <v>421</v>
      </c>
      <c r="C73" s="114">
        <v>43664</v>
      </c>
    </row>
    <row r="74" spans="1:3">
      <c r="A74" s="106" t="s">
        <v>3810</v>
      </c>
      <c r="B74" s="107" t="s">
        <v>578</v>
      </c>
      <c r="C74" s="114">
        <v>43664</v>
      </c>
    </row>
    <row r="75" spans="1:3">
      <c r="A75" s="106" t="s">
        <v>3811</v>
      </c>
      <c r="B75" s="107" t="s">
        <v>2112</v>
      </c>
      <c r="C75" s="114">
        <v>43664</v>
      </c>
    </row>
    <row r="76" spans="1:3">
      <c r="A76" s="106" t="s">
        <v>3812</v>
      </c>
      <c r="B76" s="107" t="s">
        <v>267</v>
      </c>
      <c r="C76" s="114">
        <v>43664</v>
      </c>
    </row>
    <row r="77" spans="1:3">
      <c r="A77" s="106" t="s">
        <v>3813</v>
      </c>
      <c r="B77" s="107" t="s">
        <v>2205</v>
      </c>
      <c r="C77" s="114">
        <v>43664</v>
      </c>
    </row>
    <row r="78" spans="1:3">
      <c r="A78" s="106" t="s">
        <v>980</v>
      </c>
      <c r="B78" s="107" t="s">
        <v>2114</v>
      </c>
      <c r="C78" s="114">
        <v>43664</v>
      </c>
    </row>
    <row r="79" spans="1:3">
      <c r="A79" s="106" t="s">
        <v>3814</v>
      </c>
      <c r="B79" s="107" t="s">
        <v>154</v>
      </c>
      <c r="C79" s="114">
        <v>43664</v>
      </c>
    </row>
    <row r="80" spans="1:3">
      <c r="A80" s="106" t="s">
        <v>3815</v>
      </c>
      <c r="B80" s="107" t="s">
        <v>3816</v>
      </c>
      <c r="C80" s="114">
        <v>43664</v>
      </c>
    </row>
    <row r="81" spans="1:3">
      <c r="A81" s="106" t="s">
        <v>995</v>
      </c>
      <c r="B81" s="107" t="s">
        <v>728</v>
      </c>
      <c r="C81" s="114">
        <v>43664</v>
      </c>
    </row>
    <row r="82" spans="1:3">
      <c r="A82" s="106" t="s">
        <v>3817</v>
      </c>
      <c r="B82" s="107" t="s">
        <v>2488</v>
      </c>
      <c r="C82" s="114">
        <v>43664</v>
      </c>
    </row>
    <row r="83" spans="1:3">
      <c r="A83" s="106" t="s">
        <v>3818</v>
      </c>
      <c r="B83" s="107" t="s">
        <v>2491</v>
      </c>
      <c r="C83" s="114">
        <v>43664</v>
      </c>
    </row>
    <row r="84" spans="1:3">
      <c r="A84" s="106" t="s">
        <v>3819</v>
      </c>
      <c r="B84" s="107" t="s">
        <v>3820</v>
      </c>
      <c r="C84" s="114">
        <v>43664</v>
      </c>
    </row>
    <row r="85" spans="1:3">
      <c r="A85" s="106" t="s">
        <v>3821</v>
      </c>
      <c r="B85" s="107" t="s">
        <v>224</v>
      </c>
      <c r="C85" s="114">
        <v>43664</v>
      </c>
    </row>
    <row r="86" spans="1:3">
      <c r="A86" s="106" t="s">
        <v>936</v>
      </c>
      <c r="B86" s="107" t="s">
        <v>739</v>
      </c>
      <c r="C86" s="114">
        <v>43664</v>
      </c>
    </row>
    <row r="87" spans="1:3">
      <c r="A87" s="106" t="s">
        <v>3822</v>
      </c>
      <c r="B87" s="107" t="s">
        <v>608</v>
      </c>
      <c r="C87" s="114">
        <v>43664</v>
      </c>
    </row>
    <row r="88" spans="1:3">
      <c r="A88" s="106" t="s">
        <v>3823</v>
      </c>
      <c r="B88" s="107" t="s">
        <v>726</v>
      </c>
      <c r="C88" s="114">
        <v>43664</v>
      </c>
    </row>
    <row r="89" spans="1:3">
      <c r="A89" s="106" t="s">
        <v>1255</v>
      </c>
      <c r="B89" s="107" t="s">
        <v>121</v>
      </c>
      <c r="C89" s="114">
        <v>43664</v>
      </c>
    </row>
    <row r="90" spans="1:3">
      <c r="A90" s="106" t="s">
        <v>3824</v>
      </c>
      <c r="B90" s="107" t="s">
        <v>446</v>
      </c>
      <c r="C90" s="114">
        <v>43664</v>
      </c>
    </row>
    <row r="91" spans="1:3">
      <c r="A91" s="106" t="s">
        <v>1099</v>
      </c>
      <c r="B91" s="107" t="s">
        <v>2714</v>
      </c>
      <c r="C91" s="114">
        <v>43664</v>
      </c>
    </row>
    <row r="92" spans="1:3">
      <c r="A92" s="106" t="s">
        <v>3825</v>
      </c>
      <c r="B92" s="107" t="s">
        <v>3826</v>
      </c>
      <c r="C92" s="114">
        <v>43664</v>
      </c>
    </row>
    <row r="93" spans="1:3">
      <c r="A93" s="106" t="s">
        <v>253</v>
      </c>
      <c r="B93" s="107" t="s">
        <v>133</v>
      </c>
      <c r="C93" s="114">
        <v>43664</v>
      </c>
    </row>
    <row r="94" spans="1:3">
      <c r="A94" s="106" t="s">
        <v>3827</v>
      </c>
      <c r="B94" s="107" t="s">
        <v>716</v>
      </c>
      <c r="C94" s="114">
        <v>43664</v>
      </c>
    </row>
    <row r="95" spans="1:3">
      <c r="A95" s="106" t="s">
        <v>3828</v>
      </c>
      <c r="B95" s="107" t="s">
        <v>393</v>
      </c>
      <c r="C95" s="114">
        <v>43664</v>
      </c>
    </row>
    <row r="96" spans="1:3">
      <c r="A96" s="106" t="s">
        <v>3829</v>
      </c>
      <c r="B96" s="107" t="s">
        <v>754</v>
      </c>
      <c r="C96" s="114">
        <v>43664</v>
      </c>
    </row>
    <row r="97" spans="1:3">
      <c r="A97" s="106" t="s">
        <v>3775</v>
      </c>
      <c r="B97" s="107" t="s">
        <v>3774</v>
      </c>
      <c r="C97" s="114">
        <v>43664</v>
      </c>
    </row>
    <row r="98" spans="1:3">
      <c r="A98" s="106" t="s">
        <v>3830</v>
      </c>
      <c r="B98" s="107" t="s">
        <v>742</v>
      </c>
      <c r="C98" s="114">
        <v>43664</v>
      </c>
    </row>
    <row r="99" spans="1:3">
      <c r="A99" s="106" t="s">
        <v>3831</v>
      </c>
      <c r="B99" s="107" t="s">
        <v>554</v>
      </c>
      <c r="C99" s="114">
        <v>43664</v>
      </c>
    </row>
    <row r="100" spans="1:3">
      <c r="A100" s="106" t="s">
        <v>3832</v>
      </c>
      <c r="B100" s="107" t="s">
        <v>3833</v>
      </c>
      <c r="C100" s="114">
        <v>43664</v>
      </c>
    </row>
    <row r="101" spans="1:3">
      <c r="A101" s="106" t="s">
        <v>1016</v>
      </c>
      <c r="B101" s="107" t="s">
        <v>387</v>
      </c>
      <c r="C101" s="114">
        <v>43664</v>
      </c>
    </row>
    <row r="102" spans="1:3">
      <c r="A102" s="106" t="s">
        <v>572</v>
      </c>
      <c r="B102" s="107" t="s">
        <v>573</v>
      </c>
      <c r="C102" s="114">
        <v>43664</v>
      </c>
    </row>
    <row r="103" spans="1:3">
      <c r="A103" s="106" t="s">
        <v>3374</v>
      </c>
      <c r="B103" s="107" t="s">
        <v>3834</v>
      </c>
      <c r="C103" s="114">
        <v>43664</v>
      </c>
    </row>
    <row r="104" spans="1:3">
      <c r="A104" s="106" t="s">
        <v>3835</v>
      </c>
      <c r="B104" s="107" t="s">
        <v>3779</v>
      </c>
      <c r="C104" s="114">
        <v>43664</v>
      </c>
    </row>
    <row r="105" spans="1:3">
      <c r="A105" s="106" t="s">
        <v>3835</v>
      </c>
      <c r="B105" s="107" t="s">
        <v>3780</v>
      </c>
      <c r="C105" s="114">
        <v>43664</v>
      </c>
    </row>
    <row r="106" spans="1:3">
      <c r="A106" s="106" t="s">
        <v>3836</v>
      </c>
      <c r="B106" s="107" t="s">
        <v>3782</v>
      </c>
      <c r="C106" s="114">
        <v>43664</v>
      </c>
    </row>
    <row r="107" spans="1:3">
      <c r="A107" s="106" t="s">
        <v>3836</v>
      </c>
      <c r="B107" s="107" t="s">
        <v>3837</v>
      </c>
      <c r="C107" s="114">
        <v>43664</v>
      </c>
    </row>
    <row r="108" spans="1:3">
      <c r="A108" s="106" t="s">
        <v>3838</v>
      </c>
      <c r="B108" s="107" t="s">
        <v>3839</v>
      </c>
      <c r="C108" s="114">
        <v>43664</v>
      </c>
    </row>
    <row r="109" spans="1:3">
      <c r="A109" s="106" t="s">
        <v>3838</v>
      </c>
      <c r="B109" s="107" t="s">
        <v>3785</v>
      </c>
      <c r="C109" s="114">
        <v>43664</v>
      </c>
    </row>
    <row r="110" spans="1:3">
      <c r="A110" s="141" t="s">
        <v>499</v>
      </c>
      <c r="B110" s="108" t="s">
        <v>3784</v>
      </c>
      <c r="C110" s="114">
        <v>43664</v>
      </c>
    </row>
    <row r="111" spans="1:3">
      <c r="A111" s="141" t="s">
        <v>3840</v>
      </c>
      <c r="B111" s="108" t="s">
        <v>3579</v>
      </c>
      <c r="C111" s="114">
        <v>43664</v>
      </c>
    </row>
    <row r="112" spans="1:3">
      <c r="A112" s="141" t="s">
        <v>1003</v>
      </c>
      <c r="B112" s="108" t="s">
        <v>628</v>
      </c>
      <c r="C112" s="114">
        <v>43664</v>
      </c>
    </row>
    <row r="113" spans="1:3">
      <c r="A113" s="141" t="s">
        <v>451</v>
      </c>
      <c r="B113" s="108" t="s">
        <v>452</v>
      </c>
      <c r="C113" s="114">
        <v>43664</v>
      </c>
    </row>
    <row r="114" spans="1:3">
      <c r="A114" s="141" t="s">
        <v>1000</v>
      </c>
      <c r="B114" s="108" t="s">
        <v>551</v>
      </c>
      <c r="C114" s="114">
        <v>43664</v>
      </c>
    </row>
  </sheetData>
  <sheetProtection algorithmName="SHA-512" hashValue="riSK+/WZgvnVTD+W34FC67LTCeZ/j8O1ejcGx5l/Zgac/T6Jiy/7BLGNpLAFQD7zFFwBPpRR/3J62g/mWjE/Nw==" saltValue="BUcAoTr4zPTgTQ3UJJD+uQ==" spinCount="100000" sheet="1" formatColumns="0" formatRows="0" sort="0" autoFilter="0" pivotTables="0"/>
  <autoFilter ref="A1:C114" xr:uid="{EF607CAB-9907-49CD-B10C-23E8F08D7840}"/>
  <sortState xmlns:xlrd2="http://schemas.microsoft.com/office/spreadsheetml/2017/richdata2" ref="A2:K15">
    <sortCondition ref="A2:A15"/>
  </sortState>
  <conditionalFormatting sqref="A20:A114 A14:A15 A2:A11">
    <cfRule type="expression" dxfId="85" priority="216">
      <formula>ISBLANK($A2)=FALSE</formula>
    </cfRule>
  </conditionalFormatting>
  <conditionalFormatting sqref="B20:C114 B14:C15 B2:C11">
    <cfRule type="expression" dxfId="84" priority="215">
      <formula>ISBLANK($A2)=FALSE</formula>
    </cfRule>
  </conditionalFormatting>
  <conditionalFormatting sqref="C20:C114 C14:C15 C2:C11">
    <cfRule type="expression" dxfId="83" priority="214">
      <formula>ISBLANK($C2)=FALSE</formula>
    </cfRule>
  </conditionalFormatting>
  <conditionalFormatting sqref="A28:C114 A26:C26 A23:C24 A15:C15 A2:C11">
    <cfRule type="expression" dxfId="82" priority="210">
      <formula>$C2&lt;&gt;OFFSET($C2,-1,0,1,1)</formula>
    </cfRule>
    <cfRule type="expression" dxfId="81" priority="211">
      <formula>$A2&lt;&gt;$A1</formula>
    </cfRule>
    <cfRule type="expression" dxfId="80" priority="212">
      <formula>A1=A2</formula>
    </cfRule>
    <cfRule type="expression" dxfId="79" priority="213">
      <formula>$A1=$A2</formula>
    </cfRule>
  </conditionalFormatting>
  <conditionalFormatting sqref="B22:C26 A20:C21">
    <cfRule type="expression" dxfId="78" priority="3791">
      <formula>$C20&lt;&gt;OFFSET($C20,-1,0,1,1)</formula>
    </cfRule>
    <cfRule type="expression" dxfId="77" priority="3792">
      <formula>$A20&lt;&gt;#REF!</formula>
    </cfRule>
    <cfRule type="expression" dxfId="76" priority="3793">
      <formula>#REF!=A20</formula>
    </cfRule>
    <cfRule type="expression" dxfId="75" priority="3794">
      <formula>#REF!=$A20</formula>
    </cfRule>
  </conditionalFormatting>
  <conditionalFormatting sqref="A22:A26">
    <cfRule type="expression" dxfId="74" priority="3795">
      <formula>$C22&lt;&gt;OFFSET($C22,-1,0,1,1)</formula>
    </cfRule>
    <cfRule type="expression" dxfId="73" priority="3796">
      <formula>$A22&lt;&gt;#REF!</formula>
    </cfRule>
    <cfRule type="expression" dxfId="72" priority="3797">
      <formula>#REF!=A22</formula>
    </cfRule>
    <cfRule type="expression" dxfId="71" priority="3798">
      <formula>#REF!=$A22</formula>
    </cfRule>
  </conditionalFormatting>
  <conditionalFormatting sqref="A25:C25">
    <cfRule type="expression" dxfId="70" priority="4538">
      <formula>$C25&lt;&gt;OFFSET($C25,-1,0,1,1)</formula>
    </cfRule>
    <cfRule type="expression" dxfId="69" priority="4539">
      <formula>$A25&lt;&gt;$A23</formula>
    </cfRule>
    <cfRule type="expression" dxfId="68" priority="4540">
      <formula>A23=A25</formula>
    </cfRule>
    <cfRule type="expression" dxfId="67" priority="4541">
      <formula>$A23=$A25</formula>
    </cfRule>
  </conditionalFormatting>
  <conditionalFormatting sqref="A16:A19">
    <cfRule type="expression" dxfId="66" priority="70">
      <formula>ISBLANK($A16)=FALSE</formula>
    </cfRule>
  </conditionalFormatting>
  <conditionalFormatting sqref="B16:C19">
    <cfRule type="expression" dxfId="65" priority="69">
      <formula>ISBLANK($A16)=FALSE</formula>
    </cfRule>
  </conditionalFormatting>
  <conditionalFormatting sqref="C16:C19">
    <cfRule type="expression" dxfId="64" priority="68">
      <formula>ISBLANK($C16)=FALSE</formula>
    </cfRule>
  </conditionalFormatting>
  <conditionalFormatting sqref="A17:C18">
    <cfRule type="expression" dxfId="63" priority="64">
      <formula>$C17&lt;&gt;OFFSET($C17,-1,0,1,1)</formula>
    </cfRule>
    <cfRule type="expression" dxfId="62" priority="65">
      <formula>$A17&lt;&gt;$A16</formula>
    </cfRule>
    <cfRule type="expression" dxfId="61" priority="66">
      <formula>A16=A17</formula>
    </cfRule>
    <cfRule type="expression" dxfId="60" priority="67">
      <formula>$A16=$A17</formula>
    </cfRule>
  </conditionalFormatting>
  <conditionalFormatting sqref="B16:C19">
    <cfRule type="expression" dxfId="59" priority="71">
      <formula>$C16&lt;&gt;OFFSET($C16,-1,0,1,1)</formula>
    </cfRule>
    <cfRule type="expression" dxfId="58" priority="72">
      <formula>$A16&lt;&gt;#REF!</formula>
    </cfRule>
    <cfRule type="expression" dxfId="57" priority="73">
      <formula>#REF!=B16</formula>
    </cfRule>
    <cfRule type="expression" dxfId="56" priority="74">
      <formula>#REF!=$A16</formula>
    </cfRule>
  </conditionalFormatting>
  <conditionalFormatting sqref="A16:A19">
    <cfRule type="expression" dxfId="55" priority="75">
      <formula>$C16&lt;&gt;OFFSET($C16,-1,0,1,1)</formula>
    </cfRule>
    <cfRule type="expression" dxfId="54" priority="76">
      <formula>$A16&lt;&gt;#REF!</formula>
    </cfRule>
    <cfRule type="expression" dxfId="53" priority="77">
      <formula>#REF!=A16</formula>
    </cfRule>
    <cfRule type="expression" dxfId="52" priority="78">
      <formula>#REF!=$A16</formula>
    </cfRule>
  </conditionalFormatting>
  <conditionalFormatting sqref="A19:C19">
    <cfRule type="expression" dxfId="51" priority="79">
      <formula>$C19&lt;&gt;OFFSET($C19,-1,0,1,1)</formula>
    </cfRule>
    <cfRule type="expression" dxfId="50" priority="80">
      <formula>$A19&lt;&gt;$A17</formula>
    </cfRule>
    <cfRule type="expression" dxfId="49" priority="81">
      <formula>A17=A19</formula>
    </cfRule>
    <cfRule type="expression" dxfId="48" priority="82">
      <formula>$A17=$A19</formula>
    </cfRule>
  </conditionalFormatting>
  <conditionalFormatting sqref="A16:B16">
    <cfRule type="expression" dxfId="47" priority="11417">
      <formula>$C16&lt;&gt;OFFSET($C16,-1,0,1,1)</formula>
    </cfRule>
    <cfRule type="expression" dxfId="46" priority="11418">
      <formula>$A16&lt;&gt;#REF!</formula>
    </cfRule>
    <cfRule type="expression" dxfId="45" priority="11419">
      <formula>#REF!=A16</formula>
    </cfRule>
    <cfRule type="expression" dxfId="44" priority="11420">
      <formula>#REF!=$A16</formula>
    </cfRule>
  </conditionalFormatting>
  <conditionalFormatting sqref="A13">
    <cfRule type="expression" dxfId="43" priority="30">
      <formula>ISBLANK($A13)=FALSE</formula>
    </cfRule>
  </conditionalFormatting>
  <conditionalFormatting sqref="B13:C13">
    <cfRule type="expression" dxfId="42" priority="29">
      <formula>ISBLANK($A13)=FALSE</formula>
    </cfRule>
  </conditionalFormatting>
  <conditionalFormatting sqref="C13">
    <cfRule type="expression" dxfId="41" priority="28">
      <formula>ISBLANK($C13)=FALSE</formula>
    </cfRule>
  </conditionalFormatting>
  <conditionalFormatting sqref="A13:C13">
    <cfRule type="expression" dxfId="40" priority="24">
      <formula>$C13&lt;&gt;OFFSET($C13,-1,0,1,1)</formula>
    </cfRule>
    <cfRule type="expression" dxfId="39" priority="25">
      <formula>$A13&lt;&gt;$A11</formula>
    </cfRule>
    <cfRule type="expression" dxfId="38" priority="26">
      <formula>A11=A13</formula>
    </cfRule>
    <cfRule type="expression" dxfId="37" priority="27">
      <formula>$A11=$A13</formula>
    </cfRule>
  </conditionalFormatting>
  <conditionalFormatting sqref="A14:C14">
    <cfRule type="expression" dxfId="36" priority="11435">
      <formula>$C14&lt;&gt;OFFSET($C14,-1,0,1,1)</formula>
    </cfRule>
    <cfRule type="expression" dxfId="35" priority="11436">
      <formula>$A14&lt;&gt;$A11</formula>
    </cfRule>
    <cfRule type="expression" dxfId="34" priority="11437">
      <formula>A11=A14</formula>
    </cfRule>
    <cfRule type="expression" dxfId="33" priority="11438">
      <formula>$A11=$A14</formula>
    </cfRule>
  </conditionalFormatting>
  <conditionalFormatting sqref="A12">
    <cfRule type="expression" dxfId="32" priority="23">
      <formula>ISBLANK($A12)=FALSE</formula>
    </cfRule>
  </conditionalFormatting>
  <conditionalFormatting sqref="B12:C12">
    <cfRule type="expression" dxfId="31" priority="22">
      <formula>ISBLANK($A12)=FALSE</formula>
    </cfRule>
  </conditionalFormatting>
  <conditionalFormatting sqref="C12">
    <cfRule type="expression" dxfId="30" priority="21">
      <formula>ISBLANK($C12)=FALSE</formula>
    </cfRule>
  </conditionalFormatting>
  <conditionalFormatting sqref="A12:C12">
    <cfRule type="expression" dxfId="29" priority="17">
      <formula>$C12&lt;&gt;OFFSET($C12,-1,0,1,1)</formula>
    </cfRule>
    <cfRule type="expression" dxfId="28" priority="18">
      <formula>$A12&lt;&gt;$A11</formula>
    </cfRule>
    <cfRule type="expression" dxfId="27" priority="19">
      <formula>A11=A12</formula>
    </cfRule>
    <cfRule type="expression" dxfId="26" priority="20">
      <formula>$A11=$A12</formula>
    </cfRule>
  </conditionalFormatting>
  <conditionalFormatting sqref="A2:C2">
    <cfRule type="expression" dxfId="25" priority="11841">
      <formula>$C2&lt;&gt;OFFSET($C2,-1,0,1,1)</formula>
    </cfRule>
    <cfRule type="expression" dxfId="24" priority="11842">
      <formula>$A2&lt;&gt;$A117</formula>
    </cfRule>
    <cfRule type="expression" dxfId="23" priority="11843">
      <formula>A117=A2</formula>
    </cfRule>
    <cfRule type="expression" dxfId="22" priority="11844">
      <formula>$A117=$A2</formula>
    </cfRule>
  </conditionalFormatting>
  <conditionalFormatting sqref="A4:C4">
    <cfRule type="expression" dxfId="21" priority="11879">
      <formula>$C4&lt;&gt;OFFSET($C4,-1,0,1,1)</formula>
    </cfRule>
    <cfRule type="expression" dxfId="20" priority="11880">
      <formula>$A4&lt;&gt;$A117</formula>
    </cfRule>
    <cfRule type="expression" dxfId="19" priority="11881">
      <formula>A117=A4</formula>
    </cfRule>
    <cfRule type="expression" dxfId="18" priority="11882">
      <formula>$A117=$A4</formula>
    </cfRule>
  </conditionalFormatting>
  <conditionalFormatting sqref="A2">
    <cfRule type="expression" dxfId="17" priority="12">
      <formula>ISBLANK($A2)=FALSE</formula>
    </cfRule>
  </conditionalFormatting>
  <conditionalFormatting sqref="B2:C2">
    <cfRule type="expression" dxfId="16" priority="11">
      <formula>ISBLANK($A2)=FALSE</formula>
    </cfRule>
  </conditionalFormatting>
  <conditionalFormatting sqref="C2">
    <cfRule type="expression" dxfId="15" priority="10">
      <formula>ISBLANK($C2)=FALSE</formula>
    </cfRule>
  </conditionalFormatting>
  <conditionalFormatting sqref="A27:C27">
    <cfRule type="expression" dxfId="14" priority="11889">
      <formula>$C27&lt;&gt;OFFSET($C27,-1,0,1,1)</formula>
    </cfRule>
    <cfRule type="expression" dxfId="13" priority="11890">
      <formula>$A27&lt;&gt;$A1</formula>
    </cfRule>
    <cfRule type="expression" dxfId="12" priority="11891">
      <formula>A1=A27</formula>
    </cfRule>
    <cfRule type="expression" dxfId="11" priority="11892">
      <formula>$A1=$A27</formula>
    </cfRule>
  </conditionalFormatting>
  <conditionalFormatting sqref="A22:B22">
    <cfRule type="expression" dxfId="10" priority="11893">
      <formula>$C22&lt;&gt;OFFSET($C22,-1,0,1,1)</formula>
    </cfRule>
    <cfRule type="expression" dxfId="9" priority="11894">
      <formula>$A22&lt;&gt;$A1</formula>
    </cfRule>
    <cfRule type="expression" dxfId="8" priority="11895">
      <formula>A1=A22</formula>
    </cfRule>
    <cfRule type="expression" dxfId="7" priority="11896">
      <formula>$A1=$A22</formula>
    </cfRule>
  </conditionalFormatting>
  <conditionalFormatting sqref="A3:C3">
    <cfRule type="expression" dxfId="6" priority="4">
      <formula>$C3&lt;&gt;OFFSET($C3,-1,0,1,1)</formula>
    </cfRule>
    <cfRule type="expression" dxfId="5" priority="5">
      <formula>$A3&lt;&gt;$A118</formula>
    </cfRule>
    <cfRule type="expression" dxfId="4" priority="6">
      <formula>A118=A3</formula>
    </cfRule>
    <cfRule type="expression" dxfId="3" priority="7">
      <formula>$A118=$A3</formula>
    </cfRule>
  </conditionalFormatting>
  <conditionalFormatting sqref="A3">
    <cfRule type="expression" dxfId="2" priority="3">
      <formula>ISBLANK($A3)=FALSE</formula>
    </cfRule>
  </conditionalFormatting>
  <conditionalFormatting sqref="B3:C3">
    <cfRule type="expression" dxfId="1" priority="2">
      <formula>ISBLANK($A3)=FALSE</formula>
    </cfRule>
  </conditionalFormatting>
  <conditionalFormatting sqref="C3">
    <cfRule type="expression" dxfId="0" priority="1">
      <formula>ISBLANK($C3)=FALSE</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Status xmlns="736b1904-91de-4886-bc24-7a478f15bd7e" xsi:nil="true"/>
    <lcf76f155ced4ddcb4097134ff3c332f xmlns="736b1904-91de-4886-bc24-7a478f15bd7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5" ma:contentTypeDescription="Create a new document." ma:contentTypeScope="" ma:versionID="c63227eb20b558e016d0797493dfc0cf">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8c6bc3d8f344292fc82fde39d87cd22d"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02D1D8-0E1A-415A-98C2-32B0A29A0941}">
  <ds:schemaRefs>
    <ds:schemaRef ds:uri="http://purl.org/dc/elements/1.1/"/>
    <ds:schemaRef ds:uri="http://schemas.microsoft.com/office/2006/metadata/properties"/>
    <ds:schemaRef ds:uri="719b3e7a-2613-4a49-9d18-67bceaacb3ee"/>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5d1a2284-45bc-4927-a9f9-e51f9f17c21a"/>
    <ds:schemaRef ds:uri="736b1904-91de-4886-bc24-7a478f15bd7e"/>
    <ds:schemaRef ds:uri="http://www.w3.org/XML/1998/namespace"/>
    <ds:schemaRef ds:uri="http://purl.org/dc/dcmitype/"/>
  </ds:schemaRefs>
</ds:datastoreItem>
</file>

<file path=customXml/itemProps2.xml><?xml version="1.0" encoding="utf-8"?>
<ds:datastoreItem xmlns:ds="http://schemas.openxmlformats.org/officeDocument/2006/customXml" ds:itemID="{C11BAC04-4F23-4D4D-8869-573DA1260A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367A43-DCBF-48E4-9964-2F0BF13DB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Change Log</vt:lpstr>
      <vt:lpstr>Background Information</vt:lpstr>
      <vt:lpstr>How to filter</vt:lpstr>
      <vt:lpstr>ExistingGeneration&amp;NewDevs</vt:lpstr>
      <vt:lpstr>Scheduled Capacities</vt:lpstr>
      <vt:lpstr>Site name 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2023-05-01T03:03:33Z</dcterms:created>
  <dcterms:modified xsi:type="dcterms:W3CDTF">2023-07-13T02:04:56Z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ies>
</file>